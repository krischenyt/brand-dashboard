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2904" documentId="14_{7E3F11F7-5506-4157-A2D9-4D026D27B5AF}" xr6:coauthVersionLast="47" xr6:coauthVersionMax="47" xr10:uidLastSave="{6D107529-2863-4D66-8FF0-B3458FCD9306}"/>
  <bookViews>
    <workbookView xWindow="-120" yWindow="-120" windowWidth="29040" windowHeight="15720" firstSheet="7" activeTab="3" xr2:uid="{00000000-000D-0000-FFFF-FFFF00000000}"/>
  </bookViews>
  <sheets>
    <sheet name="Micro Difference" sheetId="1" r:id="rId1"/>
    <sheet name="NB Difference" sheetId="2" r:id="rId2"/>
    <sheet name="DS Difference" sheetId="3" r:id="rId3"/>
    <sheet name="Sales Summary" sheetId="7" r:id="rId4"/>
    <sheet name="All Products" sheetId="4" state="hidden" r:id="rId5"/>
    <sheet name="CVR" sheetId="9" r:id="rId6"/>
    <sheet name="Sales &amp; Budget OOB" sheetId="5" state="hidden" r:id="rId7"/>
    <sheet name="TCOS" sheetId="10" r:id="rId8"/>
    <sheet name="Acos" sheetId="12" r:id="rId9"/>
    <sheet name="inventory 0407" sheetId="11" r:id="rId10"/>
  </sheets>
  <definedNames>
    <definedName name="_xlnm._FilterDatabase" localSheetId="5" hidden="1">CVR!$AG$1:$AG$488</definedName>
    <definedName name="_xlnm._FilterDatabase" localSheetId="6" hidden="1">'Sales &amp; Budget OOB'!$A$1:$M$640</definedName>
    <definedName name="_xlnm._FilterDatabase" localSheetId="7" hidden="1">TCOS!$A$1:$BB$1</definedName>
    <definedName name="_xlnm._FilterDatabase" localSheetId="8" hidden="1">Acos!$A$1:$BD$1</definedName>
    <definedName name="_xlnm._FilterDatabase" localSheetId="2" hidden="1">'DS Difference'!$A$2:$AK$2</definedName>
    <definedName name="_xlnm._FilterDatabase" localSheetId="1" hidden="1">'NB Difference'!$A$2:$AN$2</definedName>
    <definedName name="_xlnm._FilterDatabase" localSheetId="0" hidden="1">'Micro Difference'!$A$2:$AK$2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46" i="1" l="1"/>
  <c r="W446" i="1"/>
  <c r="Y84" i="1"/>
  <c r="V84" i="1"/>
  <c r="U84" i="1"/>
  <c r="Q446" i="1"/>
  <c r="N446" i="1"/>
  <c r="M446" i="1"/>
  <c r="J84" i="1"/>
  <c r="K84" i="1"/>
  <c r="F446" i="1"/>
  <c r="C446" i="1"/>
  <c r="G84" i="1"/>
  <c r="Q137" i="3"/>
  <c r="O137" i="3"/>
  <c r="N137" i="3"/>
  <c r="F137" i="3"/>
  <c r="C137" i="3"/>
  <c r="M167" i="2"/>
  <c r="N167" i="2"/>
  <c r="Q167" i="2"/>
  <c r="C167" i="2"/>
  <c r="AX40" i="7"/>
  <c r="AX19" i="7"/>
  <c r="AX12" i="7"/>
  <c r="AN40" i="7"/>
  <c r="AX11" i="7"/>
  <c r="AX10" i="7"/>
  <c r="AX9" i="7"/>
  <c r="AX2" i="7"/>
  <c r="AX3" i="7"/>
  <c r="AX4" i="7"/>
  <c r="AN30" i="7"/>
  <c r="AN31" i="7"/>
  <c r="AN32" i="7"/>
  <c r="AN23" i="7"/>
  <c r="AN24" i="7"/>
  <c r="AN25" i="7"/>
  <c r="AN19" i="7"/>
  <c r="AN5" i="7"/>
  <c r="AN12" i="7"/>
  <c r="Y413" i="1"/>
  <c r="V413" i="1"/>
  <c r="U413" i="1"/>
  <c r="J417" i="1"/>
  <c r="J355" i="1"/>
  <c r="J300" i="1"/>
  <c r="J303" i="1"/>
  <c r="J295" i="1"/>
  <c r="J304" i="1"/>
  <c r="J305" i="1"/>
  <c r="J173" i="1"/>
  <c r="J228" i="1"/>
  <c r="J260" i="1"/>
  <c r="J282" i="1"/>
  <c r="J184" i="1"/>
  <c r="J326" i="1"/>
  <c r="J246" i="1"/>
  <c r="J162" i="1"/>
  <c r="J171" i="1"/>
  <c r="J167" i="1"/>
  <c r="J195" i="1"/>
  <c r="J154" i="1"/>
  <c r="J147" i="1"/>
  <c r="J163" i="1"/>
  <c r="J133" i="1"/>
  <c r="J142" i="1"/>
  <c r="J170" i="1"/>
  <c r="J144" i="1"/>
  <c r="J413" i="1"/>
  <c r="K413" i="1"/>
  <c r="G413" i="1"/>
  <c r="F167" i="2"/>
  <c r="F170" i="2" s="1"/>
  <c r="U355" i="1"/>
  <c r="V355" i="1"/>
  <c r="U300" i="1"/>
  <c r="V300" i="1"/>
  <c r="U303" i="1"/>
  <c r="V303" i="1"/>
  <c r="U295" i="1"/>
  <c r="V295" i="1"/>
  <c r="U304" i="1"/>
  <c r="V304" i="1"/>
  <c r="U305" i="1"/>
  <c r="V305" i="1"/>
  <c r="U173" i="1"/>
  <c r="V173" i="1"/>
  <c r="U228" i="1"/>
  <c r="V228" i="1"/>
  <c r="U260" i="1"/>
  <c r="V260" i="1"/>
  <c r="U282" i="1"/>
  <c r="V282" i="1"/>
  <c r="U184" i="1"/>
  <c r="V184" i="1"/>
  <c r="U326" i="1"/>
  <c r="V326" i="1"/>
  <c r="U246" i="1"/>
  <c r="V246" i="1"/>
  <c r="U162" i="1"/>
  <c r="V162" i="1"/>
  <c r="U171" i="1"/>
  <c r="V171" i="1"/>
  <c r="U167" i="1"/>
  <c r="V167" i="1"/>
  <c r="U195" i="1"/>
  <c r="V195" i="1"/>
  <c r="U154" i="1"/>
  <c r="V154" i="1"/>
  <c r="U147" i="1"/>
  <c r="V147" i="1"/>
  <c r="U163" i="1"/>
  <c r="V163" i="1"/>
  <c r="U133" i="1"/>
  <c r="V133" i="1"/>
  <c r="U142" i="1"/>
  <c r="V142" i="1"/>
  <c r="U170" i="1"/>
  <c r="V170" i="1"/>
  <c r="U144" i="1"/>
  <c r="V144" i="1"/>
  <c r="U417" i="1"/>
  <c r="V417" i="1"/>
  <c r="K355" i="1"/>
  <c r="K300" i="1"/>
  <c r="K303" i="1"/>
  <c r="K295" i="1"/>
  <c r="K304" i="1"/>
  <c r="K305" i="1"/>
  <c r="K173" i="1"/>
  <c r="K228" i="1"/>
  <c r="K260" i="1"/>
  <c r="K282" i="1"/>
  <c r="K184" i="1"/>
  <c r="K326" i="1"/>
  <c r="K246" i="1"/>
  <c r="K162" i="1"/>
  <c r="K171" i="1"/>
  <c r="K167" i="1"/>
  <c r="K195" i="1"/>
  <c r="K154" i="1"/>
  <c r="K147" i="1"/>
  <c r="K163" i="1"/>
  <c r="K133" i="1"/>
  <c r="K142" i="1"/>
  <c r="K170" i="1"/>
  <c r="K144" i="1"/>
  <c r="K417" i="1"/>
  <c r="AC105" i="2"/>
  <c r="AC116" i="2"/>
  <c r="AC54" i="2"/>
  <c r="AC66" i="2"/>
  <c r="AC46" i="2"/>
  <c r="AC47" i="2"/>
  <c r="AC48" i="2"/>
  <c r="AC49" i="2"/>
  <c r="AC50" i="2"/>
  <c r="AC51" i="2"/>
  <c r="AC52" i="2"/>
  <c r="AB167" i="2"/>
  <c r="AA167" i="2"/>
  <c r="AA170" i="2" s="1"/>
  <c r="T116" i="2"/>
  <c r="U116" i="2"/>
  <c r="T54" i="2"/>
  <c r="U54" i="2"/>
  <c r="T66" i="2"/>
  <c r="U66" i="2"/>
  <c r="T105" i="2"/>
  <c r="U105" i="2"/>
  <c r="J105" i="2"/>
  <c r="K105" i="2"/>
  <c r="J116" i="2"/>
  <c r="K116" i="2"/>
  <c r="J54" i="2"/>
  <c r="K54" i="2"/>
  <c r="J66" i="2"/>
  <c r="K66" i="2"/>
  <c r="F140" i="3"/>
  <c r="Q139" i="3"/>
  <c r="T29" i="3"/>
  <c r="U29" i="3"/>
  <c r="T24" i="3"/>
  <c r="U24" i="3"/>
  <c r="T25" i="3"/>
  <c r="U25" i="3"/>
  <c r="T36" i="3"/>
  <c r="U36" i="3"/>
  <c r="AB137" i="3"/>
  <c r="AD29" i="3"/>
  <c r="AD24" i="3"/>
  <c r="AD25" i="3"/>
  <c r="AD36" i="3"/>
  <c r="AC137" i="3"/>
  <c r="J36" i="3"/>
  <c r="K36" i="3"/>
  <c r="J25" i="3"/>
  <c r="K25" i="3"/>
  <c r="J24" i="3"/>
  <c r="K24" i="3"/>
  <c r="J29" i="3"/>
  <c r="K29" i="3"/>
  <c r="G29" i="3"/>
  <c r="G24" i="3"/>
  <c r="G25" i="3"/>
  <c r="G36" i="3"/>
  <c r="G116" i="2"/>
  <c r="G54" i="2"/>
  <c r="G66" i="2"/>
  <c r="Y417" i="1"/>
  <c r="Y355" i="1"/>
  <c r="Y300" i="1"/>
  <c r="Y303" i="1"/>
  <c r="Y295" i="1"/>
  <c r="Y304" i="1"/>
  <c r="Y305" i="1"/>
  <c r="Y173" i="1"/>
  <c r="Y228" i="1"/>
  <c r="Y260" i="1"/>
  <c r="Y282" i="1"/>
  <c r="Y184" i="1"/>
  <c r="Y326" i="1"/>
  <c r="Y246" i="1"/>
  <c r="Y162" i="1"/>
  <c r="Y171" i="1"/>
  <c r="Y167" i="1"/>
  <c r="Y195" i="1"/>
  <c r="Y154" i="1"/>
  <c r="Y147" i="1"/>
  <c r="Y163" i="1"/>
  <c r="Y133" i="1"/>
  <c r="Y142" i="1"/>
  <c r="Y170" i="1"/>
  <c r="Y144" i="1"/>
  <c r="Y404" i="1"/>
  <c r="G404" i="1"/>
  <c r="G417" i="1"/>
  <c r="G355" i="1"/>
  <c r="G300" i="1"/>
  <c r="G303" i="1"/>
  <c r="G295" i="1"/>
  <c r="G304" i="1"/>
  <c r="G305" i="1"/>
  <c r="G173" i="1"/>
  <c r="G228" i="1"/>
  <c r="G260" i="1"/>
  <c r="G282" i="1"/>
  <c r="G184" i="1"/>
  <c r="G326" i="1"/>
  <c r="G246" i="1"/>
  <c r="G162" i="1"/>
  <c r="G171" i="1"/>
  <c r="G167" i="1"/>
  <c r="G195" i="1"/>
  <c r="G154" i="1"/>
  <c r="G147" i="1"/>
  <c r="G163" i="1"/>
  <c r="G133" i="1"/>
  <c r="G142" i="1"/>
  <c r="G170" i="1"/>
  <c r="G144" i="1"/>
  <c r="J404" i="1"/>
  <c r="K404" i="1"/>
  <c r="AM40" i="7"/>
  <c r="AM41" i="7" s="1"/>
  <c r="AM30" i="7"/>
  <c r="AM31" i="7"/>
  <c r="AM32" i="7"/>
  <c r="AM23" i="7"/>
  <c r="AM24" i="7"/>
  <c r="AM25" i="7"/>
  <c r="AM19" i="7"/>
  <c r="AM33" i="7" s="1"/>
  <c r="AM12" i="7"/>
  <c r="AM5" i="7"/>
  <c r="AX5" i="7" s="1"/>
  <c r="G105" i="2"/>
  <c r="Y382" i="1"/>
  <c r="Y284" i="1"/>
  <c r="Y301" i="1"/>
  <c r="Y257" i="1"/>
  <c r="Y166" i="1"/>
  <c r="Y276" i="1"/>
  <c r="Y344" i="1"/>
  <c r="Y187" i="1"/>
  <c r="Y225" i="1"/>
  <c r="Y259" i="1"/>
  <c r="Y180" i="1"/>
  <c r="Y255" i="1"/>
  <c r="Y434" i="1"/>
  <c r="Y292" i="1"/>
  <c r="Y152" i="1"/>
  <c r="Y327" i="1"/>
  <c r="Y274" i="1"/>
  <c r="Y320" i="1"/>
  <c r="Y206" i="1"/>
  <c r="Y243" i="1"/>
  <c r="Y189" i="1"/>
  <c r="AC45" i="2"/>
  <c r="U46" i="2"/>
  <c r="U47" i="2"/>
  <c r="U48" i="2"/>
  <c r="U49" i="2"/>
  <c r="U50" i="2"/>
  <c r="U51" i="2"/>
  <c r="U52" i="2"/>
  <c r="T46" i="2"/>
  <c r="T47" i="2"/>
  <c r="T48" i="2"/>
  <c r="T49" i="2"/>
  <c r="T50" i="2"/>
  <c r="T51" i="2"/>
  <c r="T52" i="2"/>
  <c r="AD76" i="3"/>
  <c r="AD48" i="3"/>
  <c r="AD86" i="3"/>
  <c r="AD51" i="3"/>
  <c r="T48" i="3"/>
  <c r="U48" i="3"/>
  <c r="T86" i="3"/>
  <c r="U86" i="3"/>
  <c r="T51" i="3"/>
  <c r="U51" i="3"/>
  <c r="K86" i="3"/>
  <c r="K48" i="3"/>
  <c r="K76" i="3"/>
  <c r="J86" i="3"/>
  <c r="J48" i="3"/>
  <c r="J76" i="3"/>
  <c r="J51" i="3"/>
  <c r="K51" i="3"/>
  <c r="G51" i="3"/>
  <c r="G86" i="3"/>
  <c r="G48" i="3"/>
  <c r="G76" i="3"/>
  <c r="T45" i="2"/>
  <c r="U45" i="2"/>
  <c r="K45" i="2"/>
  <c r="K46" i="2"/>
  <c r="K47" i="2"/>
  <c r="K48" i="2"/>
  <c r="K49" i="2"/>
  <c r="K50" i="2"/>
  <c r="K51" i="2"/>
  <c r="K52" i="2"/>
  <c r="G45" i="2"/>
  <c r="G46" i="2"/>
  <c r="G47" i="2"/>
  <c r="G48" i="2"/>
  <c r="G49" i="2"/>
  <c r="G50" i="2"/>
  <c r="G51" i="2"/>
  <c r="G52" i="2"/>
  <c r="V284" i="1"/>
  <c r="V301" i="1"/>
  <c r="V257" i="1"/>
  <c r="V166" i="1"/>
  <c r="V276" i="1"/>
  <c r="V344" i="1"/>
  <c r="V187" i="1"/>
  <c r="V225" i="1"/>
  <c r="V259" i="1"/>
  <c r="V180" i="1"/>
  <c r="V255" i="1"/>
  <c r="V434" i="1"/>
  <c r="V292" i="1"/>
  <c r="V152" i="1"/>
  <c r="V327" i="1"/>
  <c r="V274" i="1"/>
  <c r="V320" i="1"/>
  <c r="V206" i="1"/>
  <c r="V243" i="1"/>
  <c r="V189" i="1"/>
  <c r="U301" i="1"/>
  <c r="U257" i="1"/>
  <c r="U166" i="1"/>
  <c r="U276" i="1"/>
  <c r="U344" i="1"/>
  <c r="U187" i="1"/>
  <c r="U225" i="1"/>
  <c r="U259" i="1"/>
  <c r="U180" i="1"/>
  <c r="U255" i="1"/>
  <c r="U434" i="1"/>
  <c r="U292" i="1"/>
  <c r="U152" i="1"/>
  <c r="U327" i="1"/>
  <c r="U274" i="1"/>
  <c r="U320" i="1"/>
  <c r="U206" i="1"/>
  <c r="U243" i="1"/>
  <c r="U189" i="1"/>
  <c r="U284" i="1"/>
  <c r="U382" i="1"/>
  <c r="V382" i="1"/>
  <c r="J382" i="1"/>
  <c r="K382" i="1"/>
  <c r="J284" i="1"/>
  <c r="K284" i="1"/>
  <c r="J301" i="1"/>
  <c r="K301" i="1"/>
  <c r="J257" i="1"/>
  <c r="K257" i="1"/>
  <c r="J166" i="1"/>
  <c r="K166" i="1"/>
  <c r="J276" i="1"/>
  <c r="K276" i="1"/>
  <c r="J344" i="1"/>
  <c r="K344" i="1"/>
  <c r="J187" i="1"/>
  <c r="K187" i="1"/>
  <c r="J225" i="1"/>
  <c r="K225" i="1"/>
  <c r="J259" i="1"/>
  <c r="K259" i="1"/>
  <c r="J180" i="1"/>
  <c r="K180" i="1"/>
  <c r="J255" i="1"/>
  <c r="K255" i="1"/>
  <c r="J434" i="1"/>
  <c r="K434" i="1"/>
  <c r="J292" i="1"/>
  <c r="K292" i="1"/>
  <c r="J152" i="1"/>
  <c r="K152" i="1"/>
  <c r="J327" i="1"/>
  <c r="K327" i="1"/>
  <c r="J274" i="1"/>
  <c r="K274" i="1"/>
  <c r="J320" i="1"/>
  <c r="K320" i="1"/>
  <c r="J206" i="1"/>
  <c r="K206" i="1"/>
  <c r="J243" i="1"/>
  <c r="K243" i="1"/>
  <c r="J189" i="1"/>
  <c r="K189" i="1"/>
  <c r="G46" i="1"/>
  <c r="G169" i="1"/>
  <c r="G249" i="1"/>
  <c r="G153" i="1"/>
  <c r="G117" i="1"/>
  <c r="G79" i="1"/>
  <c r="G371" i="1"/>
  <c r="G158" i="1"/>
  <c r="G396" i="1"/>
  <c r="G338" i="1"/>
  <c r="G263" i="1"/>
  <c r="G382" i="1"/>
  <c r="G284" i="1"/>
  <c r="G301" i="1"/>
  <c r="G257" i="1"/>
  <c r="G166" i="1"/>
  <c r="G276" i="1"/>
  <c r="G344" i="1"/>
  <c r="G187" i="1"/>
  <c r="G225" i="1"/>
  <c r="G259" i="1"/>
  <c r="G180" i="1"/>
  <c r="G255" i="1"/>
  <c r="G434" i="1"/>
  <c r="G292" i="1"/>
  <c r="G152" i="1"/>
  <c r="G327" i="1"/>
  <c r="G274" i="1"/>
  <c r="G320" i="1"/>
  <c r="G206" i="1"/>
  <c r="G243" i="1"/>
  <c r="G189" i="1"/>
  <c r="AL40" i="7"/>
  <c r="AL41" i="7" s="1"/>
  <c r="AL30" i="7"/>
  <c r="AL31" i="7"/>
  <c r="AL32" i="7"/>
  <c r="AL25" i="7"/>
  <c r="AL24" i="7"/>
  <c r="AL23" i="7"/>
  <c r="AK23" i="7"/>
  <c r="AL19" i="7"/>
  <c r="AL12" i="7"/>
  <c r="AL5" i="7"/>
  <c r="AX16" i="7"/>
  <c r="AC57" i="2"/>
  <c r="T57" i="2"/>
  <c r="U57" i="2"/>
  <c r="T58" i="2"/>
  <c r="U58" i="2"/>
  <c r="U439" i="1"/>
  <c r="V439" i="1"/>
  <c r="U217" i="1"/>
  <c r="V217" i="1"/>
  <c r="U40" i="1"/>
  <c r="V40" i="1"/>
  <c r="U7" i="1"/>
  <c r="V7" i="1"/>
  <c r="U389" i="1"/>
  <c r="V389" i="1"/>
  <c r="U34" i="1"/>
  <c r="V34" i="1"/>
  <c r="U155" i="1"/>
  <c r="V155" i="1"/>
  <c r="U9" i="1"/>
  <c r="V9" i="1"/>
  <c r="U15" i="1"/>
  <c r="V15" i="1"/>
  <c r="U381" i="1"/>
  <c r="V381" i="1"/>
  <c r="U22" i="1"/>
  <c r="V22" i="1"/>
  <c r="U81" i="1"/>
  <c r="V81" i="1"/>
  <c r="U88" i="1"/>
  <c r="V88" i="1"/>
  <c r="U349" i="1"/>
  <c r="V349" i="1"/>
  <c r="U30" i="1"/>
  <c r="V30" i="1"/>
  <c r="U13" i="1"/>
  <c r="V13" i="1"/>
  <c r="U94" i="1"/>
  <c r="V94" i="1"/>
  <c r="U268" i="1"/>
  <c r="V268" i="1"/>
  <c r="U194" i="1"/>
  <c r="V194" i="1"/>
  <c r="U426" i="1"/>
  <c r="V426" i="1"/>
  <c r="U73" i="1"/>
  <c r="V73" i="1"/>
  <c r="U430" i="1"/>
  <c r="V430" i="1"/>
  <c r="U310" i="1"/>
  <c r="V310" i="1"/>
  <c r="U115" i="1"/>
  <c r="V115" i="1"/>
  <c r="U414" i="1"/>
  <c r="V414" i="1"/>
  <c r="U386" i="1"/>
  <c r="V386" i="1"/>
  <c r="U387" i="1"/>
  <c r="V387" i="1"/>
  <c r="U130" i="1"/>
  <c r="V130" i="1"/>
  <c r="U298" i="1"/>
  <c r="V298" i="1"/>
  <c r="U67" i="1"/>
  <c r="V67" i="1"/>
  <c r="U200" i="1"/>
  <c r="V200" i="1"/>
  <c r="U27" i="1"/>
  <c r="V27" i="1"/>
  <c r="U205" i="1"/>
  <c r="V205" i="1"/>
  <c r="U368" i="1"/>
  <c r="V368" i="1"/>
  <c r="U12" i="1"/>
  <c r="V12" i="1"/>
  <c r="U361" i="1"/>
  <c r="V361" i="1"/>
  <c r="U422" i="1"/>
  <c r="V422" i="1"/>
  <c r="U78" i="1"/>
  <c r="V78" i="1"/>
  <c r="U52" i="1"/>
  <c r="V52" i="1"/>
  <c r="U39" i="1"/>
  <c r="V39" i="1"/>
  <c r="U256" i="1"/>
  <c r="V256" i="1"/>
  <c r="U68" i="1"/>
  <c r="V68" i="1"/>
  <c r="U297" i="1"/>
  <c r="V297" i="1"/>
  <c r="U186" i="1"/>
  <c r="V186" i="1"/>
  <c r="U43" i="1"/>
  <c r="V43" i="1"/>
  <c r="U399" i="1"/>
  <c r="V399" i="1"/>
  <c r="U192" i="1"/>
  <c r="V192" i="1"/>
  <c r="U164" i="1"/>
  <c r="V164" i="1"/>
  <c r="U242" i="1"/>
  <c r="V242" i="1"/>
  <c r="U105" i="1"/>
  <c r="V105" i="1"/>
  <c r="U427" i="1"/>
  <c r="V427" i="1"/>
  <c r="U161" i="1"/>
  <c r="V161" i="1"/>
  <c r="U388" i="1"/>
  <c r="V388" i="1"/>
  <c r="U99" i="1"/>
  <c r="V99" i="1"/>
  <c r="U179" i="1"/>
  <c r="V179" i="1"/>
  <c r="U72" i="1"/>
  <c r="V72" i="1"/>
  <c r="U198" i="1"/>
  <c r="V198" i="1"/>
  <c r="U25" i="1"/>
  <c r="V25" i="1"/>
  <c r="U421" i="1"/>
  <c r="V421" i="1"/>
  <c r="U241" i="1"/>
  <c r="V241" i="1"/>
  <c r="U229" i="1"/>
  <c r="V229" i="1"/>
  <c r="U168" i="1"/>
  <c r="V168" i="1"/>
  <c r="U316" i="1"/>
  <c r="V316" i="1"/>
  <c r="U347" i="1"/>
  <c r="V347" i="1"/>
  <c r="U82" i="1"/>
  <c r="V82" i="1"/>
  <c r="U362" i="1"/>
  <c r="V362" i="1"/>
  <c r="U35" i="1"/>
  <c r="V35" i="1"/>
  <c r="U18" i="1"/>
  <c r="V18" i="1"/>
  <c r="U390" i="1"/>
  <c r="V390" i="1"/>
  <c r="U181" i="1"/>
  <c r="V181" i="1"/>
  <c r="U287" i="1"/>
  <c r="V287" i="1"/>
  <c r="U102" i="1"/>
  <c r="V102" i="1"/>
  <c r="U367" i="1"/>
  <c r="V367" i="1"/>
  <c r="U111" i="1"/>
  <c r="V111" i="1"/>
  <c r="U77" i="1"/>
  <c r="V77" i="1"/>
  <c r="U245" i="1"/>
  <c r="V245" i="1"/>
  <c r="U410" i="1"/>
  <c r="V410" i="1"/>
  <c r="U70" i="1"/>
  <c r="V70" i="1"/>
  <c r="U288" i="1"/>
  <c r="V288" i="1"/>
  <c r="U321" i="1"/>
  <c r="V321" i="1"/>
  <c r="U202" i="1"/>
  <c r="V202" i="1"/>
  <c r="U290" i="1"/>
  <c r="V290" i="1"/>
  <c r="U369" i="1"/>
  <c r="V369" i="1"/>
  <c r="U110" i="1"/>
  <c r="V110" i="1"/>
  <c r="U196" i="1"/>
  <c r="V196" i="1"/>
  <c r="U86" i="1"/>
  <c r="V86" i="1"/>
  <c r="U50" i="1"/>
  <c r="V50" i="1"/>
  <c r="U402" i="1"/>
  <c r="V402" i="1"/>
  <c r="U340" i="1"/>
  <c r="V340" i="1"/>
  <c r="U203" i="1"/>
  <c r="V203" i="1"/>
  <c r="U138" i="1"/>
  <c r="V138" i="1"/>
  <c r="U356" i="1"/>
  <c r="V356" i="1"/>
  <c r="U32" i="1"/>
  <c r="V32" i="1"/>
  <c r="U76" i="1"/>
  <c r="V76" i="1"/>
  <c r="U273" i="1"/>
  <c r="V273" i="1"/>
  <c r="U128" i="1"/>
  <c r="V128" i="1"/>
  <c r="U313" i="1"/>
  <c r="V313" i="1"/>
  <c r="U125" i="1"/>
  <c r="V125" i="1"/>
  <c r="U222" i="1"/>
  <c r="V222" i="1"/>
  <c r="U193" i="1"/>
  <c r="V193" i="1"/>
  <c r="U104" i="1"/>
  <c r="V104" i="1"/>
  <c r="U277" i="1"/>
  <c r="V277" i="1"/>
  <c r="U218" i="1"/>
  <c r="V218" i="1"/>
  <c r="U398" i="1"/>
  <c r="V398" i="1"/>
  <c r="U420" i="1"/>
  <c r="V420" i="1"/>
  <c r="U122" i="1"/>
  <c r="V122" i="1"/>
  <c r="U333" i="1"/>
  <c r="V333" i="1"/>
  <c r="U75" i="1"/>
  <c r="V75" i="1"/>
  <c r="U223" i="1"/>
  <c r="V223" i="1"/>
  <c r="U93" i="1"/>
  <c r="V93" i="1"/>
  <c r="U302" i="1"/>
  <c r="V302" i="1"/>
  <c r="U116" i="1"/>
  <c r="V116" i="1"/>
  <c r="U57" i="1"/>
  <c r="V57" i="1"/>
  <c r="U112" i="1"/>
  <c r="V112" i="1"/>
  <c r="U165" i="1"/>
  <c r="V165" i="1"/>
  <c r="U360" i="1"/>
  <c r="V360" i="1"/>
  <c r="U373" i="1"/>
  <c r="V373" i="1"/>
  <c r="U213" i="1"/>
  <c r="V213" i="1"/>
  <c r="U29" i="1"/>
  <c r="V29" i="1"/>
  <c r="U271" i="1"/>
  <c r="V271" i="1"/>
  <c r="U306" i="1"/>
  <c r="V306" i="1"/>
  <c r="U323" i="1"/>
  <c r="V323" i="1"/>
  <c r="U357" i="1"/>
  <c r="V357" i="1"/>
  <c r="U358" i="1"/>
  <c r="V358" i="1"/>
  <c r="U279" i="1"/>
  <c r="V279" i="1"/>
  <c r="U66" i="1"/>
  <c r="V66" i="1"/>
  <c r="U151" i="1"/>
  <c r="V151" i="1"/>
  <c r="U400" i="1"/>
  <c r="V400" i="1"/>
  <c r="U107" i="1"/>
  <c r="V107" i="1"/>
  <c r="U409" i="1"/>
  <c r="V409" i="1"/>
  <c r="U391" i="1"/>
  <c r="V391" i="1"/>
  <c r="U429" i="1"/>
  <c r="V429" i="1"/>
  <c r="U336" i="1"/>
  <c r="V336" i="1"/>
  <c r="U406" i="1"/>
  <c r="V406" i="1"/>
  <c r="U235" i="1"/>
  <c r="V235" i="1"/>
  <c r="U174" i="1"/>
  <c r="V174" i="1"/>
  <c r="U98" i="1"/>
  <c r="V98" i="1"/>
  <c r="U89" i="1"/>
  <c r="V89" i="1"/>
  <c r="U209" i="1"/>
  <c r="V209" i="1"/>
  <c r="U156" i="1"/>
  <c r="V156" i="1"/>
  <c r="U405" i="1"/>
  <c r="V405" i="1"/>
  <c r="U49" i="1"/>
  <c r="V49" i="1"/>
  <c r="U214" i="1"/>
  <c r="V214" i="1"/>
  <c r="U233" i="1"/>
  <c r="V233" i="1"/>
  <c r="U234" i="1"/>
  <c r="V234" i="1"/>
  <c r="U148" i="1"/>
  <c r="V148" i="1"/>
  <c r="U328" i="1"/>
  <c r="V328" i="1"/>
  <c r="U59" i="1"/>
  <c r="V59" i="1"/>
  <c r="U149" i="1"/>
  <c r="V149" i="1"/>
  <c r="U272" i="1"/>
  <c r="V272" i="1"/>
  <c r="U251" i="1"/>
  <c r="V251" i="1"/>
  <c r="U252" i="1"/>
  <c r="V252" i="1"/>
  <c r="U254" i="1"/>
  <c r="V254" i="1"/>
  <c r="U139" i="1"/>
  <c r="V139" i="1"/>
  <c r="U281" i="1"/>
  <c r="V281" i="1"/>
  <c r="U265" i="1"/>
  <c r="V265" i="1"/>
  <c r="U394" i="1"/>
  <c r="V394" i="1"/>
  <c r="U330" i="1"/>
  <c r="V330" i="1"/>
  <c r="U432" i="1"/>
  <c r="V432" i="1"/>
  <c r="U132" i="1"/>
  <c r="V132" i="1"/>
  <c r="U51" i="1"/>
  <c r="V51" i="1"/>
  <c r="U126" i="1"/>
  <c r="V126" i="1"/>
  <c r="U108" i="1"/>
  <c r="V108" i="1"/>
  <c r="U296" i="1"/>
  <c r="V296" i="1"/>
  <c r="U113" i="1"/>
  <c r="V113" i="1"/>
  <c r="U85" i="1"/>
  <c r="V85" i="1"/>
  <c r="U114" i="1"/>
  <c r="V114" i="1"/>
  <c r="U370" i="1"/>
  <c r="V370" i="1"/>
  <c r="U36" i="1"/>
  <c r="V36" i="1"/>
  <c r="U141" i="1"/>
  <c r="V141" i="1"/>
  <c r="U191" i="1"/>
  <c r="V191" i="1"/>
  <c r="U238" i="1"/>
  <c r="V238" i="1"/>
  <c r="U23" i="1"/>
  <c r="V23" i="1"/>
  <c r="U319" i="1"/>
  <c r="V319" i="1"/>
  <c r="U244" i="1"/>
  <c r="V244" i="1"/>
  <c r="U317" i="1"/>
  <c r="V317" i="1"/>
  <c r="U220" i="1"/>
  <c r="V220" i="1"/>
  <c r="U120" i="1"/>
  <c r="V120" i="1"/>
  <c r="U121" i="1"/>
  <c r="V121" i="1"/>
  <c r="U199" i="1"/>
  <c r="V199" i="1"/>
  <c r="U237" i="1"/>
  <c r="V237" i="1"/>
  <c r="U129" i="1"/>
  <c r="V129" i="1"/>
  <c r="U311" i="1"/>
  <c r="V311" i="1"/>
  <c r="U106" i="1"/>
  <c r="V106" i="1"/>
  <c r="U278" i="1"/>
  <c r="V278" i="1"/>
  <c r="U308" i="1"/>
  <c r="V308" i="1"/>
  <c r="U226" i="1"/>
  <c r="V226" i="1"/>
  <c r="U83" i="1"/>
  <c r="V83" i="1"/>
  <c r="U11" i="1"/>
  <c r="V11" i="1"/>
  <c r="U87" i="1"/>
  <c r="V87" i="1"/>
  <c r="U172" i="1"/>
  <c r="V172" i="1"/>
  <c r="U365" i="1"/>
  <c r="V365" i="1"/>
  <c r="U291" i="1"/>
  <c r="V291" i="1"/>
  <c r="U224" i="1"/>
  <c r="V224" i="1"/>
  <c r="U175" i="1"/>
  <c r="V175" i="1"/>
  <c r="U135" i="1"/>
  <c r="V135" i="1"/>
  <c r="U146" i="1"/>
  <c r="V146" i="1"/>
  <c r="U227" i="1"/>
  <c r="V227" i="1"/>
  <c r="U294" i="1"/>
  <c r="V294" i="1"/>
  <c r="U143" i="1"/>
  <c r="V143" i="1"/>
  <c r="U176" i="1"/>
  <c r="V176" i="1"/>
  <c r="U61" i="1"/>
  <c r="V61" i="1"/>
  <c r="U160" i="1"/>
  <c r="V160" i="1"/>
  <c r="U21" i="1"/>
  <c r="V21" i="1"/>
  <c r="U216" i="1"/>
  <c r="V216" i="1"/>
  <c r="U359" i="1"/>
  <c r="V359" i="1"/>
  <c r="U230" i="1"/>
  <c r="V230" i="1"/>
  <c r="U219" i="1"/>
  <c r="V219" i="1"/>
  <c r="U239" i="1"/>
  <c r="V239" i="1"/>
  <c r="U178" i="1"/>
  <c r="V178" i="1"/>
  <c r="U53" i="1"/>
  <c r="V53" i="1"/>
  <c r="U177" i="1"/>
  <c r="V177" i="1"/>
  <c r="U419" i="1"/>
  <c r="V419" i="1"/>
  <c r="U314" i="1"/>
  <c r="V314" i="1"/>
  <c r="U283" i="1"/>
  <c r="V283" i="1"/>
  <c r="U150" i="1"/>
  <c r="V150" i="1"/>
  <c r="U339" i="1"/>
  <c r="V339" i="1"/>
  <c r="U415" i="1"/>
  <c r="V415" i="1"/>
  <c r="U90" i="1"/>
  <c r="V90" i="1"/>
  <c r="U215" i="1"/>
  <c r="V215" i="1"/>
  <c r="U240" i="1"/>
  <c r="V240" i="1"/>
  <c r="U190" i="1"/>
  <c r="V190" i="1"/>
  <c r="U253" i="1"/>
  <c r="V253" i="1"/>
  <c r="U212" i="1"/>
  <c r="V212" i="1"/>
  <c r="U411" i="1"/>
  <c r="V411" i="1"/>
  <c r="U337" i="1"/>
  <c r="V337" i="1"/>
  <c r="U71" i="1"/>
  <c r="V71" i="1"/>
  <c r="U275" i="1"/>
  <c r="V275" i="1"/>
  <c r="U412" i="1"/>
  <c r="V412" i="1"/>
  <c r="U289" i="1"/>
  <c r="V289" i="1"/>
  <c r="U207" i="1"/>
  <c r="V207" i="1"/>
  <c r="U341" i="1"/>
  <c r="V341" i="1"/>
  <c r="U91" i="1"/>
  <c r="V91" i="1"/>
  <c r="U24" i="1"/>
  <c r="V24" i="1"/>
  <c r="U248" i="1"/>
  <c r="V248" i="1"/>
  <c r="U325" i="1"/>
  <c r="V325" i="1"/>
  <c r="U280" i="1"/>
  <c r="V280" i="1"/>
  <c r="U137" i="1"/>
  <c r="V137" i="1"/>
  <c r="U63" i="1"/>
  <c r="V63" i="1"/>
  <c r="U266" i="1"/>
  <c r="V266" i="1"/>
  <c r="U346" i="1"/>
  <c r="V346" i="1"/>
  <c r="U159" i="1"/>
  <c r="V159" i="1"/>
  <c r="U236" i="1"/>
  <c r="V236" i="1"/>
  <c r="U74" i="1"/>
  <c r="V74" i="1"/>
  <c r="U231" i="1"/>
  <c r="V231" i="1"/>
  <c r="U269" i="1"/>
  <c r="V269" i="1"/>
  <c r="U62" i="1"/>
  <c r="V62" i="1"/>
  <c r="U100" i="1"/>
  <c r="V100" i="1"/>
  <c r="U261" i="1"/>
  <c r="V261" i="1"/>
  <c r="U380" i="1"/>
  <c r="V380" i="1"/>
  <c r="U293" i="1"/>
  <c r="V293" i="1"/>
  <c r="U64" i="1"/>
  <c r="V64" i="1"/>
  <c r="U324" i="1"/>
  <c r="V324" i="1"/>
  <c r="U204" i="1"/>
  <c r="V204" i="1"/>
  <c r="U211" i="1"/>
  <c r="V211" i="1"/>
  <c r="U334" i="1"/>
  <c r="V334" i="1"/>
  <c r="U331" i="1"/>
  <c r="V331" i="1"/>
  <c r="U95" i="1"/>
  <c r="V95" i="1"/>
  <c r="U258" i="1"/>
  <c r="V258" i="1"/>
  <c r="U69" i="1"/>
  <c r="V69" i="1"/>
  <c r="U374" i="1"/>
  <c r="V374" i="1"/>
  <c r="U322" i="1"/>
  <c r="V322" i="1"/>
  <c r="U119" i="1"/>
  <c r="V119" i="1"/>
  <c r="U221" i="1"/>
  <c r="V221" i="1"/>
  <c r="U145" i="1"/>
  <c r="V145" i="1"/>
  <c r="U103" i="1"/>
  <c r="V103" i="1"/>
  <c r="U351" i="1"/>
  <c r="V351" i="1"/>
  <c r="U123" i="1"/>
  <c r="V123" i="1"/>
  <c r="U16" i="1"/>
  <c r="V16" i="1"/>
  <c r="U397" i="1"/>
  <c r="V397" i="1"/>
  <c r="U41" i="1"/>
  <c r="V41" i="1"/>
  <c r="U312" i="1"/>
  <c r="V312" i="1"/>
  <c r="U262" i="1"/>
  <c r="V262" i="1"/>
  <c r="U408" i="1"/>
  <c r="V408" i="1"/>
  <c r="U364" i="1"/>
  <c r="V364" i="1"/>
  <c r="U109" i="1"/>
  <c r="V109" i="1"/>
  <c r="U376" i="1"/>
  <c r="V376" i="1"/>
  <c r="U157" i="1"/>
  <c r="V157" i="1"/>
  <c r="U48" i="1"/>
  <c r="V48" i="1"/>
  <c r="U383" i="1"/>
  <c r="V383" i="1"/>
  <c r="U343" i="1"/>
  <c r="V343" i="1"/>
  <c r="U101" i="1"/>
  <c r="V101" i="1"/>
  <c r="U315" i="1"/>
  <c r="V315" i="1"/>
  <c r="U299" i="1"/>
  <c r="V299" i="1"/>
  <c r="U42" i="1"/>
  <c r="V42" i="1"/>
  <c r="U185" i="1"/>
  <c r="V185" i="1"/>
  <c r="U428" i="1"/>
  <c r="V428" i="1"/>
  <c r="U96" i="1"/>
  <c r="V96" i="1"/>
  <c r="U56" i="1"/>
  <c r="V56" i="1"/>
  <c r="U97" i="1"/>
  <c r="V97" i="1"/>
  <c r="U134" i="1"/>
  <c r="V134" i="1"/>
  <c r="U433" i="1"/>
  <c r="V433" i="1"/>
  <c r="U348" i="1"/>
  <c r="V348" i="1"/>
  <c r="U136" i="1"/>
  <c r="V136" i="1"/>
  <c r="U366" i="1"/>
  <c r="V366" i="1"/>
  <c r="U208" i="1"/>
  <c r="V208" i="1"/>
  <c r="U425" i="1"/>
  <c r="V425" i="1"/>
  <c r="U418" i="1"/>
  <c r="V418" i="1"/>
  <c r="U286" i="1"/>
  <c r="V286" i="1"/>
  <c r="U354" i="1"/>
  <c r="V354" i="1"/>
  <c r="U332" i="1"/>
  <c r="V332" i="1"/>
  <c r="U92" i="1"/>
  <c r="V92" i="1"/>
  <c r="U127" i="1"/>
  <c r="V127" i="1"/>
  <c r="U250" i="1"/>
  <c r="V250" i="1"/>
  <c r="U379" i="1"/>
  <c r="V379" i="1"/>
  <c r="U350" i="1"/>
  <c r="V350" i="1"/>
  <c r="U403" i="1"/>
  <c r="V403" i="1"/>
  <c r="U264" i="1"/>
  <c r="V264" i="1"/>
  <c r="U267" i="1"/>
  <c r="V267" i="1"/>
  <c r="U19" i="1"/>
  <c r="V19" i="1"/>
  <c r="U188" i="1"/>
  <c r="V188" i="1"/>
  <c r="U26" i="1"/>
  <c r="V26" i="1"/>
  <c r="U210" i="1"/>
  <c r="V210" i="1"/>
  <c r="U423" i="1"/>
  <c r="V423" i="1"/>
  <c r="U247" i="1"/>
  <c r="V247" i="1"/>
  <c r="U131" i="1"/>
  <c r="V131" i="1"/>
  <c r="U377" i="1"/>
  <c r="V377" i="1"/>
  <c r="U197" i="1"/>
  <c r="V197" i="1"/>
  <c r="U318" i="1"/>
  <c r="V318" i="1"/>
  <c r="U285" i="1"/>
  <c r="V285" i="1"/>
  <c r="U140" i="1"/>
  <c r="V140" i="1"/>
  <c r="U270" i="1"/>
  <c r="V270" i="1"/>
  <c r="U58" i="1"/>
  <c r="V58" i="1"/>
  <c r="U8" i="1"/>
  <c r="V8" i="1"/>
  <c r="U118" i="1"/>
  <c r="V118" i="1"/>
  <c r="U65" i="1"/>
  <c r="V65" i="1"/>
  <c r="U329" i="1"/>
  <c r="V329" i="1"/>
  <c r="U424" i="1"/>
  <c r="V424" i="1"/>
  <c r="U401" i="1"/>
  <c r="V401" i="1"/>
  <c r="U201" i="1"/>
  <c r="V201" i="1"/>
  <c r="U60" i="1"/>
  <c r="V60" i="1"/>
  <c r="U20" i="1"/>
  <c r="V20" i="1"/>
  <c r="U309" i="1"/>
  <c r="V309" i="1"/>
  <c r="U33" i="1"/>
  <c r="V33" i="1"/>
  <c r="U54" i="1"/>
  <c r="V54" i="1"/>
  <c r="U183" i="1"/>
  <c r="V183" i="1"/>
  <c r="U31" i="1"/>
  <c r="V31" i="1"/>
  <c r="U353" i="1"/>
  <c r="V353" i="1"/>
  <c r="U17" i="1"/>
  <c r="V17" i="1"/>
  <c r="U80" i="1"/>
  <c r="V80" i="1"/>
  <c r="U393" i="1"/>
  <c r="V393" i="1"/>
  <c r="U5" i="1"/>
  <c r="V5" i="1"/>
  <c r="U124" i="1"/>
  <c r="V124" i="1"/>
  <c r="U363" i="1"/>
  <c r="V363" i="1"/>
  <c r="U14" i="1"/>
  <c r="V14" i="1"/>
  <c r="U182" i="1"/>
  <c r="V182" i="1"/>
  <c r="U232" i="1"/>
  <c r="V232" i="1"/>
  <c r="U385" i="1"/>
  <c r="V385" i="1"/>
  <c r="U352" i="1"/>
  <c r="V352" i="1"/>
  <c r="U407" i="1"/>
  <c r="V407" i="1"/>
  <c r="U438" i="1"/>
  <c r="V438" i="1"/>
  <c r="U307" i="1"/>
  <c r="V307" i="1"/>
  <c r="U38" i="1"/>
  <c r="V38" i="1"/>
  <c r="U378" i="1"/>
  <c r="V378" i="1"/>
  <c r="U384" i="1"/>
  <c r="V384" i="1"/>
  <c r="U44" i="1"/>
  <c r="V44" i="1"/>
  <c r="U37" i="1"/>
  <c r="V37" i="1"/>
  <c r="U437" i="1"/>
  <c r="V437" i="1"/>
  <c r="U28" i="1"/>
  <c r="V28" i="1"/>
  <c r="U6" i="1"/>
  <c r="V6" i="1"/>
  <c r="U416" i="1"/>
  <c r="V416" i="1"/>
  <c r="U345" i="1"/>
  <c r="V345" i="1"/>
  <c r="U342" i="1"/>
  <c r="V342" i="1"/>
  <c r="U335" i="1"/>
  <c r="V335" i="1"/>
  <c r="U375" i="1"/>
  <c r="V375" i="1"/>
  <c r="U47" i="1"/>
  <c r="V47" i="1"/>
  <c r="U55" i="1"/>
  <c r="V55" i="1"/>
  <c r="U436" i="1"/>
  <c r="V436" i="1"/>
  <c r="U10" i="1"/>
  <c r="V10" i="1"/>
  <c r="U431" i="1"/>
  <c r="V431" i="1"/>
  <c r="U442" i="1"/>
  <c r="V442" i="1"/>
  <c r="U4" i="1"/>
  <c r="V4" i="1"/>
  <c r="U46" i="1"/>
  <c r="V46" i="1"/>
  <c r="U169" i="1"/>
  <c r="V169" i="1"/>
  <c r="U249" i="1"/>
  <c r="V249" i="1"/>
  <c r="U153" i="1"/>
  <c r="V153" i="1"/>
  <c r="U117" i="1"/>
  <c r="V117" i="1"/>
  <c r="U79" i="1"/>
  <c r="V79" i="1"/>
  <c r="U371" i="1"/>
  <c r="V371" i="1"/>
  <c r="U158" i="1"/>
  <c r="V158" i="1"/>
  <c r="U396" i="1"/>
  <c r="V396" i="1"/>
  <c r="U338" i="1"/>
  <c r="V338" i="1"/>
  <c r="U263" i="1"/>
  <c r="V263" i="1"/>
  <c r="U435" i="1"/>
  <c r="V435" i="1"/>
  <c r="U392" i="1"/>
  <c r="V392" i="1"/>
  <c r="U45" i="1"/>
  <c r="V45" i="1"/>
  <c r="U372" i="1"/>
  <c r="V372" i="1"/>
  <c r="U440" i="1"/>
  <c r="V440" i="1"/>
  <c r="U3" i="1"/>
  <c r="V3" i="1"/>
  <c r="U395" i="1"/>
  <c r="V395" i="1"/>
  <c r="T75" i="3"/>
  <c r="U75" i="3"/>
  <c r="T21" i="3"/>
  <c r="U21" i="3"/>
  <c r="T45" i="3"/>
  <c r="U45" i="3"/>
  <c r="T49" i="3"/>
  <c r="U49" i="3"/>
  <c r="T30" i="3"/>
  <c r="U30" i="3"/>
  <c r="T17" i="3"/>
  <c r="U17" i="3"/>
  <c r="T132" i="3"/>
  <c r="AD17" i="3"/>
  <c r="G17" i="3"/>
  <c r="J58" i="2"/>
  <c r="K58" i="2"/>
  <c r="J57" i="2"/>
  <c r="K57" i="2"/>
  <c r="G58" i="2"/>
  <c r="G57" i="2"/>
  <c r="Y169" i="1"/>
  <c r="Y249" i="1"/>
  <c r="Y153" i="1"/>
  <c r="Y117" i="1"/>
  <c r="Y79" i="1"/>
  <c r="Y371" i="1"/>
  <c r="Y158" i="1"/>
  <c r="Y396" i="1"/>
  <c r="Y338" i="1"/>
  <c r="Y263" i="1"/>
  <c r="Y46" i="1"/>
  <c r="J169" i="1"/>
  <c r="K169" i="1"/>
  <c r="J249" i="1"/>
  <c r="K249" i="1"/>
  <c r="J153" i="1"/>
  <c r="K153" i="1"/>
  <c r="J117" i="1"/>
  <c r="K117" i="1"/>
  <c r="J79" i="1"/>
  <c r="K79" i="1"/>
  <c r="J371" i="1"/>
  <c r="K371" i="1"/>
  <c r="J158" i="1"/>
  <c r="K158" i="1"/>
  <c r="J396" i="1"/>
  <c r="K396" i="1"/>
  <c r="J338" i="1"/>
  <c r="K338" i="1"/>
  <c r="J263" i="1"/>
  <c r="K263" i="1"/>
  <c r="J46" i="1"/>
  <c r="K46" i="1"/>
  <c r="D2" i="5"/>
  <c r="AK40" i="7"/>
  <c r="AK30" i="7"/>
  <c r="AK31" i="7"/>
  <c r="AK32" i="7"/>
  <c r="AK24" i="7"/>
  <c r="AK25" i="7"/>
  <c r="AJ23" i="7"/>
  <c r="AK19" i="7"/>
  <c r="AK12" i="7"/>
  <c r="AK5" i="7"/>
  <c r="U123" i="2"/>
  <c r="U131" i="2"/>
  <c r="U126" i="2"/>
  <c r="U161" i="2"/>
  <c r="U26" i="2"/>
  <c r="U154" i="2"/>
  <c r="U158" i="2"/>
  <c r="U16" i="2"/>
  <c r="U150" i="2"/>
  <c r="U35" i="2"/>
  <c r="U135" i="2"/>
  <c r="U25" i="2"/>
  <c r="U141" i="2"/>
  <c r="U113" i="2"/>
  <c r="U89" i="2"/>
  <c r="U4" i="2"/>
  <c r="U147" i="2"/>
  <c r="U65" i="2"/>
  <c r="U73" i="2"/>
  <c r="U138" i="2"/>
  <c r="U148" i="2"/>
  <c r="U142" i="2"/>
  <c r="U120" i="2"/>
  <c r="U129" i="2"/>
  <c r="U128" i="2"/>
  <c r="U145" i="2"/>
  <c r="U81" i="2"/>
  <c r="U118" i="2"/>
  <c r="U64" i="2"/>
  <c r="U153" i="2"/>
  <c r="U112" i="2"/>
  <c r="U137" i="2"/>
  <c r="U77" i="2"/>
  <c r="U6" i="2"/>
  <c r="U33" i="2"/>
  <c r="U130" i="2"/>
  <c r="U125" i="2"/>
  <c r="U56" i="2"/>
  <c r="U5" i="2"/>
  <c r="U101" i="2"/>
  <c r="U96" i="2"/>
  <c r="U29" i="2"/>
  <c r="U99" i="2"/>
  <c r="U117" i="2"/>
  <c r="U140" i="2"/>
  <c r="U80" i="2"/>
  <c r="U83" i="2"/>
  <c r="U85" i="2"/>
  <c r="U61" i="2"/>
  <c r="U68" i="2"/>
  <c r="U134" i="2"/>
  <c r="U157" i="2"/>
  <c r="U115" i="2"/>
  <c r="U27" i="2"/>
  <c r="U82" i="2"/>
  <c r="U32" i="2"/>
  <c r="U53" i="2"/>
  <c r="U149" i="2"/>
  <c r="U36" i="2"/>
  <c r="U63" i="2"/>
  <c r="U139" i="2"/>
  <c r="U76" i="2"/>
  <c r="U7" i="2"/>
  <c r="U133" i="2"/>
  <c r="U14" i="2"/>
  <c r="U74" i="2"/>
  <c r="U12" i="2"/>
  <c r="U13" i="2"/>
  <c r="U75" i="2"/>
  <c r="U62" i="2"/>
  <c r="U70" i="2"/>
  <c r="U111" i="2"/>
  <c r="U79" i="2"/>
  <c r="U72" i="2"/>
  <c r="U19" i="2"/>
  <c r="U86" i="2"/>
  <c r="U15" i="2"/>
  <c r="U41" i="2"/>
  <c r="U42" i="2"/>
  <c r="U43" i="2"/>
  <c r="U44" i="2"/>
  <c r="U122" i="2"/>
  <c r="U84" i="2"/>
  <c r="U119" i="2"/>
  <c r="U102" i="2"/>
  <c r="U91" i="2"/>
  <c r="U97" i="2"/>
  <c r="U40" i="2"/>
  <c r="U146" i="2"/>
  <c r="U59" i="2"/>
  <c r="U93" i="2"/>
  <c r="U34" i="2"/>
  <c r="U18" i="2"/>
  <c r="U24" i="2"/>
  <c r="U38" i="2"/>
  <c r="U110" i="2"/>
  <c r="U55" i="2"/>
  <c r="U136" i="2"/>
  <c r="U78" i="2"/>
  <c r="U28" i="2"/>
  <c r="U114" i="2"/>
  <c r="U121" i="2"/>
  <c r="U39" i="2"/>
  <c r="U107" i="2"/>
  <c r="U30" i="2"/>
  <c r="U104" i="2"/>
  <c r="U108" i="2"/>
  <c r="U144" i="2"/>
  <c r="U69" i="2"/>
  <c r="U109" i="2"/>
  <c r="U21" i="2"/>
  <c r="U94" i="2"/>
  <c r="U87" i="2"/>
  <c r="U106" i="2"/>
  <c r="U31" i="2"/>
  <c r="U67" i="2"/>
  <c r="U103" i="2"/>
  <c r="U88" i="2"/>
  <c r="U151" i="2"/>
  <c r="U22" i="2"/>
  <c r="U124" i="2"/>
  <c r="U160" i="2"/>
  <c r="U37" i="2"/>
  <c r="U156" i="2"/>
  <c r="U100" i="2"/>
  <c r="U159" i="2"/>
  <c r="U95" i="2"/>
  <c r="U152" i="2"/>
  <c r="U8" i="2"/>
  <c r="U92" i="2"/>
  <c r="U71" i="2"/>
  <c r="U60" i="2"/>
  <c r="U10" i="2"/>
  <c r="U132" i="2"/>
  <c r="U90" i="2"/>
  <c r="U155" i="2"/>
  <c r="U143" i="2"/>
  <c r="U11" i="2"/>
  <c r="U17" i="2"/>
  <c r="U98" i="2"/>
  <c r="U3" i="2"/>
  <c r="U127" i="2"/>
  <c r="U9" i="2"/>
  <c r="U23" i="2"/>
  <c r="U20" i="2"/>
  <c r="T158" i="2"/>
  <c r="T16" i="2"/>
  <c r="T150" i="2"/>
  <c r="T35" i="2"/>
  <c r="T135" i="2"/>
  <c r="T25" i="2"/>
  <c r="T141" i="2"/>
  <c r="T113" i="2"/>
  <c r="T89" i="2"/>
  <c r="T4" i="2"/>
  <c r="T147" i="2"/>
  <c r="T65" i="2"/>
  <c r="T73" i="2"/>
  <c r="T138" i="2"/>
  <c r="T148" i="2"/>
  <c r="T142" i="2"/>
  <c r="T120" i="2"/>
  <c r="T129" i="2"/>
  <c r="T128" i="2"/>
  <c r="T145" i="2"/>
  <c r="T81" i="2"/>
  <c r="T118" i="2"/>
  <c r="T64" i="2"/>
  <c r="T153" i="2"/>
  <c r="T112" i="2"/>
  <c r="T137" i="2"/>
  <c r="T77" i="2"/>
  <c r="T6" i="2"/>
  <c r="T33" i="2"/>
  <c r="T130" i="2"/>
  <c r="T125" i="2"/>
  <c r="T56" i="2"/>
  <c r="T5" i="2"/>
  <c r="T101" i="2"/>
  <c r="T96" i="2"/>
  <c r="T29" i="2"/>
  <c r="T99" i="2"/>
  <c r="T117" i="2"/>
  <c r="T140" i="2"/>
  <c r="T80" i="2"/>
  <c r="T83" i="2"/>
  <c r="T85" i="2"/>
  <c r="T61" i="2"/>
  <c r="T68" i="2"/>
  <c r="T134" i="2"/>
  <c r="T157" i="2"/>
  <c r="T115" i="2"/>
  <c r="T27" i="2"/>
  <c r="T82" i="2"/>
  <c r="T32" i="2"/>
  <c r="T53" i="2"/>
  <c r="T149" i="2"/>
  <c r="T36" i="2"/>
  <c r="T63" i="2"/>
  <c r="T139" i="2"/>
  <c r="T76" i="2"/>
  <c r="T7" i="2"/>
  <c r="T133" i="2"/>
  <c r="T14" i="2"/>
  <c r="T74" i="2"/>
  <c r="T12" i="2"/>
  <c r="T13" i="2"/>
  <c r="T75" i="2"/>
  <c r="T62" i="2"/>
  <c r="T70" i="2"/>
  <c r="T111" i="2"/>
  <c r="T79" i="2"/>
  <c r="T72" i="2"/>
  <c r="T19" i="2"/>
  <c r="T86" i="2"/>
  <c r="T15" i="2"/>
  <c r="T41" i="2"/>
  <c r="T42" i="2"/>
  <c r="T43" i="2"/>
  <c r="T44" i="2"/>
  <c r="T122" i="2"/>
  <c r="T84" i="2"/>
  <c r="T119" i="2"/>
  <c r="T102" i="2"/>
  <c r="T91" i="2"/>
  <c r="T97" i="2"/>
  <c r="T40" i="2"/>
  <c r="T146" i="2"/>
  <c r="T59" i="2"/>
  <c r="T93" i="2"/>
  <c r="T34" i="2"/>
  <c r="T18" i="2"/>
  <c r="T24" i="2"/>
  <c r="T38" i="2"/>
  <c r="T110" i="2"/>
  <c r="T55" i="2"/>
  <c r="T136" i="2"/>
  <c r="T78" i="2"/>
  <c r="T28" i="2"/>
  <c r="T114" i="2"/>
  <c r="T121" i="2"/>
  <c r="T39" i="2"/>
  <c r="T107" i="2"/>
  <c r="T30" i="2"/>
  <c r="T104" i="2"/>
  <c r="T108" i="2"/>
  <c r="T144" i="2"/>
  <c r="T69" i="2"/>
  <c r="T109" i="2"/>
  <c r="T21" i="2"/>
  <c r="T94" i="2"/>
  <c r="T87" i="2"/>
  <c r="T106" i="2"/>
  <c r="T31" i="2"/>
  <c r="T67" i="2"/>
  <c r="T103" i="2"/>
  <c r="T88" i="2"/>
  <c r="T151" i="2"/>
  <c r="T22" i="2"/>
  <c r="T124" i="2"/>
  <c r="T160" i="2"/>
  <c r="T37" i="2"/>
  <c r="T156" i="2"/>
  <c r="T100" i="2"/>
  <c r="T159" i="2"/>
  <c r="T95" i="2"/>
  <c r="T152" i="2"/>
  <c r="T8" i="2"/>
  <c r="T92" i="2"/>
  <c r="T71" i="2"/>
  <c r="T60" i="2"/>
  <c r="T10" i="2"/>
  <c r="T132" i="2"/>
  <c r="T90" i="2"/>
  <c r="T155" i="2"/>
  <c r="T143" i="2"/>
  <c r="T11" i="2"/>
  <c r="T17" i="2"/>
  <c r="T98" i="2"/>
  <c r="T3" i="2"/>
  <c r="T127" i="2"/>
  <c r="T9" i="2"/>
  <c r="T23" i="2"/>
  <c r="T123" i="2"/>
  <c r="T131" i="2"/>
  <c r="T126" i="2"/>
  <c r="T161" i="2"/>
  <c r="T26" i="2"/>
  <c r="T154" i="2"/>
  <c r="T20" i="2"/>
  <c r="AD21" i="3"/>
  <c r="AD45" i="3"/>
  <c r="AD49" i="3"/>
  <c r="AD30" i="3"/>
  <c r="AD47" i="3"/>
  <c r="T47" i="3"/>
  <c r="U47" i="3"/>
  <c r="G47" i="3"/>
  <c r="G21" i="3"/>
  <c r="G45" i="3"/>
  <c r="G49" i="3"/>
  <c r="G30" i="3"/>
  <c r="AC23" i="2"/>
  <c r="AC9" i="2"/>
  <c r="J23" i="2"/>
  <c r="K23" i="2"/>
  <c r="J9" i="2"/>
  <c r="K9" i="2"/>
  <c r="G9" i="2"/>
  <c r="G23" i="2"/>
  <c r="Y277" i="1"/>
  <c r="Y94" i="1"/>
  <c r="Y435" i="1"/>
  <c r="Y440" i="1"/>
  <c r="Y287" i="1"/>
  <c r="Y111" i="1"/>
  <c r="Y15" i="1"/>
  <c r="Y130" i="1"/>
  <c r="Y34" i="1"/>
  <c r="Y392" i="1"/>
  <c r="Y245" i="1"/>
  <c r="Y40" i="1"/>
  <c r="Y52" i="1"/>
  <c r="Y32" i="1"/>
  <c r="Y115" i="1"/>
  <c r="Y155" i="1"/>
  <c r="Y9" i="1"/>
  <c r="Y298" i="1"/>
  <c r="Y70" i="1"/>
  <c r="Y50" i="1"/>
  <c r="Y77" i="1"/>
  <c r="Y193" i="1"/>
  <c r="Y99" i="1"/>
  <c r="Y125" i="1"/>
  <c r="Y104" i="1"/>
  <c r="J435" i="1"/>
  <c r="K435" i="1"/>
  <c r="J440" i="1"/>
  <c r="K440" i="1"/>
  <c r="J287" i="1"/>
  <c r="K287" i="1"/>
  <c r="J111" i="1"/>
  <c r="K111" i="1"/>
  <c r="J15" i="1"/>
  <c r="K15" i="1"/>
  <c r="J130" i="1"/>
  <c r="K130" i="1"/>
  <c r="J34" i="1"/>
  <c r="K34" i="1"/>
  <c r="J392" i="1"/>
  <c r="K392" i="1"/>
  <c r="J245" i="1"/>
  <c r="K245" i="1"/>
  <c r="J40" i="1"/>
  <c r="K40" i="1"/>
  <c r="J52" i="1"/>
  <c r="K52" i="1"/>
  <c r="J32" i="1"/>
  <c r="K32" i="1"/>
  <c r="J115" i="1"/>
  <c r="K115" i="1"/>
  <c r="J155" i="1"/>
  <c r="K155" i="1"/>
  <c r="J9" i="1"/>
  <c r="K9" i="1"/>
  <c r="J298" i="1"/>
  <c r="K298" i="1"/>
  <c r="J70" i="1"/>
  <c r="K70" i="1"/>
  <c r="J50" i="1"/>
  <c r="K50" i="1"/>
  <c r="J77" i="1"/>
  <c r="K77" i="1"/>
  <c r="J193" i="1"/>
  <c r="K193" i="1"/>
  <c r="J99" i="1"/>
  <c r="K99" i="1"/>
  <c r="J125" i="1"/>
  <c r="K125" i="1"/>
  <c r="J104" i="1"/>
  <c r="K104" i="1"/>
  <c r="J277" i="1"/>
  <c r="K277" i="1"/>
  <c r="G94" i="1"/>
  <c r="G435" i="1"/>
  <c r="G440" i="1"/>
  <c r="G287" i="1"/>
  <c r="G111" i="1"/>
  <c r="G15" i="1"/>
  <c r="G130" i="1"/>
  <c r="G34" i="1"/>
  <c r="G392" i="1"/>
  <c r="G245" i="1"/>
  <c r="G40" i="1"/>
  <c r="G52" i="1"/>
  <c r="G32" i="1"/>
  <c r="G115" i="1"/>
  <c r="G155" i="1"/>
  <c r="G9" i="1"/>
  <c r="G298" i="1"/>
  <c r="G70" i="1"/>
  <c r="G50" i="1"/>
  <c r="G77" i="1"/>
  <c r="G193" i="1"/>
  <c r="G99" i="1"/>
  <c r="G125" i="1"/>
  <c r="G104" i="1"/>
  <c r="G277" i="1"/>
  <c r="J94" i="1"/>
  <c r="K94" i="1"/>
  <c r="Y394" i="1"/>
  <c r="Y393" i="1"/>
  <c r="AJ38" i="7"/>
  <c r="AJ40" i="7" s="1"/>
  <c r="AJ17" i="7"/>
  <c r="AJ19" i="7" s="1"/>
  <c r="AJ10" i="7"/>
  <c r="AJ12" i="7" s="1"/>
  <c r="AJ3" i="7"/>
  <c r="D211" i="5"/>
  <c r="Y299" i="1"/>
  <c r="Y63" i="1"/>
  <c r="K123" i="2"/>
  <c r="K131" i="2"/>
  <c r="K126" i="2"/>
  <c r="K161" i="2"/>
  <c r="K26" i="2"/>
  <c r="K154" i="2"/>
  <c r="K158" i="2"/>
  <c r="K16" i="2"/>
  <c r="K150" i="2"/>
  <c r="K35" i="2"/>
  <c r="K135" i="2"/>
  <c r="K25" i="2"/>
  <c r="K141" i="2"/>
  <c r="K113" i="2"/>
  <c r="K89" i="2"/>
  <c r="K4" i="2"/>
  <c r="K147" i="2"/>
  <c r="K65" i="2"/>
  <c r="K73" i="2"/>
  <c r="K138" i="2"/>
  <c r="K148" i="2"/>
  <c r="K142" i="2"/>
  <c r="K120" i="2"/>
  <c r="K129" i="2"/>
  <c r="K128" i="2"/>
  <c r="K145" i="2"/>
  <c r="K81" i="2"/>
  <c r="K118" i="2"/>
  <c r="K64" i="2"/>
  <c r="K153" i="2"/>
  <c r="K112" i="2"/>
  <c r="K137" i="2"/>
  <c r="K77" i="2"/>
  <c r="K6" i="2"/>
  <c r="K33" i="2"/>
  <c r="K130" i="2"/>
  <c r="K125" i="2"/>
  <c r="K56" i="2"/>
  <c r="K5" i="2"/>
  <c r="K101" i="2"/>
  <c r="K96" i="2"/>
  <c r="K29" i="2"/>
  <c r="K99" i="2"/>
  <c r="K117" i="2"/>
  <c r="K140" i="2"/>
  <c r="K80" i="2"/>
  <c r="K83" i="2"/>
  <c r="K85" i="2"/>
  <c r="K61" i="2"/>
  <c r="K68" i="2"/>
  <c r="K134" i="2"/>
  <c r="K157" i="2"/>
  <c r="K115" i="2"/>
  <c r="K27" i="2"/>
  <c r="K82" i="2"/>
  <c r="K32" i="2"/>
  <c r="K53" i="2"/>
  <c r="K149" i="2"/>
  <c r="K36" i="2"/>
  <c r="K63" i="2"/>
  <c r="K139" i="2"/>
  <c r="K76" i="2"/>
  <c r="K7" i="2"/>
  <c r="K133" i="2"/>
  <c r="K14" i="2"/>
  <c r="K74" i="2"/>
  <c r="K12" i="2"/>
  <c r="K13" i="2"/>
  <c r="K75" i="2"/>
  <c r="K62" i="2"/>
  <c r="K70" i="2"/>
  <c r="K111" i="2"/>
  <c r="K79" i="2"/>
  <c r="K72" i="2"/>
  <c r="K19" i="2"/>
  <c r="K86" i="2"/>
  <c r="K15" i="2"/>
  <c r="K41" i="2"/>
  <c r="K42" i="2"/>
  <c r="K43" i="2"/>
  <c r="K44" i="2"/>
  <c r="K122" i="2"/>
  <c r="K84" i="2"/>
  <c r="K119" i="2"/>
  <c r="K102" i="2"/>
  <c r="K91" i="2"/>
  <c r="K97" i="2"/>
  <c r="K40" i="2"/>
  <c r="K146" i="2"/>
  <c r="K59" i="2"/>
  <c r="K93" i="2"/>
  <c r="K34" i="2"/>
  <c r="K18" i="2"/>
  <c r="K24" i="2"/>
  <c r="K38" i="2"/>
  <c r="K110" i="2"/>
  <c r="K55" i="2"/>
  <c r="K136" i="2"/>
  <c r="K78" i="2"/>
  <c r="K28" i="2"/>
  <c r="K114" i="2"/>
  <c r="K121" i="2"/>
  <c r="K39" i="2"/>
  <c r="K107" i="2"/>
  <c r="K30" i="2"/>
  <c r="K104" i="2"/>
  <c r="K108" i="2"/>
  <c r="K144" i="2"/>
  <c r="K69" i="2"/>
  <c r="K109" i="2"/>
  <c r="K21" i="2"/>
  <c r="K94" i="2"/>
  <c r="K87" i="2"/>
  <c r="K106" i="2"/>
  <c r="K31" i="2"/>
  <c r="K67" i="2"/>
  <c r="K103" i="2"/>
  <c r="K88" i="2"/>
  <c r="K151" i="2"/>
  <c r="K22" i="2"/>
  <c r="K124" i="2"/>
  <c r="K160" i="2"/>
  <c r="K37" i="2"/>
  <c r="K156" i="2"/>
  <c r="K100" i="2"/>
  <c r="K159" i="2"/>
  <c r="K95" i="2"/>
  <c r="K152" i="2"/>
  <c r="K8" i="2"/>
  <c r="K92" i="2"/>
  <c r="K71" i="2"/>
  <c r="K60" i="2"/>
  <c r="K10" i="2"/>
  <c r="K132" i="2"/>
  <c r="K90" i="2"/>
  <c r="K155" i="2"/>
  <c r="K143" i="2"/>
  <c r="K11" i="2"/>
  <c r="K17" i="2"/>
  <c r="K98" i="2"/>
  <c r="K3" i="2"/>
  <c r="K127" i="2"/>
  <c r="K20" i="2"/>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62" i="5"/>
  <c r="H148" i="5"/>
  <c r="H149" i="5"/>
  <c r="H150" i="5"/>
  <c r="H151" i="5"/>
  <c r="H152" i="5"/>
  <c r="H153" i="5"/>
  <c r="H154" i="5"/>
  <c r="H155" i="5"/>
  <c r="H156" i="5"/>
  <c r="H157" i="5"/>
  <c r="H158" i="5"/>
  <c r="H159" i="5"/>
  <c r="H160" i="5"/>
  <c r="H161"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J558" i="5" s="1"/>
  <c r="H559" i="5"/>
  <c r="I559" i="5" s="1"/>
  <c r="H560" i="5"/>
  <c r="J560" i="5" s="1"/>
  <c r="H561" i="5"/>
  <c r="J561" i="5" s="1"/>
  <c r="H562" i="5"/>
  <c r="I562" i="5" s="1"/>
  <c r="H563" i="5"/>
  <c r="I563" i="5" s="1"/>
  <c r="H564" i="5"/>
  <c r="I564" i="5" s="1"/>
  <c r="H565" i="5"/>
  <c r="I565" i="5" s="1"/>
  <c r="H566" i="5"/>
  <c r="J566" i="5" s="1"/>
  <c r="H567" i="5"/>
  <c r="I567" i="5" s="1"/>
  <c r="H568" i="5"/>
  <c r="J568" i="5" s="1"/>
  <c r="H569" i="5"/>
  <c r="I569" i="5" s="1"/>
  <c r="H570" i="5"/>
  <c r="I570" i="5" s="1"/>
  <c r="H571" i="5"/>
  <c r="I571" i="5" s="1"/>
  <c r="H572" i="5"/>
  <c r="H573" i="5"/>
  <c r="I573" i="5" s="1"/>
  <c r="H574" i="5"/>
  <c r="J574" i="5" s="1"/>
  <c r="H575" i="5"/>
  <c r="I575" i="5" s="1"/>
  <c r="H576" i="5"/>
  <c r="J576" i="5" s="1"/>
  <c r="H577" i="5"/>
  <c r="J577" i="5" s="1"/>
  <c r="H578" i="5"/>
  <c r="I578" i="5" s="1"/>
  <c r="H579" i="5"/>
  <c r="J579" i="5" s="1"/>
  <c r="H580" i="5"/>
  <c r="H581" i="5"/>
  <c r="I581" i="5" s="1"/>
  <c r="H582" i="5"/>
  <c r="I582" i="5" s="1"/>
  <c r="H583" i="5"/>
  <c r="I583" i="5" s="1"/>
  <c r="H584" i="5"/>
  <c r="J584" i="5" s="1"/>
  <c r="H585" i="5"/>
  <c r="I585" i="5" s="1"/>
  <c r="H586" i="5"/>
  <c r="I586" i="5" s="1"/>
  <c r="H587" i="5"/>
  <c r="J587" i="5" s="1"/>
  <c r="H588" i="5"/>
  <c r="I588" i="5" s="1"/>
  <c r="H589" i="5"/>
  <c r="I589" i="5" s="1"/>
  <c r="H590" i="5"/>
  <c r="I590" i="5" s="1"/>
  <c r="H591" i="5"/>
  <c r="I591" i="5" s="1"/>
  <c r="H592" i="5"/>
  <c r="J592" i="5" s="1"/>
  <c r="H593" i="5"/>
  <c r="J593" i="5" s="1"/>
  <c r="H594" i="5"/>
  <c r="I594" i="5" s="1"/>
  <c r="H595" i="5"/>
  <c r="I595" i="5" s="1"/>
  <c r="H596" i="5"/>
  <c r="I596" i="5" s="1"/>
  <c r="H597" i="5"/>
  <c r="I597" i="5" s="1"/>
  <c r="H598" i="5"/>
  <c r="I598" i="5" s="1"/>
  <c r="H599" i="5"/>
  <c r="I599" i="5" s="1"/>
  <c r="H600" i="5"/>
  <c r="J600" i="5" s="1"/>
  <c r="H601" i="5"/>
  <c r="I601" i="5" s="1"/>
  <c r="H602" i="5"/>
  <c r="I602" i="5" s="1"/>
  <c r="H603" i="5"/>
  <c r="J603" i="5" s="1"/>
  <c r="H604" i="5"/>
  <c r="I604" i="5" s="1"/>
  <c r="H605" i="5"/>
  <c r="I605" i="5" s="1"/>
  <c r="H606" i="5"/>
  <c r="I606" i="5" s="1"/>
  <c r="H607" i="5"/>
  <c r="I607" i="5" s="1"/>
  <c r="H608" i="5"/>
  <c r="J608" i="5" s="1"/>
  <c r="H609" i="5"/>
  <c r="J609" i="5" s="1"/>
  <c r="H610" i="5"/>
  <c r="I610" i="5" s="1"/>
  <c r="H611" i="5"/>
  <c r="I611" i="5" s="1"/>
  <c r="H612" i="5"/>
  <c r="I612" i="5" s="1"/>
  <c r="H613" i="5"/>
  <c r="I613" i="5" s="1"/>
  <c r="H614" i="5"/>
  <c r="I614" i="5" s="1"/>
  <c r="H615" i="5"/>
  <c r="H616" i="5"/>
  <c r="J616" i="5" s="1"/>
  <c r="H617" i="5"/>
  <c r="I617" i="5" s="1"/>
  <c r="H618" i="5"/>
  <c r="I618" i="5" s="1"/>
  <c r="H619" i="5"/>
  <c r="I619" i="5" s="1"/>
  <c r="H620" i="5"/>
  <c r="I620" i="5" s="1"/>
  <c r="H621" i="5"/>
  <c r="I621" i="5" s="1"/>
  <c r="H622" i="5"/>
  <c r="J622" i="5" s="1"/>
  <c r="H623" i="5"/>
  <c r="H624" i="5"/>
  <c r="J624" i="5" s="1"/>
  <c r="H625" i="5"/>
  <c r="J625" i="5" s="1"/>
  <c r="H626" i="5"/>
  <c r="I626" i="5" s="1"/>
  <c r="H627" i="5"/>
  <c r="I627" i="5" s="1"/>
  <c r="H628" i="5"/>
  <c r="I628" i="5" s="1"/>
  <c r="H629" i="5"/>
  <c r="I629" i="5" s="1"/>
  <c r="H630" i="5"/>
  <c r="J630" i="5" s="1"/>
  <c r="H631" i="5"/>
  <c r="I631" i="5" s="1"/>
  <c r="H632" i="5"/>
  <c r="J632" i="5" s="1"/>
  <c r="H633" i="5"/>
  <c r="J633" i="5" s="1"/>
  <c r="H634" i="5"/>
  <c r="I634" i="5" s="1"/>
  <c r="H635" i="5"/>
  <c r="I635" i="5" s="1"/>
  <c r="H636" i="5"/>
  <c r="I636" i="5" s="1"/>
  <c r="H637" i="5"/>
  <c r="I637" i="5" s="1"/>
  <c r="H638" i="5"/>
  <c r="J638" i="5" s="1"/>
  <c r="H639" i="5"/>
  <c r="I639" i="5" s="1"/>
  <c r="H640" i="5"/>
  <c r="J640" i="5" s="1"/>
  <c r="H2" i="5"/>
  <c r="I572" i="5"/>
  <c r="I580" i="5"/>
  <c r="J606" i="5"/>
  <c r="I615" i="5"/>
  <c r="I623"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557" i="5"/>
  <c r="D48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62" i="5"/>
  <c r="D148" i="5"/>
  <c r="D149" i="5"/>
  <c r="D150" i="5"/>
  <c r="D151" i="5"/>
  <c r="D152" i="5"/>
  <c r="D153" i="5"/>
  <c r="D154" i="5"/>
  <c r="D155" i="5"/>
  <c r="D156" i="5"/>
  <c r="D157" i="5"/>
  <c r="D158" i="5"/>
  <c r="D159" i="5"/>
  <c r="D160" i="5"/>
  <c r="D161"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AJ30" i="7"/>
  <c r="AJ32" i="7"/>
  <c r="AJ24" i="7"/>
  <c r="AJ25" i="7"/>
  <c r="AC41" i="2"/>
  <c r="AC42" i="2"/>
  <c r="AC43" i="2"/>
  <c r="AC44" i="2"/>
  <c r="Y350" i="1"/>
  <c r="Y100" i="1"/>
  <c r="Y107" i="1"/>
  <c r="Y42" i="1"/>
  <c r="Y387" i="1"/>
  <c r="Y252" i="1"/>
  <c r="Y97" i="1"/>
  <c r="Y82" i="1"/>
  <c r="Y164" i="1"/>
  <c r="Y62" i="1"/>
  <c r="Y30" i="1"/>
  <c r="Y205" i="1"/>
  <c r="Y310" i="1"/>
  <c r="Y27" i="1"/>
  <c r="Y439" i="1"/>
  <c r="Y7" i="1"/>
  <c r="Y18" i="1"/>
  <c r="Y191" i="1"/>
  <c r="Y43" i="1"/>
  <c r="AI23" i="7"/>
  <c r="T167" i="2" l="1"/>
  <c r="AB170" i="2"/>
  <c r="F448" i="1"/>
  <c r="U446" i="1"/>
  <c r="AN33" i="7"/>
  <c r="AN26" i="7"/>
  <c r="AN41" i="7"/>
  <c r="AM26" i="7"/>
  <c r="AL26" i="7"/>
  <c r="AL33" i="7"/>
  <c r="Q448" i="1"/>
  <c r="Q169" i="2"/>
  <c r="T137" i="3"/>
  <c r="AB140" i="3"/>
  <c r="AD137" i="3"/>
  <c r="X449" i="1"/>
  <c r="Y446" i="1"/>
  <c r="AK33" i="7"/>
  <c r="AK41" i="7"/>
  <c r="AK26" i="7"/>
  <c r="AJ31" i="7"/>
  <c r="F139" i="3"/>
  <c r="V446" i="1"/>
  <c r="W449" i="1"/>
  <c r="F449" i="1"/>
  <c r="J21" i="3"/>
  <c r="J45" i="3"/>
  <c r="K30" i="3"/>
  <c r="K49" i="3"/>
  <c r="K47" i="3"/>
  <c r="K45" i="3"/>
  <c r="K17" i="3"/>
  <c r="J47" i="3"/>
  <c r="K21" i="3"/>
  <c r="J17" i="3"/>
  <c r="J30" i="3"/>
  <c r="J49" i="3"/>
  <c r="U167" i="2"/>
  <c r="F169" i="2"/>
  <c r="AJ33" i="7"/>
  <c r="AJ26" i="7"/>
  <c r="I638" i="5"/>
  <c r="J614" i="5"/>
  <c r="J590" i="5"/>
  <c r="I609" i="5"/>
  <c r="I622" i="5"/>
  <c r="I566" i="5"/>
  <c r="I561" i="5"/>
  <c r="I630" i="5"/>
  <c r="J598" i="5"/>
  <c r="I574" i="5"/>
  <c r="J585" i="5"/>
  <c r="I579" i="5"/>
  <c r="J619" i="5"/>
  <c r="I587" i="5"/>
  <c r="J627" i="5"/>
  <c r="I603" i="5"/>
  <c r="I593" i="5"/>
  <c r="J569" i="5"/>
  <c r="I633" i="5"/>
  <c r="I625" i="5"/>
  <c r="J601" i="5"/>
  <c r="J595" i="5"/>
  <c r="J571" i="5"/>
  <c r="J635" i="5"/>
  <c r="J617" i="5"/>
  <c r="J611" i="5"/>
  <c r="J582" i="5"/>
  <c r="I577" i="5"/>
  <c r="I558" i="5"/>
  <c r="I640" i="5"/>
  <c r="J637" i="5"/>
  <c r="I632" i="5"/>
  <c r="J629" i="5"/>
  <c r="I624" i="5"/>
  <c r="J621" i="5"/>
  <c r="I616" i="5"/>
  <c r="J613" i="5"/>
  <c r="I608" i="5"/>
  <c r="J605" i="5"/>
  <c r="I600" i="5"/>
  <c r="J597" i="5"/>
  <c r="I592" i="5"/>
  <c r="J589" i="5"/>
  <c r="I584" i="5"/>
  <c r="J581" i="5"/>
  <c r="I576" i="5"/>
  <c r="J573" i="5"/>
  <c r="I568" i="5"/>
  <c r="J565" i="5"/>
  <c r="I560" i="5"/>
  <c r="J634" i="5"/>
  <c r="J626" i="5"/>
  <c r="J618" i="5"/>
  <c r="J610" i="5"/>
  <c r="J602" i="5"/>
  <c r="J594" i="5"/>
  <c r="J586" i="5"/>
  <c r="J578" i="5"/>
  <c r="J570" i="5"/>
  <c r="J562" i="5"/>
  <c r="J639" i="5"/>
  <c r="J631" i="5"/>
  <c r="J623" i="5"/>
  <c r="J615" i="5"/>
  <c r="J607" i="5"/>
  <c r="J599" i="5"/>
  <c r="J591" i="5"/>
  <c r="J583" i="5"/>
  <c r="J575" i="5"/>
  <c r="J567" i="5"/>
  <c r="J559" i="5"/>
  <c r="J636" i="5"/>
  <c r="J628" i="5"/>
  <c r="J620" i="5"/>
  <c r="J612" i="5"/>
  <c r="J604" i="5"/>
  <c r="J596" i="5"/>
  <c r="J588" i="5"/>
  <c r="J580" i="5"/>
  <c r="J572" i="5"/>
  <c r="J564" i="5"/>
  <c r="J563" i="5"/>
  <c r="AI40" i="7"/>
  <c r="AI30" i="7"/>
  <c r="AI31" i="7"/>
  <c r="AI32" i="7"/>
  <c r="AI24" i="7"/>
  <c r="AI25" i="7"/>
  <c r="AH23" i="7"/>
  <c r="AI19" i="7"/>
  <c r="AI26" i="7" s="1"/>
  <c r="AI12" i="7"/>
  <c r="J4" i="3"/>
  <c r="K4" i="3"/>
  <c r="T4" i="3"/>
  <c r="U4" i="3"/>
  <c r="G4" i="3"/>
  <c r="G44" i="2"/>
  <c r="G41" i="2"/>
  <c r="G42" i="2"/>
  <c r="G43" i="2"/>
  <c r="K350" i="1"/>
  <c r="K100" i="1"/>
  <c r="K107" i="1"/>
  <c r="K42" i="1"/>
  <c r="K387" i="1"/>
  <c r="K252" i="1"/>
  <c r="K97" i="1"/>
  <c r="K82" i="1"/>
  <c r="K164" i="1"/>
  <c r="K62" i="1"/>
  <c r="K30" i="1"/>
  <c r="K205" i="1"/>
  <c r="K310" i="1"/>
  <c r="K27" i="1"/>
  <c r="K439" i="1"/>
  <c r="K7" i="1"/>
  <c r="K18" i="1"/>
  <c r="K191" i="1"/>
  <c r="K43" i="1"/>
  <c r="J350" i="1"/>
  <c r="J100" i="1"/>
  <c r="J107" i="1"/>
  <c r="J42" i="1"/>
  <c r="J387" i="1"/>
  <c r="J252" i="1"/>
  <c r="J97" i="1"/>
  <c r="J82" i="1"/>
  <c r="J164" i="1"/>
  <c r="J62" i="1"/>
  <c r="J30" i="1"/>
  <c r="J205" i="1"/>
  <c r="J310" i="1"/>
  <c r="J27" i="1"/>
  <c r="J439" i="1"/>
  <c r="J7" i="1"/>
  <c r="J18" i="1"/>
  <c r="J191" i="1"/>
  <c r="J43" i="1"/>
  <c r="G350" i="1"/>
  <c r="G100" i="1"/>
  <c r="G107" i="1"/>
  <c r="G42" i="1"/>
  <c r="G387" i="1"/>
  <c r="G252" i="1"/>
  <c r="G97" i="1"/>
  <c r="G82" i="1"/>
  <c r="G164" i="1"/>
  <c r="G62" i="1"/>
  <c r="G30" i="1"/>
  <c r="G205" i="1"/>
  <c r="G310" i="1"/>
  <c r="G27" i="1"/>
  <c r="G439" i="1"/>
  <c r="G7" i="1"/>
  <c r="G18" i="1"/>
  <c r="G191" i="1"/>
  <c r="G43" i="1"/>
  <c r="AH30" i="7"/>
  <c r="AH31" i="7"/>
  <c r="AH32" i="7"/>
  <c r="AH25" i="7"/>
  <c r="AG25" i="7"/>
  <c r="AH24" i="7"/>
  <c r="AG23" i="7"/>
  <c r="AX38" i="7"/>
  <c r="AX39" i="7"/>
  <c r="AX37" i="7"/>
  <c r="AH40" i="7"/>
  <c r="AX17" i="7"/>
  <c r="AX18" i="7"/>
  <c r="AH12" i="7"/>
  <c r="AH19" i="7"/>
  <c r="U10" i="3"/>
  <c r="U11" i="3"/>
  <c r="U13" i="3"/>
  <c r="U58" i="3"/>
  <c r="T10" i="3"/>
  <c r="T11" i="3"/>
  <c r="T13" i="3"/>
  <c r="T58" i="3"/>
  <c r="AC89" i="2"/>
  <c r="AC113" i="2"/>
  <c r="AD10" i="3"/>
  <c r="AD11" i="3"/>
  <c r="AD13" i="3"/>
  <c r="AD58" i="3"/>
  <c r="K10" i="3"/>
  <c r="K11" i="3"/>
  <c r="K13" i="3"/>
  <c r="K58" i="3"/>
  <c r="J10" i="3"/>
  <c r="J11" i="3"/>
  <c r="J13" i="3"/>
  <c r="J58" i="3"/>
  <c r="G13" i="3"/>
  <c r="G58" i="3"/>
  <c r="G89" i="2"/>
  <c r="G113" i="2"/>
  <c r="J113" i="2"/>
  <c r="J89" i="2"/>
  <c r="Y351" i="1"/>
  <c r="Y41" i="1"/>
  <c r="Y134" i="1"/>
  <c r="Y124" i="1"/>
  <c r="Y256" i="1"/>
  <c r="Y129" i="1"/>
  <c r="Y37" i="1"/>
  <c r="Y75" i="1"/>
  <c r="Y309" i="1"/>
  <c r="Y328" i="1"/>
  <c r="K41" i="1"/>
  <c r="K134" i="1"/>
  <c r="K124" i="1"/>
  <c r="K256" i="1"/>
  <c r="K129" i="1"/>
  <c r="K37" i="1"/>
  <c r="K75" i="1"/>
  <c r="K309" i="1"/>
  <c r="K351" i="1"/>
  <c r="J41" i="1"/>
  <c r="J134" i="1"/>
  <c r="J124" i="1"/>
  <c r="J256" i="1"/>
  <c r="J129" i="1"/>
  <c r="J37" i="1"/>
  <c r="J75" i="1"/>
  <c r="J309" i="1"/>
  <c r="J351" i="1"/>
  <c r="J328" i="1"/>
  <c r="K328" i="1"/>
  <c r="G328" i="1"/>
  <c r="G41" i="1"/>
  <c r="G134" i="1"/>
  <c r="G124" i="1"/>
  <c r="G256" i="1"/>
  <c r="G129" i="1"/>
  <c r="G37" i="1"/>
  <c r="G75" i="1"/>
  <c r="G309" i="1"/>
  <c r="G351" i="1"/>
  <c r="AG40" i="7"/>
  <c r="AG32" i="7"/>
  <c r="AG31" i="7"/>
  <c r="AG30" i="7"/>
  <c r="AG24" i="7"/>
  <c r="AG19" i="7"/>
  <c r="AG12" i="7"/>
  <c r="J80" i="2"/>
  <c r="J8" i="2"/>
  <c r="J27" i="2"/>
  <c r="AC8" i="2"/>
  <c r="AC27" i="2"/>
  <c r="AC80" i="2"/>
  <c r="K294" i="1"/>
  <c r="K119" i="1"/>
  <c r="K63" i="1"/>
  <c r="K220" i="1"/>
  <c r="K393" i="1"/>
  <c r="K208" i="1"/>
  <c r="K201" i="1"/>
  <c r="K415" i="1"/>
  <c r="K411" i="1"/>
  <c r="K412" i="1"/>
  <c r="K397" i="1"/>
  <c r="K285" i="1"/>
  <c r="K299" i="1"/>
  <c r="K426" i="1"/>
  <c r="K109" i="1"/>
  <c r="K272" i="1"/>
  <c r="K313" i="1"/>
  <c r="K366" i="1"/>
  <c r="K17" i="1"/>
  <c r="J294" i="1"/>
  <c r="J119" i="1"/>
  <c r="J63" i="1"/>
  <c r="J220" i="1"/>
  <c r="J393" i="1"/>
  <c r="J208" i="1"/>
  <c r="J201" i="1"/>
  <c r="J415" i="1"/>
  <c r="J411" i="1"/>
  <c r="J412" i="1"/>
  <c r="J397" i="1"/>
  <c r="J285" i="1"/>
  <c r="J299" i="1"/>
  <c r="J426" i="1"/>
  <c r="J109" i="1"/>
  <c r="J272" i="1"/>
  <c r="J313" i="1"/>
  <c r="J366" i="1"/>
  <c r="J17" i="1"/>
  <c r="J127" i="1"/>
  <c r="K127" i="1"/>
  <c r="G11" i="3"/>
  <c r="G10" i="3"/>
  <c r="G80" i="2"/>
  <c r="G8" i="2"/>
  <c r="G27" i="2"/>
  <c r="G127" i="1"/>
  <c r="G294" i="1"/>
  <c r="G119" i="1"/>
  <c r="G63" i="1"/>
  <c r="G220" i="1"/>
  <c r="G393" i="1"/>
  <c r="G208" i="1"/>
  <c r="G201" i="1"/>
  <c r="G415" i="1"/>
  <c r="G411" i="1"/>
  <c r="G412" i="1"/>
  <c r="G397" i="1"/>
  <c r="G285" i="1"/>
  <c r="G299" i="1"/>
  <c r="G426" i="1"/>
  <c r="G109" i="1"/>
  <c r="G272" i="1"/>
  <c r="G313" i="1"/>
  <c r="G366" i="1"/>
  <c r="G17" i="1"/>
  <c r="AF19" i="7"/>
  <c r="AF12" i="7"/>
  <c r="AF40" i="7"/>
  <c r="AF32" i="7"/>
  <c r="AF31" i="7"/>
  <c r="AF30" i="7"/>
  <c r="AF25" i="7"/>
  <c r="AF24" i="7"/>
  <c r="AF23" i="7"/>
  <c r="AD75" i="3"/>
  <c r="J75" i="3"/>
  <c r="K75" i="3"/>
  <c r="G75" i="3"/>
  <c r="Y23" i="1"/>
  <c r="Y423" i="1"/>
  <c r="Y21" i="1"/>
  <c r="Y96" i="1"/>
  <c r="Y188" i="1"/>
  <c r="Y275" i="1"/>
  <c r="Y36" i="1"/>
  <c r="Y53" i="1"/>
  <c r="Y250" i="1"/>
  <c r="Y13" i="1"/>
  <c r="Y8" i="1"/>
  <c r="Y182" i="1"/>
  <c r="Y108" i="1"/>
  <c r="Y409" i="1"/>
  <c r="Y229" i="1"/>
  <c r="Y258" i="1"/>
  <c r="Y33" i="1"/>
  <c r="Y395" i="1"/>
  <c r="Y402" i="1"/>
  <c r="Y247" i="1"/>
  <c r="Y20" i="1"/>
  <c r="Y343" i="1"/>
  <c r="K23" i="1"/>
  <c r="K423" i="1"/>
  <c r="K21" i="1"/>
  <c r="K96" i="1"/>
  <c r="K188" i="1"/>
  <c r="K275" i="1"/>
  <c r="K36" i="1"/>
  <c r="K53" i="1"/>
  <c r="K250" i="1"/>
  <c r="K13" i="1"/>
  <c r="K8" i="1"/>
  <c r="K182" i="1"/>
  <c r="K108" i="1"/>
  <c r="K394" i="1"/>
  <c r="K409" i="1"/>
  <c r="K229" i="1"/>
  <c r="K258" i="1"/>
  <c r="K33" i="1"/>
  <c r="K395" i="1"/>
  <c r="K402" i="1"/>
  <c r="K247" i="1"/>
  <c r="K20" i="1"/>
  <c r="J23" i="1"/>
  <c r="J423" i="1"/>
  <c r="J21" i="1"/>
  <c r="J96" i="1"/>
  <c r="J188" i="1"/>
  <c r="J275" i="1"/>
  <c r="J36" i="1"/>
  <c r="J53" i="1"/>
  <c r="J250" i="1"/>
  <c r="J13" i="1"/>
  <c r="J8" i="1"/>
  <c r="J182" i="1"/>
  <c r="J108" i="1"/>
  <c r="J394" i="1"/>
  <c r="J409" i="1"/>
  <c r="J229" i="1"/>
  <c r="J258" i="1"/>
  <c r="J33" i="1"/>
  <c r="J395" i="1"/>
  <c r="J402" i="1"/>
  <c r="J247" i="1"/>
  <c r="J20" i="1"/>
  <c r="J343" i="1"/>
  <c r="K343" i="1"/>
  <c r="G343" i="1"/>
  <c r="G23" i="1"/>
  <c r="G423" i="1"/>
  <c r="G21" i="1"/>
  <c r="G96" i="1"/>
  <c r="G188" i="1"/>
  <c r="G275" i="1"/>
  <c r="G36" i="1"/>
  <c r="G53" i="1"/>
  <c r="G250" i="1"/>
  <c r="G13" i="1"/>
  <c r="G8" i="1"/>
  <c r="G182" i="1"/>
  <c r="G108" i="1"/>
  <c r="G394" i="1"/>
  <c r="G409" i="1"/>
  <c r="G229" i="1"/>
  <c r="G258" i="1"/>
  <c r="G33" i="1"/>
  <c r="G395" i="1"/>
  <c r="G402" i="1"/>
  <c r="G247" i="1"/>
  <c r="G20" i="1"/>
  <c r="AE25" i="7"/>
  <c r="J131" i="3"/>
  <c r="J132" i="3"/>
  <c r="J121" i="3"/>
  <c r="J40" i="3"/>
  <c r="J113" i="3"/>
  <c r="J20" i="3"/>
  <c r="J6" i="3"/>
  <c r="J128" i="3"/>
  <c r="J57" i="3"/>
  <c r="J99" i="3"/>
  <c r="J126" i="3"/>
  <c r="J125" i="3"/>
  <c r="J103" i="3"/>
  <c r="J124" i="3"/>
  <c r="J130" i="3"/>
  <c r="J56" i="3"/>
  <c r="J97" i="3"/>
  <c r="J100" i="3"/>
  <c r="J67" i="3"/>
  <c r="J119" i="3"/>
  <c r="J105" i="3"/>
  <c r="J61" i="3"/>
  <c r="J66" i="3"/>
  <c r="J15" i="3"/>
  <c r="J109" i="3"/>
  <c r="J43" i="3"/>
  <c r="J87" i="3"/>
  <c r="J83" i="3"/>
  <c r="J116" i="3"/>
  <c r="J92" i="3"/>
  <c r="J64" i="3"/>
  <c r="J77" i="3"/>
  <c r="J108" i="3"/>
  <c r="J89" i="3"/>
  <c r="J111" i="3"/>
  <c r="J91" i="3"/>
  <c r="J39" i="3"/>
  <c r="J60" i="3"/>
  <c r="J62" i="3"/>
  <c r="J14" i="3"/>
  <c r="J81" i="3"/>
  <c r="J104" i="3"/>
  <c r="J118" i="3"/>
  <c r="J59" i="3"/>
  <c r="J90" i="3"/>
  <c r="J70" i="3"/>
  <c r="J32" i="3"/>
  <c r="J115" i="3"/>
  <c r="J38" i="3"/>
  <c r="J102" i="3"/>
  <c r="J65" i="3"/>
  <c r="J31" i="3"/>
  <c r="J96" i="3"/>
  <c r="J110" i="3"/>
  <c r="J122" i="3"/>
  <c r="J129" i="3"/>
  <c r="J80" i="3"/>
  <c r="J37" i="3"/>
  <c r="J68" i="3"/>
  <c r="J127" i="3"/>
  <c r="J42" i="3"/>
  <c r="J98" i="3"/>
  <c r="J33" i="3"/>
  <c r="J85" i="3"/>
  <c r="J16" i="3"/>
  <c r="J23" i="3"/>
  <c r="J71" i="3"/>
  <c r="J35" i="3"/>
  <c r="J27" i="3"/>
  <c r="J26" i="3"/>
  <c r="J22" i="3"/>
  <c r="J44" i="3"/>
  <c r="J107" i="3"/>
  <c r="J72" i="3"/>
  <c r="J19" i="3"/>
  <c r="J12" i="3"/>
  <c r="J117" i="3"/>
  <c r="J18" i="3"/>
  <c r="J41" i="3"/>
  <c r="J54" i="3"/>
  <c r="J5" i="3"/>
  <c r="J93" i="3"/>
  <c r="J112" i="3"/>
  <c r="J114" i="3"/>
  <c r="J133" i="3"/>
  <c r="J78" i="3"/>
  <c r="J79" i="3"/>
  <c r="J50" i="3"/>
  <c r="J34" i="3"/>
  <c r="J88" i="3"/>
  <c r="J120" i="3"/>
  <c r="J73" i="3"/>
  <c r="J123" i="3"/>
  <c r="J52" i="3"/>
  <c r="J101" i="3"/>
  <c r="J95" i="3"/>
  <c r="J63" i="3"/>
  <c r="J74" i="3"/>
  <c r="J28" i="3"/>
  <c r="J94" i="3"/>
  <c r="J9" i="3"/>
  <c r="J55" i="3"/>
  <c r="J82" i="3"/>
  <c r="J69" i="3"/>
  <c r="J8" i="3"/>
  <c r="J106" i="3"/>
  <c r="J7" i="3"/>
  <c r="J46" i="3"/>
  <c r="J3" i="3"/>
  <c r="J53" i="3"/>
  <c r="J84" i="3"/>
  <c r="J20" i="2"/>
  <c r="J5" i="2"/>
  <c r="J76" i="2"/>
  <c r="J155" i="2"/>
  <c r="J35" i="2"/>
  <c r="J127" i="2"/>
  <c r="J7" i="2"/>
  <c r="J130" i="2"/>
  <c r="J25" i="2"/>
  <c r="J139" i="2"/>
  <c r="J149" i="2"/>
  <c r="J110" i="2"/>
  <c r="J63" i="2"/>
  <c r="J104" i="2"/>
  <c r="J73" i="2"/>
  <c r="J112" i="2"/>
  <c r="J151" i="2"/>
  <c r="J126" i="2"/>
  <c r="J18" i="2"/>
  <c r="J103" i="2"/>
  <c r="J77" i="2"/>
  <c r="J106" i="2"/>
  <c r="J17" i="2"/>
  <c r="J34" i="2"/>
  <c r="J145" i="2"/>
  <c r="J152" i="2"/>
  <c r="J95" i="2"/>
  <c r="J120" i="2"/>
  <c r="J86" i="2"/>
  <c r="J87" i="2"/>
  <c r="J19" i="2"/>
  <c r="J123" i="2"/>
  <c r="J114" i="2"/>
  <c r="J102" i="2"/>
  <c r="J84" i="2"/>
  <c r="J146" i="2"/>
  <c r="J138" i="2"/>
  <c r="J129" i="2"/>
  <c r="J136" i="2"/>
  <c r="J37" i="2"/>
  <c r="J74" i="2"/>
  <c r="J150" i="2"/>
  <c r="J70" i="2"/>
  <c r="J53" i="2"/>
  <c r="J33" i="2"/>
  <c r="J14" i="2"/>
  <c r="J153" i="2"/>
  <c r="J131" i="2"/>
  <c r="J68" i="2"/>
  <c r="J82" i="2"/>
  <c r="J107" i="2"/>
  <c r="J98" i="2"/>
  <c r="J55" i="2"/>
  <c r="J30" i="2"/>
  <c r="J156" i="2"/>
  <c r="J108" i="2"/>
  <c r="J71" i="2"/>
  <c r="J140" i="2"/>
  <c r="J4" i="2"/>
  <c r="J22" i="2"/>
  <c r="J79" i="2"/>
  <c r="J62" i="2"/>
  <c r="J61" i="2"/>
  <c r="J93" i="2"/>
  <c r="J64" i="2"/>
  <c r="J78" i="2"/>
  <c r="J24" i="2"/>
  <c r="J157" i="2"/>
  <c r="J69" i="2"/>
  <c r="J72" i="2"/>
  <c r="J13" i="2"/>
  <c r="J121" i="2"/>
  <c r="J137" i="2"/>
  <c r="J142" i="2"/>
  <c r="J111" i="2"/>
  <c r="J91" i="2"/>
  <c r="J12" i="2"/>
  <c r="J56" i="2"/>
  <c r="J36" i="2"/>
  <c r="J6" i="2"/>
  <c r="J60" i="2"/>
  <c r="J125" i="2"/>
  <c r="J134" i="2"/>
  <c r="J133" i="2"/>
  <c r="J81" i="2"/>
  <c r="J65" i="2"/>
  <c r="J38" i="2"/>
  <c r="J159" i="2"/>
  <c r="J32" i="2"/>
  <c r="J16" i="2"/>
  <c r="J67" i="2"/>
  <c r="J75" i="2"/>
  <c r="J88" i="2"/>
  <c r="J39" i="2"/>
  <c r="J144" i="2"/>
  <c r="J59" i="2"/>
  <c r="J109" i="2"/>
  <c r="J124" i="2"/>
  <c r="J31" i="2"/>
  <c r="J15" i="2"/>
  <c r="J135" i="2"/>
  <c r="J40" i="2"/>
  <c r="J28" i="2"/>
  <c r="J141" i="2"/>
  <c r="J96" i="2"/>
  <c r="J101" i="2"/>
  <c r="J118" i="2"/>
  <c r="J122" i="2"/>
  <c r="J94" i="2"/>
  <c r="J115" i="2"/>
  <c r="J132" i="2"/>
  <c r="J100" i="2"/>
  <c r="J92" i="2"/>
  <c r="J99" i="2"/>
  <c r="J128" i="2"/>
  <c r="J97" i="2"/>
  <c r="J154" i="2"/>
  <c r="J11" i="2"/>
  <c r="J3" i="2"/>
  <c r="J21" i="2"/>
  <c r="J119" i="2"/>
  <c r="J117" i="2"/>
  <c r="J83" i="2"/>
  <c r="J148" i="2"/>
  <c r="J160" i="2"/>
  <c r="J85" i="2"/>
  <c r="J147" i="2"/>
  <c r="J90" i="2"/>
  <c r="J26" i="2"/>
  <c r="J10" i="2"/>
  <c r="J143" i="2"/>
  <c r="J29" i="2"/>
  <c r="J161" i="2"/>
  <c r="J158" i="2"/>
  <c r="J4" i="1"/>
  <c r="J441" i="1"/>
  <c r="J6" i="1"/>
  <c r="J442" i="1"/>
  <c r="J232" i="1"/>
  <c r="J138" i="1"/>
  <c r="J3" i="1"/>
  <c r="J61" i="1"/>
  <c r="J381" i="1"/>
  <c r="J55" i="1"/>
  <c r="J390" i="1"/>
  <c r="J364" i="1"/>
  <c r="J433" i="1"/>
  <c r="J168" i="1"/>
  <c r="J316" i="1"/>
  <c r="J342" i="1"/>
  <c r="J414" i="1"/>
  <c r="J410" i="1"/>
  <c r="J280" i="1"/>
  <c r="J418" i="1"/>
  <c r="J401" i="1"/>
  <c r="J335" i="1"/>
  <c r="J430" i="1"/>
  <c r="J269" i="1"/>
  <c r="J101" i="1"/>
  <c r="J370" i="1"/>
  <c r="J16" i="1"/>
  <c r="J427" i="1"/>
  <c r="J406" i="1"/>
  <c r="J419" i="1"/>
  <c r="J10" i="1"/>
  <c r="J388" i="1"/>
  <c r="J331" i="1"/>
  <c r="J363" i="1"/>
  <c r="J323" i="1"/>
  <c r="J376" i="1"/>
  <c r="J436" i="1"/>
  <c r="J319" i="1"/>
  <c r="J51" i="1"/>
  <c r="J383" i="1"/>
  <c r="J367" i="1"/>
  <c r="J110" i="1"/>
  <c r="J95" i="1"/>
  <c r="J28" i="1"/>
  <c r="J217" i="1"/>
  <c r="J194" i="1"/>
  <c r="J5" i="1"/>
  <c r="J308" i="1"/>
  <c r="J72" i="1"/>
  <c r="J25" i="1"/>
  <c r="J242" i="1"/>
  <c r="J339" i="1"/>
  <c r="J261" i="1"/>
  <c r="J196" i="1"/>
  <c r="J293" i="1"/>
  <c r="J210" i="1"/>
  <c r="J324" i="1"/>
  <c r="J336" i="1"/>
  <c r="J254" i="1"/>
  <c r="J266" i="1"/>
  <c r="J359" i="1"/>
  <c r="J407" i="1"/>
  <c r="J384" i="1"/>
  <c r="J314" i="1"/>
  <c r="J226" i="1"/>
  <c r="J262" i="1"/>
  <c r="J235" i="1"/>
  <c r="J151" i="1"/>
  <c r="J19" i="1"/>
  <c r="J113" i="1"/>
  <c r="J123" i="1"/>
  <c r="J118" i="1"/>
  <c r="J239" i="1"/>
  <c r="J218" i="1"/>
  <c r="J317" i="1"/>
  <c r="J374" i="1"/>
  <c r="J137" i="1"/>
  <c r="J421" i="1"/>
  <c r="J391" i="1"/>
  <c r="J340" i="1"/>
  <c r="J172" i="1"/>
  <c r="J268" i="1"/>
  <c r="J157" i="1"/>
  <c r="J290" i="1"/>
  <c r="J212" i="1"/>
  <c r="J149" i="1"/>
  <c r="J197" i="1"/>
  <c r="J103" i="1"/>
  <c r="J265" i="1"/>
  <c r="J174" i="1"/>
  <c r="J281" i="1"/>
  <c r="J333" i="1"/>
  <c r="J56" i="1"/>
  <c r="J283" i="1"/>
  <c r="J199" i="1"/>
  <c r="J438" i="1"/>
  <c r="J35" i="1"/>
  <c r="J365" i="1"/>
  <c r="J231" i="1"/>
  <c r="J215" i="1"/>
  <c r="J120" i="1"/>
  <c r="J139" i="1"/>
  <c r="J211" i="1"/>
  <c r="J132" i="1"/>
  <c r="J192" i="1"/>
  <c r="J398" i="1"/>
  <c r="J289" i="1"/>
  <c r="J198" i="1"/>
  <c r="J190" i="1"/>
  <c r="J345" i="1"/>
  <c r="J87" i="1"/>
  <c r="J330" i="1"/>
  <c r="J234" i="1"/>
  <c r="J165" i="1"/>
  <c r="J375" i="1"/>
  <c r="J29" i="1"/>
  <c r="J76" i="1"/>
  <c r="J207" i="1"/>
  <c r="J380" i="1"/>
  <c r="J185" i="1"/>
  <c r="J175" i="1"/>
  <c r="J240" i="1"/>
  <c r="J102" i="1"/>
  <c r="J237" i="1"/>
  <c r="J273" i="1"/>
  <c r="J353" i="1"/>
  <c r="J24" i="1"/>
  <c r="J146" i="1"/>
  <c r="J135" i="1"/>
  <c r="J86" i="1"/>
  <c r="J318" i="1"/>
  <c r="J71" i="1"/>
  <c r="J233" i="1"/>
  <c r="J74" i="1"/>
  <c r="J288" i="1"/>
  <c r="J148" i="1"/>
  <c r="J83" i="1"/>
  <c r="J408" i="1"/>
  <c r="J248" i="1"/>
  <c r="J143" i="1"/>
  <c r="J88" i="1"/>
  <c r="J302" i="1"/>
  <c r="J389" i="1"/>
  <c r="J90" i="1"/>
  <c r="J14" i="1"/>
  <c r="J216" i="1"/>
  <c r="J57" i="1"/>
  <c r="J221" i="1"/>
  <c r="J98" i="1"/>
  <c r="J106" i="1"/>
  <c r="J321" i="1"/>
  <c r="J93" i="1"/>
  <c r="J425" i="1"/>
  <c r="J279" i="1"/>
  <c r="J48" i="1"/>
  <c r="J213" i="1"/>
  <c r="J91" i="1"/>
  <c r="J346" i="1"/>
  <c r="J373" i="1"/>
  <c r="J179" i="1"/>
  <c r="J223" i="1"/>
  <c r="J159" i="1"/>
  <c r="J47" i="1"/>
  <c r="J297" i="1"/>
  <c r="J403" i="1"/>
  <c r="J49" i="1"/>
  <c r="J227" i="1"/>
  <c r="J67" i="1"/>
  <c r="J126" i="1"/>
  <c r="J121" i="1"/>
  <c r="J214" i="1"/>
  <c r="J291" i="1"/>
  <c r="J114" i="1"/>
  <c r="J369" i="1"/>
  <c r="J176" i="1"/>
  <c r="J141" i="1"/>
  <c r="J178" i="1"/>
  <c r="J400" i="1"/>
  <c r="J278" i="1"/>
  <c r="J122" i="1"/>
  <c r="J264" i="1"/>
  <c r="J422" i="1"/>
  <c r="J44" i="1"/>
  <c r="J311" i="1"/>
  <c r="J224" i="1"/>
  <c r="J65" i="1"/>
  <c r="J200" i="1"/>
  <c r="J73" i="1"/>
  <c r="J360" i="1"/>
  <c r="J358" i="1"/>
  <c r="J357" i="1"/>
  <c r="J116" i="1"/>
  <c r="J186" i="1"/>
  <c r="J105" i="1"/>
  <c r="J112" i="1"/>
  <c r="J385" i="1"/>
  <c r="J306" i="1"/>
  <c r="J85" i="1"/>
  <c r="J204" i="1"/>
  <c r="J202" i="1"/>
  <c r="J312" i="1"/>
  <c r="J348" i="1"/>
  <c r="J92" i="1"/>
  <c r="J405" i="1"/>
  <c r="J341" i="1"/>
  <c r="J368" i="1"/>
  <c r="J230" i="1"/>
  <c r="J296" i="1"/>
  <c r="J161" i="1"/>
  <c r="J177" i="1"/>
  <c r="J244" i="1"/>
  <c r="J325" i="1"/>
  <c r="J68" i="1"/>
  <c r="J128" i="1"/>
  <c r="J271" i="1"/>
  <c r="J58" i="1"/>
  <c r="J378" i="1"/>
  <c r="J89" i="1"/>
  <c r="J156" i="1"/>
  <c r="J66" i="1"/>
  <c r="J238" i="1"/>
  <c r="J349" i="1"/>
  <c r="J181" i="1"/>
  <c r="J26" i="1"/>
  <c r="J31" i="1"/>
  <c r="J183" i="1"/>
  <c r="J22" i="1"/>
  <c r="J253" i="1"/>
  <c r="J332" i="1"/>
  <c r="J81" i="1"/>
  <c r="J361" i="1"/>
  <c r="J352" i="1"/>
  <c r="J270" i="1"/>
  <c r="J362" i="1"/>
  <c r="J11" i="1"/>
  <c r="J399" i="1"/>
  <c r="J379" i="1"/>
  <c r="J12" i="1"/>
  <c r="J241" i="1"/>
  <c r="J307" i="1"/>
  <c r="J60" i="1"/>
  <c r="J219" i="1"/>
  <c r="J356" i="1"/>
  <c r="J160" i="1"/>
  <c r="J140" i="1"/>
  <c r="J38" i="1"/>
  <c r="J150" i="1"/>
  <c r="J203" i="1"/>
  <c r="J39" i="1"/>
  <c r="J322" i="1"/>
  <c r="J59" i="1"/>
  <c r="J429" i="1"/>
  <c r="J222" i="1"/>
  <c r="J69" i="1"/>
  <c r="J329" i="1"/>
  <c r="J428" i="1"/>
  <c r="J80" i="1"/>
  <c r="J64" i="1"/>
  <c r="J209" i="1"/>
  <c r="J416" i="1"/>
  <c r="J54" i="1"/>
  <c r="J145" i="1"/>
  <c r="J251" i="1"/>
  <c r="J424" i="1"/>
  <c r="J386" i="1"/>
  <c r="J315" i="1"/>
  <c r="J136" i="1"/>
  <c r="J131" i="1"/>
  <c r="J347" i="1"/>
  <c r="J267" i="1"/>
  <c r="J236" i="1"/>
  <c r="J334" i="1"/>
  <c r="J354" i="1"/>
  <c r="J78" i="1"/>
  <c r="J337" i="1"/>
  <c r="J420" i="1"/>
  <c r="J286" i="1"/>
  <c r="J377" i="1"/>
  <c r="J432" i="1"/>
  <c r="J437" i="1"/>
  <c r="J45" i="1"/>
  <c r="J431" i="1"/>
  <c r="J372" i="1"/>
  <c r="I54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3" i="5"/>
  <c r="I544" i="5"/>
  <c r="I545" i="5"/>
  <c r="I546" i="5"/>
  <c r="I547" i="5"/>
  <c r="I548" i="5"/>
  <c r="I549" i="5"/>
  <c r="I550" i="5"/>
  <c r="I551" i="5"/>
  <c r="I552" i="5"/>
  <c r="I553" i="5"/>
  <c r="I554" i="5"/>
  <c r="I555" i="5"/>
  <c r="I556" i="5"/>
  <c r="I557" i="5"/>
  <c r="AE40" i="7"/>
  <c r="K8" i="3"/>
  <c r="K106" i="3"/>
  <c r="K7" i="3"/>
  <c r="K46" i="3"/>
  <c r="K3" i="3"/>
  <c r="K53" i="3"/>
  <c r="AD8" i="3"/>
  <c r="AD106" i="3"/>
  <c r="AD7" i="3"/>
  <c r="AD46" i="3"/>
  <c r="AD3" i="3"/>
  <c r="AD53" i="3"/>
  <c r="AC140" i="2"/>
  <c r="AC4" i="2"/>
  <c r="AC158" i="2"/>
  <c r="Y337" i="1"/>
  <c r="Y428" i="1"/>
  <c r="Y251" i="1"/>
  <c r="Y354" i="1"/>
  <c r="Y386" i="1"/>
  <c r="Y322" i="1"/>
  <c r="Y378" i="1"/>
  <c r="Y81" i="1"/>
  <c r="Y26" i="1"/>
  <c r="Y59" i="1"/>
  <c r="Y58" i="1"/>
  <c r="Y122" i="1"/>
  <c r="Y214" i="1"/>
  <c r="Y65" i="1"/>
  <c r="Y178" i="1"/>
  <c r="K337" i="1"/>
  <c r="K428" i="1"/>
  <c r="K251" i="1"/>
  <c r="K354" i="1"/>
  <c r="K386" i="1"/>
  <c r="K322" i="1"/>
  <c r="K378" i="1"/>
  <c r="K81" i="1"/>
  <c r="K26" i="1"/>
  <c r="K59" i="1"/>
  <c r="K58" i="1"/>
  <c r="K122" i="1"/>
  <c r="K214" i="1"/>
  <c r="K65" i="1"/>
  <c r="K178" i="1"/>
  <c r="AE32" i="7"/>
  <c r="AE31" i="7"/>
  <c r="AE30" i="7"/>
  <c r="AE24" i="7"/>
  <c r="AE23" i="7"/>
  <c r="AE19" i="7"/>
  <c r="AE12" i="7"/>
  <c r="U69" i="3"/>
  <c r="U8" i="3"/>
  <c r="U106" i="3"/>
  <c r="U7" i="3"/>
  <c r="U46" i="3"/>
  <c r="U3" i="3"/>
  <c r="U53" i="3"/>
  <c r="T8" i="3"/>
  <c r="T106" i="3"/>
  <c r="T7" i="3"/>
  <c r="T46" i="3"/>
  <c r="T3" i="3"/>
  <c r="T53" i="3"/>
  <c r="G8" i="3"/>
  <c r="G106" i="3"/>
  <c r="G7" i="3"/>
  <c r="G46" i="3"/>
  <c r="G3" i="3"/>
  <c r="G53" i="3"/>
  <c r="G140" i="2"/>
  <c r="G4" i="2"/>
  <c r="G158" i="2"/>
  <c r="G337" i="1"/>
  <c r="G428" i="1"/>
  <c r="G251" i="1"/>
  <c r="G354" i="1"/>
  <c r="G386" i="1"/>
  <c r="G322" i="1"/>
  <c r="G378" i="1"/>
  <c r="G81" i="1"/>
  <c r="G26" i="1"/>
  <c r="G59" i="1"/>
  <c r="G58" i="1"/>
  <c r="G122" i="1"/>
  <c r="G214" i="1"/>
  <c r="G65" i="1"/>
  <c r="G178" i="1"/>
  <c r="I362" i="5"/>
  <c r="G80" i="1"/>
  <c r="AD40" i="7"/>
  <c r="AD30" i="7"/>
  <c r="AD23" i="7"/>
  <c r="AD19" i="7"/>
  <c r="AD32" i="7"/>
  <c r="AD31" i="7"/>
  <c r="AD25" i="7"/>
  <c r="AD24" i="7"/>
  <c r="AD12" i="7"/>
  <c r="U9" i="3"/>
  <c r="U54" i="3"/>
  <c r="T9" i="3"/>
  <c r="T54" i="3"/>
  <c r="AD54" i="3"/>
  <c r="AD9" i="3"/>
  <c r="G9" i="3"/>
  <c r="G54" i="3"/>
  <c r="K54" i="3"/>
  <c r="K9" i="3"/>
  <c r="AC25" i="2"/>
  <c r="AC148" i="2"/>
  <c r="G148" i="2"/>
  <c r="G25" i="2"/>
  <c r="Y209" i="1"/>
  <c r="Y437" i="1"/>
  <c r="Y315" i="1"/>
  <c r="Y432" i="1"/>
  <c r="Y267" i="1"/>
  <c r="Y286" i="1"/>
  <c r="Y140" i="1"/>
  <c r="Y136" i="1"/>
  <c r="Y332" i="1"/>
  <c r="Y222" i="1"/>
  <c r="Y269" i="1"/>
  <c r="Y253" i="1"/>
  <c r="K269" i="1"/>
  <c r="K209" i="1"/>
  <c r="K437" i="1"/>
  <c r="K315" i="1"/>
  <c r="K432" i="1"/>
  <c r="K267" i="1"/>
  <c r="K286" i="1"/>
  <c r="K140" i="1"/>
  <c r="K136" i="1"/>
  <c r="K332" i="1"/>
  <c r="K222" i="1"/>
  <c r="G253" i="1"/>
  <c r="G209" i="1"/>
  <c r="G437" i="1"/>
  <c r="G315" i="1"/>
  <c r="G432" i="1"/>
  <c r="G267" i="1"/>
  <c r="G286" i="1"/>
  <c r="G140" i="1"/>
  <c r="G136" i="1"/>
  <c r="G332" i="1"/>
  <c r="G222" i="1"/>
  <c r="G269" i="1"/>
  <c r="K253" i="1"/>
  <c r="G390" i="1"/>
  <c r="G232" i="1"/>
  <c r="Y233" i="1"/>
  <c r="Y179" i="1"/>
  <c r="Y92" i="1"/>
  <c r="Y425" i="1"/>
  <c r="Y359" i="1"/>
  <c r="Y372" i="1"/>
  <c r="Y349" i="1"/>
  <c r="Y431" i="1"/>
  <c r="Y10" i="1"/>
  <c r="Y241" i="1"/>
  <c r="Y85" i="1"/>
  <c r="Y186" i="1"/>
  <c r="Y131" i="1"/>
  <c r="Y203" i="1"/>
  <c r="Y39" i="1"/>
  <c r="Y78" i="1"/>
  <c r="Y64" i="1"/>
  <c r="Y145" i="1"/>
  <c r="Y44" i="1"/>
  <c r="Y80" i="1"/>
  <c r="AC40" i="7"/>
  <c r="AB40" i="7"/>
  <c r="AC12" i="7"/>
  <c r="AC19" i="7"/>
  <c r="AC23" i="7"/>
  <c r="AC24" i="7"/>
  <c r="AC25" i="7"/>
  <c r="AC30" i="7"/>
  <c r="AC31" i="7"/>
  <c r="AC32" i="7"/>
  <c r="AD69" i="3"/>
  <c r="T69" i="3"/>
  <c r="AC71" i="2"/>
  <c r="K69" i="3"/>
  <c r="G69" i="3"/>
  <c r="G71" i="2"/>
  <c r="K233" i="1"/>
  <c r="K179" i="1"/>
  <c r="K92" i="1"/>
  <c r="K425" i="1"/>
  <c r="K359" i="1"/>
  <c r="K372" i="1"/>
  <c r="K349" i="1"/>
  <c r="K431" i="1"/>
  <c r="K10" i="1"/>
  <c r="K241" i="1"/>
  <c r="K85" i="1"/>
  <c r="K186" i="1"/>
  <c r="K131" i="1"/>
  <c r="K203" i="1"/>
  <c r="K39" i="1"/>
  <c r="K78" i="1"/>
  <c r="K64" i="1"/>
  <c r="K145" i="1"/>
  <c r="K44" i="1"/>
  <c r="K80" i="1"/>
  <c r="G233" i="1"/>
  <c r="G179" i="1"/>
  <c r="G92" i="1"/>
  <c r="G425" i="1"/>
  <c r="G359" i="1"/>
  <c r="G372" i="1"/>
  <c r="G349" i="1"/>
  <c r="G431" i="1"/>
  <c r="G10" i="1"/>
  <c r="G241" i="1"/>
  <c r="G85" i="1"/>
  <c r="G186" i="1"/>
  <c r="G131" i="1"/>
  <c r="G203" i="1"/>
  <c r="G39" i="1"/>
  <c r="G78" i="1"/>
  <c r="G64" i="1"/>
  <c r="G145" i="1"/>
  <c r="G44" i="1"/>
  <c r="AG488" i="9"/>
  <c r="AH488" i="9"/>
  <c r="AF488" i="9"/>
  <c r="J137" i="3" l="1"/>
  <c r="J446" i="1"/>
  <c r="J167" i="2"/>
  <c r="AI41" i="7"/>
  <c r="AH33" i="7"/>
  <c r="AI33" i="7"/>
  <c r="AG41" i="7"/>
  <c r="AH41" i="7"/>
  <c r="AJ41" i="7"/>
  <c r="AH26" i="7"/>
  <c r="AF41" i="7"/>
  <c r="AD26" i="7"/>
  <c r="AC140" i="3"/>
  <c r="AG26" i="7"/>
  <c r="AG33" i="7"/>
  <c r="J505" i="5"/>
  <c r="J425" i="5"/>
  <c r="J517" i="5"/>
  <c r="J537" i="5"/>
  <c r="J453" i="5"/>
  <c r="J521" i="5"/>
  <c r="J441" i="5"/>
  <c r="J489" i="5"/>
  <c r="J409" i="5"/>
  <c r="J421" i="5"/>
  <c r="J485" i="5"/>
  <c r="J393" i="5"/>
  <c r="J473" i="5"/>
  <c r="J389" i="5"/>
  <c r="J549" i="5"/>
  <c r="J457" i="5"/>
  <c r="J377" i="5"/>
  <c r="AF26" i="7"/>
  <c r="AF33" i="7"/>
  <c r="J542" i="5"/>
  <c r="J513" i="5"/>
  <c r="J481" i="5"/>
  <c r="J449" i="5"/>
  <c r="J417" i="5"/>
  <c r="J385" i="5"/>
  <c r="J541" i="5"/>
  <c r="J509" i="5"/>
  <c r="J477" i="5"/>
  <c r="J445" i="5"/>
  <c r="J413" i="5"/>
  <c r="J381" i="5"/>
  <c r="J545" i="5"/>
  <c r="J533" i="5"/>
  <c r="J501" i="5"/>
  <c r="J469" i="5"/>
  <c r="J437" i="5"/>
  <c r="J405" i="5"/>
  <c r="J373" i="5"/>
  <c r="J529" i="5"/>
  <c r="J497" i="5"/>
  <c r="J465" i="5"/>
  <c r="J433" i="5"/>
  <c r="J401" i="5"/>
  <c r="J369" i="5"/>
  <c r="J553" i="5"/>
  <c r="J525" i="5"/>
  <c r="J493" i="5"/>
  <c r="J461" i="5"/>
  <c r="J429" i="5"/>
  <c r="J397" i="5"/>
  <c r="J365" i="5"/>
  <c r="J556" i="5"/>
  <c r="J552" i="5"/>
  <c r="J548" i="5"/>
  <c r="J544" i="5"/>
  <c r="J540" i="5"/>
  <c r="J536" i="5"/>
  <c r="J532" i="5"/>
  <c r="J528" i="5"/>
  <c r="J524" i="5"/>
  <c r="J520" i="5"/>
  <c r="J516" i="5"/>
  <c r="J512" i="5"/>
  <c r="J508" i="5"/>
  <c r="J504" i="5"/>
  <c r="J500" i="5"/>
  <c r="J496" i="5"/>
  <c r="J492" i="5"/>
  <c r="J488" i="5"/>
  <c r="J484" i="5"/>
  <c r="J480" i="5"/>
  <c r="J476" i="5"/>
  <c r="J472" i="5"/>
  <c r="J468" i="5"/>
  <c r="J464" i="5"/>
  <c r="J460" i="5"/>
  <c r="J456" i="5"/>
  <c r="J452" i="5"/>
  <c r="J448" i="5"/>
  <c r="J444" i="5"/>
  <c r="J440" i="5"/>
  <c r="J436" i="5"/>
  <c r="J432" i="5"/>
  <c r="J428" i="5"/>
  <c r="J424" i="5"/>
  <c r="J420" i="5"/>
  <c r="J416" i="5"/>
  <c r="J412" i="5"/>
  <c r="J408" i="5"/>
  <c r="J404" i="5"/>
  <c r="J400" i="5"/>
  <c r="J396" i="5"/>
  <c r="J392" i="5"/>
  <c r="J388" i="5"/>
  <c r="J384" i="5"/>
  <c r="J380" i="5"/>
  <c r="J376" i="5"/>
  <c r="J372" i="5"/>
  <c r="J368" i="5"/>
  <c r="J364" i="5"/>
  <c r="J555" i="5"/>
  <c r="J551" i="5"/>
  <c r="J547" i="5"/>
  <c r="J543" i="5"/>
  <c r="J539" i="5"/>
  <c r="J535" i="5"/>
  <c r="J531" i="5"/>
  <c r="J527" i="5"/>
  <c r="J523" i="5"/>
  <c r="J519" i="5"/>
  <c r="J515" i="5"/>
  <c r="J511" i="5"/>
  <c r="J507" i="5"/>
  <c r="J503" i="5"/>
  <c r="J499" i="5"/>
  <c r="J495" i="5"/>
  <c r="J491" i="5"/>
  <c r="J487" i="5"/>
  <c r="J483" i="5"/>
  <c r="J479" i="5"/>
  <c r="J475" i="5"/>
  <c r="J471" i="5"/>
  <c r="J467" i="5"/>
  <c r="J463" i="5"/>
  <c r="J459" i="5"/>
  <c r="J455" i="5"/>
  <c r="J451" i="5"/>
  <c r="J447" i="5"/>
  <c r="J443" i="5"/>
  <c r="J439" i="5"/>
  <c r="J435" i="5"/>
  <c r="J431" i="5"/>
  <c r="J427" i="5"/>
  <c r="J423" i="5"/>
  <c r="J419" i="5"/>
  <c r="J415" i="5"/>
  <c r="J411" i="5"/>
  <c r="J407" i="5"/>
  <c r="J403" i="5"/>
  <c r="J399" i="5"/>
  <c r="J395" i="5"/>
  <c r="J391" i="5"/>
  <c r="J387" i="5"/>
  <c r="J383" i="5"/>
  <c r="J379" i="5"/>
  <c r="J375" i="5"/>
  <c r="J371" i="5"/>
  <c r="J367" i="5"/>
  <c r="J363" i="5"/>
  <c r="J554" i="5"/>
  <c r="J550" i="5"/>
  <c r="J546" i="5"/>
  <c r="J538" i="5"/>
  <c r="J534" i="5"/>
  <c r="J530" i="5"/>
  <c r="J526" i="5"/>
  <c r="J522" i="5"/>
  <c r="J518" i="5"/>
  <c r="J514" i="5"/>
  <c r="J510" i="5"/>
  <c r="J506" i="5"/>
  <c r="J502" i="5"/>
  <c r="J498" i="5"/>
  <c r="J494" i="5"/>
  <c r="J490" i="5"/>
  <c r="J486" i="5"/>
  <c r="J482" i="5"/>
  <c r="J478" i="5"/>
  <c r="J474" i="5"/>
  <c r="J470" i="5"/>
  <c r="J466" i="5"/>
  <c r="J462" i="5"/>
  <c r="J458" i="5"/>
  <c r="J454" i="5"/>
  <c r="J450" i="5"/>
  <c r="J446" i="5"/>
  <c r="J442" i="5"/>
  <c r="J438" i="5"/>
  <c r="J434" i="5"/>
  <c r="J430" i="5"/>
  <c r="J426" i="5"/>
  <c r="J422" i="5"/>
  <c r="J418" i="5"/>
  <c r="J414" i="5"/>
  <c r="J410" i="5"/>
  <c r="J406" i="5"/>
  <c r="J402" i="5"/>
  <c r="J398" i="5"/>
  <c r="J394" i="5"/>
  <c r="J390" i="5"/>
  <c r="J386" i="5"/>
  <c r="J382" i="5"/>
  <c r="J378" i="5"/>
  <c r="J374" i="5"/>
  <c r="J370" i="5"/>
  <c r="J366" i="5"/>
  <c r="J557" i="5"/>
  <c r="AE41" i="7"/>
  <c r="AD41" i="7"/>
  <c r="AE26" i="7"/>
  <c r="AE33" i="7"/>
  <c r="J362" i="5"/>
  <c r="AD33" i="7"/>
  <c r="AC26" i="7"/>
  <c r="AC33" i="7"/>
  <c r="AB30" i="7"/>
  <c r="AB23" i="7"/>
  <c r="AB12" i="7"/>
  <c r="AB19" i="7"/>
  <c r="AB24" i="7"/>
  <c r="AB25" i="7"/>
  <c r="AB31" i="7"/>
  <c r="AB32" i="7"/>
  <c r="AC41" i="7"/>
  <c r="K358" i="1"/>
  <c r="K347" i="1"/>
  <c r="K121" i="1"/>
  <c r="K57" i="1"/>
  <c r="K200" i="1"/>
  <c r="K102" i="1"/>
  <c r="K400" i="1"/>
  <c r="K54" i="1"/>
  <c r="K235" i="1"/>
  <c r="K183" i="1"/>
  <c r="K307" i="1"/>
  <c r="K421" i="1"/>
  <c r="K217" i="1"/>
  <c r="K116" i="1"/>
  <c r="K430" i="1"/>
  <c r="K221" i="1"/>
  <c r="K352" i="1"/>
  <c r="K368" i="1"/>
  <c r="K47" i="1"/>
  <c r="K318" i="1"/>
  <c r="K391" i="1"/>
  <c r="K381" i="1"/>
  <c r="K38" i="1"/>
  <c r="K22" i="1"/>
  <c r="K385" i="1"/>
  <c r="K138" i="1"/>
  <c r="K244" i="1"/>
  <c r="AD6" i="3"/>
  <c r="AD40" i="3"/>
  <c r="AD38" i="3"/>
  <c r="AD113" i="3"/>
  <c r="AD70" i="3"/>
  <c r="AD63" i="3"/>
  <c r="AC5" i="2"/>
  <c r="AC130" i="2"/>
  <c r="AC154" i="2"/>
  <c r="AC28" i="2"/>
  <c r="AC160" i="2"/>
  <c r="AC40" i="2"/>
  <c r="T6" i="3"/>
  <c r="U6" i="3"/>
  <c r="T40" i="3"/>
  <c r="U40" i="3"/>
  <c r="T38" i="3"/>
  <c r="U38" i="3"/>
  <c r="T113" i="3"/>
  <c r="U113" i="3"/>
  <c r="T70" i="3"/>
  <c r="U70" i="3"/>
  <c r="T63" i="3"/>
  <c r="U63" i="3"/>
  <c r="T62" i="3"/>
  <c r="K6" i="3"/>
  <c r="K40" i="3"/>
  <c r="K38" i="3"/>
  <c r="K113" i="3"/>
  <c r="K70" i="3"/>
  <c r="K63" i="3"/>
  <c r="Y358" i="1"/>
  <c r="Y347" i="1"/>
  <c r="Y121" i="1"/>
  <c r="Y57" i="1"/>
  <c r="Y200" i="1"/>
  <c r="Y102" i="1"/>
  <c r="Y400" i="1"/>
  <c r="Y54" i="1"/>
  <c r="Y235" i="1"/>
  <c r="Y183" i="1"/>
  <c r="Y307" i="1"/>
  <c r="Y421" i="1"/>
  <c r="Y217" i="1"/>
  <c r="Y116" i="1"/>
  <c r="Y430" i="1"/>
  <c r="Y221" i="1"/>
  <c r="Y352" i="1"/>
  <c r="Y368" i="1"/>
  <c r="Y47" i="1"/>
  <c r="Y318" i="1"/>
  <c r="Y391" i="1"/>
  <c r="Y381" i="1"/>
  <c r="Y38" i="1"/>
  <c r="Y22" i="1"/>
  <c r="Y385" i="1"/>
  <c r="Y138" i="1"/>
  <c r="Y244" i="1"/>
  <c r="G6" i="3"/>
  <c r="G40" i="3"/>
  <c r="G38" i="3"/>
  <c r="G113" i="3"/>
  <c r="G70" i="3"/>
  <c r="G63" i="3"/>
  <c r="G5" i="2"/>
  <c r="G130" i="2"/>
  <c r="G154" i="2"/>
  <c r="G28" i="2"/>
  <c r="G160" i="2"/>
  <c r="G40" i="2"/>
  <c r="G103" i="2"/>
  <c r="G358" i="1"/>
  <c r="G347" i="1"/>
  <c r="G121" i="1"/>
  <c r="G57" i="1"/>
  <c r="G200" i="1"/>
  <c r="G102" i="1"/>
  <c r="G400" i="1"/>
  <c r="G54" i="1"/>
  <c r="G235" i="1"/>
  <c r="G183" i="1"/>
  <c r="G307" i="1"/>
  <c r="G421" i="1"/>
  <c r="G217" i="1"/>
  <c r="G116" i="1"/>
  <c r="G430" i="1"/>
  <c r="G221" i="1"/>
  <c r="G352" i="1"/>
  <c r="G368" i="1"/>
  <c r="G47" i="1"/>
  <c r="G318" i="1"/>
  <c r="G391" i="1"/>
  <c r="G381" i="1"/>
  <c r="G38" i="1"/>
  <c r="G22" i="1"/>
  <c r="G385" i="1"/>
  <c r="G138" i="1"/>
  <c r="G244" i="1"/>
  <c r="AE488" i="9"/>
  <c r="AA19" i="7"/>
  <c r="AA40" i="7"/>
  <c r="AA32" i="7"/>
  <c r="AA31" i="7"/>
  <c r="AA30" i="7"/>
  <c r="AA25" i="7"/>
  <c r="AA24" i="7"/>
  <c r="AA23" i="7"/>
  <c r="AA12" i="7"/>
  <c r="T131" i="3"/>
  <c r="Y40" i="7"/>
  <c r="G55" i="1"/>
  <c r="G335" i="1"/>
  <c r="AA425" i="9"/>
  <c r="N425" i="9"/>
  <c r="Z32" i="7"/>
  <c r="Z31" i="7"/>
  <c r="Z30" i="7"/>
  <c r="Z23" i="7"/>
  <c r="Z25" i="7"/>
  <c r="Z24" i="7"/>
  <c r="Z19" i="7"/>
  <c r="Z12" i="7"/>
  <c r="Z40" i="7"/>
  <c r="G159" i="2"/>
  <c r="G77" i="2"/>
  <c r="G84" i="2"/>
  <c r="G104" i="2"/>
  <c r="G150" i="2"/>
  <c r="G122" i="2"/>
  <c r="G18" i="2"/>
  <c r="G152" i="2"/>
  <c r="G112" i="2"/>
  <c r="G138" i="2"/>
  <c r="G85" i="2"/>
  <c r="G61" i="2"/>
  <c r="G56" i="2"/>
  <c r="G137" i="2"/>
  <c r="G76" i="2"/>
  <c r="G87" i="2"/>
  <c r="G146" i="2"/>
  <c r="G24" i="2"/>
  <c r="G33" i="2"/>
  <c r="G74" i="2"/>
  <c r="G70" i="2"/>
  <c r="G39" i="2"/>
  <c r="G93" i="2"/>
  <c r="G88" i="2"/>
  <c r="G38" i="2"/>
  <c r="G86" i="2"/>
  <c r="G16" i="2"/>
  <c r="G30" i="2"/>
  <c r="G110" i="2"/>
  <c r="G64" i="2"/>
  <c r="G94" i="2"/>
  <c r="G53" i="2"/>
  <c r="G75" i="2"/>
  <c r="G102" i="2"/>
  <c r="G79" i="2"/>
  <c r="G67" i="2"/>
  <c r="G69" i="2"/>
  <c r="G135" i="2"/>
  <c r="G6" i="2"/>
  <c r="G133" i="2"/>
  <c r="G96" i="2"/>
  <c r="G34" i="2"/>
  <c r="G7" i="2"/>
  <c r="G136" i="2"/>
  <c r="G19" i="2"/>
  <c r="G155" i="2"/>
  <c r="G101" i="2"/>
  <c r="G107" i="2"/>
  <c r="G108" i="2"/>
  <c r="G92" i="2"/>
  <c r="G29" i="2"/>
  <c r="G157" i="2"/>
  <c r="G128" i="2"/>
  <c r="G124" i="2"/>
  <c r="G72" i="2"/>
  <c r="G82" i="2"/>
  <c r="G12" i="2"/>
  <c r="G142" i="2"/>
  <c r="G21" i="2"/>
  <c r="G100" i="2"/>
  <c r="G99" i="2"/>
  <c r="G134" i="2"/>
  <c r="G81" i="2"/>
  <c r="G121" i="2"/>
  <c r="G98" i="2"/>
  <c r="G143" i="2"/>
  <c r="G153" i="2"/>
  <c r="G119" i="2"/>
  <c r="G109" i="2"/>
  <c r="G156" i="2"/>
  <c r="G132" i="2"/>
  <c r="G131" i="2"/>
  <c r="G141" i="2"/>
  <c r="G20" i="2"/>
  <c r="G17" i="2"/>
  <c r="G117" i="2"/>
  <c r="G120" i="2"/>
  <c r="G26" i="2"/>
  <c r="G127" i="2"/>
  <c r="Z425" i="9"/>
  <c r="M425" i="9"/>
  <c r="U5" i="3"/>
  <c r="U57" i="3"/>
  <c r="T5" i="3"/>
  <c r="T57" i="3"/>
  <c r="AD78" i="3"/>
  <c r="AD50" i="3"/>
  <c r="AD34" i="3"/>
  <c r="AD114" i="3"/>
  <c r="AD26" i="3"/>
  <c r="AD41" i="3"/>
  <c r="AD5" i="3"/>
  <c r="AD57" i="3"/>
  <c r="T41" i="3"/>
  <c r="U41" i="3"/>
  <c r="K41" i="3"/>
  <c r="K5" i="3"/>
  <c r="K57" i="3"/>
  <c r="G41" i="3"/>
  <c r="G5" i="3"/>
  <c r="G57" i="3"/>
  <c r="AC81" i="2"/>
  <c r="AC21" i="2"/>
  <c r="AC90" i="2"/>
  <c r="AC123" i="2"/>
  <c r="AC97" i="2"/>
  <c r="G63" i="2"/>
  <c r="G129" i="2"/>
  <c r="G95" i="2"/>
  <c r="Y25" i="1"/>
  <c r="Y265" i="1"/>
  <c r="Y377" i="1"/>
  <c r="Y237" i="1"/>
  <c r="Y406" i="1"/>
  <c r="Y210" i="1"/>
  <c r="Y356" i="1"/>
  <c r="Y399" i="1"/>
  <c r="Y357" i="1"/>
  <c r="Y335" i="1"/>
  <c r="K112" i="1"/>
  <c r="K213" i="1"/>
  <c r="K45" i="1"/>
  <c r="K194" i="1"/>
  <c r="K236" i="1"/>
  <c r="K181" i="1"/>
  <c r="K218" i="1"/>
  <c r="K384" i="1"/>
  <c r="K403" i="1"/>
  <c r="G25" i="1"/>
  <c r="G265" i="1"/>
  <c r="G377" i="1"/>
  <c r="G237" i="1"/>
  <c r="G406" i="1"/>
  <c r="G210" i="1"/>
  <c r="G356" i="1"/>
  <c r="G399" i="1"/>
  <c r="G357" i="1"/>
  <c r="G369" i="1"/>
  <c r="L425" i="9"/>
  <c r="Y425" i="9"/>
  <c r="X425" i="9"/>
  <c r="W425" i="9"/>
  <c r="V425" i="9"/>
  <c r="U425" i="9"/>
  <c r="T425" i="9"/>
  <c r="S425" i="9"/>
  <c r="R425" i="9"/>
  <c r="Q425" i="9"/>
  <c r="P425" i="9"/>
  <c r="O425" i="9"/>
  <c r="K425" i="9"/>
  <c r="J425" i="9"/>
  <c r="I425" i="9"/>
  <c r="H425" i="9"/>
  <c r="G425" i="9"/>
  <c r="F425" i="9"/>
  <c r="E425" i="9"/>
  <c r="D425" i="9"/>
  <c r="C425" i="9"/>
  <c r="B425" i="9"/>
  <c r="Z41" i="7" l="1"/>
  <c r="AB41" i="7"/>
  <c r="AB26" i="7"/>
  <c r="AA41" i="7"/>
  <c r="AB33" i="7"/>
  <c r="I319" i="5"/>
  <c r="AA33" i="7"/>
  <c r="AA26" i="7"/>
  <c r="Z33" i="7"/>
  <c r="Z26" i="7"/>
  <c r="U137" i="3"/>
  <c r="J319" i="5"/>
  <c r="U441" i="1"/>
  <c r="AC121" i="2"/>
  <c r="AC64" i="2"/>
  <c r="AC74" i="2"/>
  <c r="AC104" i="2"/>
  <c r="AC37" i="2"/>
  <c r="AC108" i="2"/>
  <c r="AC135" i="2"/>
  <c r="AC141" i="2"/>
  <c r="AC133" i="2"/>
  <c r="AC151" i="2"/>
  <c r="AC87" i="2"/>
  <c r="G3" i="2"/>
  <c r="G139" i="2"/>
  <c r="G118" i="2"/>
  <c r="G123" i="2"/>
  <c r="K288" i="1"/>
  <c r="K174" i="1"/>
  <c r="K279" i="1"/>
  <c r="K56" i="1"/>
  <c r="K196" i="1"/>
  <c r="K29" i="1"/>
  <c r="Y236" i="1"/>
  <c r="Y231" i="1"/>
  <c r="Y254" i="1"/>
  <c r="Y345" i="1"/>
  <c r="Y420" i="1"/>
  <c r="Y369" i="1"/>
  <c r="Y56" i="1"/>
  <c r="Y442" i="1"/>
  <c r="Y6" i="1"/>
  <c r="Y384" i="1"/>
  <c r="Y113" i="1"/>
  <c r="Y401" i="1"/>
  <c r="Y433" i="1"/>
  <c r="Y308" i="1"/>
  <c r="Y66" i="1"/>
  <c r="Y363" i="1"/>
  <c r="Y89" i="1"/>
  <c r="Y226" i="1"/>
  <c r="Y72" i="1"/>
  <c r="Y11" i="1"/>
  <c r="Y367" i="1"/>
  <c r="Y112" i="1"/>
  <c r="Y156" i="1"/>
  <c r="Y427" i="1"/>
  <c r="Y3" i="1"/>
  <c r="Y234" i="1"/>
  <c r="Y353" i="1"/>
  <c r="Y110" i="1"/>
  <c r="Y240" i="1"/>
  <c r="Y239" i="1"/>
  <c r="Y331" i="1"/>
  <c r="Y160" i="1"/>
  <c r="Y190" i="1"/>
  <c r="Y419" i="1"/>
  <c r="Y68" i="1"/>
  <c r="Y118" i="1"/>
  <c r="Y266" i="1"/>
  <c r="Y149" i="1"/>
  <c r="Y172" i="1"/>
  <c r="Y293" i="1"/>
  <c r="Y321" i="1"/>
  <c r="Y29" i="1"/>
  <c r="Y422" i="1"/>
  <c r="Y196" i="1"/>
  <c r="Y302" i="1"/>
  <c r="Y93" i="1"/>
  <c r="Y283" i="1"/>
  <c r="Y375" i="1"/>
  <c r="Y424" i="1"/>
  <c r="Y438" i="1"/>
  <c r="Y346" i="1"/>
  <c r="Y227" i="1"/>
  <c r="Y296" i="1"/>
  <c r="Y157" i="1"/>
  <c r="Y51" i="1"/>
  <c r="Y339" i="1"/>
  <c r="Y150" i="1"/>
  <c r="Y373" i="1"/>
  <c r="Y242" i="1"/>
  <c r="Y211" i="1"/>
  <c r="Y61" i="1"/>
  <c r="Y312" i="1"/>
  <c r="Y289" i="1"/>
  <c r="Y216" i="1"/>
  <c r="Y223" i="1"/>
  <c r="Y24" i="1"/>
  <c r="Y348" i="1"/>
  <c r="Y408" i="1"/>
  <c r="Y204" i="1"/>
  <c r="Y215" i="1"/>
  <c r="Y185" i="1"/>
  <c r="Y98" i="1"/>
  <c r="Y333" i="1"/>
  <c r="Y174" i="1"/>
  <c r="Y325" i="1"/>
  <c r="Y199" i="1"/>
  <c r="Y336" i="1"/>
  <c r="Y175" i="1"/>
  <c r="Y135" i="1"/>
  <c r="Y91" i="1"/>
  <c r="Y176" i="1"/>
  <c r="Y159" i="1"/>
  <c r="Y120" i="1"/>
  <c r="Y139" i="1"/>
  <c r="Y398" i="1"/>
  <c r="Y161" i="1"/>
  <c r="Y219" i="1"/>
  <c r="Y132" i="1"/>
  <c r="Y262" i="1"/>
  <c r="Y383" i="1"/>
  <c r="Y114" i="1"/>
  <c r="Y279" i="1"/>
  <c r="Y202" i="1"/>
  <c r="Y281" i="1"/>
  <c r="Y324" i="1"/>
  <c r="Y105" i="1"/>
  <c r="Y198" i="1"/>
  <c r="Y86" i="1"/>
  <c r="Y137" i="1"/>
  <c r="Y311" i="1"/>
  <c r="Y106" i="1"/>
  <c r="Y379" i="1"/>
  <c r="Y360" i="1"/>
  <c r="Y230" i="1"/>
  <c r="Y248" i="1"/>
  <c r="Y151" i="1"/>
  <c r="Y126" i="1"/>
  <c r="Y407" i="1"/>
  <c r="Y177" i="1"/>
  <c r="Y76" i="1"/>
  <c r="Y128" i="1"/>
  <c r="Y374" i="1"/>
  <c r="Y67" i="1"/>
  <c r="Y340" i="1"/>
  <c r="Y74" i="1"/>
  <c r="Y69" i="1"/>
  <c r="Y143" i="1"/>
  <c r="Y83" i="1"/>
  <c r="Y290" i="1"/>
  <c r="Y90" i="1"/>
  <c r="Y103" i="1"/>
  <c r="Y213" i="1"/>
  <c r="Y87" i="1"/>
  <c r="Y45" i="1"/>
  <c r="Y390" i="1"/>
  <c r="Y123" i="1"/>
  <c r="Y361" i="1"/>
  <c r="Y207" i="1"/>
  <c r="Y146" i="1"/>
  <c r="Y389" i="1"/>
  <c r="Y329" i="1"/>
  <c r="Y19" i="1"/>
  <c r="Y71" i="1"/>
  <c r="Y5" i="1"/>
  <c r="Y261" i="1"/>
  <c r="Y268" i="1"/>
  <c r="Y278" i="1"/>
  <c r="Y365" i="1"/>
  <c r="Y88" i="1"/>
  <c r="Y264" i="1"/>
  <c r="Y73" i="1"/>
  <c r="Y14" i="1"/>
  <c r="Y16" i="1"/>
  <c r="Y95" i="1"/>
  <c r="Y49" i="1"/>
  <c r="Y317" i="1"/>
  <c r="Y291" i="1"/>
  <c r="Y342" i="1"/>
  <c r="Y314" i="1"/>
  <c r="Y48" i="1"/>
  <c r="Y376" i="1"/>
  <c r="Y165" i="1"/>
  <c r="Y35" i="1"/>
  <c r="Y403" i="1"/>
  <c r="Y380" i="1"/>
  <c r="Y341" i="1"/>
  <c r="Y323" i="1"/>
  <c r="Y192" i="1"/>
  <c r="Y218" i="1"/>
  <c r="Y238" i="1"/>
  <c r="Y330" i="1"/>
  <c r="Y194" i="1"/>
  <c r="Y212" i="1"/>
  <c r="Y148" i="1"/>
  <c r="Y316" i="1"/>
  <c r="Y280" i="1"/>
  <c r="Y364" i="1"/>
  <c r="Y288" i="1"/>
  <c r="Y31" i="1"/>
  <c r="Y224" i="1"/>
  <c r="Y370" i="1"/>
  <c r="Y60" i="1"/>
  <c r="Y232" i="1"/>
  <c r="Y168" i="1"/>
  <c r="Y436" i="1"/>
  <c r="Y12" i="1"/>
  <c r="Y28" i="1"/>
  <c r="Y334" i="1"/>
  <c r="Y270" i="1"/>
  <c r="Y181" i="1"/>
  <c r="Y418" i="1"/>
  <c r="Y141" i="1"/>
  <c r="Y362" i="1"/>
  <c r="Y101" i="1"/>
  <c r="Y405" i="1"/>
  <c r="Y271" i="1"/>
  <c r="Y388" i="1"/>
  <c r="Y306" i="1"/>
  <c r="Y197" i="1"/>
  <c r="Y416" i="1"/>
  <c r="Y410" i="1"/>
  <c r="Y429" i="1"/>
  <c r="Y414" i="1"/>
  <c r="Y273" i="1"/>
  <c r="Y319" i="1"/>
  <c r="Y55" i="1"/>
  <c r="Y4" i="1"/>
  <c r="Y297" i="1"/>
  <c r="Y441" i="1"/>
  <c r="G420" i="1"/>
  <c r="G345" i="1"/>
  <c r="G254" i="1"/>
  <c r="G231" i="1"/>
  <c r="G236" i="1"/>
  <c r="U78" i="3"/>
  <c r="U50" i="3"/>
  <c r="U34" i="3"/>
  <c r="U114" i="3"/>
  <c r="U26" i="3"/>
  <c r="T78" i="3"/>
  <c r="T50" i="3"/>
  <c r="T34" i="3"/>
  <c r="T114" i="3"/>
  <c r="T26" i="3"/>
  <c r="G34" i="3"/>
  <c r="G114" i="3"/>
  <c r="G26" i="3"/>
  <c r="G50" i="3"/>
  <c r="G78" i="3"/>
  <c r="AC161" i="2"/>
  <c r="G97" i="2"/>
  <c r="G10" i="2"/>
  <c r="G37" i="2"/>
  <c r="K210" i="1"/>
  <c r="K319" i="1"/>
  <c r="K72" i="1"/>
  <c r="G297" i="1"/>
  <c r="G56" i="1"/>
  <c r="AD133" i="3"/>
  <c r="AD97" i="3"/>
  <c r="AD43" i="3"/>
  <c r="AD116" i="3"/>
  <c r="AD112" i="3"/>
  <c r="AD127" i="3"/>
  <c r="AD129" i="3"/>
  <c r="AD61" i="3"/>
  <c r="AD18" i="3"/>
  <c r="AD14" i="3"/>
  <c r="AD121" i="3"/>
  <c r="AD33" i="3"/>
  <c r="AD131" i="3"/>
  <c r="AD119" i="3"/>
  <c r="AD94" i="3"/>
  <c r="AD68" i="3"/>
  <c r="AD79" i="3"/>
  <c r="AD101" i="3"/>
  <c r="AD64" i="3"/>
  <c r="AD88" i="3"/>
  <c r="AD23" i="3"/>
  <c r="AD105" i="3"/>
  <c r="AD71" i="3"/>
  <c r="AD77" i="3"/>
  <c r="AD72" i="3"/>
  <c r="AD100" i="3"/>
  <c r="AD39" i="3"/>
  <c r="AD115" i="3"/>
  <c r="AD52" i="3"/>
  <c r="AD20" i="3"/>
  <c r="AD60" i="3"/>
  <c r="AD44" i="3"/>
  <c r="AD83" i="3"/>
  <c r="AD16" i="3"/>
  <c r="AD27" i="3"/>
  <c r="AD22" i="3"/>
  <c r="AD80" i="3"/>
  <c r="AD42" i="3"/>
  <c r="AD92" i="3"/>
  <c r="AD85" i="3"/>
  <c r="AD82" i="3"/>
  <c r="AD35" i="3"/>
  <c r="AD28" i="3"/>
  <c r="AD66" i="3"/>
  <c r="AD108" i="3"/>
  <c r="AD132" i="3"/>
  <c r="AD81" i="3"/>
  <c r="AD37" i="3"/>
  <c r="AD56" i="3"/>
  <c r="AD73" i="3"/>
  <c r="AD65" i="3"/>
  <c r="AD99" i="3"/>
  <c r="AD12" i="3"/>
  <c r="AD15" i="3"/>
  <c r="AD89" i="3"/>
  <c r="AD31" i="3"/>
  <c r="AD59" i="3"/>
  <c r="AD67" i="3"/>
  <c r="AD62" i="3"/>
  <c r="AD93" i="3"/>
  <c r="AD107" i="3"/>
  <c r="AD91" i="3"/>
  <c r="AD19" i="3"/>
  <c r="AD90" i="3"/>
  <c r="AD96" i="3"/>
  <c r="AD118" i="3"/>
  <c r="AD95" i="3"/>
  <c r="AD74" i="3"/>
  <c r="AD117" i="3"/>
  <c r="AD110" i="3"/>
  <c r="AD120" i="3"/>
  <c r="AD125" i="3"/>
  <c r="AD123" i="3"/>
  <c r="AD103" i="3"/>
  <c r="AD87" i="3"/>
  <c r="AD104" i="3"/>
  <c r="AD130" i="3"/>
  <c r="AD122" i="3"/>
  <c r="AD109" i="3"/>
  <c r="AD102" i="3"/>
  <c r="AD98" i="3"/>
  <c r="AD32" i="3"/>
  <c r="AD55" i="3"/>
  <c r="AD128" i="3"/>
  <c r="AD126" i="3"/>
  <c r="AD111" i="3"/>
  <c r="AD84" i="3"/>
  <c r="AD124" i="3"/>
  <c r="AC20" i="2"/>
  <c r="AC136" i="2"/>
  <c r="AC17" i="2"/>
  <c r="AC98" i="2"/>
  <c r="AC149" i="2"/>
  <c r="AC35" i="2"/>
  <c r="AC11" i="2"/>
  <c r="AC143" i="2"/>
  <c r="AC65" i="2"/>
  <c r="AC3" i="2"/>
  <c r="AC128" i="2"/>
  <c r="AC138" i="2"/>
  <c r="AC120" i="2"/>
  <c r="AC131" i="2"/>
  <c r="AC155" i="2"/>
  <c r="AC147" i="2"/>
  <c r="AC63" i="2"/>
  <c r="AC84" i="2"/>
  <c r="AC85" i="2"/>
  <c r="AC14" i="2"/>
  <c r="AC127" i="2"/>
  <c r="AC19" i="2"/>
  <c r="AC95" i="2"/>
  <c r="AC156" i="2"/>
  <c r="AC94" i="2"/>
  <c r="AC73" i="2"/>
  <c r="AC144" i="2"/>
  <c r="AC38" i="2"/>
  <c r="AC129" i="2"/>
  <c r="AC39" i="2"/>
  <c r="AC92" i="2"/>
  <c r="AC102" i="2"/>
  <c r="AC132" i="2"/>
  <c r="AC88" i="2"/>
  <c r="AC111" i="2"/>
  <c r="AC30" i="2"/>
  <c r="AC114" i="2"/>
  <c r="AC146" i="2"/>
  <c r="AC99" i="2"/>
  <c r="AC24" i="2"/>
  <c r="AC31" i="2"/>
  <c r="AC96" i="2"/>
  <c r="AC60" i="2"/>
  <c r="AC153" i="2"/>
  <c r="AC7" i="2"/>
  <c r="AC103" i="2"/>
  <c r="AC139" i="2"/>
  <c r="AC55" i="2"/>
  <c r="AC32" i="2"/>
  <c r="AC159" i="2"/>
  <c r="AC109" i="2"/>
  <c r="AC126" i="2"/>
  <c r="AC26" i="2"/>
  <c r="AC118" i="2"/>
  <c r="AC33" i="2"/>
  <c r="AC18" i="2"/>
  <c r="AC106" i="2"/>
  <c r="AC150" i="2"/>
  <c r="AC68" i="2"/>
  <c r="AC72" i="2"/>
  <c r="AC15" i="2"/>
  <c r="AC134" i="2"/>
  <c r="AC56" i="2"/>
  <c r="AC91" i="2"/>
  <c r="AC82" i="2"/>
  <c r="AC67" i="2"/>
  <c r="AC22" i="2"/>
  <c r="AC13" i="2"/>
  <c r="AC142" i="2"/>
  <c r="AC101" i="2"/>
  <c r="AC157" i="2"/>
  <c r="AC75" i="2"/>
  <c r="AC16" i="2"/>
  <c r="AC117" i="2"/>
  <c r="AC110" i="2"/>
  <c r="AC119" i="2"/>
  <c r="AC12" i="2"/>
  <c r="AC69" i="2"/>
  <c r="AC36" i="2"/>
  <c r="AC70" i="2"/>
  <c r="AC124" i="2"/>
  <c r="AC145" i="2"/>
  <c r="AC62" i="2"/>
  <c r="AC59" i="2"/>
  <c r="AC125" i="2"/>
  <c r="AC78" i="2"/>
  <c r="AC122" i="2"/>
  <c r="AC115" i="2"/>
  <c r="AC34" i="2"/>
  <c r="AC112" i="2"/>
  <c r="AC53" i="2"/>
  <c r="AC79" i="2"/>
  <c r="AC86" i="2"/>
  <c r="AC83" i="2"/>
  <c r="AC100" i="2"/>
  <c r="AC152" i="2"/>
  <c r="AC6" i="2"/>
  <c r="AC137" i="2"/>
  <c r="AC10" i="2"/>
  <c r="AC61" i="2"/>
  <c r="AC107" i="2"/>
  <c r="AC76" i="2"/>
  <c r="AC93" i="2"/>
  <c r="AC77" i="2"/>
  <c r="K4" i="1"/>
  <c r="V441" i="1"/>
  <c r="G11" i="2"/>
  <c r="G115" i="2"/>
  <c r="K398" i="1"/>
  <c r="K55" i="1"/>
  <c r="K11" i="1"/>
  <c r="K333" i="1"/>
  <c r="K185" i="1"/>
  <c r="G334" i="1"/>
  <c r="G278" i="1"/>
  <c r="G60" i="1"/>
  <c r="G12" i="1"/>
  <c r="U56" i="3"/>
  <c r="T77" i="3"/>
  <c r="T97" i="3"/>
  <c r="U97" i="3"/>
  <c r="U130" i="3"/>
  <c r="T130" i="3"/>
  <c r="U128" i="3"/>
  <c r="U129" i="3"/>
  <c r="U121" i="3"/>
  <c r="U32" i="3"/>
  <c r="U105" i="3"/>
  <c r="U33" i="3"/>
  <c r="U71" i="3"/>
  <c r="U88" i="3"/>
  <c r="U99" i="3"/>
  <c r="U85" i="3"/>
  <c r="U15" i="3"/>
  <c r="U55" i="3"/>
  <c r="U122" i="3"/>
  <c r="U91" i="3"/>
  <c r="U104" i="3"/>
  <c r="U119" i="3"/>
  <c r="U22" i="3"/>
  <c r="U96" i="3"/>
  <c r="U120" i="3"/>
  <c r="U115" i="3"/>
  <c r="U72" i="3"/>
  <c r="U65" i="3"/>
  <c r="U87" i="3"/>
  <c r="U98" i="3"/>
  <c r="U19" i="3"/>
  <c r="U27" i="3"/>
  <c r="U82" i="3"/>
  <c r="U95" i="3"/>
  <c r="U23" i="3"/>
  <c r="U35" i="3"/>
  <c r="U81" i="3"/>
  <c r="U42" i="3"/>
  <c r="U28" i="3"/>
  <c r="U107" i="3"/>
  <c r="U31" i="3"/>
  <c r="U123" i="3"/>
  <c r="U16" i="3"/>
  <c r="U83" i="3"/>
  <c r="U103" i="3"/>
  <c r="U92" i="3"/>
  <c r="U117" i="3"/>
  <c r="U90" i="3"/>
  <c r="U12" i="3"/>
  <c r="U110" i="3"/>
  <c r="U44" i="3"/>
  <c r="U43" i="3"/>
  <c r="U94" i="3"/>
  <c r="U118" i="3"/>
  <c r="U73" i="3"/>
  <c r="U108" i="3"/>
  <c r="U101" i="3"/>
  <c r="U133" i="3"/>
  <c r="U74" i="3"/>
  <c r="U60" i="3"/>
  <c r="U80" i="3"/>
  <c r="U37" i="3"/>
  <c r="U64" i="3"/>
  <c r="U100" i="3"/>
  <c r="U68" i="3"/>
  <c r="U18" i="3"/>
  <c r="U124" i="3"/>
  <c r="U93" i="3"/>
  <c r="U52" i="3"/>
  <c r="U20" i="3"/>
  <c r="U39" i="3"/>
  <c r="U126" i="3"/>
  <c r="U125" i="3"/>
  <c r="U127" i="3"/>
  <c r="U109" i="3"/>
  <c r="U102" i="3"/>
  <c r="U66" i="3"/>
  <c r="U79" i="3"/>
  <c r="U112" i="3"/>
  <c r="U14" i="3"/>
  <c r="U89" i="3"/>
  <c r="U77" i="3"/>
  <c r="U84" i="3"/>
  <c r="U111" i="3"/>
  <c r="U61" i="3"/>
  <c r="T56" i="3"/>
  <c r="T128" i="3"/>
  <c r="T129" i="3"/>
  <c r="T121" i="3"/>
  <c r="T32" i="3"/>
  <c r="T105" i="3"/>
  <c r="T33" i="3"/>
  <c r="T71" i="3"/>
  <c r="T88" i="3"/>
  <c r="T99" i="3"/>
  <c r="T85" i="3"/>
  <c r="T15" i="3"/>
  <c r="T55" i="3"/>
  <c r="T122" i="3"/>
  <c r="T91" i="3"/>
  <c r="T104" i="3"/>
  <c r="T119" i="3"/>
  <c r="T22" i="3"/>
  <c r="T96" i="3"/>
  <c r="T120" i="3"/>
  <c r="T115" i="3"/>
  <c r="T72" i="3"/>
  <c r="T65" i="3"/>
  <c r="T87" i="3"/>
  <c r="T98" i="3"/>
  <c r="T19" i="3"/>
  <c r="T27" i="3"/>
  <c r="T82" i="3"/>
  <c r="T95" i="3"/>
  <c r="T23" i="3"/>
  <c r="T35" i="3"/>
  <c r="T81" i="3"/>
  <c r="T42" i="3"/>
  <c r="T28" i="3"/>
  <c r="T107" i="3"/>
  <c r="T31" i="3"/>
  <c r="T123" i="3"/>
  <c r="T16" i="3"/>
  <c r="T83" i="3"/>
  <c r="T103" i="3"/>
  <c r="T92" i="3"/>
  <c r="T117" i="3"/>
  <c r="T90" i="3"/>
  <c r="T12" i="3"/>
  <c r="T110" i="3"/>
  <c r="T44" i="3"/>
  <c r="T43" i="3"/>
  <c r="T94" i="3"/>
  <c r="T118" i="3"/>
  <c r="T73" i="3"/>
  <c r="T108" i="3"/>
  <c r="T101" i="3"/>
  <c r="T133" i="3"/>
  <c r="T74" i="3"/>
  <c r="T60" i="3"/>
  <c r="T80" i="3"/>
  <c r="T37" i="3"/>
  <c r="T64" i="3"/>
  <c r="T100" i="3"/>
  <c r="T68" i="3"/>
  <c r="T18" i="3"/>
  <c r="T124" i="3"/>
  <c r="T93" i="3"/>
  <c r="T52" i="3"/>
  <c r="T20" i="3"/>
  <c r="T39" i="3"/>
  <c r="T126" i="3"/>
  <c r="T125" i="3"/>
  <c r="T127" i="3"/>
  <c r="T109" i="3"/>
  <c r="T102" i="3"/>
  <c r="T66" i="3"/>
  <c r="T79" i="3"/>
  <c r="T112" i="3"/>
  <c r="T14" i="3"/>
  <c r="T89" i="3"/>
  <c r="T84" i="3"/>
  <c r="T111" i="3"/>
  <c r="T61" i="3"/>
  <c r="K106" i="1"/>
  <c r="K261" i="1"/>
  <c r="K331" i="1"/>
  <c r="K226" i="1"/>
  <c r="K375" i="1"/>
  <c r="K427" i="1"/>
  <c r="K289" i="1"/>
  <c r="K361" i="1"/>
  <c r="G238" i="1"/>
  <c r="G132" i="1"/>
  <c r="G306" i="1"/>
  <c r="G270" i="1"/>
  <c r="G319" i="1"/>
  <c r="G72" i="1"/>
  <c r="G314" i="1"/>
  <c r="K26" i="3" l="1"/>
  <c r="K114" i="3"/>
  <c r="K34" i="3"/>
  <c r="K50" i="3"/>
  <c r="K78" i="3"/>
  <c r="G61" i="3"/>
  <c r="G97" i="3"/>
  <c r="G83" i="2"/>
  <c r="G110" i="1"/>
  <c r="G370" i="1"/>
  <c r="G132" i="3"/>
  <c r="K20" i="3"/>
  <c r="K67" i="3"/>
  <c r="K42" i="3"/>
  <c r="U132" i="3"/>
  <c r="G56" i="3"/>
  <c r="G128" i="3"/>
  <c r="K122" i="3"/>
  <c r="G129" i="3"/>
  <c r="K64" i="3"/>
  <c r="G121" i="3"/>
  <c r="K108" i="3"/>
  <c r="K94" i="3"/>
  <c r="G32" i="3"/>
  <c r="G105" i="3"/>
  <c r="K12" i="3"/>
  <c r="G33" i="3"/>
  <c r="K80" i="3"/>
  <c r="K119" i="3"/>
  <c r="G88" i="3"/>
  <c r="K123" i="3"/>
  <c r="G71" i="3"/>
  <c r="K124" i="3"/>
  <c r="G99" i="3"/>
  <c r="K82" i="3"/>
  <c r="G85" i="3"/>
  <c r="K81" i="3"/>
  <c r="G15" i="3"/>
  <c r="K16" i="3"/>
  <c r="G91" i="3"/>
  <c r="G122" i="3"/>
  <c r="K98" i="3"/>
  <c r="G104" i="3"/>
  <c r="K133" i="3"/>
  <c r="G119" i="3"/>
  <c r="G22" i="3"/>
  <c r="K15" i="3"/>
  <c r="G96" i="3"/>
  <c r="K120" i="3"/>
  <c r="G72" i="3"/>
  <c r="K99" i="3"/>
  <c r="G115" i="3"/>
  <c r="K90" i="3"/>
  <c r="K93" i="3"/>
  <c r="G65" i="3"/>
  <c r="G87" i="3"/>
  <c r="K129" i="3"/>
  <c r="K130" i="3"/>
  <c r="G98" i="3"/>
  <c r="K92" i="3"/>
  <c r="K110" i="3"/>
  <c r="G95" i="3"/>
  <c r="K35" i="3"/>
  <c r="G27" i="3"/>
  <c r="K68" i="3"/>
  <c r="K83" i="3"/>
  <c r="G82" i="3"/>
  <c r="K28" i="3"/>
  <c r="G35" i="3"/>
  <c r="K33" i="3"/>
  <c r="K126" i="3"/>
  <c r="G19" i="3"/>
  <c r="K37" i="3"/>
  <c r="G23" i="3"/>
  <c r="K127" i="3"/>
  <c r="G42" i="3"/>
  <c r="K101" i="3"/>
  <c r="G103" i="3"/>
  <c r="K125" i="3"/>
  <c r="G28" i="3"/>
  <c r="K31" i="3"/>
  <c r="G107" i="3"/>
  <c r="K19" i="3"/>
  <c r="G81" i="3"/>
  <c r="G123" i="3"/>
  <c r="K23" i="3"/>
  <c r="G31" i="3"/>
  <c r="K118" i="3"/>
  <c r="K112" i="3"/>
  <c r="K73" i="3"/>
  <c r="K66" i="3"/>
  <c r="G83" i="3"/>
  <c r="K87" i="3"/>
  <c r="K88" i="3"/>
  <c r="G92" i="3"/>
  <c r="K72" i="3"/>
  <c r="G117" i="3"/>
  <c r="K95" i="3"/>
  <c r="G90" i="3"/>
  <c r="K109" i="3"/>
  <c r="G12" i="3"/>
  <c r="K100" i="3"/>
  <c r="G44" i="3"/>
  <c r="G43" i="3"/>
  <c r="K56" i="3"/>
  <c r="G110" i="3"/>
  <c r="K32" i="3"/>
  <c r="G73" i="3"/>
  <c r="G108" i="3"/>
  <c r="K107" i="3"/>
  <c r="G94" i="3"/>
  <c r="K39" i="3"/>
  <c r="G118" i="3"/>
  <c r="K115" i="3"/>
  <c r="G101" i="3"/>
  <c r="K43" i="3"/>
  <c r="G133" i="3"/>
  <c r="K121" i="3"/>
  <c r="K79" i="3"/>
  <c r="G55" i="3"/>
  <c r="K65" i="3"/>
  <c r="G74" i="3"/>
  <c r="K105" i="3"/>
  <c r="K71" i="3"/>
  <c r="G60" i="3"/>
  <c r="K52" i="3"/>
  <c r="G80" i="3"/>
  <c r="K61" i="3"/>
  <c r="G100" i="3"/>
  <c r="K44" i="3"/>
  <c r="G64" i="3"/>
  <c r="K60" i="3"/>
  <c r="G124" i="3"/>
  <c r="K84" i="3"/>
  <c r="G37" i="3"/>
  <c r="G93" i="3"/>
  <c r="K117" i="3"/>
  <c r="G68" i="3"/>
  <c r="K111" i="3"/>
  <c r="G18" i="3"/>
  <c r="K103" i="3"/>
  <c r="G52" i="3"/>
  <c r="G20" i="3"/>
  <c r="K27" i="3"/>
  <c r="G126" i="3"/>
  <c r="K97" i="3"/>
  <c r="G39" i="3"/>
  <c r="K91" i="3"/>
  <c r="G109" i="3"/>
  <c r="K102" i="3"/>
  <c r="G125" i="3"/>
  <c r="K55" i="3"/>
  <c r="G127" i="3"/>
  <c r="K59" i="3"/>
  <c r="G16" i="3"/>
  <c r="K85" i="3"/>
  <c r="G66" i="3"/>
  <c r="K77" i="3"/>
  <c r="G102" i="3"/>
  <c r="K14" i="3"/>
  <c r="G112" i="3"/>
  <c r="K116" i="3"/>
  <c r="G79" i="3"/>
  <c r="K74" i="3"/>
  <c r="G14" i="3"/>
  <c r="G89" i="3"/>
  <c r="K22" i="3"/>
  <c r="G77" i="3"/>
  <c r="K96" i="3"/>
  <c r="G111" i="3"/>
  <c r="K62" i="3"/>
  <c r="G59" i="3"/>
  <c r="T59" i="3"/>
  <c r="U59" i="3"/>
  <c r="G116" i="3"/>
  <c r="K131" i="3"/>
  <c r="T116" i="3"/>
  <c r="U116" i="3"/>
  <c r="G84" i="3"/>
  <c r="K132" i="3"/>
  <c r="G67" i="3"/>
  <c r="K104" i="3"/>
  <c r="T67" i="3"/>
  <c r="U67" i="3"/>
  <c r="G62" i="3"/>
  <c r="U62" i="3"/>
  <c r="G120" i="3"/>
  <c r="K89" i="3"/>
  <c r="K128" i="3"/>
  <c r="G130" i="3"/>
  <c r="K18" i="3"/>
  <c r="G131" i="3"/>
  <c r="U131" i="3"/>
  <c r="I2" i="5"/>
  <c r="G147" i="2" l="1"/>
  <c r="G126" i="2"/>
  <c r="K198" i="1"/>
  <c r="K376" i="1"/>
  <c r="K388" i="1"/>
  <c r="K16" i="1"/>
  <c r="K238" i="1"/>
  <c r="K317" i="1"/>
  <c r="K168" i="1"/>
  <c r="K323" i="1"/>
  <c r="K334" i="1"/>
  <c r="K273" i="1"/>
  <c r="K232" i="1"/>
  <c r="K416" i="1"/>
  <c r="K14" i="1"/>
  <c r="K88" i="1"/>
  <c r="K441" i="1"/>
  <c r="K254" i="1"/>
  <c r="K5" i="1"/>
  <c r="K212" i="1"/>
  <c r="K418" i="1"/>
  <c r="K160" i="1"/>
  <c r="K175" i="1"/>
  <c r="K114" i="1"/>
  <c r="K172" i="1"/>
  <c r="K71" i="1"/>
  <c r="K204" i="1"/>
  <c r="K190" i="1"/>
  <c r="K325" i="1"/>
  <c r="K410" i="1"/>
  <c r="K60" i="1"/>
  <c r="K67" i="1"/>
  <c r="K237" i="1"/>
  <c r="K335" i="1"/>
  <c r="K330" i="1"/>
  <c r="K312" i="1"/>
  <c r="K227" i="1"/>
  <c r="K365" i="1"/>
  <c r="K422" i="1"/>
  <c r="K433" i="1"/>
  <c r="K224" i="1"/>
  <c r="K66" i="1"/>
  <c r="K369" i="1"/>
  <c r="K316" i="1"/>
  <c r="K120" i="1"/>
  <c r="K24" i="1"/>
  <c r="K98" i="1"/>
  <c r="K132" i="1"/>
  <c r="K321" i="1"/>
  <c r="K408" i="1"/>
  <c r="K389" i="1"/>
  <c r="K340" i="1"/>
  <c r="K265" i="1"/>
  <c r="K148" i="1"/>
  <c r="K6" i="1"/>
  <c r="K223" i="1"/>
  <c r="K356" i="1"/>
  <c r="K281" i="1"/>
  <c r="K87" i="1"/>
  <c r="K219" i="1"/>
  <c r="K230" i="1"/>
  <c r="K353" i="1"/>
  <c r="K35" i="1"/>
  <c r="K324" i="1"/>
  <c r="K308" i="1"/>
  <c r="K12" i="1"/>
  <c r="K159" i="1"/>
  <c r="K346" i="1"/>
  <c r="K262" i="1"/>
  <c r="K266" i="1"/>
  <c r="K429" i="1"/>
  <c r="K95" i="1"/>
  <c r="K302" i="1"/>
  <c r="K110" i="1"/>
  <c r="K150" i="1"/>
  <c r="K239" i="1"/>
  <c r="K231" i="1"/>
  <c r="K69" i="1"/>
  <c r="K293" i="1"/>
  <c r="K216" i="1"/>
  <c r="K28" i="1"/>
  <c r="K420" i="1"/>
  <c r="K399" i="1"/>
  <c r="K348" i="1"/>
  <c r="K377" i="1"/>
  <c r="K329" i="1"/>
  <c r="K345" i="1"/>
  <c r="K105" i="1"/>
  <c r="K146" i="1"/>
  <c r="K380" i="1"/>
  <c r="K176" i="1"/>
  <c r="K137" i="1"/>
  <c r="K128" i="1"/>
  <c r="K339" i="1"/>
  <c r="K123" i="1"/>
  <c r="K341" i="1"/>
  <c r="K135" i="1"/>
  <c r="K157" i="1"/>
  <c r="K419" i="1"/>
  <c r="K240" i="1"/>
  <c r="K74" i="1"/>
  <c r="K149" i="1"/>
  <c r="K362" i="1"/>
  <c r="K401" i="1"/>
  <c r="K103" i="1"/>
  <c r="K297" i="1"/>
  <c r="K139" i="1"/>
  <c r="K374" i="1"/>
  <c r="K192" i="1"/>
  <c r="K438" i="1"/>
  <c r="K242" i="1"/>
  <c r="K336" i="1"/>
  <c r="K126" i="1"/>
  <c r="K19" i="1"/>
  <c r="K165" i="1"/>
  <c r="K151" i="1"/>
  <c r="K442" i="1"/>
  <c r="K390" i="1"/>
  <c r="K311" i="1"/>
  <c r="K357" i="1"/>
  <c r="K290" i="1"/>
  <c r="K177" i="1"/>
  <c r="K407" i="1"/>
  <c r="K76" i="1"/>
  <c r="K143" i="1"/>
  <c r="K360" i="1"/>
  <c r="K156" i="1"/>
  <c r="K291" i="1"/>
  <c r="K367" i="1"/>
  <c r="K264" i="1"/>
  <c r="K93" i="1"/>
  <c r="K215" i="1"/>
  <c r="K383" i="1"/>
  <c r="K83" i="1"/>
  <c r="K73" i="1"/>
  <c r="K51" i="1"/>
  <c r="K25" i="1"/>
  <c r="K90" i="1"/>
  <c r="K363" i="1"/>
  <c r="K373" i="1"/>
  <c r="K379" i="1"/>
  <c r="K91" i="1"/>
  <c r="K141" i="1"/>
  <c r="K202" i="1"/>
  <c r="K248" i="1"/>
  <c r="K161" i="1"/>
  <c r="K314" i="1"/>
  <c r="K211" i="1"/>
  <c r="K31" i="1"/>
  <c r="K270" i="1"/>
  <c r="K234" i="1"/>
  <c r="K278" i="1"/>
  <c r="K296" i="1"/>
  <c r="K406" i="1"/>
  <c r="K68" i="1"/>
  <c r="K364" i="1"/>
  <c r="K61" i="1"/>
  <c r="K207" i="1"/>
  <c r="K424" i="1"/>
  <c r="K405" i="1"/>
  <c r="K86" i="1"/>
  <c r="K280" i="1"/>
  <c r="K436" i="1"/>
  <c r="K113" i="1"/>
  <c r="K118" i="1"/>
  <c r="K268" i="1"/>
  <c r="K49" i="1"/>
  <c r="K101" i="1"/>
  <c r="K48" i="1"/>
  <c r="K283" i="1"/>
  <c r="K342" i="1"/>
  <c r="K370" i="1"/>
  <c r="K199" i="1"/>
  <c r="K89" i="1"/>
  <c r="K197" i="1"/>
  <c r="K3" i="1"/>
  <c r="K306" i="1"/>
  <c r="K414" i="1"/>
  <c r="G185" i="1"/>
  <c r="G281" i="1"/>
  <c r="G433" i="1"/>
  <c r="G308" i="1"/>
  <c r="G197" i="1"/>
  <c r="G86" i="1"/>
  <c r="G29" i="1"/>
  <c r="G35" i="1"/>
  <c r="G291" i="1"/>
  <c r="G31" i="1"/>
  <c r="I18" i="5"/>
  <c r="J80" i="5"/>
  <c r="G266" i="1"/>
  <c r="G218" i="1"/>
  <c r="G112" i="1"/>
  <c r="G324" i="1"/>
  <c r="I28" i="5"/>
  <c r="I29" i="5"/>
  <c r="J30" i="5"/>
  <c r="I36" i="5"/>
  <c r="J37" i="5"/>
  <c r="J38" i="5"/>
  <c r="J44" i="5"/>
  <c r="J45" i="5"/>
  <c r="J52" i="5"/>
  <c r="I53" i="5"/>
  <c r="J54" i="5"/>
  <c r="I61" i="5"/>
  <c r="J62" i="5"/>
  <c r="I67" i="5"/>
  <c r="J68" i="5"/>
  <c r="J69" i="5"/>
  <c r="J75" i="5"/>
  <c r="J76" i="5"/>
  <c r="J83" i="5"/>
  <c r="J88" i="5"/>
  <c r="I91" i="5"/>
  <c r="I92" i="5"/>
  <c r="J93" i="5"/>
  <c r="I99" i="5"/>
  <c r="J100" i="5"/>
  <c r="J101" i="5"/>
  <c r="J104" i="5"/>
  <c r="J107" i="5"/>
  <c r="J108" i="5"/>
  <c r="J112" i="5"/>
  <c r="I115" i="5"/>
  <c r="I116" i="5"/>
  <c r="J117" i="5"/>
  <c r="J120" i="5"/>
  <c r="I124" i="5"/>
  <c r="J125" i="5"/>
  <c r="J127" i="5"/>
  <c r="I131" i="5"/>
  <c r="J132" i="5"/>
  <c r="J138" i="5"/>
  <c r="I139" i="5"/>
  <c r="J143" i="5"/>
  <c r="J146" i="5"/>
  <c r="J149" i="5"/>
  <c r="I152" i="5"/>
  <c r="J153" i="5"/>
  <c r="J154" i="5"/>
  <c r="I160" i="5"/>
  <c r="J161" i="5"/>
  <c r="J163" i="5"/>
  <c r="I164" i="5"/>
  <c r="J165" i="5"/>
  <c r="J168" i="5"/>
  <c r="J169" i="5"/>
  <c r="J173" i="5"/>
  <c r="J175" i="5"/>
  <c r="I176" i="5"/>
  <c r="J177" i="5"/>
  <c r="J180" i="5"/>
  <c r="J181" i="5"/>
  <c r="I184" i="5"/>
  <c r="J185" i="5"/>
  <c r="J191" i="5"/>
  <c r="J192" i="5"/>
  <c r="J193" i="5"/>
  <c r="J196" i="5"/>
  <c r="J199" i="5"/>
  <c r="J200" i="5"/>
  <c r="J202" i="5"/>
  <c r="J206" i="5"/>
  <c r="J207" i="5"/>
  <c r="J209" i="5"/>
  <c r="J210" i="5"/>
  <c r="J213" i="5"/>
  <c r="I214" i="5"/>
  <c r="J217" i="5"/>
  <c r="J221" i="5"/>
  <c r="J222" i="5"/>
  <c r="J223" i="5"/>
  <c r="J226" i="5"/>
  <c r="J228" i="5"/>
  <c r="J230" i="5"/>
  <c r="J231" i="5"/>
  <c r="I235" i="5"/>
  <c r="J236" i="5"/>
  <c r="J238" i="5"/>
  <c r="J239" i="5"/>
  <c r="J242" i="5"/>
  <c r="I243" i="5"/>
  <c r="J246" i="5"/>
  <c r="J249" i="5"/>
  <c r="J252" i="5"/>
  <c r="J254" i="5"/>
  <c r="I255" i="5"/>
  <c r="J258" i="5"/>
  <c r="J260" i="5"/>
  <c r="I266" i="5"/>
  <c r="I267" i="5"/>
  <c r="I273" i="5"/>
  <c r="J278" i="5"/>
  <c r="J281" i="5"/>
  <c r="J284" i="5"/>
  <c r="I285" i="5"/>
  <c r="J288" i="5"/>
  <c r="I292" i="5"/>
  <c r="J295" i="5"/>
  <c r="J299" i="5"/>
  <c r="J308" i="5"/>
  <c r="J316" i="5"/>
  <c r="I317" i="5"/>
  <c r="J318" i="5"/>
  <c r="J321" i="5"/>
  <c r="I323" i="5"/>
  <c r="J324" i="5"/>
  <c r="J325" i="5"/>
  <c r="I327" i="5"/>
  <c r="J328" i="5"/>
  <c r="I331" i="5"/>
  <c r="I333" i="5"/>
  <c r="J334" i="5"/>
  <c r="J336" i="5"/>
  <c r="J337" i="5"/>
  <c r="J340" i="5"/>
  <c r="I341" i="5"/>
  <c r="J343" i="5"/>
  <c r="J345" i="5"/>
  <c r="I347" i="5"/>
  <c r="J349" i="5"/>
  <c r="I350" i="5"/>
  <c r="I352" i="5"/>
  <c r="J353" i="5"/>
  <c r="J354" i="5"/>
  <c r="I355" i="5"/>
  <c r="I356" i="5"/>
  <c r="J358" i="5"/>
  <c r="I359" i="5"/>
  <c r="J360" i="5"/>
  <c r="J361" i="5"/>
  <c r="J20" i="5"/>
  <c r="I4" i="5"/>
  <c r="I6" i="5"/>
  <c r="I10" i="5"/>
  <c r="J11" i="5"/>
  <c r="I12" i="5"/>
  <c r="I14" i="5"/>
  <c r="J3" i="5" l="1"/>
  <c r="I3" i="5"/>
  <c r="J269" i="5"/>
  <c r="J78" i="5"/>
  <c r="I55" i="5"/>
  <c r="I47" i="5"/>
  <c r="J302" i="5"/>
  <c r="J276" i="5"/>
  <c r="I257" i="5"/>
  <c r="J162" i="5"/>
  <c r="J141" i="5"/>
  <c r="I70" i="5"/>
  <c r="I39" i="5"/>
  <c r="J294" i="5"/>
  <c r="I262" i="5"/>
  <c r="J245" i="5"/>
  <c r="J216" i="5"/>
  <c r="J178" i="5"/>
  <c r="I287" i="5"/>
  <c r="I237" i="5"/>
  <c r="J155" i="5"/>
  <c r="J303" i="5"/>
  <c r="J63" i="5"/>
  <c r="J31" i="5"/>
  <c r="I307" i="5"/>
  <c r="J268" i="5"/>
  <c r="J251" i="5"/>
  <c r="I224" i="5"/>
  <c r="I208" i="5"/>
  <c r="I201" i="5"/>
  <c r="J186" i="5"/>
  <c r="I133" i="5"/>
  <c r="J126" i="5"/>
  <c r="J118" i="5"/>
  <c r="I110" i="5"/>
  <c r="I102" i="5"/>
  <c r="J94" i="5"/>
  <c r="J86" i="5"/>
  <c r="I17" i="5"/>
  <c r="I9" i="5"/>
  <c r="J25" i="5"/>
  <c r="I16" i="5"/>
  <c r="I8" i="5"/>
  <c r="I311" i="5"/>
  <c r="J18" i="5"/>
  <c r="I15" i="5"/>
  <c r="I7" i="5"/>
  <c r="J23" i="5"/>
  <c r="I74" i="5"/>
  <c r="I66" i="5"/>
  <c r="I59" i="5"/>
  <c r="I51" i="5"/>
  <c r="I43" i="5"/>
  <c r="I35" i="5"/>
  <c r="I27" i="5"/>
  <c r="J320" i="5"/>
  <c r="I315" i="5"/>
  <c r="J310" i="5"/>
  <c r="I298" i="5"/>
  <c r="J291" i="5"/>
  <c r="J283" i="5"/>
  <c r="I277" i="5"/>
  <c r="J272" i="5"/>
  <c r="I265" i="5"/>
  <c r="J253" i="5"/>
  <c r="I248" i="5"/>
  <c r="I220" i="5"/>
  <c r="I212" i="5"/>
  <c r="I198" i="5"/>
  <c r="I190" i="5"/>
  <c r="I167" i="5"/>
  <c r="I151" i="5"/>
  <c r="I137" i="5"/>
  <c r="I130" i="5"/>
  <c r="I106" i="5"/>
  <c r="I90" i="5"/>
  <c r="I65" i="5"/>
  <c r="I50" i="5"/>
  <c r="I42" i="5"/>
  <c r="I13" i="5"/>
  <c r="I5" i="5"/>
  <c r="I339" i="5"/>
  <c r="J335" i="5"/>
  <c r="J330" i="5"/>
  <c r="J314" i="5"/>
  <c r="J305" i="5"/>
  <c r="I297" i="5"/>
  <c r="J290" i="5"/>
  <c r="I282" i="5"/>
  <c r="J271" i="5"/>
  <c r="J264" i="5"/>
  <c r="I247" i="5"/>
  <c r="I233" i="5"/>
  <c r="I227" i="5"/>
  <c r="I204" i="5"/>
  <c r="I189" i="5"/>
  <c r="I174" i="5"/>
  <c r="I166" i="5"/>
  <c r="I144" i="5"/>
  <c r="I129" i="5"/>
  <c r="I113" i="5"/>
  <c r="I105" i="5"/>
  <c r="I81" i="5"/>
  <c r="J57" i="5"/>
  <c r="J49" i="5"/>
  <c r="J41" i="5"/>
  <c r="J2" i="5"/>
  <c r="J43" i="5"/>
  <c r="I320" i="5"/>
  <c r="I264" i="5"/>
  <c r="J282" i="5"/>
  <c r="J248" i="5"/>
  <c r="J113" i="5"/>
  <c r="I254" i="5"/>
  <c r="I143" i="5"/>
  <c r="J105" i="5"/>
  <c r="I314" i="5"/>
  <c r="I104" i="5"/>
  <c r="J102" i="5"/>
  <c r="I149" i="5"/>
  <c r="I305" i="5"/>
  <c r="I252" i="5"/>
  <c r="I94" i="5"/>
  <c r="J247" i="5"/>
  <c r="J90" i="5"/>
  <c r="I303" i="5"/>
  <c r="I226" i="5"/>
  <c r="I44" i="5"/>
  <c r="J66" i="5"/>
  <c r="I299" i="5"/>
  <c r="I210" i="5"/>
  <c r="J212" i="5"/>
  <c r="J65" i="5"/>
  <c r="I272" i="5"/>
  <c r="I209" i="5"/>
  <c r="J152" i="5"/>
  <c r="J55" i="5"/>
  <c r="I271" i="5"/>
  <c r="I196" i="5"/>
  <c r="J297" i="5"/>
  <c r="J144" i="5"/>
  <c r="I276" i="5"/>
  <c r="I155" i="5"/>
  <c r="J262" i="5"/>
  <c r="J164" i="5"/>
  <c r="I358" i="5"/>
  <c r="I216" i="5"/>
  <c r="I100" i="5"/>
  <c r="I52" i="5"/>
  <c r="J257" i="5"/>
  <c r="J224" i="5"/>
  <c r="J160" i="5"/>
  <c r="J350" i="5"/>
  <c r="J287" i="5"/>
  <c r="I268" i="5"/>
  <c r="I86" i="5"/>
  <c r="I291" i="5"/>
  <c r="I242" i="5"/>
  <c r="I138" i="5"/>
  <c r="I83" i="5"/>
  <c r="I23" i="5"/>
  <c r="J347" i="5"/>
  <c r="J323" i="5"/>
  <c r="J277" i="5"/>
  <c r="J201" i="5"/>
  <c r="J139" i="5"/>
  <c r="J39" i="5"/>
  <c r="J327" i="5"/>
  <c r="I249" i="5"/>
  <c r="I31" i="5"/>
  <c r="I353" i="5"/>
  <c r="I328" i="5"/>
  <c r="I283" i="5"/>
  <c r="I239" i="5"/>
  <c r="I191" i="5"/>
  <c r="I126" i="5"/>
  <c r="I78" i="5"/>
  <c r="J315" i="5"/>
  <c r="J137" i="5"/>
  <c r="J36" i="5"/>
  <c r="I340" i="5"/>
  <c r="I281" i="5"/>
  <c r="I260" i="5"/>
  <c r="I180" i="5"/>
  <c r="I118" i="5"/>
  <c r="I63" i="5"/>
  <c r="J311" i="5"/>
  <c r="J273" i="5"/>
  <c r="J235" i="5"/>
  <c r="J189" i="5"/>
  <c r="J74" i="5"/>
  <c r="J28" i="5"/>
  <c r="I318" i="5"/>
  <c r="J208" i="5"/>
  <c r="I349" i="5"/>
  <c r="I228" i="5"/>
  <c r="I175" i="5"/>
  <c r="I112" i="5"/>
  <c r="I57" i="5"/>
  <c r="J266" i="5"/>
  <c r="J167" i="5"/>
  <c r="J115" i="5"/>
  <c r="J67" i="5"/>
  <c r="J27" i="5"/>
  <c r="J332" i="5"/>
  <c r="I332" i="5"/>
  <c r="J306" i="5"/>
  <c r="I306" i="5"/>
  <c r="J275" i="5"/>
  <c r="I275" i="5"/>
  <c r="J244" i="5"/>
  <c r="I244" i="5"/>
  <c r="J215" i="5"/>
  <c r="I215" i="5"/>
  <c r="J77" i="5"/>
  <c r="I77" i="5"/>
  <c r="J46" i="5"/>
  <c r="I46" i="5"/>
  <c r="I322" i="5"/>
  <c r="J322" i="5"/>
  <c r="J300" i="5"/>
  <c r="I300" i="5"/>
  <c r="I279" i="5"/>
  <c r="J279" i="5"/>
  <c r="J292" i="5"/>
  <c r="J184" i="5"/>
  <c r="I19" i="5"/>
  <c r="J19" i="5"/>
  <c r="J225" i="5"/>
  <c r="I225" i="5"/>
  <c r="J195" i="5"/>
  <c r="I195" i="5"/>
  <c r="I187" i="5"/>
  <c r="J187" i="5"/>
  <c r="I179" i="5"/>
  <c r="J179" i="5"/>
  <c r="I172" i="5"/>
  <c r="J172" i="5"/>
  <c r="I156" i="5"/>
  <c r="J156" i="5"/>
  <c r="I148" i="5"/>
  <c r="J148" i="5"/>
  <c r="I142" i="5"/>
  <c r="J142" i="5"/>
  <c r="I134" i="5"/>
  <c r="J134" i="5"/>
  <c r="I127" i="5"/>
  <c r="I119" i="5"/>
  <c r="J119" i="5"/>
  <c r="I361" i="5"/>
  <c r="I337" i="5"/>
  <c r="I295" i="5"/>
  <c r="I246" i="5"/>
  <c r="I200" i="5"/>
  <c r="I163" i="5"/>
  <c r="I125" i="5"/>
  <c r="J214" i="5"/>
  <c r="J92" i="5"/>
  <c r="J301" i="5"/>
  <c r="I301" i="5"/>
  <c r="J261" i="5"/>
  <c r="I261" i="5"/>
  <c r="J85" i="5"/>
  <c r="I85" i="5"/>
  <c r="I24" i="5"/>
  <c r="J24" i="5"/>
  <c r="J229" i="5"/>
  <c r="I229" i="5"/>
  <c r="I84" i="5"/>
  <c r="J84" i="5"/>
  <c r="I26" i="5"/>
  <c r="J26" i="5"/>
  <c r="I194" i="5"/>
  <c r="J194" i="5"/>
  <c r="I171" i="5"/>
  <c r="J171" i="5"/>
  <c r="I360" i="5"/>
  <c r="I354" i="5"/>
  <c r="I336" i="5"/>
  <c r="I330" i="5"/>
  <c r="I321" i="5"/>
  <c r="I294" i="5"/>
  <c r="I253" i="5"/>
  <c r="I245" i="5"/>
  <c r="I230" i="5"/>
  <c r="I213" i="5"/>
  <c r="I199" i="5"/>
  <c r="I178" i="5"/>
  <c r="I161" i="5"/>
  <c r="I141" i="5"/>
  <c r="I120" i="5"/>
  <c r="I101" i="5"/>
  <c r="I80" i="5"/>
  <c r="I62" i="5"/>
  <c r="I41" i="5"/>
  <c r="I20" i="5"/>
  <c r="J359" i="5"/>
  <c r="J352" i="5"/>
  <c r="J339" i="5"/>
  <c r="J298" i="5"/>
  <c r="J265" i="5"/>
  <c r="J233" i="5"/>
  <c r="J190" i="5"/>
  <c r="J166" i="5"/>
  <c r="J116" i="5"/>
  <c r="J91" i="5"/>
  <c r="J42" i="5"/>
  <c r="J346" i="5"/>
  <c r="I346" i="5"/>
  <c r="J140" i="5"/>
  <c r="I140" i="5"/>
  <c r="J109" i="5"/>
  <c r="I109" i="5"/>
  <c r="J61" i="5"/>
  <c r="I183" i="5"/>
  <c r="J183" i="5"/>
  <c r="I123" i="5"/>
  <c r="J123" i="5"/>
  <c r="I60" i="5"/>
  <c r="J60" i="5"/>
  <c r="I345" i="5"/>
  <c r="I335" i="5"/>
  <c r="I325" i="5"/>
  <c r="I310" i="5"/>
  <c r="I302" i="5"/>
  <c r="I290" i="5"/>
  <c r="I278" i="5"/>
  <c r="I269" i="5"/>
  <c r="I251" i="5"/>
  <c r="I238" i="5"/>
  <c r="I223" i="5"/>
  <c r="I207" i="5"/>
  <c r="I192" i="5"/>
  <c r="I173" i="5"/>
  <c r="I153" i="5"/>
  <c r="I132" i="5"/>
  <c r="I93" i="5"/>
  <c r="I75" i="5"/>
  <c r="I54" i="5"/>
  <c r="J356" i="5"/>
  <c r="J341" i="5"/>
  <c r="J333" i="5"/>
  <c r="J307" i="5"/>
  <c r="J243" i="5"/>
  <c r="J227" i="5"/>
  <c r="J204" i="5"/>
  <c r="J131" i="5"/>
  <c r="J106" i="5"/>
  <c r="J81" i="5"/>
  <c r="J29" i="5"/>
  <c r="J342" i="5"/>
  <c r="I342" i="5"/>
  <c r="J286" i="5"/>
  <c r="I286" i="5"/>
  <c r="J256" i="5"/>
  <c r="I256" i="5"/>
  <c r="J170" i="5"/>
  <c r="I170" i="5"/>
  <c r="I38" i="5"/>
  <c r="I147" i="5"/>
  <c r="J147" i="5"/>
  <c r="I193" i="5"/>
  <c r="I154" i="5"/>
  <c r="I117" i="5"/>
  <c r="I76" i="5"/>
  <c r="I37" i="5"/>
  <c r="J22" i="5"/>
  <c r="I22" i="5"/>
  <c r="I241" i="5"/>
  <c r="J241" i="5"/>
  <c r="I234" i="5"/>
  <c r="J234" i="5"/>
  <c r="I205" i="5"/>
  <c r="J205" i="5"/>
  <c r="I182" i="5"/>
  <c r="J182" i="5"/>
  <c r="I159" i="5"/>
  <c r="J159" i="5"/>
  <c r="I145" i="5"/>
  <c r="J145" i="5"/>
  <c r="I122" i="5"/>
  <c r="J122" i="5"/>
  <c r="I114" i="5"/>
  <c r="J114" i="5"/>
  <c r="I98" i="5"/>
  <c r="J98" i="5"/>
  <c r="I82" i="5"/>
  <c r="J82" i="5"/>
  <c r="I334" i="5"/>
  <c r="I288" i="5"/>
  <c r="I222" i="5"/>
  <c r="I206" i="5"/>
  <c r="I169" i="5"/>
  <c r="I69" i="5"/>
  <c r="I30" i="5"/>
  <c r="J355" i="5"/>
  <c r="J176" i="5"/>
  <c r="J130" i="5"/>
  <c r="J53" i="5"/>
  <c r="J326" i="5"/>
  <c r="I326" i="5"/>
  <c r="J293" i="5"/>
  <c r="I293" i="5"/>
  <c r="J250" i="5"/>
  <c r="I250" i="5"/>
  <c r="I177" i="5"/>
  <c r="I21" i="5"/>
  <c r="J21" i="5"/>
  <c r="I240" i="5"/>
  <c r="J240" i="5"/>
  <c r="I219" i="5"/>
  <c r="J219" i="5"/>
  <c r="I211" i="5"/>
  <c r="J211" i="5"/>
  <c r="I197" i="5"/>
  <c r="J197" i="5"/>
  <c r="I181" i="5"/>
  <c r="I158" i="5"/>
  <c r="J158" i="5"/>
  <c r="I150" i="5"/>
  <c r="J150" i="5"/>
  <c r="I136" i="5"/>
  <c r="J136" i="5"/>
  <c r="I121" i="5"/>
  <c r="J121" i="5"/>
  <c r="I97" i="5"/>
  <c r="J97" i="5"/>
  <c r="I89" i="5"/>
  <c r="J89" i="5"/>
  <c r="I73" i="5"/>
  <c r="J73" i="5"/>
  <c r="I58" i="5"/>
  <c r="J58" i="5"/>
  <c r="I34" i="5"/>
  <c r="J34" i="5"/>
  <c r="I343" i="5"/>
  <c r="I316" i="5"/>
  <c r="I308" i="5"/>
  <c r="I258" i="5"/>
  <c r="I236" i="5"/>
  <c r="I221" i="5"/>
  <c r="I202" i="5"/>
  <c r="I186" i="5"/>
  <c r="I168" i="5"/>
  <c r="I162" i="5"/>
  <c r="I108" i="5"/>
  <c r="I88" i="5"/>
  <c r="I68" i="5"/>
  <c r="I49" i="5"/>
  <c r="J331" i="5"/>
  <c r="J317" i="5"/>
  <c r="J285" i="5"/>
  <c r="J255" i="5"/>
  <c r="J237" i="5"/>
  <c r="J151" i="5"/>
  <c r="J129" i="5"/>
  <c r="J357" i="5"/>
  <c r="I357" i="5"/>
  <c r="J312" i="5"/>
  <c r="I312" i="5"/>
  <c r="J280" i="5"/>
  <c r="I280" i="5"/>
  <c r="I274" i="5"/>
  <c r="J274" i="5"/>
  <c r="J351" i="5"/>
  <c r="I351" i="5"/>
  <c r="J348" i="5"/>
  <c r="I348" i="5"/>
  <c r="J344" i="5"/>
  <c r="I344" i="5"/>
  <c r="J338" i="5"/>
  <c r="I338" i="5"/>
  <c r="J329" i="5"/>
  <c r="I329" i="5"/>
  <c r="J313" i="5"/>
  <c r="I313" i="5"/>
  <c r="J309" i="5"/>
  <c r="I309" i="5"/>
  <c r="J304" i="5"/>
  <c r="I304" i="5"/>
  <c r="J296" i="5"/>
  <c r="I296" i="5"/>
  <c r="J289" i="5"/>
  <c r="I289" i="5"/>
  <c r="J270" i="5"/>
  <c r="I270" i="5"/>
  <c r="J263" i="5"/>
  <c r="I263" i="5"/>
  <c r="J259" i="5"/>
  <c r="I259" i="5"/>
  <c r="J232" i="5"/>
  <c r="I232" i="5"/>
  <c r="J218" i="5"/>
  <c r="I218" i="5"/>
  <c r="J203" i="5"/>
  <c r="I203" i="5"/>
  <c r="J188" i="5"/>
  <c r="I188" i="5"/>
  <c r="J157" i="5"/>
  <c r="I157" i="5"/>
  <c r="J135" i="5"/>
  <c r="I135" i="5"/>
  <c r="J128" i="5"/>
  <c r="I128" i="5"/>
  <c r="J96" i="5"/>
  <c r="I96" i="5"/>
  <c r="J72" i="5"/>
  <c r="I72" i="5"/>
  <c r="J64" i="5"/>
  <c r="I64" i="5"/>
  <c r="J33" i="5"/>
  <c r="I33" i="5"/>
  <c r="I324" i="5"/>
  <c r="I284" i="5"/>
  <c r="I231" i="5"/>
  <c r="I217" i="5"/>
  <c r="I185" i="5"/>
  <c r="I165" i="5"/>
  <c r="I146" i="5"/>
  <c r="I107" i="5"/>
  <c r="I45" i="5"/>
  <c r="I25" i="5"/>
  <c r="J267" i="5"/>
  <c r="J220" i="5"/>
  <c r="J198" i="5"/>
  <c r="J174" i="5"/>
  <c r="J124" i="5"/>
  <c r="J99" i="5"/>
  <c r="J50" i="5"/>
  <c r="J51" i="5"/>
  <c r="J110" i="5"/>
  <c r="J47" i="5"/>
  <c r="J35" i="5"/>
  <c r="I111" i="5"/>
  <c r="J111" i="5"/>
  <c r="I103" i="5"/>
  <c r="J103" i="5"/>
  <c r="I95" i="5"/>
  <c r="J95" i="5"/>
  <c r="I87" i="5"/>
  <c r="J87" i="5"/>
  <c r="I79" i="5"/>
  <c r="J79" i="5"/>
  <c r="I71" i="5"/>
  <c r="J71" i="5"/>
  <c r="I56" i="5"/>
  <c r="J56" i="5"/>
  <c r="I48" i="5"/>
  <c r="J48" i="5"/>
  <c r="I40" i="5"/>
  <c r="J40" i="5"/>
  <c r="I32" i="5"/>
  <c r="J32" i="5"/>
  <c r="J133" i="5"/>
  <c r="J70" i="5"/>
  <c r="J59" i="5"/>
  <c r="I11" i="5"/>
  <c r="J17" i="5"/>
  <c r="J13" i="5"/>
  <c r="J9" i="5"/>
  <c r="J5" i="5"/>
  <c r="J15" i="5"/>
  <c r="J7" i="5"/>
  <c r="J16" i="5"/>
  <c r="J14" i="5"/>
  <c r="J12" i="5"/>
  <c r="J10" i="5"/>
  <c r="J8" i="5"/>
  <c r="J6" i="5"/>
  <c r="J4" i="5"/>
  <c r="G14" i="2" l="1"/>
  <c r="G101" i="1"/>
  <c r="G6" i="1"/>
  <c r="G441" i="1"/>
  <c r="G35" i="2"/>
  <c r="G151" i="2"/>
  <c r="G31" i="2"/>
  <c r="G161" i="2"/>
  <c r="G65" i="2"/>
  <c r="G114" i="2"/>
  <c r="G145" i="2"/>
  <c r="G68" i="2"/>
  <c r="G15" i="2"/>
  <c r="G149" i="2"/>
  <c r="G144" i="2"/>
  <c r="G125" i="2"/>
  <c r="G13" i="2"/>
  <c r="G78" i="2"/>
  <c r="G73" i="2"/>
  <c r="G91" i="2"/>
  <c r="G22" i="2"/>
  <c r="G59" i="2"/>
  <c r="G36" i="2"/>
  <c r="G106" i="2"/>
  <c r="G62" i="2"/>
  <c r="G111" i="2"/>
  <c r="G32" i="2"/>
  <c r="G55" i="2"/>
  <c r="G60" i="2"/>
  <c r="G365" i="1"/>
  <c r="G73" i="1" l="1"/>
  <c r="G325" i="1"/>
  <c r="G151" i="1"/>
  <c r="G323" i="1"/>
  <c r="G438" i="1"/>
  <c r="G329" i="1"/>
  <c r="G95" i="1"/>
  <c r="G159" i="1"/>
  <c r="G234" i="1"/>
  <c r="G174" i="1"/>
  <c r="G336" i="1"/>
  <c r="G74" i="1"/>
  <c r="G176" i="1"/>
  <c r="G150" i="1"/>
  <c r="G296" i="1"/>
  <c r="G342" i="1"/>
  <c r="G212" i="1"/>
  <c r="G71" i="1"/>
  <c r="G227" i="1"/>
  <c r="G261" i="1"/>
  <c r="G302" i="1"/>
  <c r="G157" i="1"/>
  <c r="G139" i="1"/>
  <c r="G69" i="1"/>
  <c r="G213" i="1"/>
  <c r="G374" i="1"/>
  <c r="G118" i="1"/>
  <c r="G190" i="1"/>
  <c r="G113" i="1"/>
  <c r="G416" i="1"/>
  <c r="G135" i="1"/>
  <c r="G204" i="1"/>
  <c r="G363" i="1"/>
  <c r="G216" i="1"/>
  <c r="G268" i="1"/>
  <c r="G384" i="1"/>
  <c r="G148" i="1"/>
  <c r="G293" i="1"/>
  <c r="G175" i="1"/>
  <c r="G103" i="1"/>
  <c r="G398" i="1"/>
  <c r="G388" i="1"/>
  <c r="G90" i="1"/>
  <c r="G211" i="1"/>
  <c r="G196" i="1"/>
  <c r="G156" i="1"/>
  <c r="G68" i="1"/>
  <c r="G28" i="1"/>
  <c r="G436" i="1"/>
  <c r="G283" i="1"/>
  <c r="G146" i="1"/>
  <c r="G87" i="1"/>
  <c r="G16" i="1"/>
  <c r="G106" i="1"/>
  <c r="G207" i="1"/>
  <c r="G198" i="1"/>
  <c r="G223" i="1"/>
  <c r="G98" i="1"/>
  <c r="G5" i="1"/>
  <c r="G141" i="1"/>
  <c r="G289" i="1"/>
  <c r="G408" i="1"/>
  <c r="G93" i="1"/>
  <c r="G264" i="1"/>
  <c r="G105" i="1"/>
  <c r="G48" i="1"/>
  <c r="G280" i="1"/>
  <c r="G165" i="1"/>
  <c r="G67" i="1"/>
  <c r="G177" i="1"/>
  <c r="G340" i="1"/>
  <c r="G45" i="1"/>
  <c r="G348" i="1"/>
  <c r="G380" i="1"/>
  <c r="G160" i="1"/>
  <c r="G331" i="1"/>
  <c r="G91" i="1"/>
  <c r="G219" i="1"/>
  <c r="G248" i="1"/>
  <c r="G273" i="1"/>
  <c r="G330" i="1"/>
  <c r="G123" i="1"/>
  <c r="G353" i="1"/>
  <c r="G172" i="1"/>
  <c r="G239" i="1"/>
  <c r="G424" i="1"/>
  <c r="G19" i="1"/>
  <c r="G271" i="1"/>
  <c r="G376" i="1"/>
  <c r="G403" i="1"/>
  <c r="G414" i="1"/>
  <c r="G362" i="1"/>
  <c r="G346" i="1"/>
  <c r="G375" i="1"/>
  <c r="G288" i="1"/>
  <c r="G51" i="1"/>
  <c r="G290" i="1"/>
  <c r="G14" i="1"/>
  <c r="G181" i="1"/>
  <c r="G316" i="1"/>
  <c r="G4" i="1"/>
  <c r="G24" i="1"/>
  <c r="G407" i="1"/>
  <c r="G262" i="1"/>
  <c r="G224" i="1"/>
  <c r="G367" i="1"/>
  <c r="G312" i="1"/>
  <c r="G321" i="1"/>
  <c r="G333" i="1"/>
  <c r="G49" i="1"/>
  <c r="G242" i="1"/>
  <c r="G194" i="1"/>
  <c r="G66" i="1"/>
  <c r="G422" i="1"/>
  <c r="G361" i="1"/>
  <c r="G202" i="1"/>
  <c r="G401" i="1"/>
  <c r="G429" i="1"/>
  <c r="G88" i="1"/>
  <c r="G405" i="1"/>
  <c r="G418" i="1"/>
  <c r="G410" i="1"/>
  <c r="G364" i="1"/>
  <c r="G3" i="1"/>
  <c r="G442" i="1"/>
  <c r="G61" i="1"/>
  <c r="G11" i="1"/>
  <c r="G161" i="1"/>
  <c r="G199" i="1"/>
  <c r="G383" i="1"/>
  <c r="G120" i="1"/>
  <c r="G427" i="1"/>
  <c r="G373" i="1"/>
  <c r="G360" i="1"/>
  <c r="G311" i="1"/>
  <c r="G339" i="1"/>
  <c r="G89" i="1"/>
  <c r="G114" i="1"/>
  <c r="G76" i="1"/>
  <c r="G419" i="1"/>
  <c r="G226" i="1"/>
  <c r="G137" i="1"/>
  <c r="G341" i="1"/>
  <c r="G128" i="1"/>
  <c r="G230" i="1"/>
  <c r="G192" i="1"/>
  <c r="G389" i="1"/>
  <c r="G215" i="1"/>
  <c r="G168" i="1"/>
  <c r="G83" i="1"/>
  <c r="G317" i="1"/>
  <c r="G149" i="1"/>
  <c r="G126" i="1"/>
  <c r="G143" i="1"/>
  <c r="G240" i="1"/>
  <c r="G279" i="1"/>
  <c r="G379" i="1"/>
  <c r="G90" i="2" l="1"/>
  <c r="K271" i="1"/>
  <c r="AC29" i="2"/>
  <c r="AC58" i="2"/>
  <c r="AC167" i="2" l="1"/>
</calcChain>
</file>

<file path=xl/sharedStrings.xml><?xml version="1.0" encoding="utf-8"?>
<sst xmlns="http://schemas.openxmlformats.org/spreadsheetml/2006/main" count="9040" uniqueCount="2715">
  <si>
    <t>Spend</t>
  </si>
  <si>
    <t>Ad Sales</t>
  </si>
  <si>
    <t>Spend Difference</t>
  </si>
  <si>
    <t>Total Sales</t>
  </si>
  <si>
    <t>Glance View</t>
  </si>
  <si>
    <t>CVR</t>
  </si>
  <si>
    <t>Title</t>
  </si>
  <si>
    <t>Row Labels</t>
  </si>
  <si>
    <t>Sum of Units Ordered</t>
  </si>
  <si>
    <t>Consistency</t>
  </si>
  <si>
    <t>Diff 02-03</t>
  </si>
  <si>
    <t>Diff %</t>
  </si>
  <si>
    <t>FEB</t>
  </si>
  <si>
    <t>MAR</t>
  </si>
  <si>
    <t>Ad Sales 03</t>
  </si>
  <si>
    <t>Diff</t>
  </si>
  <si>
    <t>Feb</t>
  </si>
  <si>
    <t>Mar</t>
  </si>
  <si>
    <t>CL</t>
  </si>
  <si>
    <t>KC</t>
  </si>
  <si>
    <t>JC</t>
  </si>
  <si>
    <t>TW</t>
  </si>
  <si>
    <t>ZY</t>
  </si>
  <si>
    <t>Pumpkin Seed Oil with Saw Palmetto, 3,000mg Per Serving, 300 Softgels | Cold Pressed, Pure Virgin Oil, Herbal Supplement | Supports Urinary, Bladder &amp; Prostate Health | Non-GMO</t>
  </si>
  <si>
    <t>B01BHF3KRG</t>
  </si>
  <si>
    <t>listing被關了幾天, JC提了廣告力度</t>
  </si>
  <si>
    <t>Micro Ingredients Oil of Oregano Softgels 6000mg Per Serving, 300 Count | with Black Seed Oil, 4X Strength Carvacrol &amp; Thymoquinone | Plant Based, Non-GMO | Antioxidant &amp; Immune Support</t>
  </si>
  <si>
    <t>B0BXYKQBDC</t>
  </si>
  <si>
    <t>加了广告主词15+的IS也遭不住外部引流 被竞品和亚马逊双收割了 得暂时保持力度 SB现在没法出去 要打到3块钱的水平</t>
  </si>
  <si>
    <t>Micro Ingredients Odorless Garlic 7500mg Per Servings, 300 Softgels | 2 Years Aged Garlic Extract, Grown Allium Sativum Bulb | Potent Antioxidant Supplement, Immune Support, and Heart Health</t>
  </si>
  <si>
    <t>B0812DJRSK</t>
  </si>
  <si>
    <t>轉SKU+RP開兩個offer有些影響, 預算內拉拉廣告, garlic supplements大詞占比不高低價多, extract爭取有20%占比, 撥了PT預算給KW找IS</t>
  </si>
  <si>
    <t>Micro Ingredients Vitamin D3 5000 IU with K2 100 mcg, 300 Soft-Gels | K2 MK-7 with D3 Vitamin Supplement, 2 in 1 Support Immune, Heart, Joint, Teeth &amp; Bone Health - Easy to Swallow</t>
  </si>
  <si>
    <t>B07RX4P4RL</t>
  </si>
  <si>
    <t>2月份广告表现优于3月 且3月自然权重下跌</t>
  </si>
  <si>
    <t xml:space="preserve">Organic Ceylon Cinnamon Powder 8oz </t>
  </si>
  <si>
    <t>B0FGF3F9H4</t>
  </si>
  <si>
    <t>缺貨</t>
  </si>
  <si>
    <t>Deal，勉强卖到之前的正常水平 换label和设计还是有一定影响的，转换没有做的特别好，我们占比跌了B0DQGXL68G涨了 是nad的仿品 靠deal主词往回拿一拿 主词的热度也降低了 更多的人开始买NMN了</t>
  </si>
  <si>
    <t>Liposomal NAD+ Ultimate 1000mg</t>
  </si>
  <si>
    <t>B0F8FZSPTY</t>
  </si>
  <si>
    <t>轉SKU+RP權重下滑, 這周做deal跑跑銷量, 加圖拉廣告</t>
  </si>
  <si>
    <t xml:space="preserve">Organic Beet Root Powder 2lb </t>
  </si>
  <si>
    <t>B0FH1HDTF1</t>
  </si>
  <si>
    <t xml:space="preserve">Turmeric Curcumin 3000mg with MCT Oil </t>
  </si>
  <si>
    <t>B0DK66NCWL</t>
  </si>
  <si>
    <t>Micro Ingredients Organic Spirulina Supplement, 3000MG Per Serving, 720 Tablets (4 Month Supply), No Filler &amp; Non-GMO, Rich in Vegan Protein, Vitamins &amp; Prebiotics, Premium Spirulina Pills Organic</t>
  </si>
  <si>
    <t>B01DPW5DC4</t>
  </si>
  <si>
    <t>轉SKU+換RP後銷量明顯下滑, 流量被now搶了, 在spirulina大詞上占比掉了4-5%, 加強廣告效果很有限, 花費高, 估計要多跑幾次deal boost sales</t>
  </si>
  <si>
    <t>早上来了就要换SKU</t>
  </si>
  <si>
    <t xml:space="preserve">Organic Instant Mushroom Coffee 14oz </t>
  </si>
  <si>
    <t>B0CWN8C5KR</t>
  </si>
  <si>
    <t>庫存不足等貨, 以及在ryze詞占比掉了連帶其他主詞占比下滑, ryze三月份翻倍, 二月份有拿到ryze詞的占比, zimo拉了整體廣告力度花費不高, PT補上許多ryze仿品都靠deal boost銷量效果不錯</t>
  </si>
  <si>
    <t>Organic Pumpkin Seeds 4lb</t>
  </si>
  <si>
    <t>B0CLFY72DS</t>
  </si>
  <si>
    <t>3月份受到缺貨影響銷量, 補貨後銷量回歸日銷100+</t>
  </si>
  <si>
    <t>Organic Goji Berries 2lbs, Large Whole Sun-Dried Berries | Sulfate Free, Natural Antioxidant | Raw Superfood Berry for Energy, Eye, &amp; Immune Health | Non-GMO</t>
  </si>
  <si>
    <t>B0BXYB91BJ</t>
  </si>
  <si>
    <t>熱度下滑加上庫存不多, 縮減了廣告力度, 銷量在短期漲價後有比較明顯的下滑, organic詞的熱度掉得比較明顯, 我們已經是在這個品類單價高的了不適合漲價</t>
  </si>
  <si>
    <t>Mega Mushroom 10-in-1 with MCT Oil Softgels 240 count </t>
  </si>
  <si>
    <t>B0FJ3ZQ1C7</t>
  </si>
  <si>
    <t>deal差距, 2月份17.99 deal能跑100-120, 回到原價後銷量回到之前水平40+權重小漲但不多</t>
  </si>
  <si>
    <t>Micro Ingredients Organic Coconut Milk Powder, 2 Pound (32 Ounce), Plant-Based Creamer, Perfect for Coffee, Tea and Smoothie, Non-GMO and Keto Friendly</t>
  </si>
  <si>
    <t>B07X37D16H</t>
  </si>
  <si>
    <t>3月份短暫斷貨過, 補貨後權重掉, 主詞coconut milk powder佔比掉了一半, NOW 12 OZ回歸賣10.99, 搶了不少量走, 現在賣不到100+/day, 往上提廣告力度, KW, AUTO跟PT TOP各多給10, PT補點競品</t>
  </si>
  <si>
    <t>Micro Ingredients 2 Pack Liver Detox, 480 Capsules</t>
  </si>
  <si>
    <t>B0FMBVXBNV</t>
  </si>
  <si>
    <t>Turmeric Ginger Peach Mango Flavor Gummies</t>
  </si>
  <si>
    <t>B0FXBQDB38</t>
  </si>
  <si>
    <t>DC, 還有2000+多的inbound賣完撤了</t>
  </si>
  <si>
    <t>Creatine Monohydrate Powder 500 Grams (1.1 LBS), 5000mg Per Serv, Micronized Creatine Powder, Unflavored, Pure, No Filler, Keto &amp; Vegan, Easy Dissolve Pre Workout Creatine for Women and Men</t>
  </si>
  <si>
    <t>B09TNMZBQ5</t>
  </si>
  <si>
    <t>轉SKU+換RP, 整體廣告費drop很多, 還沒完全轉過去,先上調廣告力度, title加上品牌名</t>
  </si>
  <si>
    <t xml:space="preserve">Ceylon Cinnamon 600mg  300 count </t>
  </si>
  <si>
    <t>B0F5RHY51V</t>
  </si>
  <si>
    <t>缺貨, 剛到貨, 外部流量request RP a/b test過度一下</t>
  </si>
  <si>
    <t xml:space="preserve">Selenium 200mcg with coconut oil 500 count </t>
  </si>
  <si>
    <t>B0F3GKVDHY</t>
  </si>
  <si>
    <t>缺貨影響, 已經到貨正常跑</t>
  </si>
  <si>
    <t xml:space="preserve">Organic Whole Psyllium Husks Powder 3lb </t>
  </si>
  <si>
    <t>B0DS6MHM6Z</t>
  </si>
  <si>
    <t>缺貨, 熱度維持, 到貨後銷量回歸一天200+</t>
  </si>
  <si>
    <t xml:space="preserve">Vitamin E 400IU Softgels 300 count </t>
  </si>
  <si>
    <t>B0F3G6VH73</t>
  </si>
  <si>
    <t>deal差距, 3月份沒做, 權重沒有顯著變化</t>
  </si>
  <si>
    <t>Beef Gelatin Powder | Grass Fed, 2lbs | Unflavored Thickening Agent, Pasture Raised Source, Rich in Natural Protein | Great for Cooking &amp; Baking | Non-GMO</t>
  </si>
  <si>
    <t>B0C35DQQM9</t>
  </si>
  <si>
    <t>轉SKU+換RP, 主詞占比都有些下滑, 上提有熱度的gelatin powder unflavored到1.05爭取更多IS(7%IS), 小幅下調IS足夠的主詞及超標詞</t>
  </si>
  <si>
    <t>Indian Healing Clay Powder 2lb</t>
  </si>
  <si>
    <t>B0DDWH3NNX</t>
  </si>
  <si>
    <t>貨賣光</t>
  </si>
  <si>
    <t xml:space="preserve">TUDCA 2000mg Complex capsules 240 count </t>
  </si>
  <si>
    <t>B0F4HH894D</t>
  </si>
  <si>
    <t>Sport Electrolytes Powder Watermelon Lime Flavor 2lb</t>
  </si>
  <si>
    <t>B0FGKXX19D</t>
  </si>
  <si>
    <t>Organic MCT Oil Powder with Prebiotic Fiber,1 Pound(16 Ounce), Fast Fuel for Body and Brain, C8 MCT Oil for Coffee Creamer, Delicious for Tea, Smoothie, Drink and Beverage, No GMOs, Keto Diet, Vegan</t>
  </si>
  <si>
    <t>B07T5X85N9</t>
  </si>
  <si>
    <t>轉SKU+換RP, 現在銷量回到之前水平</t>
  </si>
  <si>
    <t>MiracleMag Magnesium Supplement, 2lbs</t>
  </si>
  <si>
    <t>B0CVT7ZLLH</t>
  </si>
  <si>
    <t xml:space="preserve">Sport Electrolytes Powder Pineapple (Pina Colada) Flavor 2lb </t>
  </si>
  <si>
    <t>B0FGL1QZJF</t>
  </si>
  <si>
    <t>Omega 3 Fish Oil 4200mg 120 Softgels</t>
  </si>
  <si>
    <t>B0CS56P75L</t>
  </si>
  <si>
    <t>2pack Pumpkin Seed Oil with Saw Palmetto 150 Softgels</t>
  </si>
  <si>
    <t>B0G16663LP</t>
  </si>
  <si>
    <t xml:space="preserve">Milk Thistle 6000mg with Grape Seed Oil softgels 360 count </t>
  </si>
  <si>
    <t>B0F5S4X7L6</t>
  </si>
  <si>
    <t>DIM+ 400mg with Pumpkin Seed Oil Softgels 240 count </t>
  </si>
  <si>
    <t>B0FJ4FHNHZ</t>
  </si>
  <si>
    <t>Lutein &amp; Zeaxanthin 20mg Softgels, 400 Coun</t>
  </si>
  <si>
    <t>B0CVTTDTP9</t>
  </si>
  <si>
    <t>Pure Myo &amp; D-Chiro Inositol 2050mg caps</t>
  </si>
  <si>
    <t>B0F4HQ6C1C</t>
  </si>
  <si>
    <t xml:space="preserve">Supreme Omega-3 rTG Fish Oil 1300mg (700mg EPA + 500mg DHA) with Vitamin D3 1000IU Softgels 60 counts </t>
  </si>
  <si>
    <t>B0FN26WGH8</t>
  </si>
  <si>
    <t>Pure D-Mannose 1300mg with cranberry</t>
  </si>
  <si>
    <t>B0DLLMC7DS</t>
  </si>
  <si>
    <t>Liposomal Vitamin C 2500mg</t>
  </si>
  <si>
    <t>B0DW142NNT</t>
  </si>
  <si>
    <t>Fiber Gummies 6g with Probiotics Peach Cherry Flavor Gummies 120 count </t>
  </si>
  <si>
    <t>B0FKD3M8QQ</t>
  </si>
  <si>
    <t>Electrolyte Powder Strawberry &amp; Kiwi Flavor 2lb</t>
  </si>
  <si>
    <t>B0FGKJCC9X</t>
  </si>
  <si>
    <t xml:space="preserve">Instant Whey Protein Powder 2lb </t>
  </si>
  <si>
    <t>B0FJ4KZL8M</t>
  </si>
  <si>
    <t>Tart Cherry+ with Black Seed Oil Softgels 300 count </t>
  </si>
  <si>
    <t>B0FJ4DSJ36</t>
  </si>
  <si>
    <t>Apple Cider Vinegar Capsules</t>
  </si>
  <si>
    <t>B0DX4GZDW9</t>
  </si>
  <si>
    <t>Natural Astaxanthin 12mg, 90 Softgels, 3 Month Supply, Premium Astaxanthin Supplements (MicroAlgae), Supports Eye, Joint, Internal Circulation Health and Antioxidant, Easy to Swallow</t>
  </si>
  <si>
    <t>B08MWZQ4S6</t>
  </si>
  <si>
    <t xml:space="preserve">Organic Goji Berries 1lb </t>
  </si>
  <si>
    <t>B0FWHT357H</t>
  </si>
  <si>
    <t>Pure Magnesium Citrate 500mg with Vitamin C</t>
  </si>
  <si>
    <t>B0DLLJ7HTQ</t>
  </si>
  <si>
    <t>Folic Acid 1,000 mcg, 500 Coconut Oil Softgels (1mg) | Essential Prenatal Vitamins (Vitamin B9) | 1,667 mcg DFE | Third Party Tested, No Artificial Colors or Flavors | Non-GMO, Gluten Free</t>
  </si>
  <si>
    <t>B087F3WYNW</t>
  </si>
  <si>
    <t>Golden Monk Fruit Sweetener with Allulose, 2 lbs | No Erythritol, No Aftertaste, 1:1 Brown Sugar Substitute | Zero Calorie, Great for Drinks, Coffee, Tea, Cookies | Keto, Vegan, Non-GMO</t>
  </si>
  <si>
    <t>B0C9P7L7YJ</t>
  </si>
  <si>
    <t>Liposomal Glutathione Complex 3000mg vegetarian capsules 120 count</t>
  </si>
  <si>
    <t>B0FWHFRB31</t>
  </si>
  <si>
    <t>Xanthan Gum Powder 2lb - Premium Food Grade for Cooking, Keto Baking, Thickening Soups &amp; Sauces, Dressings, Vegan Friendly, Non-GMO, Gluten Free</t>
  </si>
  <si>
    <t>B0BXY6BMHQ</t>
  </si>
  <si>
    <t>Matcha Latte with Allulose 2lb </t>
  </si>
  <si>
    <t>B0FGFQD1Q8</t>
  </si>
  <si>
    <t>Vitamin B2 Riboflavin 400mg</t>
  </si>
  <si>
    <t>B0F5M2GGC3</t>
  </si>
  <si>
    <t>Beet Root 3000mg with grape seed &amp; CoQ10</t>
  </si>
  <si>
    <t>B0DK65FRV2</t>
  </si>
  <si>
    <t>Multi-Collagen Capsules</t>
  </si>
  <si>
    <t>B0D16FNPY5</t>
  </si>
  <si>
    <t>Lions Mane Capsules</t>
  </si>
  <si>
    <t>B0D68FCQVT</t>
  </si>
  <si>
    <t>Hair Vitamins Complex 240 capsules</t>
  </si>
  <si>
    <t>B0DLDXLQ4B</t>
  </si>
  <si>
    <t xml:space="preserve">Mega Omega-3 Krill &amp; Fish Oil 2000mg (350mg EPA + 230mg DHA) Complex Softgels 240 count </t>
  </si>
  <si>
    <t>B0F4HPY7D5</t>
  </si>
  <si>
    <t xml:space="preserve">Pure Vitamin C 2000mg vegetarian capsules 240 count </t>
  </si>
  <si>
    <t>B0F3GV9QWR</t>
  </si>
  <si>
    <t>Organic Mega 10 Mushroom Powder 5oz</t>
  </si>
  <si>
    <t>B0D2S5M4DK</t>
  </si>
  <si>
    <t>Hyaluronic Acid Serum Powder, High Molecular Weight, Cosmetics Grade, 30 Gram, Support Hydration and Moisture, Water Soluble (Within 2 Hours), Vegan Friendly</t>
  </si>
  <si>
    <t>B01DPW5C5W</t>
  </si>
  <si>
    <t xml:space="preserve">Organic Castor Oil 32 fl oz </t>
  </si>
  <si>
    <t>B0CVRWSVRY</t>
  </si>
  <si>
    <t>dr berg新推出castor oil日銷70+ 我們也沒有蹭到 產品沒吸引力</t>
  </si>
  <si>
    <t>Red Yeast Rice 1200mg with CoQ10 100mg 240 Veggie Capsules</t>
  </si>
  <si>
    <t>B0F7NQ81NX</t>
  </si>
  <si>
    <t>Women’s Probiotics 40 strains 100 bullion CFU</t>
  </si>
  <si>
    <t>B0DW1K3367</t>
  </si>
  <si>
    <t xml:space="preserve">Organic Ceremonial Matcha Powder 100g </t>
  </si>
  <si>
    <t>B0F3GD9TWT</t>
  </si>
  <si>
    <t>Pure Magnesium Flakes, 6lbs | Great for Foot &amp; Body Bath Soaks | Natural Magnesium Chloride Minerals | Better Absorption Over Epsom Salt | Relaxation &amp; Skin Hydration Support</t>
  </si>
  <si>
    <t>B0C9PGM325</t>
  </si>
  <si>
    <t>Micro Ingredients Quercetin with Vitamin C and Zinc, 240 Capsules | Quercetin 500mg, Vitamin C 500mg, Zinc 50mg (Picolinate, Citrate, Glycinate, Gluconate) | Complete Immune Support Supplements</t>
  </si>
  <si>
    <t>B087Z8PSW6</t>
  </si>
  <si>
    <t>Pure Birch Xylitol Sweetener (Xylitol Sugar Crystal Powder), 6 Pounds (96 Ounce &amp; 680 Serving), Natural Sweetener, 1:1 Brown Sugar Substitute and Low Calorie, Best for Baking and Cooking, No After Taste, Keto Friendly and Product of USA</t>
  </si>
  <si>
    <t>B07T5WW8LF</t>
  </si>
  <si>
    <t>Organic Strawberry Freeze Dried Powder, 12 Ounce (56 Serving), Strawberry Powder for Baking, Best Super Foods for Smoothie &amp; Beverage Blend, Non-GMO, Vegan</t>
  </si>
  <si>
    <t>B07CXZBRZP</t>
  </si>
  <si>
    <t xml:space="preserve">Magnesium Taurate 2000mg capsules 240 count </t>
  </si>
  <si>
    <t>B0FWHW4HDL</t>
  </si>
  <si>
    <t>Micro Ingredients Organic Marshmallow Root Powder, 8 Ounce, Filler Free and Traditionally Used, Supports Digestive Gastrointestinal Health, Non-Irradiated and No GMOs, Vegan Friendly</t>
  </si>
  <si>
    <t>B074WLN3WN</t>
  </si>
  <si>
    <t>Electrolyte Powder 1lb</t>
  </si>
  <si>
    <t>B0CS4VV8MD</t>
  </si>
  <si>
    <t>Micro Ingredients Glycine Powder, 1KG (2.2 Pounds), Glycine 1000mg Per Serving, Supports Restful Sleep and Neurotransmitter, Water Soluble and Products of USA</t>
  </si>
  <si>
    <t>B01LBILPCG</t>
  </si>
  <si>
    <t>Organic Goji Powder, Freeze Dried Goji Berry Powder, 1 Pound (16 Ounce), Sulfate Free, Pure Goji Supplement, Natural Booster for Energy, Eye Health, and Super Immune Vitamin C for Antioxidant, Non-GMO</t>
  </si>
  <si>
    <t>B06XKJQVZ8</t>
  </si>
  <si>
    <t xml:space="preserve">Mega Mushroom with ashwagandha gummies raspberry and pomegranate flavor 120 count </t>
  </si>
  <si>
    <t>B0FGKJD22C</t>
  </si>
  <si>
    <t>Micro Ingredients Pure Vitamin C Crystal Powder (Water Soluble Vitamin C 1000mg Per Serving), 1 KG (2.2 Pounds), Immune Vitamins and Strong Antioxidant, Pure Ascorbic Acid Powder Supplement</t>
  </si>
  <si>
    <t>B01HFOJBG2</t>
  </si>
  <si>
    <t>Zinc Carnosine 75mg 10-in-1 vegetarian capsules 240 count</t>
  </si>
  <si>
    <t>B0FWJ1HC2H</t>
  </si>
  <si>
    <t>Mega Probiotics 40 strains 200 billion CFU</t>
  </si>
  <si>
    <t>B0DVN41167</t>
  </si>
  <si>
    <t xml:space="preserve">Organic Pumpkin Seed Protein Powder 2lb </t>
  </si>
  <si>
    <t>B0FWJGBPWM</t>
  </si>
  <si>
    <t>Glutathione reduced 1000mg</t>
  </si>
  <si>
    <t>B0DWD6PXP2</t>
  </si>
  <si>
    <t xml:space="preserve">CoQ10 400mg with MCT Oil Softgels 240 count </t>
  </si>
  <si>
    <t>B0F3FXTP4V</t>
  </si>
  <si>
    <t xml:space="preserve">Krill Oil 1000mg Softgels 150 count </t>
  </si>
  <si>
    <t>B0FGFNMVJ3</t>
  </si>
  <si>
    <t>Micro Ingredients Organic Chlorella Powder, 10 Ounce, Broken Cell Wall, Rich in Vegan Proteins &amp; Vitamins, Raw, Bulk Premium Chlorella Supplement, Vegan Friendly, Non-Irradiation</t>
  </si>
  <si>
    <t>B01L2TGOEI</t>
  </si>
  <si>
    <t>Saffron+ Advanced Supplements, 60 Veggie Capsules</t>
  </si>
  <si>
    <t>B0F8Y3HBLS</t>
  </si>
  <si>
    <t>Vitamin D3 2000IU with coconut oil softgels</t>
  </si>
  <si>
    <t>B0DS6L2MFW</t>
  </si>
  <si>
    <t>Organic Bamboo Fiber Powder, 2lbs</t>
  </si>
  <si>
    <t>B0CVTJKVFQ</t>
  </si>
  <si>
    <t>Sustainably US Grown, Organic Saw Palmetto Powder, 4 Ounce, with Active Fatty Acid, Pure Saw Palmetto Prostate &amp; Hair Growth Supplement, Healthy Urination Frequency &amp; Hair Loss Blocker Supplement</t>
  </si>
  <si>
    <t>B07WLMT9FS</t>
  </si>
  <si>
    <t>Organic French Chicory Root, 2lbs | Roasted Chicory Granule for Chicory Coffee | Brews like Regular Coffee | Caffeine Free Coffee Substitute | Rich in Prebiotic Fiber | Non-GMO</t>
  </si>
  <si>
    <t>B0CG7VSS1Z</t>
  </si>
  <si>
    <t>Organic Chlorella Tablets, 500mg Per Tablet, 720 Tabs (360 Grams), 4 Months Supply, Broken Cell Wall, Rich in Vegan Protein &amp; Vitamins, No Filler, No Additives &amp; Non-GMO | Pure Green Algae Superfood</t>
  </si>
  <si>
    <t>B01FMWFG86</t>
  </si>
  <si>
    <t>Micro Ingredients Water Soluble COQ10 Supplement (COQ10 200mg Per Serving in Powder Form), 50 Grams (8 Months Supply), Extra Absorption, Support Heart Health and Energy Production, Vegan Friendly</t>
  </si>
  <si>
    <t>B07RH9L848</t>
  </si>
  <si>
    <t>Micro Ingredients Pantothenic Acid Vitamin B5 Supplement, Vitamin B5 500mg Per Count, 365 Capsules (1 Year Supply), B-Complex Vitamin, Support Energy Production and Nervous System, Non-GMO</t>
  </si>
  <si>
    <t>B08MX59VV3</t>
  </si>
  <si>
    <t xml:space="preserve">Maca Root Complex 5000mg </t>
  </si>
  <si>
    <t>B0DW1M7VQK</t>
  </si>
  <si>
    <t>Organic Celery Juice Powder, 20 Ounce (1.25 Pound), 71 Serving, Celery Detox and Cold Pressed, Boosts Immune System, Energy and Supports Gut Health, Rich in Immune Vitamin C and Minerals, Vegan</t>
  </si>
  <si>
    <t>B0846SDQZG</t>
  </si>
  <si>
    <t>L-Arginine 1000mg with MCT Oil softgels 300 count </t>
  </si>
  <si>
    <t>B0FJ3P7PJ4</t>
  </si>
  <si>
    <t>Micro Ingredients Organic Ashwagandha Root Powder | 2 Pound, No Filler, No Additives, Highly Purified | Active Withanolides, Adaptogenic Ayurvedic Herbal Supplements, No GMO, Gluten Free, India Origin</t>
  </si>
  <si>
    <t>B01N3U3WO4</t>
  </si>
  <si>
    <t>KSM-66 Ashwagandha Gummies</t>
  </si>
  <si>
    <t>B0F3B3Y86P</t>
  </si>
  <si>
    <t xml:space="preserve">NMN 200mg vegetarian capsules 120 count </t>
  </si>
  <si>
    <t>B0FV26F161</t>
  </si>
  <si>
    <t>Glutathione Supplement, Pure Glutathione Reduced Powder with Inositol, 5 Ounce (9 Months Supply), 2 in 1 Formula, Powerful Ingredients for Antioxidants, Supports Liver Function, Vegan</t>
  </si>
  <si>
    <t>B0812D49XG</t>
  </si>
  <si>
    <t>Beef Gelatin Powder 1lb</t>
  </si>
  <si>
    <t>B0FGFNMT45</t>
  </si>
  <si>
    <t>Kids Magnesium Calm Gummies</t>
  </si>
  <si>
    <t>B0FGKW135S</t>
  </si>
  <si>
    <t>Micro Ingredients Organic Spirulina Powder, 16 Ounce, Raw Spirulina (Arthrospira Platensis), The Richest Sources of 70% Vegan Protein, Containers Minerals, Vitamins, Non-GMO &amp; Non-Irradiation</t>
  </si>
  <si>
    <t>B01DPW5FWW</t>
  </si>
  <si>
    <t>Multi-Collagen Powder Chocolate Flavor 2lb</t>
  </si>
  <si>
    <t>B0D68JXS1L</t>
  </si>
  <si>
    <t>Micro Ingredients Organic European Black Elderberry Juice Powder, 4 Ounce, Cold Pressed, Flash Pasteurized for Safety, Supports Immune System, Energy and Vascular Health, No GMOs, Vegan Friendly</t>
  </si>
  <si>
    <t>B07QTCDMBW</t>
  </si>
  <si>
    <t xml:space="preserve">Sunflower Lecithin 2400mg softgels 240 count </t>
  </si>
  <si>
    <t>B0FWJ2DKD9</t>
  </si>
  <si>
    <t>Micro Ingredients Full Spectrum Vitamin K2 MK-4 + MK-7 Supplement, 150 mcg, 300 Coconut Oil Softgles | Easily Absorbed, Active Menaquinone Complex | Immune, Joint, &amp; Heart Support | Non-GMO</t>
  </si>
  <si>
    <t>B087DZKHVW</t>
  </si>
  <si>
    <t>Monk Fruit Sweetener with Erythritol Granules, 4 Pounds, No After Taste, 1:1 White Sugar Substitute, Keto Diet Friendly, Zero Calorie, Natural Sweetener for Drinks, Coffee, Tea, Cookies, No-GMO, Vegan</t>
  </si>
  <si>
    <t>B07X4BL4GC</t>
  </si>
  <si>
    <t xml:space="preserve">Hyaluronic Acid Serum 4fl oz (118 mL) </t>
  </si>
  <si>
    <t>B0F3GF9G1H</t>
  </si>
  <si>
    <t xml:space="preserve">一天賣1個 </t>
  </si>
  <si>
    <t>Organic Spirulina Powder 2lb</t>
  </si>
  <si>
    <t>B0F3G992L6</t>
  </si>
  <si>
    <t>Blood Booster 60 Capsules</t>
  </si>
  <si>
    <t>B0F8XQDMXS</t>
  </si>
  <si>
    <t xml:space="preserve">Organic Butterfly Pea Flowers, 8oz </t>
  </si>
  <si>
    <t>B0CLFQJ9V2</t>
  </si>
  <si>
    <t>Pure Lavender Essential Oil 8 floz (237mL)</t>
  </si>
  <si>
    <t>B0FGFPHB55</t>
  </si>
  <si>
    <t>Organic Whole Yellow Mustard Seed, 4lbs</t>
  </si>
  <si>
    <t>B0CLFJ81NC</t>
  </si>
  <si>
    <t>Organic Schisandra Extract Powder, 8 Ounce, Traditional Adaptogen and Filler Free, Pure Schisandra Supplement, Supports Liver Detox and Cognitive Health, No GMOs</t>
  </si>
  <si>
    <t>B07GF4QLJJ</t>
  </si>
  <si>
    <t>Pure L Citrulline Malate 2:1 Powder, 500 Grams, Filler Free, Vegan Citrulline Supplement and Citrulline Nitrate, Supports Muscle Performance, Endurance and Strength, Unflavored, Dissolve Easily</t>
  </si>
  <si>
    <t>B01HFOBO7Q</t>
  </si>
  <si>
    <t>2pack Pumpkin Seed Oil with Saw Palmetto 300 Softgels</t>
  </si>
  <si>
    <t>B0G1641C8X</t>
  </si>
  <si>
    <t xml:space="preserve">NAC+NAD with MCT Oil softgels </t>
  </si>
  <si>
    <t>B0DK65J8YX</t>
  </si>
  <si>
    <t>Omega-3 Fish Oil for dogs 16 fl oz</t>
  </si>
  <si>
    <t>B0F7NSB3DF</t>
  </si>
  <si>
    <t>Micro Ingredients Organic Tart Cherry Powder, 4 Ounce, Sustainably US Grown, Uric Acid Cleanse, Antioxidant and Flavonoids, Enhance Joint Health, Sleep Cycles &amp; Immune System</t>
  </si>
  <si>
    <t>B07G3KLNM7</t>
  </si>
  <si>
    <t>Omega-3 for Kids 240 Chewable Veggie Softgel</t>
  </si>
  <si>
    <t>B0F4HHCGGC</t>
  </si>
  <si>
    <t>Pure Quercetin Dihydrate Powder, Quercetin 500mg Per Serving, 100 Grams, Most Bioavailable Grade and Filler Free, Powerful Antioxidant Supports Energy, Immune System , No GMOs and Vegan</t>
  </si>
  <si>
    <t>B01DPW5IWY</t>
  </si>
  <si>
    <t>Psyllium Husk 500mg capsules 500 count</t>
  </si>
  <si>
    <t>B0DF425DGX</t>
  </si>
  <si>
    <t>NAC 600mg with NAD+ with coconut oil softgels 150 count</t>
  </si>
  <si>
    <t>B0F6J2MW5T</t>
  </si>
  <si>
    <t>Micro Ingredients Black Seed Oil 2000 mg with Vitamin D3 1000 IU, 240 Softgels | Cold Pressed - Nigella Sativa Pills from Egypt, Virgin Oil, Odorless, Non-GMO &amp; No Gluten</t>
  </si>
  <si>
    <t>B08TB8VX8P</t>
  </si>
  <si>
    <t>Magnesium Glycinate 400mg Gummies Grape Blueberry Flavor, 120 count</t>
  </si>
  <si>
    <t>B0F7NR5HSH</t>
  </si>
  <si>
    <t xml:space="preserve">Ginger Root with MCT Oil Softgels 360 count </t>
  </si>
  <si>
    <t>B0FWHBV8FF</t>
  </si>
  <si>
    <t>2 Pack of Pure USDA Organic Acerola Cherry Powder, Natural and Organic Vitamin C for Immune System, 8 Ounce, No GMO, No Gluten, Brazil Origin</t>
  </si>
  <si>
    <t>B01L2TGTK2</t>
  </si>
  <si>
    <t xml:space="preserve">Liposomal Vitamin C 1000mg 40 packets </t>
  </si>
  <si>
    <t>B0F3GDQTLS</t>
  </si>
  <si>
    <t>Micro Ingredients Sustainably US Grown, Organic Reishi Mushroom Powder, 8 Ounce, Pure Reishi Supplement 100:1 Extract (Reishi Mushroom)</t>
  </si>
  <si>
    <t>B01JNNAQVW</t>
  </si>
  <si>
    <t>Kids Methylated Multivitamins Orange Flavor Gummies 120 count</t>
  </si>
  <si>
    <t>B0FGKQ3X48</t>
  </si>
  <si>
    <t>Lions Mane+ with MCT Oil Softgels 240 count </t>
  </si>
  <si>
    <t>B0FJ46RC8P</t>
  </si>
  <si>
    <t xml:space="preserve">Resveratrol Complex 3000mg </t>
  </si>
  <si>
    <t>B0DVMN2XB5</t>
  </si>
  <si>
    <t>Organic Collagen Peptides Powder 12oz</t>
  </si>
  <si>
    <t>B0D3SH3DVW</t>
  </si>
  <si>
    <t>Colostrum 1000mg with Collagen &amp; Probiotics 240 capsules</t>
  </si>
  <si>
    <t>B0G2MZDRQL</t>
  </si>
  <si>
    <t xml:space="preserve">Pure KSM-66 Ashwagandha 1000mg vegetarian capsules 120 count </t>
  </si>
  <si>
    <t>B0F7NM5CXF</t>
  </si>
  <si>
    <t>Sustainably US Grown, Organic Freeze Dried Raspberry Juice Powder, 8 Ounce, Contains Immune Vitamin C for Immune System Booster, Rich in Raspberry Ketones, Fatty Acids, Minerals and Antioxidant, Vegan</t>
  </si>
  <si>
    <t>B07L466GW8</t>
  </si>
  <si>
    <t xml:space="preserve">Melatonin 10mg tablets strawberry flavor 400 count </t>
  </si>
  <si>
    <t>B0DX4D8Q84</t>
  </si>
  <si>
    <t>Organic Maca Root Powder, 2 Pound, Gelatinized for Better Absorption, Rich in Antioxidants, Help Energy, Stamina, Endurance, Strength and Immune System, No GMOs, Vegan Friendly and Peru Origin</t>
  </si>
  <si>
    <t>B01JNM6NTW</t>
  </si>
  <si>
    <t>Pure Methylated Multivitamin 240 count</t>
  </si>
  <si>
    <t>B0DLLG833V</t>
  </si>
  <si>
    <t>Micro Ingredients Organic Bamboo Extract Powder, 8 Ounce (1 Year Supply), Rich in Silica and Minerals, Supports Healthy Skin, Nail, Hair, Joints and Bones, Non-GMO and Vegan Friendly</t>
  </si>
  <si>
    <t>B07CXK6M1G</t>
  </si>
  <si>
    <t>Grape Seed Extract 36000mg with Resveratrol</t>
  </si>
  <si>
    <t>B0DX3W24CJ</t>
  </si>
  <si>
    <t>Pure Trans-Resveratrol Powder with Natural Vitamin E, 5 Ounce, 2 in 1 Formula, Micronized Powder for Better Absorption, Premium Resveratrol Supplement, Super Antioxidant, Vegan Friendly</t>
  </si>
  <si>
    <t>B0812F3JGG</t>
  </si>
  <si>
    <t>Omega-3 Fish Oil 3000mg (540mg EPA + 360mg DHA) Lemon Flavor 120 Softgels</t>
  </si>
  <si>
    <t>B0G5B844XM</t>
  </si>
  <si>
    <t>Micro Ingredients Raw Organic Ginkgo Biloba Powder, 8 Ounce (18 Months Supply), Filler Free, Supports Brain Function and Mental Alertness, No GMOs and Vegan Friendly</t>
  </si>
  <si>
    <t>B01L2TGUHO</t>
  </si>
  <si>
    <t>Magnesium Glycinate 800mg with MCT Oil 240 Softgels</t>
  </si>
  <si>
    <t>B0G5B6N2DQ</t>
  </si>
  <si>
    <t>NAD+ with resveratrol</t>
  </si>
  <si>
    <t>B0DS6NNCP9</t>
  </si>
  <si>
    <t>Micro Ingredients Sustainably US Grown, Organic Spinach Powder, 1 Pound, Freeze Dried from Whole Leaf, Rich in Beneficial Thylakoids and Chlorophyll, Contains Multivitamins, Non-GMO, Vegan Friendly</t>
  </si>
  <si>
    <t>B07WH4DXVX</t>
  </si>
  <si>
    <t>Men's Probiotics 40 strains 100 billion CFU 120 vegetarian capsules</t>
  </si>
  <si>
    <t>B0G2N243VD</t>
  </si>
  <si>
    <t>Organic Daily Prebiotic Dietary Fiber Supplement Powder, (Inulin Fiber from Chicory Root), 10 Ounce, Highly Promote Intestinal Colon, Gut Health and Digestive Function, Vegan Friendly</t>
  </si>
  <si>
    <t>B07P3GKXKK</t>
  </si>
  <si>
    <t>Maximum Strength Organic Pure Horny Goat Weed with Active Icariins for Men and Women, 100 Grams, Organic Epimedium Powder for Energy and Immune System Booster, Filler Free and Vegan Friendly</t>
  </si>
  <si>
    <t>B01L2TGSVM</t>
  </si>
  <si>
    <t>Organic Amla Powder (Amalaki) | 32oz, India Origin Gooseberry Powder | Rich in Vitamin C, Antioxidants, Supports Immune, Digestive &amp; Skin Health, Non-GMO, Vegan &amp; Keto Friendly</t>
  </si>
  <si>
    <t>B06XKYNFY1</t>
  </si>
  <si>
    <t>Micro Ingredients Organic Barley Grass Juice Powder, 10 Ounce, Cold Pressed, US Grown, Rich in Immune Vitamin, Fibers, Minerals, Antioxidants and Protein, Support Immune System and Digestion, Vegan</t>
  </si>
  <si>
    <t>B01MT7T5XX</t>
  </si>
  <si>
    <t>Taurine 1000mg with 400 MCT Oil Softgels</t>
  </si>
  <si>
    <t>B0G11T5RL2</t>
  </si>
  <si>
    <t>比較少有softgels形式 比較多人買powder/capsules可以餵寵物</t>
  </si>
  <si>
    <t>Advanced Electrolyte Complex with Multivitamins Capsules 240 count </t>
  </si>
  <si>
    <t>B0FWH7V17F</t>
  </si>
  <si>
    <t>Beet Root Complex 3000mg 300 capsules</t>
  </si>
  <si>
    <t>B0G2MX5LS7</t>
  </si>
  <si>
    <t>Supreme Omega-3 rTG Fish Oil 1300mg, 120 softgels</t>
  </si>
  <si>
    <t>B0FN669XZP</t>
  </si>
  <si>
    <t>Potassium Chloride Powder, 1 Kg (2.2 Pounds), Salt Substitute &amp; Electrolyte Powder, Pure Potassium Chloride Supplement, Essential Mineral, Filler Free and Dissolve Easily</t>
  </si>
  <si>
    <t>B07T1LZ4D2</t>
  </si>
  <si>
    <t>Pure Pine Pollen Powder, 6 Ounce, Wild Harvest an Broken Cell Wall, Supports Immune System Health, Boosts Energy, Antioxidant &amp; Androgenic, No GMOs, Vegan Friendly</t>
  </si>
  <si>
    <t>B079N44L9C</t>
  </si>
  <si>
    <t xml:space="preserve">Lithium Orotate 5mg vegetarian capsules 240 count </t>
  </si>
  <si>
    <t>B0FWHV2TRW</t>
  </si>
  <si>
    <t>BSS沒有跑起來 市場量比較小 4/6漲價了一次到$23 日銷2-3個 沒什麼價格優勢 競品單價都比較小</t>
  </si>
  <si>
    <t>Organic Barley Grass Powder, 16 Ounces | US Grown | Rich in Vitamins, Minerals, Fibers, &amp; Antioxidants | Superfood Greens Mix for Immune Health and Digestion Support | Non-GMO</t>
  </si>
  <si>
    <t>B01NCTM200</t>
  </si>
  <si>
    <t>Micro Ingredients Vitamin B12 5000mcg | Methyl B12 Active Form – 180 Chewable Tablets | Fast Dissolve, Natural Strawberry Flavor, Support Energy, Metabolism Health | Vegan, Non-GMO, &amp; No Gluten</t>
  </si>
  <si>
    <t>B08MX1ZWB4</t>
  </si>
  <si>
    <t>Pure L-Theanine Powder, 100 Grams (1 Year Supply), Filler Free, No GMOs and Vegan Friendly</t>
  </si>
  <si>
    <t>B01DPW5F5O</t>
  </si>
  <si>
    <t>Berberine 1000mg with MCT Oil, 120 Softgels</t>
  </si>
  <si>
    <t>B0GFGXGYZX</t>
  </si>
  <si>
    <t>Citrus Bergamot 1000mg with MCT Oil 240 Softgels</t>
  </si>
  <si>
    <t>B0G17R2KGK</t>
  </si>
  <si>
    <t xml:space="preserve">Krill Oil 2000mg Softgels 120 count </t>
  </si>
  <si>
    <t>B0FGFQKC2T</t>
  </si>
  <si>
    <t>Magnesium Citrate 400mg with Vitamin D3 1000IU &amp; B6, 240 Capsules | Elemental Mineral &amp; Vitamins Complex | Combats Constipation, Supports Muscle, Heart, &amp; Bone Health – Non-GMO</t>
  </si>
  <si>
    <t>B087F7DTR7</t>
  </si>
  <si>
    <t>Alpha GPC 600mg with MCT Oil Softgels 240 count</t>
  </si>
  <si>
    <t>B0G11GVYVX</t>
  </si>
  <si>
    <t>TMG (Trimethylglycine) 2000mg 240 capsules</t>
  </si>
  <si>
    <t>B0G2N4TH7Z</t>
  </si>
  <si>
    <t>Moringa Powder Organic (Moringa Oleifera Leaf Powder), 2 Pounds, Rich in Antioxidants and Immune Vitamin, Great Superfoods for Moringa Tea, Moringa Drink, Moringa Powder for Hair, India Grown, Vegan</t>
  </si>
  <si>
    <t>B01L2TGLTG</t>
  </si>
  <si>
    <t>Magnesium Malate 2000mg capsules 240 count </t>
  </si>
  <si>
    <t>B0FWJCNC61</t>
  </si>
  <si>
    <t>Glycine Powder 500g</t>
  </si>
  <si>
    <t>B0GDS3GVQB</t>
  </si>
  <si>
    <t>Black Seed Oil 3000mg with Oregano Oil 120 softgels</t>
  </si>
  <si>
    <t>B0GJTYTYDT</t>
  </si>
  <si>
    <t>Stevia Sweetener Powder with Plant-based Erythritol, 4 Pounds (64 Ounces) | Keto, 0 Calorie, Low Carb, 4:1 Sugar Substitute, Natural Sweetener, Bitterless, Reb-A Stevia Leaf Extract, Non-GMO, Vegan</t>
  </si>
  <si>
    <t>B09NQXJHYQ</t>
  </si>
  <si>
    <t>Methylated B Complex for Women 240 Capsules</t>
  </si>
  <si>
    <t>B0GDS8S34H</t>
  </si>
  <si>
    <t>Micro Ingredients Sustainably US Grown, Organic Wheat Grass Powder (100% Whole-Leaf), 16 Ounce, Rich in Immune Vitamins, Fibers and Minerals, Support Digestion Function, Vegan Friendly</t>
  </si>
  <si>
    <t>B01NH4ZI46</t>
  </si>
  <si>
    <t>Organic Broccoli Powder, 1 Pound, Freeze Dried, Contains Natural DIM (Diindolylmethane), and Rich in Fiber and Immune Vitamin C, Green Superfood for Smoothie &amp; Drinks, Vegan Friendly</t>
  </si>
  <si>
    <t>B07QQ3HTM5</t>
  </si>
  <si>
    <t>Organic He Shou Wu, Pure Fo Ti Extract Powder, 6 Ounce, Prepared Foti Steaming with Black Bean, Traditional Anti Aging Herb, Promotes Hair Health and Antioxidant, Filler Free and No GMOs</t>
  </si>
  <si>
    <t>B06XKV2PK3</t>
  </si>
  <si>
    <t>Micro Ingredients Riboflavin Vitamin B2, 400mg Per Serving, 180 Mini Tablets, Premium Vitamin B2 400mg Riboflavin Supplements, Easy to Swallow, Non-GMO</t>
  </si>
  <si>
    <t>B08C7BCJPM</t>
  </si>
  <si>
    <t xml:space="preserve">Organic Spirulina Chlorella Mixed Mini-Tablets 2500 count </t>
  </si>
  <si>
    <t>B0F3GG32FF</t>
  </si>
  <si>
    <t xml:space="preserve">Vitality Fiber Prebiotic Powder 1lb </t>
  </si>
  <si>
    <t>B0DK69WWNQ</t>
  </si>
  <si>
    <t>DHEA micronized 100mg 240 capsules</t>
  </si>
  <si>
    <t>B0G2MXW1B2</t>
  </si>
  <si>
    <t>Citric Acid 6 Pounds, Food Grade, Fine Granular Powder | 100% Pure, Concentrated Anhydrous Form | Natural Preservative + Great for Cooking, Cleaning, &amp; DIY Bath Bombs | Non-GMO</t>
  </si>
  <si>
    <t>B0BXYCL8KP</t>
  </si>
  <si>
    <t>Organic Chia Seeds 4lb</t>
  </si>
  <si>
    <t>B0F3GFTM5J</t>
  </si>
  <si>
    <t>Omega-3 Fish Oil 1200mg</t>
  </si>
  <si>
    <t>B0DGRNC1VW</t>
  </si>
  <si>
    <t>Oil of Oregano with black seed oil 450 softgels</t>
  </si>
  <si>
    <t>B0GJTTH8GZ</t>
  </si>
  <si>
    <t>Pure Organic Stevia Powder, 1lb</t>
  </si>
  <si>
    <t>B0D2LYMLJT</t>
  </si>
  <si>
    <t>Vegan Omega-7 Sea Buckthorn Oil 6000mg</t>
  </si>
  <si>
    <t>B0DS6MT295</t>
  </si>
  <si>
    <t>Probiotics for dogs 6 billion CFU Duck Flavor, 240 soft chews</t>
  </si>
  <si>
    <t>B0FJ4LWGC2</t>
  </si>
  <si>
    <t xml:space="preserve">HMB 1000mg with coconut oil softgels 240 count </t>
  </si>
  <si>
    <t>B0F5M5HXC3</t>
  </si>
  <si>
    <t>Electrolytes Grape Flavor, 1lb</t>
  </si>
  <si>
    <t>B0D74SV42T</t>
  </si>
  <si>
    <t>Sustainably US Grown, Organic Cranberry Juice Powder (Wild Cranberry Supplements Cold Pressed), 8 Ounce, Enhance Urinary Tract Cleanse &amp; Prostate Health, Water Soluble and Pet Friendly</t>
  </si>
  <si>
    <t>B07G3L5SX7</t>
  </si>
  <si>
    <t xml:space="preserve">5-HTP+ 300mg with Hemp Seed Oil Softgels 240 count </t>
  </si>
  <si>
    <t>B0FJ477YCV</t>
  </si>
  <si>
    <t>US Origin Potassium Citrate Powder, 1 KG (35 Ounce), Essential Electrolyte Supplement, Supports Mineral Balance, Heart Health and Immune System, Vegan Friendly</t>
  </si>
  <si>
    <t>B01KFALQ34</t>
  </si>
  <si>
    <t xml:space="preserve">Glutathione 500mg with Vitamin C vegetarian capsules 240 count </t>
  </si>
  <si>
    <t>B0FWGTM3ND</t>
  </si>
  <si>
    <t>Organic Whole Cinnamon Stick, 2lbs | 2 ¾” Stick Size | Raw Cinnamon Spice Flavor &amp; Aroma | Great for Tea, Desserts, or Cooking | Non-GMO, Vegan Friendly, Bulk Supply</t>
  </si>
  <si>
    <t>B0C9PGM2LW</t>
  </si>
  <si>
    <t>Rhodiola Rosea Complex 3000mg 240 vegetarian capsules</t>
  </si>
  <si>
    <t>B0G2N5K1F7</t>
  </si>
  <si>
    <t>Micro Ingredients Red Panax Ginseng 1200mg Per Serving, 200 Softgels | High Potency Korean Ginseng Extract with Active Ginsenosides, Non-GMO &amp; No Gluten</t>
  </si>
  <si>
    <t>B07S17DJS3</t>
  </si>
  <si>
    <t>Bovine Collagen Protein Powder, 1 Pound</t>
  </si>
  <si>
    <t>B0D16G8C8P</t>
  </si>
  <si>
    <t>Organic Dried Red Raspberry Leaf, 2lbs | Raw from Germany, Cut &amp; Sifted Whole Leaves | Makes Traditional Herbal Tea | Great for Refilling Tea Bags | Non-GMO, Vegan, Gluten Free</t>
  </si>
  <si>
    <t>B07YQBYZ75</t>
  </si>
  <si>
    <t>Pure Organic Stevia Powder, 4 Ounces, 706 Serving, Highest Grade Stevia Green Leaf Extract Reb-A, Reduced Bitter Aftertaste, 0 Calorie, Natural Sweetener, Sugar Alternative, Keto Friendly</t>
  </si>
  <si>
    <t>B01DPW5GRG</t>
  </si>
  <si>
    <t>Biotin 5000mcg with coconut oil</t>
  </si>
  <si>
    <t>B0DK64NZS8</t>
  </si>
  <si>
    <t>Bariatric Multivitamin with 45mg Iron 240 Veggie Capsules</t>
  </si>
  <si>
    <t>B0F6H61S1J</t>
  </si>
  <si>
    <t>Organic 10 in 1 Ground Mushroom Coffee Powder, 24 Ounce | Premium Arabica Coffee with Lion’s Mane, Chaga, Reishi, &amp; More | Smooth Medium Roast, Clean Energy, &amp; Immune Support</t>
  </si>
  <si>
    <t>B0C9PNDL22</t>
  </si>
  <si>
    <t>Magnesium Glycinate 350mg</t>
  </si>
  <si>
    <t>B0DWDHJZ4T</t>
  </si>
  <si>
    <t>Sustainably US Grown, Kale Powder Organic, 1 Pound (454 Servings), Freeze Dried, Most Nutrient-Dense Food on the Planet, Green Superfood for Kale Tea and Kale Drink, No GMOs and Vegan Friendly</t>
  </si>
  <si>
    <t>B07L46RH6P</t>
  </si>
  <si>
    <t xml:space="preserve">Sport Electrolytes Powder Passionfruit and Citrus Flavor 2lb </t>
  </si>
  <si>
    <t>B0FGL1SQML</t>
  </si>
  <si>
    <t>Fenugreek with Sunflower Lecithin 360 coconut oil softgels</t>
  </si>
  <si>
    <t>B0G17TB9PF</t>
  </si>
  <si>
    <t>2 Pack Micro Ingredients Organic Lemon Juice Powder, 10 Ounce, Rich in Natural Vitamin C (Immune Vitamins) for Immune System, Great Flavor for Drinks, Smoothie &amp; Beverages, Vegan</t>
  </si>
  <si>
    <t>B07XGDGNH9</t>
  </si>
  <si>
    <t>Melatonin Gummies 20mg</t>
  </si>
  <si>
    <t>B0F7NYGQ58</t>
  </si>
  <si>
    <t xml:space="preserve">Green Tea 9000mg capsules 300 count </t>
  </si>
  <si>
    <t>B0DVMFPFJ1</t>
  </si>
  <si>
    <t>CoQ10 100mg with MCT Oil</t>
  </si>
  <si>
    <t>B0DK69D35M</t>
  </si>
  <si>
    <t>Micro Ingredients Melatonin 20mg Tablets, 400 Counts, Natural Strawberry Flavor, Fast Dissolve | No Drug, Vegetarian Friendly, Non-GMO &amp; No Gluten</t>
  </si>
  <si>
    <t>B07RY554K5</t>
  </si>
  <si>
    <t>Sustainably US Grown, Organic Cordyceps Mushroom Extract Powder 100:1 | 6 Ounce, 30% Polysaccharides and Cordycepic Acid, From Fruit Body and Mycelium, Supports Energy &amp; Immune Health</t>
  </si>
  <si>
    <t>B074WL37DN</t>
  </si>
  <si>
    <t>Micro Ingredients Organic Chaga Mushroom Extract 100:1 Powder, 6 Ounce | Sustainably Maine Grown, Wild Harvest, Chaga Tea, Superfood for Beverage and Smoothie, Vegan Friendly</t>
  </si>
  <si>
    <t>B07CY1LGVZ</t>
  </si>
  <si>
    <t>Myo + D-Chiro Inositol Blend Powder 2lb</t>
  </si>
  <si>
    <t>B0F1QXFLBK</t>
  </si>
  <si>
    <t>Micro Ingredients Tongkat Ali Extract 200:1 (Longjack) Powder, 100 Grams, Grown in Indonesia, 100% Pure Eurycoma Longifolia Root Extract, Bitter Taste - No Filler, No Additive, Non-GMO</t>
  </si>
  <si>
    <t>B01L2TFQHY</t>
  </si>
  <si>
    <t>Micro Ingredients Organic Papaya Fruit Powder, 8 Ounce, Freeze Dried, Naturally Rich in Papaya Enzyme, Supports Antioxidant and Digestive Function, No GMOs &amp; Vegan Friendly</t>
  </si>
  <si>
    <t>B07NY5GKYG</t>
  </si>
  <si>
    <t>Pure Methylated B Complex with Vitamin C</t>
  </si>
  <si>
    <t>B0DLLHRVLY</t>
  </si>
  <si>
    <t>Brewers Yeast Powder for Lactation, 3lbs</t>
  </si>
  <si>
    <t>B0CLFRYPPT</t>
  </si>
  <si>
    <t>Double Strength Yohimbine Supplements for Men and Women, 10mg Per Serving, 300 Softgels, Yohimbine HCL with Virgin Sunflower Seed Oil for Better Absorption, Supports Energy Production, African Raw</t>
  </si>
  <si>
    <t>B08MX72C55</t>
  </si>
  <si>
    <t>Calm Powder 1lb</t>
  </si>
  <si>
    <t>B0FH5PPJVM</t>
  </si>
  <si>
    <t>Magnesium Glycinate Powder 12oz</t>
  </si>
  <si>
    <t>B0DG3QT3M2</t>
  </si>
  <si>
    <t>Organic Moringa Powder 1lb</t>
  </si>
  <si>
    <t>B0DW17X7XS</t>
  </si>
  <si>
    <t>Organic Dried Lavender Flowers, 2lbs | Raw from France, Extra Grade Loose Lavender Buds | Great for Herbal Tea or Culinary Baking | Rich in Antioxidants &amp; Essential Oil | Non-GMO</t>
  </si>
  <si>
    <t>B07YQCX5WR</t>
  </si>
  <si>
    <t>Micro Ingredients North American Grown, Pea Protein Powder, 5 Pounds | Plant Based, Unflavored | Complete Vegan Protein Source – 27g Serving | Rich in BCAAs &amp; EAAs | Non-GMO, Keto Friendly</t>
  </si>
  <si>
    <t>B0C35LNMRF</t>
  </si>
  <si>
    <t>Dog Multivitamin 25-in-1 Chicken Flavor, 240 soft chews</t>
  </si>
  <si>
    <t>B0FJ4838J3</t>
  </si>
  <si>
    <t>Pure D Ribose Powder, 1 KG (2.2 Pound and 200 Servings), Natural Simple Sugar, Dissolves Clear, Pharmaceutical Grade, Filler Free, No GMOs, No Gluten. and Water Soluble</t>
  </si>
  <si>
    <t>B01JNFGDUI</t>
  </si>
  <si>
    <t>Micro Ingredients Sustainably US Grown, Organic Slippery Elm Bark Powder, 1 Pound (645 Servings), Helps Soothe The Throat and Coughing, No Irradiated, No Contaminated, No GMOs, Pet Friendly</t>
  </si>
  <si>
    <t>B075VFCQBC</t>
  </si>
  <si>
    <t>Odorless Aged Garlic Extract 150 Softgels</t>
  </si>
  <si>
    <t>B0GJV59SRH</t>
  </si>
  <si>
    <t>Pure Methylated Multivitamin for Women</t>
  </si>
  <si>
    <t>B0F8FWJN2Q</t>
  </si>
  <si>
    <t>Turmeric Extract 95% Curcuminoids (Natural Turmeric Extract and Turmeric Supplements), 100 Grams, Rich in Antioxidants for Joint &amp; Immune Support, No GMOs, Vegan Friendly, India Origin</t>
  </si>
  <si>
    <t>B01JNPEPOE</t>
  </si>
  <si>
    <t>Moringa 6000mg capsules</t>
  </si>
  <si>
    <t>B0DDWPH39G</t>
  </si>
  <si>
    <t>Organic Matcha Green Tea Powder, 1 Pound (16 Ounce), Culinary Grade, First Harvest Authentic Japanese Origin, 100% Pure Matcha for Smoothies, Latte and Baking, Unflavored, Non-Irradiation</t>
  </si>
  <si>
    <t>B08PY3Q8XS</t>
  </si>
  <si>
    <t>Electrolyte tablets tubes 40 tablets</t>
  </si>
  <si>
    <t>B0DK68J877</t>
  </si>
  <si>
    <t>Micro Ingredients Organic Chlorella Powder, 20 Ounces | Broken Cell Wall for Complete Absorption | Raw Superfood Supplement, Rich in Protein &amp; Vitamins | Non-GMO, Vegan, Non-Irradiated</t>
  </si>
  <si>
    <t>B01NCTZSPF</t>
  </si>
  <si>
    <t>Organic Turmeric Powder 5lb</t>
  </si>
  <si>
    <t>B0DGYLR7W1</t>
  </si>
  <si>
    <t>Organic Ceylon Cinnamon Powder 1lb</t>
  </si>
  <si>
    <t>B0D2S665WK</t>
  </si>
  <si>
    <t>Magnesium Oxide 400mg</t>
  </si>
  <si>
    <t>B0DDWD83GF</t>
  </si>
  <si>
    <t>Organic Tomato Powder 2lb</t>
  </si>
  <si>
    <t>B0CLFZXMRB</t>
  </si>
  <si>
    <t>Organic Freeze-Dried Acai Powder 8oz, Sustainably Grown in Brazilian Amazon, 100% Pure Berry Pulp, Raw, Bulk, No Filler, No additives, Great for Acai Bowls, Yogurt, Smoothies, and More</t>
  </si>
  <si>
    <t>B09TG36LYR</t>
  </si>
  <si>
    <t>Micro Ingredients Organic Triphala Powder, 2 Pounds (Amla + Haritaki + Bibhitaki) | India Origin, Herbal Adaptogen Supplement, Supports Colon &amp; Immune Health | Vegan, No GMOS</t>
  </si>
  <si>
    <t>B01L2U1RHG</t>
  </si>
  <si>
    <t xml:space="preserve">Premium Vital Wheat Gluten Powder 6lb </t>
  </si>
  <si>
    <t>B0DK7WV3MS</t>
  </si>
  <si>
    <t>Organic Whole Rainbow Peppercorn Blend, 2lbs | Black, Green, Pink, &amp; White Fresh Peppercorns for Easy Grinder Refill | Multi Purpose Seasoning for Cooking or Baking | Non-GMO</t>
  </si>
  <si>
    <t>B0C9PGG2WV</t>
  </si>
  <si>
    <t>Mag Duo Magtein Jar 180g</t>
  </si>
  <si>
    <t>B0GHCR3PKT</t>
  </si>
  <si>
    <t xml:space="preserve">Organic Instant Coffee 1lb </t>
  </si>
  <si>
    <t>B0DGSDQ2XG</t>
  </si>
  <si>
    <t>Pure Tea Tree Essential Oil 8 floz (237mL) </t>
  </si>
  <si>
    <t>B0FGFJT3RY</t>
  </si>
  <si>
    <t>Triple Boron Complex 10mg with MCT Oil 360 Softgels</t>
  </si>
  <si>
    <t>B0GDS2LSPR</t>
  </si>
  <si>
    <t>Cranbery 400mg Vitamin C &amp; MCT 300 Softgel</t>
  </si>
  <si>
    <t>B0F5RKBCJJ</t>
  </si>
  <si>
    <t>Sustainably US Grown, Organic Shiitake Mushrooms Powder, 8 Ounce, Made from The Finest Dried Shiitake Mushroom, Stronger Umami Flavor Than Fresh Mushrooms, Great for Sauce, Soup and Pasta</t>
  </si>
  <si>
    <t>B08PXYB6RH</t>
  </si>
  <si>
    <t>Kids Omega-3 (200mg DHA) Lemon Flavor vegetarian softgels 240 count</t>
  </si>
  <si>
    <t>B0G31N7VWX</t>
  </si>
  <si>
    <t>Organic Sunflower Seeds (Kernels) 4lb</t>
  </si>
  <si>
    <t>B0CLFLQ8DJ</t>
  </si>
  <si>
    <t>Goat Milk Powder 1lb</t>
  </si>
  <si>
    <t>B0D2S64JP2</t>
  </si>
  <si>
    <t>Pure Saffron Extract 88.5mg</t>
  </si>
  <si>
    <t>B0DWDGKDMC</t>
  </si>
  <si>
    <t xml:space="preserve">Organic Butterfly Pea Powder 8oz </t>
  </si>
  <si>
    <t>B0D3ST21FG</t>
  </si>
  <si>
    <t>DHEA micronized 50mg capsules 240 count</t>
  </si>
  <si>
    <t>B0G2MY1HC4</t>
  </si>
  <si>
    <t>Vitamin D3 10,000IU Softgels 400 counts</t>
  </si>
  <si>
    <t>B0DK67ZTSP</t>
  </si>
  <si>
    <t xml:space="preserve">Saccharomyces boulardii 10 billion CFU with prebiotics vegetarian capsules 240 count </t>
  </si>
  <si>
    <t>B0G2N6RJYR</t>
  </si>
  <si>
    <t xml:space="preserve">Saw Palmetto 4800mg with Pumpkin Seed Oil softgels 240 count </t>
  </si>
  <si>
    <t>B0F5M6PZSY</t>
  </si>
  <si>
    <t>Shilajit 11-in-1 3000mg 240 Capsules</t>
  </si>
  <si>
    <t>B0G2N41RLF</t>
  </si>
  <si>
    <t>Vitamin D3K2 5000IU with sunflower seed oil 90 softgels</t>
  </si>
  <si>
    <t>B0GJTV15WF</t>
  </si>
  <si>
    <t>Micro Ingredients Maximum Strength Organic Korean Ginseng Root 200:1 Powder, 4 Ounce, Red Panax Ginseng Powder, Active Ginsenosides, Vegan Friendly</t>
  </si>
  <si>
    <t>B079MNQXLF</t>
  </si>
  <si>
    <t>Agar Agar Powder, 1lb | Vegan Substitute for Beef Gelatin, Unflavored Thickening Agent, Plant Based Red Algae | Great for Desserts or Baked Plates | Non-GMO, Sugar Free</t>
  </si>
  <si>
    <t>B0C35H321V</t>
  </si>
  <si>
    <t>NAC with NAD+ 1200mg vegetarian capsules 240 count</t>
  </si>
  <si>
    <t>B0G2N29LHV</t>
  </si>
  <si>
    <t>三月softgel開始有貨 加強廣告力度跑跑</t>
  </si>
  <si>
    <t>Micro Ingredients Maximum Strength Vitamin A 25000 IU | 500 Softgels with Coconut Oil for Better Absorption | Essential Vitamins for Vision, Growth, &amp; Reproduction | Non-GMO, Easy to Swallow</t>
  </si>
  <si>
    <t>B087DVF12V</t>
  </si>
  <si>
    <t>Magnesium Glycinate 400mg</t>
  </si>
  <si>
    <t>B0DGRNP1ZL</t>
  </si>
  <si>
    <t>Organic Arrowroot Powder, 5lbs | Food Grade, All Purpose Flour, Corn Starch Substitute</t>
  </si>
  <si>
    <t>B0CLFXD4XS</t>
  </si>
  <si>
    <t xml:space="preserve">2pack Multi-Collagen Complex Capsules 240 count </t>
  </si>
  <si>
    <t>B0F6ZJ1NXP</t>
  </si>
  <si>
    <t>Organic Turkey Tail Mushroom Powder (50:1 Extract), 8 Ounce | Sustainably US Grown, Freeze Dried with Active Polysaccharides, Supports Immune Response &amp; Cellular Level, Pet Friendly</t>
  </si>
  <si>
    <t>B07P2BWC78</t>
  </si>
  <si>
    <t>Berberine 3000mg vegetarian capsules 240 count</t>
  </si>
  <si>
    <t>B0DW192P2Z</t>
  </si>
  <si>
    <t>Instant Bovine Colostrum Powder 8oz</t>
  </si>
  <si>
    <t>B0D3SNSJ47</t>
  </si>
  <si>
    <t>Creatine Monohydrate Powder 1 kg (2.2 Lbs), 5000mg Per Serv, Micronized Creatine Powder, Unflavored, Pure, No Filler, Keto &amp; Vegan Friendly, Easy Dissolve Pre Workout Creatine for Women and Men</t>
  </si>
  <si>
    <t>B09YFHGK3F</t>
  </si>
  <si>
    <t xml:space="preserve">Pure Methylated Prenatal Vitamins for Women 240 Veggie Capsules </t>
  </si>
  <si>
    <t>B0F8FYNB8X</t>
  </si>
  <si>
    <t>Allulose Sweetener, 3 Pounds (48 Ounces), Zero Calorie, Plant Based Sugar Alternative, No After Taste, Best for Coffee, Drinks, Tea, Cooking and Baking, Keto Diet and Vegan Friendly</t>
  </si>
  <si>
    <t>B08PY5ZJTX</t>
  </si>
  <si>
    <t>Hyaluronic Acid Complex, 240 Vegetarian Capsules</t>
  </si>
  <si>
    <t>B0G2MWSJTY</t>
  </si>
  <si>
    <t xml:space="preserve">Oregano Oil with Black Seed Oil Drop 4 fl oz (118mL) </t>
  </si>
  <si>
    <t>B0DS6MGRHD</t>
  </si>
  <si>
    <t>GABA 750mg Complex with MCT Oil Softgels 300 count</t>
  </si>
  <si>
    <t>B0G17PT98Y</t>
  </si>
  <si>
    <t xml:space="preserve">Magnesium Glycinate Powder Lemon Flavor 12oz </t>
  </si>
  <si>
    <t>B0G163QK2Y</t>
  </si>
  <si>
    <t>Organic Dandelion Root Powder 8oz</t>
  </si>
  <si>
    <t>B0D2S4DZ7L</t>
  </si>
  <si>
    <t>Smoked Paprika Powder, 4lbs | Spanish Origin, Fine Ground, Oak Wood Smoked, Raw Sweet &amp; Spicy Flavor | Spice Rack Seasoning | Great for Chicken, Steak, or Vegetables | Additive Free, Non-GMO</t>
  </si>
  <si>
    <t>B0CLFZ81GG</t>
  </si>
  <si>
    <t>Magnesium Glycinate 400mg with Vitamin C - 200 Capsules, Elemental Magnesium 400mg Supplement, 100% Chelated, Support Healthy Muscle, Bones &amp; Mood</t>
  </si>
  <si>
    <t>B087F4HLJ3</t>
  </si>
  <si>
    <t>Marine Collagen Protein Powder, 1lb</t>
  </si>
  <si>
    <t>B0CVTQ4G5Z</t>
  </si>
  <si>
    <t>Vitamin D3K2 10,000IU with coconut oil 90 softgels</t>
  </si>
  <si>
    <t>B0GJV2XR1K</t>
  </si>
  <si>
    <t>Micro Ingredients Organic Pineapple Powder, 8 Ounce, Freeze Dried, Rich in Bromelain and Immune Vitamin C for Immune System Booster, Great Flavor for Drinks, Baking and Cooking, Non-GMO</t>
  </si>
  <si>
    <t>B07W9B5K1R</t>
  </si>
  <si>
    <t>Zinc Picolinate 100mg with MCT Oil Softgels 300 count </t>
  </si>
  <si>
    <t>B0G1CY7BXX</t>
  </si>
  <si>
    <t>L Tyrosine Supplement 500mg with Omega-3</t>
  </si>
  <si>
    <t>B0F5S28X8S</t>
  </si>
  <si>
    <t>Chlorophyll Complex 2000mg 240 Veg Caps</t>
  </si>
  <si>
    <t>B0DX44D7FF</t>
  </si>
  <si>
    <t xml:space="preserve">Pure Rosemary Essential Oil 8 floz (237mL) </t>
  </si>
  <si>
    <t>B0FGFWPT83</t>
  </si>
  <si>
    <t>Micro Ingredients Pure Bee Pollen Granules, 2lbs | Fresh Harvest, Natural Superfood, Raw Sweet Flavor | Rich in B Vitamins, Minerals, Protein, &amp; Antioxidants | Keto, Non-GMO</t>
  </si>
  <si>
    <t>B0BV3DFDK5</t>
  </si>
  <si>
    <t>Micro Ingredients Lutein &amp; Zeaxanthin 40mg Softgels, 240 Count, with Astaxanthin, Omega-3s, &amp; Phospholipids | Eye + Vision Health Vitamins | Third Party Tested, Non-GMO, Gluten Free</t>
  </si>
  <si>
    <t>B0812QPT4J</t>
  </si>
  <si>
    <t>Organic Garlic Powder, 3lbs | Culinary Grade | Freshly Harvested Raw Allium Sativum Bulb | Natural Herbal Spice | Great for Seasonings, Meats, or Vegetables | Non-GMO</t>
  </si>
  <si>
    <t>B0BXYB635P</t>
  </si>
  <si>
    <t>Sunflower Lecithin 1,600mg Per Serving, 300 Softgels</t>
  </si>
  <si>
    <t>B0CVTMQBGR</t>
  </si>
  <si>
    <t>Pure Vitamin E Oil 16fl oz (473mL)</t>
  </si>
  <si>
    <t>B0FGFY5FDY</t>
  </si>
  <si>
    <t>Organic Freeze-Dried Dragon Fruit Powder (Pink Pitaya/Pitahaya), 10 Ounce, Perfect for Shakes, Baking &amp; Smoothie, Non-GMO, No Gluten, Vegan Friendly</t>
  </si>
  <si>
    <t>B07P4M1YGN</t>
  </si>
  <si>
    <t>Pure Liposomal NAD+ 9000mg for women</t>
  </si>
  <si>
    <t>B0F8FP7F8T</t>
  </si>
  <si>
    <t>Astaxanthin 24mg with MCT Oil 90 Softgels</t>
  </si>
  <si>
    <t>B0GJTWR8M5</t>
  </si>
  <si>
    <t>Pure Green Coffee Bean Extract, 4 Ounce, Filler Free with Natural Caffeine, Green Coffee Bean Fat Burn Supplement with 50% Chlorogenic Acid, Supports Metabolism and Weight Management, Vegan Friendly</t>
  </si>
  <si>
    <t>B074WGLHFM</t>
  </si>
  <si>
    <t>Vegan omega 3</t>
  </si>
  <si>
    <t>B0D3T51D3C</t>
  </si>
  <si>
    <t>Tongkat Ali+ for men with MCT Oil Softgels 240 count </t>
  </si>
  <si>
    <t>B0FJ44M36M</t>
  </si>
  <si>
    <t>Pure Methylated Multivitamin for Men 240 Capsules</t>
  </si>
  <si>
    <t>B0F8FX9SXY</t>
  </si>
  <si>
    <t>Astaxanthin 6mg with MCT Oil 240 Softgels</t>
  </si>
  <si>
    <t>B0GFC6ZYVV</t>
  </si>
  <si>
    <t>Copper Glycinate 4mg with MCT Oil Softgels 500 count </t>
  </si>
  <si>
    <t>B0G111CDDT</t>
  </si>
  <si>
    <t>Micro Ingredients Sustainably US Grown, Organic Dandelion Root Tea Powder, Pure Dandelion Supplement, 1 Pound (16 Ounce, 1 Year Supply)</t>
  </si>
  <si>
    <t>B079MTDMK8</t>
  </si>
  <si>
    <t>Astaxanthin 24mg with MCT Oil 30 Softgels</t>
  </si>
  <si>
    <t>B0GJV1BGYB</t>
  </si>
  <si>
    <t>NMN Ultimate 10-in-1 Complex 1000mg 60 vegetarian capsules</t>
  </si>
  <si>
    <t>B0GMYP6686</t>
  </si>
  <si>
    <t>Pumpkin Seed Oil 3000mg with Saw Palmetto 75 Softgels</t>
  </si>
  <si>
    <t>B0GJV5F4GW</t>
  </si>
  <si>
    <t xml:space="preserve">Cod Liver Oil 2000mg </t>
  </si>
  <si>
    <t>B0D3T12XYP</t>
  </si>
  <si>
    <t>Triple Magnesium Complex (Glycinate + Malate + Taurate) 400mg capsules 300 count</t>
  </si>
  <si>
    <t>B0DLLHGKDM</t>
  </si>
  <si>
    <t>Vitamin D3 1,000 iu Plus K2 (MK-7) 25 mcg, 300 Virgin Coconut Oil Softgels</t>
  </si>
  <si>
    <t>B0CVTRSWQ1</t>
  </si>
  <si>
    <t>Creatine Monohydrate 5000mg Gummies Strawberry Raspberry Flavor, 120 count</t>
  </si>
  <si>
    <t>B0DS6KG42Q</t>
  </si>
  <si>
    <t xml:space="preserve">Sport Electrolytes Powder Berry Punch Flavor 2lb </t>
  </si>
  <si>
    <t>B0FGKCLXQ4</t>
  </si>
  <si>
    <t>Flaxseed Oil 1400mg Softgels, 300 Counts | w/ 700mg ALA Omega 3, Cold Pressed, Rich in Fatty Acids, Alpha Linolenic Acid, Support Heart Health &amp; Immune System | Non-GMO, No Gluten - 300 Servings</t>
  </si>
  <si>
    <t>B01DPW5TXW</t>
  </si>
  <si>
    <t>Organic Fortified Nutritional Yeast Flakes, 2LB | Rich in Vegan Protein, B Vitamins, &amp; Beta-Glucans | Keto Friendly, Dairy Free Cheese Substitute, Non-GMO, Gluten Free</t>
  </si>
  <si>
    <t>B0C35PK9GJ</t>
  </si>
  <si>
    <t xml:space="preserve">Pure Methylated Multivitamin 2pk </t>
  </si>
  <si>
    <t>B0FMBGZZM1</t>
  </si>
  <si>
    <t>Vitamin K Complex with coconut oil softgels</t>
  </si>
  <si>
    <t>B0C9PNMGR3</t>
  </si>
  <si>
    <t xml:space="preserve">Hyaluronic Acid Powder 50g </t>
  </si>
  <si>
    <t>B0F3BH66BZ</t>
  </si>
  <si>
    <t>Goat Milk Powder, 2lbs | Grass Fed Source, Australian Farm Derived, Unadulterated Formula, Easily Digested | Rich in Protein, Calcium, &amp; Probiotics | Non-GMO, Gluten Free, Pet Friendly</t>
  </si>
  <si>
    <t>B0BXYDSGC4</t>
  </si>
  <si>
    <t>Micro Ingredients Organic Camu Camu Powder, 12 oz | High Natural Vitamin C Level | Fresh Freeze-Dried Berries Source | Supports Energy and Immune Health | No GMOs, Vegan Friendly</t>
  </si>
  <si>
    <t>B01L2TGRFO</t>
  </si>
  <si>
    <t>Pure Potassium Magnesium with Vitamin C</t>
  </si>
  <si>
    <t>B0DLLLB5TL</t>
  </si>
  <si>
    <t>Organic Lion's Mane Powder 8oz</t>
  </si>
  <si>
    <t>B0D2S6H23L</t>
  </si>
  <si>
    <t>Testosterone+ Advanced 15-in-1 240 Softgels</t>
  </si>
  <si>
    <t>B0G1CWBDXB</t>
  </si>
  <si>
    <t>Organic Hibiscus Tea Bags, 200 Count | Caffeine Free, Loose Leaf Flower Source | Eco-Friendly Hemp Paper Bags | Great for Iced or Hot Brewed Tea | Non-GMO, No Sugar</t>
  </si>
  <si>
    <t>B0C35TKL3M</t>
  </si>
  <si>
    <t>有熱度</t>
  </si>
  <si>
    <t>Alpha Lipoic Acid (ALA) 600mg</t>
  </si>
  <si>
    <t>B0DVMNZ1HR</t>
  </si>
  <si>
    <t>Sustainably US Grown, Organic Sunflower Lecithin Powder, 1 Pound, Sustainable Farmed, Cold Pressed, Rich in Phosphatidyl Choline and Protein, Making Liposomal Vitamin C, Lactation Supplement, Non-GMO</t>
  </si>
  <si>
    <t>B01N02YNF5</t>
  </si>
  <si>
    <t>Organic Shredded Coconut Flakes, 4lbs</t>
  </si>
  <si>
    <t>B0CLFYHSV2</t>
  </si>
  <si>
    <t>Organic Kelp Powder Supplement, 2lbs | Sustainably US Grown, Raw Ascophyllum Nodosum Source | Rich in Iodine for Thyroid Support, Body Scrubs, &amp; Skin Care | Non-GMO, Vegan</t>
  </si>
  <si>
    <t>B01LFPNJ8S</t>
  </si>
  <si>
    <t>Oil of Oregano 300mg with black seed oil 75 softgels</t>
  </si>
  <si>
    <t>B0GJTXCYLY</t>
  </si>
  <si>
    <t>Creatine Monohydrate for Women with Collagen and Electrolyte, Lemon &amp; Raspberry Flavor 500g</t>
  </si>
  <si>
    <t>B0F1ZMG46T</t>
  </si>
  <si>
    <t>Magnesium Glycinate 1500mg</t>
  </si>
  <si>
    <t>B0DWCQGFWP</t>
  </si>
  <si>
    <t>Micro Ingredients Organic Beet Root Juice Powder, 1 Pound -Superfood Drink Mix | Non-GMO</t>
  </si>
  <si>
    <t>B01N32M7BR</t>
  </si>
  <si>
    <t>Micro Ingredients Ground Cayenne Pepper Powder Bulk, 6 Pounds - 60,000 Heat Units, Spicy and Filler Free, Garden Protection from Wildlife, No Gluten, No GMOs, Vegan Friendly</t>
  </si>
  <si>
    <t>B08TB8F5LL</t>
  </si>
  <si>
    <t>Micro Ingredients Biotin 10,000mcg w/Hyaluronic Acid 25mg | 360 Virgin Coconut Oil Softgels, Fast Release, One Year Supply, Supports Healthy Hair, Skin &amp; Nails, Non-GMO &amp; No Gluten</t>
  </si>
  <si>
    <t>B08MX3DD8G</t>
  </si>
  <si>
    <t>L-Arginine1600mg + L-Citrulline 800mg bisected tablets 240 count </t>
  </si>
  <si>
    <t>B0DWD26MMF</t>
  </si>
  <si>
    <t>Taurine Powder Supplement | 1 KG, 2000mg Per Serving | Unflavored | 100% Pure, Easily Absorbed Free Form | Essential Amino Acids for Exercise, Energy, &amp; Heart Support</t>
  </si>
  <si>
    <t>B0C88H675D</t>
  </si>
  <si>
    <t xml:space="preserve">Electrolyte Powder Grape Flavor 2lb </t>
  </si>
  <si>
    <t>B0D3T248FJ</t>
  </si>
  <si>
    <t>Multi Collagen Peptides Powder, 16 Oz - Hydrolyzed Protein Peptides | Type I,II,III,V,X with Hyaluronic Acid, Biotin 10,000mcg &amp; Vitamin C - Unflavored - Keto &amp; Paleo Friendly, Ez Mix in Drinks</t>
  </si>
  <si>
    <t>B0BKK4X56L</t>
  </si>
  <si>
    <t>Pure Acerola Cherry Powder Organic, Natural Organic Vitamin C for Immune System Booster, 8 Ounce, Best Superfoods for Beverage, Smoothie and Drinks, Vegan Friendly, Brazil Origin</t>
  </si>
  <si>
    <t>B06XC72G8G</t>
  </si>
  <si>
    <t xml:space="preserve">Ginkgo Ginseng Complex 5600mg </t>
  </si>
  <si>
    <t>B0DVMLWR97</t>
  </si>
  <si>
    <t xml:space="preserve">Grass-fed Beef Organ for Women 1200mg capsules 240 count </t>
  </si>
  <si>
    <t>B0FWHQ31W8</t>
  </si>
  <si>
    <t>North America Grown, Organic Pea Protein Powder, 1KG (2.2 Pounds), Plant-Based Vegan Protein Organic, Rich in Branched Chain Amino Acids, Flavonoids and Minerals, No GMOs &amp; Vegan Friendly</t>
  </si>
  <si>
    <t>B01DWUEQ7C</t>
  </si>
  <si>
    <t>Micro Ingredients Vitamin B3 Nicotinamide 1,000mg Per Serving, 400 Capsules | Flush Free Niacin, Essential B Vitamin Supplement | Skin Care Health &amp; Energy Support | Non-GMO, Gluten Free</t>
  </si>
  <si>
    <t>B08C9MWZD9</t>
  </si>
  <si>
    <t>Micro Ingredients Antarctic Krill Oil Supplement, 1000mg Per Serving, 300 Soft-Gels, Rich in Omega-3s EPA, DHA &amp; Natural Astaxanthin, Supports Immune System &amp; Brain Health, Easy to Swallow</t>
  </si>
  <si>
    <t>B01JNNAN4C</t>
  </si>
  <si>
    <t>Organic Inulin FOS Powder (Jerusalem Artichoke), 2.2 Pounds (35 Ounce), Quick Water Soluble, Prebiotic Intestinal Support for Colon and Gut Health, Natural Fibers for Smoothie &amp; Drinks, Vegan Friendly</t>
  </si>
  <si>
    <t>B074WKCPS4</t>
  </si>
  <si>
    <t>2 Pack Pure Turmeric Curcumin</t>
  </si>
  <si>
    <t>B0FBP4NMKK</t>
  </si>
  <si>
    <t>Chromium Picolinate 1000mcg with MCT Oil 500 count</t>
  </si>
  <si>
    <t>B0G1199NGW</t>
  </si>
  <si>
    <t>市場低價比較多 能跑的詞偏少</t>
  </si>
  <si>
    <t xml:space="preserve">Multi Collagen Peptides Packets 40-count </t>
  </si>
  <si>
    <t>B0D3FQWRV4</t>
  </si>
  <si>
    <t>Golden Monk Fruit Sweetener with Erythritol, 4 Pounds - No After Taste - Brown Sugar Substitute, Keto Diet Friendly, Zero Calorie, Natural Sweetener for Drinks, Coffee, Tea, Cookies, No-GMO, Vegan</t>
  </si>
  <si>
    <t>B0BCN5XPBX</t>
  </si>
  <si>
    <t>Multi-Collagen Gummies 120 count</t>
  </si>
  <si>
    <t>B0DDWNGRKL</t>
  </si>
  <si>
    <t>DIM Active Supplement, DIM 300mg, 240 Veggie Capsules (8-Month Supply), 2 in 1 Formula, Estrogen Metabolism, Premium DIM-Plus Broccoli Extract Supplement With Black Pepper for Better Absorption</t>
  </si>
  <si>
    <t>B08MX153BT</t>
  </si>
  <si>
    <t xml:space="preserve">Glycine 2000mg 240 count </t>
  </si>
  <si>
    <t>B0DW1BXPMV</t>
  </si>
  <si>
    <t>Pure Allulose Sweetener Sachets 300 ct</t>
  </si>
  <si>
    <t>B0F7NBHZ52</t>
  </si>
  <si>
    <t xml:space="preserve">Vitamin B1 500mg with Benfotiamine with MCT Oil Softgels 240 counts </t>
  </si>
  <si>
    <t>B0F5M8Z61H</t>
  </si>
  <si>
    <t>Organic Black Seed Oil Bottle 16 fl oz (473mL)</t>
  </si>
  <si>
    <t>B0CVR6MX33</t>
  </si>
  <si>
    <t>Organic Ground Ginger Powder, 2 Pounds (32 Ounce), Great Flavor and Highly Aromatic, Fine Loose Powder for Better Mixing without Settling, Best for Cooking, Baking, Tea &amp; More, Product of India</t>
  </si>
  <si>
    <t>B08TBBBJK8</t>
  </si>
  <si>
    <t xml:space="preserve">Pure L-Lysine 2000mg </t>
  </si>
  <si>
    <t>B0DVM9M4DS</t>
  </si>
  <si>
    <t>Astaxanthin 6mg with MCT Oil 120 Softgels</t>
  </si>
  <si>
    <t>B0GFCNK99S</t>
  </si>
  <si>
    <t>Omega-3 Fish Oil 1000mg 300 count</t>
  </si>
  <si>
    <t>B0DK69SLY9</t>
  </si>
  <si>
    <t>评分上涨 卖到100+</t>
  </si>
  <si>
    <t>Calcium 1200mg with Vitamin D3K2 1000IU</t>
  </si>
  <si>
    <t>B0DDWNT45S</t>
  </si>
  <si>
    <t xml:space="preserve">Glucosamine Chondroitin 4000mg </t>
  </si>
  <si>
    <t>B0DK683WHV</t>
  </si>
  <si>
    <t>Micro Ingredients Evening Primrose Oil 1300mg Perserving, 240 Softgels | Enhanced with 40mg Black Cohosh Extract, Cold Pressed – 10% Active GLA, Non-GMO, No Gluten, Easy to Swallow</t>
  </si>
  <si>
    <t>B01DPW5LR6</t>
  </si>
  <si>
    <t>Organic Freeze Dried Strawberries Sliced, 6.4oz | Fresh Raw Fruit Slices, Great Healthy Snacks or as a Garnish for Chocolate, Shortcake, and Smoothies | Non-GMO, 0 Sugar Added</t>
  </si>
  <si>
    <t>B0C9PLML31</t>
  </si>
  <si>
    <t>Organic Non-Fortified Nutritional Yeast Flakes, 2 Pounds | Rich in Vegan Protein, B Vitamins &amp; Beta-glucans | Keto Friendly, Dairy Free Cheese Substitute, Non-GMO, Gluten Free</t>
  </si>
  <si>
    <t>B0BCMNBZPR</t>
  </si>
  <si>
    <t>Micro Ingredients Organic Lemon Juice Powder, 10 Ounce, Cold Pressed Concentrated Powder, Filler Free, Rich in Natural Vitamin C for Immune System Booster, Great Flavor for Soda, Baking and Cooking, Vegan Friendly</t>
  </si>
  <si>
    <t>B07NY4MF5Y</t>
  </si>
  <si>
    <t>Organic Ceylon Cinnamon Powder | 2 Lb - [Sourced from Sri Lanka] - Inner Bark Cinnamomum Verum, Delicate Flavor and Aroma, Third Party Tested for Purity, Vegan, Non-GMO &amp; Gluten Free</t>
  </si>
  <si>
    <t>B01BHF3IXM</t>
  </si>
  <si>
    <t>US Origin Pure Magnesium Citrate Powder, 2 Pounds (32 Ounce), Pure and Filler Free, Relaxation and Nutrient Utilization, Vegan</t>
  </si>
  <si>
    <t>B01BHF3GMK</t>
  </si>
  <si>
    <t xml:space="preserve">Pure Methylated B Complex 2 Pack </t>
  </si>
  <si>
    <t>B0FMC1W6ZH</t>
  </si>
  <si>
    <t>Vitamin D3 50,000 IU Plus K2 (MK-7) 200 mcg, 240 Virgin Coconut Oil Softgels | 2 in 1 Vitamins D &amp; K Complex | Supports Calcium Absorption, Bone, Immune, &amp; Heart Health | Easy to Swallow</t>
  </si>
  <si>
    <t>B0C35N273V</t>
  </si>
  <si>
    <t xml:space="preserve">Organic MCT Liquid Oil 32 fl oz (946mL) </t>
  </si>
  <si>
    <t>B0C325P6Z4</t>
  </si>
  <si>
    <t xml:space="preserve">Peanut Powder 4lb </t>
  </si>
  <si>
    <t>B0DGRPBBZY</t>
  </si>
  <si>
    <t>Hair Vitamins Complex, 120 Capsules</t>
  </si>
  <si>
    <t>B0CVTRS7KJ</t>
  </si>
  <si>
    <t>Magnesium 12-in-1 Complex 1000mg vegetarian capsules 240 count</t>
  </si>
  <si>
    <t>B0FWHZSWHP</t>
  </si>
  <si>
    <t>Oil of Oregano 6000mg 150 count</t>
  </si>
  <si>
    <t>B0DK7XKTM6</t>
  </si>
  <si>
    <t>Micro Ingredients Organic Rhodiola Rosea Root Extract, 50g Powder | Adaptogenic Herb Based Supplement with Active Rosavins &amp; Salidrosides | Supports Energy &amp; Relaxation | No GMOs, Filler Free</t>
  </si>
  <si>
    <t>B01DPW5LN0</t>
  </si>
  <si>
    <t>Sustainably Canada Grown, Organic Blueberry Extract 50:1 Concentrated Powder, 6 Ounce, Wild Grown and Freeze Dried, Natural Flavor for Beverage, Smoothie and Baking, No GMOs</t>
  </si>
  <si>
    <t>B07CY1TLH2</t>
  </si>
  <si>
    <t>Monk Fruit Sweetener with Allulose, 2 lbs | No Erythritol | No Aftertaste, 1:1 White Sugar Substitute, Keto &amp; Vegan Friendly, Zero Calorie | Great for Drinks, Coffee, Tea, Cookies | Non-GMO</t>
  </si>
  <si>
    <t>B0BR4N7C2F</t>
  </si>
  <si>
    <t>Organic Blue Spirulina Powder (Phycocyanin Extract), 50 Servings - No Fishy Smell, 100% Vegan Protein from Blue-Green Algae, Natural Luminous Blue Food Coloring for Smoothies, Baking, Drinks &amp; Cooking</t>
  </si>
  <si>
    <t>B0B2379WMW</t>
  </si>
  <si>
    <t>Organic Blue Spirulina 30g</t>
  </si>
  <si>
    <t>B0DDW2L4YM</t>
  </si>
  <si>
    <t xml:space="preserve">Super Enzymes+ with Prebiotics + Probiotics vegetarian capsules 240 count </t>
  </si>
  <si>
    <t>B0DX44RL58</t>
  </si>
  <si>
    <t>Organic Black Cumin Seed (Nigella Sativa), 2lbs | Premium Grade Whole Black Seed from Egypt | Rich in Healthy Black Seed Oil | Raw Seeds for Baking, Seasoning, and Cooking | Non-GMO</t>
  </si>
  <si>
    <t>B0CG7S11B6</t>
  </si>
  <si>
    <t>Omega 3 Fish Oil DHA Supplements 1000mg with EPA 500mg, 200 Softgels – Lemon Flavored, Burpless (Enteric Coated) | Deep Sea Fresh Fish, Wild Caught from Norwegian Waters | Mercury Free</t>
  </si>
  <si>
    <t>B08MX16TYC</t>
  </si>
  <si>
    <t>Ashwagandha 6000mg with MCT Oil Softgels</t>
  </si>
  <si>
    <t>B0DK6596L8</t>
  </si>
  <si>
    <t>Black Seed Oil 2000 mg w/ Vitamin D3 240ct</t>
  </si>
  <si>
    <t>B0G73RKZ5R</t>
  </si>
  <si>
    <t>Pure Organic Stevia Powder, 8 Ounces, 1418 Serving, High Grade Stevia Green Leaf Extract Reb-A, Reduced Bitter Aftertaste, 0 Calorie, Natural Sweetener, Sugar Alternative, Keto Friendly</t>
  </si>
  <si>
    <t>B01DPW5H84</t>
  </si>
  <si>
    <t>Micro Ingredients Organic Lions Mane Mushroom Supplement Powder, 16 Ounce | Sustainably US Grown, Nootropic for Mental Clarity, Energy, &amp; Immune Support | Non-GMO, Vegan</t>
  </si>
  <si>
    <t>B07P2CWWVV</t>
  </si>
  <si>
    <t xml:space="preserve">Niacin (Vitamin B3) 500mg capsules 400 count </t>
  </si>
  <si>
    <t>B0DLLJLMKD</t>
  </si>
  <si>
    <t>Vitamin D3K2 5000IU with sunflower oil 180 count</t>
  </si>
  <si>
    <t>B0D2S6DMDS</t>
  </si>
  <si>
    <t>Vitamin D3K2 5000IU sunflower 180 count</t>
  </si>
  <si>
    <t>Sustainably US Grown, Organic Mega Mushroom 10 in 1 Complex Formula Powder for Immune System Booster, 10 Ounce (284 Days Supply), Chaga, Lions Mane, Cordyceps, Reishi &amp; More, Filler Free, Vegan</t>
  </si>
  <si>
    <t>B07RG8MMXW</t>
  </si>
  <si>
    <t>D Mannose Powder, 8.8 Ounce, Pure Mannose Supplement, Quick Water Soluble, Support Urinary Tract Cleanse &amp; Bladder Health, Premium Mannose for Women and Men, Vegan Friendly</t>
  </si>
  <si>
    <t>B01L2TFP1Q</t>
  </si>
  <si>
    <t>Organic Soluble Prebiotics Fiber Supplement (Inulin, Acacia, Psyllium Husk), 2 Pounds, 3 in 1 Fiber Formula, Daily Fiber, Unflavored, for Digestive Health, Hunger Control, Vegan</t>
  </si>
  <si>
    <t>B07RG8M2XB</t>
  </si>
  <si>
    <t>CoQ10 200mg with MCT Oil</t>
  </si>
  <si>
    <t>B0DGRK52HZ</t>
  </si>
  <si>
    <t>Organic Inulin Powder 500g (1.1lb) </t>
  </si>
  <si>
    <t>B0FGFJFFBY</t>
  </si>
  <si>
    <t xml:space="preserve">Vitamin D3K2 5000IU Golden Passion Fruit Flavor Gummies 120 count </t>
  </si>
  <si>
    <t>B0DS6MBN7J</t>
  </si>
  <si>
    <t>Hair, Skin &amp; Nails softgels 400 Count</t>
  </si>
  <si>
    <t>B0F4HSLBW8</t>
  </si>
  <si>
    <t xml:space="preserve">Astaxanthin 24mg Softgels 60 count </t>
  </si>
  <si>
    <t>B0F4M8Y6V6</t>
  </si>
  <si>
    <t>Magnesium Complex 20-in-1 for Women vegetarian capsules 240 count </t>
  </si>
  <si>
    <t>B0FWJ7TP6X</t>
  </si>
  <si>
    <t>L-Theanine 400mg 400 Softgels</t>
  </si>
  <si>
    <t>B0F5S2PCLD</t>
  </si>
  <si>
    <t>Ultra Omega 3-6-9 3600mg Perserv, 300 Burpless Softgels | Lemon Flavor – Blend of Fish, Flaxseed, Borage Oils | Bioavailable Source, Non-GMO, No Gluten, Mercury Free</t>
  </si>
  <si>
    <t>B07RD8T952</t>
  </si>
  <si>
    <t>Vitamin D3 5000IU with coconut oil</t>
  </si>
  <si>
    <t>B0DGRWCTN8</t>
  </si>
  <si>
    <t>Nitric Oxide Booster 3600mg 240 tablets</t>
  </si>
  <si>
    <t>B0DK6684NK</t>
  </si>
  <si>
    <t>Vitamin D3 5000 iu Plus K2 (MK-7) 100 mcg, 300 Virgin Coconut Oil Softgels | 2 in 1 Vitamins D &amp; K Complex | Supports Calcium Absorption, Bone, Immune, &amp; Heart Health – Easy to Swallow</t>
  </si>
  <si>
    <t>B0CG7M9HWP</t>
  </si>
  <si>
    <t>Beet Root 300mg with MCT Oil 360 softgels</t>
  </si>
  <si>
    <t>B0F5LZYS78</t>
  </si>
  <si>
    <t>Creatine Monohydrate 5,000mg, 500 Capsules | Pure Creatine Pills – Micronized + Unflavored Powder Source, Easy Absorption | Pre Workout &amp; Muscle Health Support | Keto, Non-GMO</t>
  </si>
  <si>
    <t>B0B9289VLY</t>
  </si>
  <si>
    <t>Astaxanthin 12mg with MCT Oil 90 Softgels</t>
  </si>
  <si>
    <t>B0GJTK1G9W</t>
  </si>
  <si>
    <t>Vitamin B1 Benfotiamine 600mg Per Serving, 240 Coconut Oil Softgels | Essential B Vitamins Supplement, Fat Soluble | Supports Metabolism &amp; Healthy Nervous System | Non-GMO, Easy to Swallow</t>
  </si>
  <si>
    <t>B0CG7ZTT7B</t>
  </si>
  <si>
    <t>Vitamin B12 1000mcg</t>
  </si>
  <si>
    <t>B0DK64ZGK4</t>
  </si>
  <si>
    <t>Micro Ingredients Antarctic Krill Oil Supplement, 2,000mg Per Serving, 240 Softgels, Triple Strength, Rich in Omega-3s EPA, DHA &amp; Natural Astaxanthin, Supports Immune System &amp; Brain Health</t>
  </si>
  <si>
    <t>B0C35GYDV3</t>
  </si>
  <si>
    <t>Micro Ingredients Vitamin E 1000 IU, 240 Softgels | Pure Vitamin E Oil Pills | Antioxidant Supplements for Skin, Face, &amp; Immune Health | Non-GMO, Gluten Free</t>
  </si>
  <si>
    <t>B0845QRGV5</t>
  </si>
  <si>
    <t xml:space="preserve">Multi-Collagen Peptides Powder 8oz </t>
  </si>
  <si>
    <t>B0D2S5S6D7</t>
  </si>
  <si>
    <t>Whole Milk Powder, 4lbs | rBST Hormone Free, Pasture Raised Source, Premium Grade Dry Powdered Form | Great for Baking | Rich in Protein | Non-GMO</t>
  </si>
  <si>
    <t>B0CLFXDX4Z</t>
  </si>
  <si>
    <t>L Methylfolate 15mg with B6 Plus Methyl B12</t>
  </si>
  <si>
    <t>B0F5S1V6ZQ</t>
  </si>
  <si>
    <t>R Alpha Lipoic Acid 600mg 120 Softgels</t>
  </si>
  <si>
    <t>B0F5LP6MH6</t>
  </si>
  <si>
    <t>Organic Psyllium Husk Powder, 2lbs</t>
  </si>
  <si>
    <t>B0B92CPGJ9</t>
  </si>
  <si>
    <t>Organic Instant 10 in 1 Mushroom Coffee Powder, 28 Ounce (317 Servings) | Premium Arabica Coffee with Lion’s Mane, Chaga, Reishi, &amp; More | Smooth Medium Roast, Clean Energy, &amp; Immune Support</t>
  </si>
  <si>
    <t>B0BCMKNMZB</t>
  </si>
  <si>
    <t xml:space="preserve">Bromelain 500mg with Quercetin &amp; MCT Oil </t>
  </si>
  <si>
    <t>B0F5M2HRX9</t>
  </si>
  <si>
    <t>一直都缺貨中 需要常補貨</t>
  </si>
  <si>
    <t>Triple Strength Omega 3 Fish Oil Supplements 3000mg, 200 Softgels - Lemon Flavored - Burpless (Enteric-Coated) | EPA 1200mg + DHA 900mg | Deep Sea Fish, Wild Caught from Norwegian Waters</t>
  </si>
  <si>
    <t>B07L45XQBR</t>
  </si>
  <si>
    <t>Astaxanthin 12mg with MCT Oil 45 Softgels</t>
  </si>
  <si>
    <t>B0GJTPMKL3</t>
  </si>
  <si>
    <t>Organic Bee Pollen Granules, 1lb | Pure Fresh Harvest, Natural Superfood, Raw Sweet Flavor | Rich in B Vitamins, Minerals, Protein, &amp; Antioxidants | Keto, Non-GMO</t>
  </si>
  <si>
    <t>B0CLFGBK2B</t>
  </si>
  <si>
    <t>Organic Pomegranate Juice Powder, 1 Pound (91 Serving), Freeze Dried &amp; Cold Pressed, Natural Vitamin C (Immune Vitamin), Support Immune System, Organic Flavor for Smoothie &amp; Beverage, Vegan Friendly</t>
  </si>
  <si>
    <t>B01HN63W4Y</t>
  </si>
  <si>
    <t xml:space="preserve">Myo &amp; D-Chiro Inositol Powder 1lb </t>
  </si>
  <si>
    <t>B0DGRG846L</t>
  </si>
  <si>
    <t>Pure Magnesium Glycinate 1000mg with Vitamin C</t>
  </si>
  <si>
    <t>B0DLLLZD5K</t>
  </si>
  <si>
    <t>Organic Hibiscus Flowers, 2lbs | Loose Leaf Flower Source for Tea Bags | Cut &amp; Sifted Dried Leaves | Great for Iced or Hot Brewed Herbal Tea | Caffeine Free, Non-GMO, No Sugar</t>
  </si>
  <si>
    <t>B0C9PGR822</t>
  </si>
  <si>
    <t>有熱度吃到流量</t>
  </si>
  <si>
    <t xml:space="preserve">Black Seed Oil 3000mg with Oregano Oil </t>
  </si>
  <si>
    <t>B0F3G35G6W</t>
  </si>
  <si>
    <t>Organic Matcha Green Tea Powder, 2 Pound (32 Ounce), Culinary Grade - Unflavored - First Harvest Authentic Japanese Origin, 100% Pure Matcha for Smoothies, Latte and Baking, Non-GMO, Non-Irradiation</t>
  </si>
  <si>
    <t>B09TG3RDGS</t>
  </si>
  <si>
    <t>Super greens Superfood Powder 1lb</t>
  </si>
  <si>
    <t>B0DK7WVQQY</t>
  </si>
  <si>
    <t>Nattokinase 4,000 FU Equivalent 240 Softgels with MCT Oil</t>
  </si>
  <si>
    <t>B0F5MHP4Q8</t>
  </si>
  <si>
    <t>納豆有熱度 三月一直都在缺貨中</t>
  </si>
  <si>
    <t>Organic Chlorella Spirulina Tablets, 3000mg Per Serving, 720 Counts, 4 Months Supply, 50/50 Blend Superfood, No Filler, No Additives, Cracked Cell Wall, Rich in Vegan Protein &amp; Chlorophyll</t>
  </si>
  <si>
    <t>B01DPW5JSW</t>
  </si>
  <si>
    <t>Psyllium Husk 3000mg veg caps</t>
  </si>
  <si>
    <t>B0DWDVSHZW</t>
  </si>
  <si>
    <t>權重提升, 吃到近期powder的流量, 這產品需要花多一點廣告去打權重, 漲價後銷量維持50-60</t>
  </si>
  <si>
    <t>Microingredients Hydration Electrolyte Powder, Lemon Raspberry, 2 Lbs - High Potassium (1000mg), 0 Calorie, Sugar-Free, Hydration Drink Mix with Real Lemon Juice - Keto, Paleo, Non-GMO</t>
  </si>
  <si>
    <t>B0CG7TB55T</t>
  </si>
  <si>
    <t>L-Theanine + Magnesium Glycinate</t>
  </si>
  <si>
    <t>B0DK65BMV7</t>
  </si>
  <si>
    <t xml:space="preserve">Pure Turmeric Curcumin 95% 1000mg </t>
  </si>
  <si>
    <t>B0DS6LCFRH</t>
  </si>
  <si>
    <t xml:space="preserve">Pumpkin Seed Oil Softgels 150 count </t>
  </si>
  <si>
    <t>B0F3B84SDQ</t>
  </si>
  <si>
    <t>Vitamin D3 2,000 iu Plus K2 (MK-7) 50 mcg, 300 Virgin Coconut Oil Softgels</t>
  </si>
  <si>
    <t>B0CVTDBXW5</t>
  </si>
  <si>
    <t>Nattokinase 10,000FU Complex 240 vegetarian capsules</t>
  </si>
  <si>
    <t>B0G2N6TFRD</t>
  </si>
  <si>
    <t>吃到納豆10000FU流量</t>
  </si>
  <si>
    <t>Berberine 1000mg with MCT Oil softgels 240 count </t>
  </si>
  <si>
    <t>B0FJ3X2KQC</t>
  </si>
  <si>
    <t>吃到Berberine熱度</t>
  </si>
  <si>
    <t>2 Pack Vitamin D3 5000IU Plus K2, 2 in 1 Formula, Vitamin D3 Liquid with Vitamin K2, 300 Soft-Gels, Immune Vitamin Complex with Virgin Sunflower Seed Oil, Support Your Heart, Teeth &amp; Joint Health</t>
  </si>
  <si>
    <t>B07VF2S2LC</t>
  </si>
  <si>
    <t xml:space="preserve">Vitamin D3K2 10,000IU 180 count </t>
  </si>
  <si>
    <t>B0D2SRGD76</t>
  </si>
  <si>
    <t>Organic Beet Root Powder, 4 Pounds | Cold Pressed, Water Soluble, High Concentrated Raw Beet Supplement | Superfood Drink Mix | Non-GMO, Vegan Friendly, Plant Based</t>
  </si>
  <si>
    <t>B01N20ON39</t>
  </si>
  <si>
    <t>吃到Beet Root流量</t>
  </si>
  <si>
    <t>NMN 1000mg 120 Capsules</t>
  </si>
  <si>
    <t>B0FXJ8YYX4</t>
  </si>
  <si>
    <t>Astaxanthin 12mg with MCT Oil, 60 Softgels</t>
  </si>
  <si>
    <t>B0FGFPQCCW</t>
  </si>
  <si>
    <t>Vitamin D3 10000 iu Plus K2 (MK-7) 200 mcg, 300 Virgin Coconut Oil Softgels| 2 in 1 Vitamins D &amp; K Complex | Supports Calcium Absorption, Bone, Immune, &amp; Heart Health – Easy to Swallow</t>
  </si>
  <si>
    <t>B07YMJLTR6</t>
  </si>
  <si>
    <t>Multi Collagen Protein Powder, 2 Pounds – Type I,II,III,V,X with Biotin 10000mcg, Hyaluronic Acid, Vitamin C – Unflavored Collagen Peptides – Keto &amp; Paleo Friendly, Easy Dissolve, Non-GMO</t>
  </si>
  <si>
    <t>B01BHF3OMW</t>
  </si>
  <si>
    <t>月底做了一波deal boost, 2lbs能翻倍</t>
  </si>
  <si>
    <t>Total Unit</t>
  </si>
  <si>
    <t>Diff Unit</t>
  </si>
  <si>
    <t>Total Spend</t>
  </si>
  <si>
    <t>Total Ad</t>
  </si>
  <si>
    <t>Total Diff</t>
  </si>
  <si>
    <t>ACOS</t>
  </si>
  <si>
    <t>Tcos</t>
  </si>
  <si>
    <t>November</t>
  </si>
  <si>
    <t>Diff 02 - 03</t>
  </si>
  <si>
    <t>HL</t>
  </si>
  <si>
    <t>GP</t>
  </si>
  <si>
    <t>Jan</t>
  </si>
  <si>
    <t xml:space="preserve">Probiotics+ 200 billion CFU 40 </t>
  </si>
  <si>
    <t>B0DDCWYPWR</t>
  </si>
  <si>
    <t>deal差距, 益生菌跑deal效果顯著, 這個月又跑了持續上漲, 要多備貨</t>
  </si>
  <si>
    <t xml:space="preserve">Electrolyte Jar Grape Flavor 500g </t>
  </si>
  <si>
    <t>B0DJWX4ZNQ</t>
  </si>
  <si>
    <t>2月份deal表現好</t>
  </si>
  <si>
    <t>Creatine Monohydrate Jar 1kg</t>
  </si>
  <si>
    <t>B0DJWVMRR9</t>
  </si>
  <si>
    <t>deal差距, 2月份做deal時間比較長, 預計備貨給跑deal, 多跑幾次看看權重是否提升</t>
  </si>
  <si>
    <t>Organic Mushroom Coffee with MCT Oil</t>
  </si>
  <si>
    <t>B0DS6Q88VS</t>
  </si>
  <si>
    <t>NatureBell Antarctic Krill Oil 1000mg Supplement, 180 Softgels, Natural Source of Omega-3s, EPA, DHA and Astaxanthin - No Aftertaste - Support Heart Health, Mercury Free &amp; Non-GMO</t>
  </si>
  <si>
    <t>B07BKN8S81</t>
  </si>
  <si>
    <t>Methylated Multivitamin 240 Capsules</t>
  </si>
  <si>
    <t>B0FCW45JZF</t>
  </si>
  <si>
    <t>deal差距, 3月表現不如2月, 賣不到100+, 平時廣告跑跑rest, multivitamin品類吃評論</t>
  </si>
  <si>
    <t>Magnesium 12-in-1 Complex 1000mg capsules 240 counts </t>
  </si>
  <si>
    <t>B0FNTZ3WYF</t>
  </si>
  <si>
    <t>Ashwagandha 12,500mg with black pepper</t>
  </si>
  <si>
    <t>B0DDM8LQMS</t>
  </si>
  <si>
    <t xml:space="preserve">NAD+ 1500mg vegetarian capsules 240 count </t>
  </si>
  <si>
    <t>B0D85VVNF7</t>
  </si>
  <si>
    <t>Organic Lion's Mane Powder</t>
  </si>
  <si>
    <t>B0CFP9DF3C</t>
  </si>
  <si>
    <t>Naturebell Ginkgo Biloba Extract 500mg Per Serving, 300 Capsules | GinkoVida | Extra Strength Ginko Biloba Supplement - Promote Memory, Focus and Brain Health</t>
  </si>
  <si>
    <t>B09F4ML3FF</t>
  </si>
  <si>
    <t>NatureBell Everyday Fruits and Vegetables Supplements, 480 Total Vegetarian Capsules</t>
  </si>
  <si>
    <t>B0CMK41YYD</t>
  </si>
  <si>
    <t>NatureBell Biotin 10000mcg + Hyaluronic Acid 25mg | 250 Coconut Oil Softgels, Premium Biotin Vitamins for Hair Skin and Nails, Highly Purified and Bioavailable, Quick Release</t>
  </si>
  <si>
    <t>B0B34CDHNS</t>
  </si>
  <si>
    <t>NatureBell Melatonin 20mg, 365 Fast Dissolve Tablets - Natural Strawberry Flavor - Vegetarian Chewable Lozenges for 1 Year Supply, High Potency | Non-GMO, No Gluten</t>
  </si>
  <si>
    <t>B0B92XZZPJ</t>
  </si>
  <si>
    <t>NatureBell Quercetin 1000mg Per Serving | 240 Capsules, Ultra Strength Quercetin Supplement | Bioflavonoids for Healthy Immune Support, Third Party Tested, Non-GMO &amp; No Gluten</t>
  </si>
  <si>
    <t>B07H9LGDPM</t>
  </si>
  <si>
    <t>Ultra Strength Phosphatidylserine Supplement 500mg Per Serving, 240 Capsules | Soy Free, Derived from Sunflower Lecithin – Supports Cognitive Health and Brain Function – Non-GMO</t>
  </si>
  <si>
    <t>B074R8XH2Q</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</si>
  <si>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</si>
  <si>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</si>
  <si>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</si>
  <si>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</si>
  <si>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Magnesium Complex Supplement 500mg, 300 Capsules | 10 Active Forms – Glycinate, Citrate, Taurate, Plus More | 100% Chelated &amp; Purified | Bone, Heart, &amp; Muscle Support | Non-GMO</t>
  </si>
  <si>
    <t>B0C2SLBPRK</t>
  </si>
  <si>
    <t xml:space="preserve">Electrolyte Powder Lemon &amp; Raspberry Flavor 500g </t>
  </si>
  <si>
    <t>B0CX3GYCNN</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</si>
  <si>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</si>
  <si>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</si>
  <si>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</si>
  <si>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 xml:space="preserve">Nitric Oxide 3600mg Bisected Tablets 300 count </t>
  </si>
  <si>
    <t>B0FNTLPT5V</t>
  </si>
  <si>
    <t>Olive Leaf Extract 30000mg, 240 Capsules | 40% Active Oleuropein, 50:1 Herbal Equivalent – Rich in Polyphenol &amp; Flavonoid Antioxidants for Immune &amp; Heart Health – Non-GMO</t>
  </si>
  <si>
    <t>B076B7TYL7</t>
  </si>
  <si>
    <t xml:space="preserve">Psyllium Husk 2000mg capsules 360 counts </t>
  </si>
  <si>
    <t>B0F11QQ8ND</t>
  </si>
  <si>
    <t>2 Pack Magnesium Glycinate 500mg, 480 Capsules – 100% Chelated for Max Absorption – Bioavailable Mineral Supplement for Muscle, Joint, Enzyme, &amp; Heart Health</t>
  </si>
  <si>
    <t>B07RD4DFNZ</t>
  </si>
  <si>
    <t>Ginger Root with MCT Oil</t>
  </si>
  <si>
    <t>B0F11MGDGT</t>
  </si>
  <si>
    <t>Vaginal Probiotics 10 Billion 120 Veggie Capsules</t>
  </si>
  <si>
    <t>B0DJWW2B1L</t>
  </si>
  <si>
    <t>NatureBell Ceylon Cinnamon 1800mg Per Serving, 180 Capsules, Made with Organic Sri Lanka Ceylon Cinnamon and Bitter Melon, 2 in 1 Support, Non-GMO, No Gluten</t>
  </si>
  <si>
    <t>B07MTVDV6Y</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</si>
  <si>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</si>
  <si>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</si>
  <si>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</si>
  <si>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</si>
  <si>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</si>
  <si>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Lions Mane Supplement 9,000mg Per Serving, 240 Veggie Capsules | Made with Organic Lion’s Mane Powder Extract – Cognitive Brain Nootropic &amp; Immune Health Mushroom – Non-GMO</t>
  </si>
  <si>
    <t>B0CJK6YZYX</t>
  </si>
  <si>
    <t>Advanced Turkey Tail Quercetin Supplements, Turkey Tail (Coriolus Versicolor) with Quercetin 1100mg Per Serving, 180 Counts, 2 in 1 Formula, Immune System Booster, Daily Mushroom Mycelium Supplement</t>
  </si>
  <si>
    <t>B07YF52935</t>
  </si>
  <si>
    <t>NatureBell PQQ 40mg with CoQ10, 180 Veggie Capsules | Active Pyrroloquinoline Quinone, Highly Bioavailable ZenPQQ+ Formula – Promotes Heart, Brain, &amp; Mitochondrial Health – Non-GMO</t>
  </si>
  <si>
    <t>B09KTDRCYD</t>
  </si>
  <si>
    <t>2 Pack NAC Supplement (N-Acetyl Cysteine) with Quercetin, 1,200mg Per Serving, 480 Capsules | Double Strength Antioxidant Support for Immune, Liver, &amp; Lung Health – Non-GMO</t>
  </si>
  <si>
    <t>B086QBQ7X4</t>
  </si>
  <si>
    <t>NatureBell Oregano Oil with Black Seed Oil 7,500mg, 360 Softgels | Wild Harvested, 50:1 Fresh Oregano Extract – Retains Carvacrol &amp; Thymoquinone – Essential Oils for Immune Health – Non-GMO</t>
  </si>
  <si>
    <t>B0CFPQN4J1</t>
  </si>
  <si>
    <t>St John's Wort Supplement, 1500mg Per Serving with 2250mcg Hypericin, 2 in 1 Formula St John's Wort Complex, 200 Capsules, Promote Emotional Balance, Joyful Mood &amp; Stress Response</t>
  </si>
  <si>
    <t>B07H9JTLWY</t>
  </si>
  <si>
    <t xml:space="preserve">Advanced Glucosamine </t>
  </si>
  <si>
    <t>B0D85XVGMQ</t>
  </si>
  <si>
    <t>NatureBell Irish Sea Moss Capsules, 3,000mg Per Serving, 240 Veggie Pills | Made with Organic Raw Powder – 3 in 1 Plus Bladderwrack &amp; Burdock Root – Immune &amp; Thyroid Superfood Support – Non-GMO</t>
  </si>
  <si>
    <t>B0CP2YGSCZ</t>
  </si>
  <si>
    <t>NatureBell Hyaluronic Acid Supplements 2000mg Per Serving | 240 Capsules, with MSM &amp; Multi Collagen – 3 in 1 Support – Skin Hydration, Joint Lubrication, Hair, and Eye Health</t>
  </si>
  <si>
    <t>B01DPW5BNA</t>
  </si>
  <si>
    <t>Colostrum with probiotics Powder 12oz</t>
  </si>
  <si>
    <t>B0DJWWQVHC</t>
  </si>
  <si>
    <t xml:space="preserve">Turmeric Curcumin with MCT Oil Softgels 240 count </t>
  </si>
  <si>
    <t>B0FNYD1SVT</t>
  </si>
  <si>
    <t xml:space="preserve">deal也只能跑30+ 目前賣19.99沒什麼價格優勢 </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</si>
  <si>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</si>
  <si>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</si>
  <si>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</si>
  <si>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</si>
  <si>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</si>
  <si>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</si>
  <si>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Aged Garlic Extract 1000mg 360 Softgels</t>
  </si>
  <si>
    <t>B0G62MLLJW</t>
  </si>
  <si>
    <t>Beet Root 300mg with 300 MCT Oil Softgels</t>
  </si>
  <si>
    <t>B0G62ZD8T3</t>
  </si>
  <si>
    <t>Organic Ceylon Cinnamon Powder 24oz</t>
  </si>
  <si>
    <t>B0G67LX6V5</t>
  </si>
  <si>
    <t>Glycine 3000mg Powder Jar 2lb</t>
  </si>
  <si>
    <t>B0G67JLRX6</t>
  </si>
  <si>
    <t>原本賣很好後來評論有很多false review現在變4.4顆星</t>
  </si>
  <si>
    <t>Elderberry Capsules 5000mg</t>
  </si>
  <si>
    <t>B085WGL72X</t>
  </si>
  <si>
    <t>Organic Ceylon Cinnamon Powder 3lbs</t>
  </si>
  <si>
    <t>B0CFP4M3FN</t>
  </si>
  <si>
    <t>Pterostilbene 200mg 200 Capsules</t>
  </si>
  <si>
    <t>Ceylon Cinnamon 600mg 240 Softgels</t>
  </si>
  <si>
    <t>B0G62TSJH3</t>
  </si>
  <si>
    <t>4.3/13評論差</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</si>
  <si>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</si>
  <si>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</si>
  <si>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</si>
  <si>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</si>
  <si>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</si>
  <si>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Benfotiamine 600mg with coconut oil 180 softgels</t>
  </si>
  <si>
    <t>B0G62GJG8H</t>
  </si>
  <si>
    <t>Zinc Quercetin 1300mg with Vitamin D3 5000IU, 120 Capsules, 4 in 1 Formula, Zinc 50mg, Vitamin C 250mg, Vitamin D3 5000 IU - Advanced Immune Defense, Non-GMO</t>
  </si>
  <si>
    <t>B085WGFPYS</t>
  </si>
  <si>
    <t>Huperzine A 400mcg Per Serving, 180 Capsules, (Huperzine A Supplement), Supports Focus, Cognition, Memory and Learning Ability, Premium Brain Health Supplement, No GMOs</t>
  </si>
  <si>
    <t>B07BKSH9GW</t>
  </si>
  <si>
    <t xml:space="preserve">Ashwagandha with black pepper extract with MCT Oil softgels 240 count </t>
  </si>
  <si>
    <t>B0G634RKN9</t>
  </si>
  <si>
    <t xml:space="preserve">Hair, Skin &amp; Nails Vitamins for Women softgels 300 count </t>
  </si>
  <si>
    <t>B0G62WQXJZ</t>
  </si>
  <si>
    <t>NatureBell P5P Vitamin B6 100mg Per Serving, 240 Capsules | Activated Pyridoxal 5 Phosphate Supplements – Essential B Vitamins for Brain &amp; Memory Health – Non-GMO</t>
  </si>
  <si>
    <t>B07GCBWP2M</t>
  </si>
  <si>
    <t>NAC Supplement (N-Acetyl Cysteine) with Quercetin, 1,200mg Per Serving, 240 Capsules | Double Strength Antioxidant Support for Immune, Liver, &amp; Lung Health – Non-GMO</t>
  </si>
  <si>
    <t>B0866BQP63</t>
  </si>
  <si>
    <t>2 Pack Olive Leaf Extract 30000mg, 480 Total Capsules | 40% Active Oleuropein, 50:1 Herbal Equivalent – Rich in Polyphenol &amp; Flavonoid Antioxidants for Immune &amp; Heart Health – Non-GMO</t>
  </si>
  <si>
    <t>B07VNJ97G1</t>
  </si>
  <si>
    <t>Mucuna Pruriens Capsules, Triple Strength 1500mg Per Serving, 2 in 1 Formula, Made with Mucuna and Ashwagandha, 240 Capsules, Potent Seed Extract, Positive Mood, Relaxation &amp; Restoration Support</t>
  </si>
  <si>
    <t>B07K6Z195K</t>
  </si>
  <si>
    <t>Dihydroberberine 500mg</t>
  </si>
  <si>
    <t>B0DDMM94BF</t>
  </si>
  <si>
    <t>NatureBell 2 Pack Hyaluronic Acid Supplements 2000mg | 480 Total Capsules, with MSM &amp; Multi Collagen – 3 in 1 Support – Skin Hydration, Joint Lubrication, Hair, and Eye Health</t>
  </si>
  <si>
    <t>B01FL9DFR4</t>
  </si>
  <si>
    <t>NatureBell Resveratrol Supplement 1000mg Per Serving, 180 Veggie Capsules, 99% Pure Trans-Resveratrol, Antioxidant for Healthy Aging, Brain, &amp; Heart Support – Non-GMO</t>
  </si>
  <si>
    <t>B0C2SCVL8Z</t>
  </si>
  <si>
    <t>Astaxanthin 12mg 240 Softgels</t>
  </si>
  <si>
    <t>B0G62LJLW6</t>
  </si>
  <si>
    <t>NatureBell L Tryptophan 1500mg with L Theanine 200mg, 300 Capsules | Active Free Form, Plant Based Supplement – Calm Formula, Supports Relaxation – Non-GMO &amp; No Gluten</t>
  </si>
  <si>
    <t>B07V8LRWZK</t>
  </si>
  <si>
    <t>NatureBell Quercetin 500mg Per Serving | 300 Capsules, Ultra Strength Quercetin Supplement | Bioflavonoids for Healthy Immune Support, Third Party Tested, Non-GMO &amp; No Gluten</t>
  </si>
  <si>
    <t>B0B8TJLSSP</t>
  </si>
  <si>
    <t>NatureBell Cranberry Pills 36,000mg with Acerola, 240 Veggie Capsules | 100:1 Fresh Cranberries Extract – Made with Organic Ingredients – Supports Urinary Tract Health – Sugar Free</t>
  </si>
  <si>
    <t>B076BFRPNS</t>
  </si>
  <si>
    <t>NatureBell Fadogia Agrestis 600mg Complexed with Tongkat Ali 400mg, 180 Capsules, Optimal Dosage for Enhanced Bioavailability, 20:1 Fadogia Argrestis Extract Indonesia Tongkat-Ali (Longjack)</t>
  </si>
  <si>
    <t>B09WJV9D1Y</t>
  </si>
  <si>
    <t xml:space="preserve">Multi Collagen Complex capsules 300 count </t>
  </si>
  <si>
    <t>B0F11WDDHF</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</si>
  <si>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</si>
  <si>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</si>
  <si>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</si>
  <si>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</si>
  <si>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Astaxanthin 12mg, 240 Softgels, Made with Astax (Max Strength from MicroAlgae), Natural Antioxidant for Skin &amp; Eye Health – Non-GMO &amp; No Gluten, 4 Month Supply</t>
  </si>
  <si>
    <t>B0923B4XLX</t>
  </si>
  <si>
    <t>Xylitol Sweetener, 5lbs | Natural Birch Crystal Source – 1:1 Sugar Substitute – Sweet Flavor with No Erythritol – Low Calorie &amp; Glycemic Impact – Sugar Free, No Aftertaste, Non-GMO</t>
  </si>
  <si>
    <t>B0CFPJ5BRM</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</si>
  <si>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</si>
  <si>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</si>
  <si>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</si>
  <si>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</si>
  <si>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2 Pack Ceylon Cinnamon 9000mg Per Serving, 480 Capsules, Made with Organic Ceylon Cinnamon Plus Bitter Melon, Non-GMO</t>
  </si>
  <si>
    <t>B08DK1M6FL</t>
  </si>
  <si>
    <t>Antarctic Krill Oil 2000mg Supplement, 240 Softgels, 3X Strength Natural Source of Omega-3s, EPA 240mg + DHA 160mg + Astaxanthin 800mcg – No Fishy Aftertaste – Mercury Free &amp; Non-GMO</t>
  </si>
  <si>
    <t>B0BSP5TBP3</t>
  </si>
  <si>
    <t>L-Lysine 1000mg + Quercetin 250mg Supplement, 240 Capsules, Free Form, 4-in-1 Lysine Complex, Quercetin with Vitamin C and Zinc | Immune Support | Promote Lips &amp; Skin Health</t>
  </si>
  <si>
    <t>B09F4GYTDQ</t>
  </si>
  <si>
    <t>NatureBell 2 Pack Cranberry Pills 36,000mg with Acerola, 480 Veggie Capsules | 100:1 Fresh Cranberries Extract – Organic Ingredients – Supports Urinary Tract Health – Sugar Free</t>
  </si>
  <si>
    <t>B07RD4CKP4</t>
  </si>
  <si>
    <t xml:space="preserve">Magnesium Citrate Calm Powder Jar 1lb </t>
  </si>
  <si>
    <t>B0FCVC7LKV</t>
  </si>
  <si>
    <t>2 Pack Magnesium Citrate 500mg, 480 Capsules | High Purity Elemental Form – Extra Strength | Essential Mineral for Heart, Muscle, &amp; Digestion Support – Non-GMO &amp; No Gluten</t>
  </si>
  <si>
    <t>B07755F5YT</t>
  </si>
  <si>
    <t>Omega 3 Fish Oil 4,200mg, 180 Burpless Softgels, Highly Purified EPA 1,200mg &amp; DHA 900mg | Lemon Flavored | Premium Wild Caught Fish from Deep Sea – Heart &amp; Brain Support – Mercury Free &amp; Non-GMO</t>
  </si>
  <si>
    <t>B0BSP4P38R</t>
  </si>
  <si>
    <t>Magnesium Glycinate 200mg with Valerian Root, 300 Capsules</t>
  </si>
  <si>
    <t>B0CWNDCY6V</t>
  </si>
  <si>
    <t>R-Alpha Lipoic Acid (R-ALA) 1200mg</t>
  </si>
  <si>
    <t>B0DJWWQSPX</t>
  </si>
  <si>
    <t>Magnesium Glycinate Powder Peach-Mango Flavor Jar 1lb</t>
  </si>
  <si>
    <t>B0DLXM7ZTC</t>
  </si>
  <si>
    <t>NatureBell D Mannose Powder, 12oz | Instantized for Max Absorption – Fast Acting Cleanse – Urinary Tract &amp; Bladder Health Support – Flush UTI Impurities – Non-GMO, Vegan</t>
  </si>
  <si>
    <t>B075G4N2K1</t>
  </si>
  <si>
    <t>NatureBell 2 Pack Plant Based Hyaluronic Acid Supplements 250mg with 25mg Vitamin C &amp; Biotin 5000mcg, 480 Total Capsules | Essential for Hair Growth, Joint Support, &amp; Hydrating Skin | Non-GMO</t>
  </si>
  <si>
    <t>B07GBMPZKD</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</si>
  <si>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</si>
  <si>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</si>
  <si>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</si>
  <si>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</si>
  <si>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 xml:space="preserve">Vegan Omega-3 Algae Oil 1250mg vegetarian softgels 120 counts </t>
  </si>
  <si>
    <t>B0FCVZQMT1</t>
  </si>
  <si>
    <t>三月等貨中</t>
  </si>
  <si>
    <t>NatureBell Moringa Oleifera 8000mg Per Serving | 240 Capsules, Made with Organic Moringa Leaf Powder, Non-GMO, Gluten Free, Superfood Antioxidant, Skin Health &amp; Immune Support</t>
  </si>
  <si>
    <t>B07MTTBMD1</t>
  </si>
  <si>
    <t>Pregnenolone 100mg, 200 Capsules | 99%+ Purity, Micronized Grade for Higher Absorption, Plant Based – Hormone*, Cognitive, &amp; Immune Health Supplement – Non-GMO, Soy Free</t>
  </si>
  <si>
    <t>B087CMV1PD</t>
  </si>
  <si>
    <t>NatureBell L Methylfolate 15mg (5-MTHF) with Methyl B12 1,000mcg, 240 Vegetarian Capsules | High Potency Dual Action for Energy &amp; Cognitive Support, Active Folic Acid – Methyl Folate Supplement</t>
  </si>
  <si>
    <t>B0CHX3CST7</t>
  </si>
  <si>
    <t>Tongkat Ali 200:1 (Longjack) Extract for Men, 2000mg Per Serving, Indonesia Origin, Eurycoma Longifolia | with Panax Ginseng for Energy, Stamina, &amp; Male Health Support (150 Count (Pack of 2))</t>
  </si>
  <si>
    <t>B0BMF3TMWZ</t>
  </si>
  <si>
    <t>NatureBell DHEA 100mg, 240 Capsules | Extra Strength, Micronized Grade for Better Absorption, Supports Energy Level, Metabolism and Healthy Aging for Men and Women, No GMOs and Made in U.S.A</t>
  </si>
  <si>
    <t>B074Q2KK6Z</t>
  </si>
  <si>
    <t>L-Theanine 400mg capsules 400 count</t>
  </si>
  <si>
    <t>B0DDCW97QV</t>
  </si>
  <si>
    <t>NatureBell Digestive Enzymes with Prebiotics | 240 Veggie Capsules - 20 Enzyme &amp; 5 Prebiotic Complex – Support Gut Health, Bloating Relief for Women &amp; Men, Non-GMO, Vegan Friendly</t>
  </si>
  <si>
    <t>B0CJK5JRPV</t>
  </si>
  <si>
    <t>Allulose Sweetener 5lb</t>
  </si>
  <si>
    <t>B0DDCVSPP5</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</si>
  <si>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</si>
  <si>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</si>
  <si>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</si>
  <si>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Organic Myco Guardians 10 in 1 Mushroom Powder, 10oz | Fresh Superfood Mushrooms Complex – Lions Mane, Turkey Tail, 8 More | Immune Booster &amp; Brain Health Supplement | No Fillers</t>
  </si>
  <si>
    <t>B0C485JWYV</t>
  </si>
  <si>
    <t>NatureBell Red Yeast Rice 2,400mg with CoQ10 100mg | 240 Veggie Capsules (1,200mg Per Capsule) – Max Strength Herbal Supplement – Antioxidant Support for Energy &amp; Heart Health – Non-GMO</t>
  </si>
  <si>
    <t>B0CFPLT75L</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</si>
  <si>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</si>
  <si>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</si>
  <si>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</si>
  <si>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</si>
  <si>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TMG (Trimethylglycine) 1500mg capsules</t>
  </si>
  <si>
    <t>B0D883PXW4</t>
  </si>
  <si>
    <t>Citrus Bergamot 5000mg</t>
  </si>
  <si>
    <t>B0CFPBNWCF</t>
  </si>
  <si>
    <t>NatureBell 2 Pack Creatine Monohydrate Powder 500 Grams, 5000mg Per Serving, Pure Unflavored Creatine Powder - Micronized - Pre Workout | Keto | Vegan | Dissolves Easy | Filler Free</t>
  </si>
  <si>
    <t>B0BT2V8YK4</t>
  </si>
  <si>
    <t>Beef Gelatin Powder 2lbs</t>
  </si>
  <si>
    <t>B0D21244KR</t>
  </si>
  <si>
    <t>NatureBell Virgin Pumpkin Seed Oil 3,000mg Per Serving with Saw Palmetto, 240 Softgel Capsules | Cold Pressed – Rich in Omega 6 &amp; 9 Essential Fatty Acids – Prostate &amp; Bladder Supplements, Non-GMO</t>
  </si>
  <si>
    <t>B07K6XGYPL</t>
  </si>
  <si>
    <t>NatureBell Evening Primrose Oil with Black Cohosh, 1,300mg Per Serving, 300 Mini-Softgels | Cold Pressed Seeds, Retains 130mg GLA for Womens Health &amp; Skin Care Support – Hexane Free, Non-GMO</t>
  </si>
  <si>
    <t>B0C6WN52Q9</t>
  </si>
  <si>
    <t>NatureBell Full Spectrum Vitamin K2 Supplement with MK-7 &amp; MK-4, 200 mcg, 240 Capsules | 2 in 1 Formula, K Vitamins Complex – Supports Bone, Joint, and Heart Health – Non-GMO</t>
  </si>
  <si>
    <t>B07R8JTQSZ</t>
  </si>
  <si>
    <t>Vitamin B Complex for Women, 240 Veggie Capsules</t>
  </si>
  <si>
    <t>B0CMK1YPQN</t>
  </si>
  <si>
    <t>NatureBell D-Mannose 2000mg with Cranberry Extract 400mg, 240 Veggie Capsules, Double Strength | Fast Acting Urinary Tract Health Pills, Flush Impurities, Ultra UTI Support for Women &amp; Men</t>
  </si>
  <si>
    <t>B07QBVHK8H</t>
  </si>
  <si>
    <t>High Potency Zinc Picolinate 100mg - 240 Capsules, Bioavailable Form of Zinc for Immune Support and Skin Health - Non-GMO and Gluten- Zinc Supplements</t>
  </si>
  <si>
    <t>B07VC1M3S3</t>
  </si>
  <si>
    <t>2 Pack Berberine Supplement 1500mg Per Serving, 480 Veggie Capsules | Plus 1200mg True Ceylon Cinnamon, 97% Berberine HCL, Plant-Based, Vegan, Non-GMO, Gluten Free</t>
  </si>
  <si>
    <t>B01L2TFPNE</t>
  </si>
  <si>
    <t>Organic Inulin Powder Jar 1lb</t>
  </si>
  <si>
    <t>B0F11HLBFC</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</si>
  <si>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</si>
  <si>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</si>
  <si>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</si>
  <si>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Choline 500mg with Omega-3 capsules 240 count</t>
  </si>
  <si>
    <t>B0D85V6X3G</t>
  </si>
  <si>
    <t>Liposomal NAD+ 8-in-1 Complex 2000mg 120 vegetarian capsules</t>
  </si>
  <si>
    <t>B0G673T4SL</t>
  </si>
  <si>
    <t>Liver Cleanse Detox &amp; Repair Supplement, 240 Veggie Capsules</t>
  </si>
  <si>
    <t>B0CWN5QQ8V</t>
  </si>
  <si>
    <t xml:space="preserve">Taurine 1000mg capsules 500 count </t>
  </si>
  <si>
    <t>B0D87LZF99</t>
  </si>
  <si>
    <t>Magnesium Complex 400mg Supplement, 300 Capsules | Magnesium Glycinate + Citrate Elemental Forms – Essential Minerals for Heart, Muscle, &amp; Digestion Support – Non-GMO &amp; No Gluten</t>
  </si>
  <si>
    <t>B0BSP3CD3N</t>
  </si>
  <si>
    <t>NatureBell Hyaluronic Acid Supplements 250mg | 240 Capsules, with Biotin 5000mcg &amp; Vitamin C 25mg, 3 in 1 Support - Skin Hydration, Joint Lubrication, Hair and Eye Health</t>
  </si>
  <si>
    <t>B076FH7639</t>
  </si>
  <si>
    <t>Benfotiamine 300mg with Thiamine 100mg Per Serving | 240 Veggie Capsules, Essential Vitamin B1 Benfotiamine Supplement, Bioavailable Fat &amp; Water Soluble Forms – Energy &amp; Nerve Support – Non-GMO</t>
  </si>
  <si>
    <t>B0C6YKYN2B</t>
  </si>
  <si>
    <t>NatureBell Bromelain, 1,000mg Per Serving, 240 Veggie Capsules</t>
  </si>
  <si>
    <t>B0CMK9SWBJ</t>
  </si>
  <si>
    <t>Liposomal Vitamin C 2000mg capsules</t>
  </si>
  <si>
    <t>B0D85XBLCH</t>
  </si>
  <si>
    <t>Korean Red Ginseng 2,250mg Per Serving, 240 Softgels | Panax Ginseng Root, Standardized to 10% Ginsenosides, Non-GMO, Support Energy, Male Performance, &amp; Immune System</t>
  </si>
  <si>
    <t>B07MTW3QDD</t>
  </si>
  <si>
    <t>TUDCA 500mg with Black Pepper Extract, 60 Capsules – High Absorption Livamate Formula, Natural Bitter Taste | Bile Salt Supplement | Third Party Tested</t>
  </si>
  <si>
    <t>B09KTBBYLQ</t>
  </si>
  <si>
    <t xml:space="preserve">Magnesium Taurate 1500mg 240 Capsules </t>
  </si>
  <si>
    <t>B0CWK143JD</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</si>
  <si>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</si>
  <si>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</si>
  <si>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</si>
  <si>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</si>
  <si>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</si>
  <si>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</si>
  <si>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</si>
  <si>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 xml:space="preserve">Advanced Electrolyte hydration capsules </t>
  </si>
  <si>
    <t>B0DDCW84F6</t>
  </si>
  <si>
    <t>Creatine Monohydrate 5000mg capsules</t>
  </si>
  <si>
    <t>B0DDB5BWYP</t>
  </si>
  <si>
    <t>NatureBell Vitamin D3 5000 K2 (MK7) with Virgin Coconut Oil, 240 Softgels, 100mcg, 2 in 1 Support, Duo-Ack | 8 Months Supply | Third Party Tested, Non GMO &amp; No Gluten</t>
  </si>
  <si>
    <t>B09MJYVXX9</t>
  </si>
  <si>
    <t>Vitamin D3 K2 (10,000 IU Vitamin D + 200mcg Vitamin K MK-7) 240 Softgels with Coconut Oil for Complete Absorption | Bone, Heart, Immune, &amp; Calcium Support | One a Day, Non-GMO</t>
  </si>
  <si>
    <t>B0C6WY48KJ</t>
  </si>
  <si>
    <t>DHEA 50mg</t>
  </si>
  <si>
    <t>B0CX3MJQKM</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</si>
  <si>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</si>
  <si>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</si>
  <si>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</si>
  <si>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</si>
  <si>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Vitamin E 400iu</t>
  </si>
  <si>
    <t>B0CWKDYC5Q</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</si>
  <si>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</si>
  <si>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</si>
  <si>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</si>
  <si>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Vitamin B2 Riboflavin 400mg Per Serving, 240 Capsules | Essential Daily B Vitamin, Easily Absorbed Form – Supports Energy, Skin, and Cellular Health – Non-GMO, Gluten Free</t>
  </si>
  <si>
    <t>B0BSP461K1</t>
  </si>
  <si>
    <t xml:space="preserve">Potassium Citrate 99mg capsules 500 count </t>
  </si>
  <si>
    <t>B0DDCTG43B</t>
  </si>
  <si>
    <t>三月份有做deal + 電解質熱度開始上升 最近有出現dr berg  potassium搜索詞</t>
  </si>
  <si>
    <t xml:space="preserve">Colostrum 1000mg capsules 240 count </t>
  </si>
  <si>
    <t>B0DJTVL9H4</t>
  </si>
  <si>
    <t xml:space="preserve">Magnesium Oxide 400mg capsules 400 counts </t>
  </si>
  <si>
    <t>B0F11PGHN9</t>
  </si>
  <si>
    <t>CoQ10 (Ubiquinone) 300mg with Omega 3 Fatty Acids, 240 Capsules</t>
  </si>
  <si>
    <t>B0CMK3LBGJ</t>
  </si>
  <si>
    <t>NatureBell Alpha Lipoic Acid 600mg Per Serving | 300 Capsules - with Vitamin B1 Complex | 4 in 1 - [R-ALA | S-ALA | Thiamine | Benfotiamine] - High Bioavailability, Third Party Tested | Non-GMO</t>
  </si>
  <si>
    <t>B0BB53JDMF</t>
  </si>
  <si>
    <t>CoQ10 (Ubiquinone) 400mg with Omega 3 Fatty Acids, 240 Capsules | Stable High Absorption Form – Antioxidant Support for Heart &amp; Energy Health – Extra Strength Coenzyme Q10 Supplement</t>
  </si>
  <si>
    <t>B0BSP5GTMQ</t>
  </si>
  <si>
    <t>NatureBell Glutathione Supplement 1000mg, 180 Veggie Capsules | 98%+ Purity Verified, Bioavailable Reduced Glutathione Pills, Active Form, Master Antioxidant – Vegan Friendly &amp; Non-GMO</t>
  </si>
  <si>
    <t>B09KTCYFZ7</t>
  </si>
  <si>
    <t>NatureBell Magnesium Glycinate 400mg (Elemental), 270 Capsules – 100% Chelated for Max Absorption | Non-GMO &amp; No Gluten, Bioavailable Mineral Supplement for Muscle, Joint, Enzyme, &amp; Heart Health</t>
  </si>
  <si>
    <t>B0BJ198K28</t>
  </si>
  <si>
    <t>L Tyrosine Supplement, 1,500mg Per Serving, 240 Capsules | Essential Amino Acids – Brain Health Support for Memory, Cognitive Health, and Mental Alertness – Non-GMO</t>
  </si>
  <si>
    <t>B08X6JSZ69</t>
  </si>
  <si>
    <t>Magnesium Malate 1500mg capsules 240 count</t>
  </si>
  <si>
    <t>B0CWMWHRFC</t>
  </si>
  <si>
    <t xml:space="preserve">三月有做deal </t>
  </si>
  <si>
    <t>Valerian Root Complex 5000mg</t>
  </si>
  <si>
    <t>B0F11D462D</t>
  </si>
  <si>
    <t>NatureBell Psyllium Husk Powder, 3 Lbs(48 Oz), 9000mg Per Serving - Unflavored | No Fillers, No Additives, Gluten Free, Soluble Fiber, Great for Gut Health, Keto Baking, Mixing Shakes, Juices &amp; More</t>
  </si>
  <si>
    <t>B09ZPVMQ9F</t>
  </si>
  <si>
    <t>Psyllium Husk Powder吃到流量, 日銷翻倍, 廣告花費偏高, 下調廣告預算, KW跟PT都下調到100, 控制花費內2元/unit正常打</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</si>
  <si>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</si>
  <si>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</si>
  <si>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</si>
  <si>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Nattokinase Supplement 8,000 FU Per Serving, 240 Veggie Capsules | Traditional Natto Extract Source – Max Strength Enzyme &amp; Heart Health Support – Non-GMO</t>
  </si>
  <si>
    <t>B0CJK4JF1V</t>
  </si>
  <si>
    <t>納豆也是有流量, 10000FU的我們MI跟DS都吃到流量了</t>
  </si>
  <si>
    <t>NatureBell CoQ10 (Ubiquinone) 200mg with PQQ, 240 Veggie Capsules | Stable High Absorption Form – Antioxidant Support for Brain, Heart, &amp; Energy Health – Extra Strength Coenzyme Q10 Supplement</t>
  </si>
  <si>
    <t>B0CFPMHB25</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</si>
  <si>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</si>
  <si>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</si>
  <si>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</si>
  <si>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</si>
  <si>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</si>
  <si>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二月底三月有熱度, 吃到流量</t>
  </si>
  <si>
    <t>CoQ10 100mg with Omega-3</t>
  </si>
  <si>
    <t>B0DJWWMBTF</t>
  </si>
  <si>
    <t>Berberine Supplement 500mg | 300 Veggie Capsules, 97% Pure Berberine HCL, 5:1 Root Extract – Healthy Glucose Metabolism &amp; Immune Support – Plant Based, Vegan, Non-GMO</t>
  </si>
  <si>
    <t>B0C7FF131K</t>
  </si>
  <si>
    <t>Berberine有熱度, 吃到流量</t>
  </si>
  <si>
    <t>Triple Complex Magnesium Supplement, 240 Capsules | Magnesium Glycinate 500mg with Citrate &amp; Malate | Chelated &amp; Purified | Bone, Heart, &amp; Muscle Support | Non-GMO</t>
  </si>
  <si>
    <t>B0CMK2Z12X</t>
  </si>
  <si>
    <t>Lutein 40mg and Zeaxanthin 1,600mcg Per Serving, 360 Softgels | 4 in 1 with Omega-3s, Astaxanthin, &amp; Phospholipids – Marigold Flower Extract – Eye Antioxidant Vitamins – Non-GMO</t>
  </si>
  <si>
    <t>B0C2S5MC6J</t>
  </si>
  <si>
    <t xml:space="preserve">Boron 10mg with MCT Oil softgels 300 counts </t>
  </si>
  <si>
    <t>B0F11Z2BLQ</t>
  </si>
  <si>
    <t>跑deal效果好有boost權重</t>
  </si>
  <si>
    <t>Magnesium Glycinate Supplement 1,000mg | 500mg Per Capsule, 240 Pills | 100% Chelated &amp; Purified – Non-GMO &amp; Gluten Free</t>
  </si>
  <si>
    <t>B0CFPG9M5K</t>
  </si>
  <si>
    <t>Organic Matcha Green Tea Powder Jar, 2lbs</t>
  </si>
  <si>
    <t>B0DT2NH3V9</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</si>
  <si>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</si>
  <si>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</si>
  <si>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</si>
  <si>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Total Ad Sales</t>
  </si>
  <si>
    <t>HB</t>
  </si>
  <si>
    <t xml:space="preserve">CoQ10 300mg with Omega-3 capsules 240 count </t>
  </si>
  <si>
    <t>B0F1C28KV6</t>
  </si>
  <si>
    <t>2月份做deal一天能賣到100+, deal結束銷量就垮了, 拉拉廣告力度, PT補競品</t>
  </si>
  <si>
    <t>Creatine Monohydrate 5000mg Powder 1.2kg</t>
  </si>
  <si>
    <t>B0FCVJZRMF</t>
  </si>
  <si>
    <t>Moringa 9,000mg capsules 240 count</t>
  </si>
  <si>
    <t>B0DJWPJ2MX</t>
  </si>
  <si>
    <t>Resveratrol Complex 2000mg</t>
  </si>
  <si>
    <t>B0DJWR8MZ3</t>
  </si>
  <si>
    <t>B0F1BWQL3C</t>
  </si>
  <si>
    <t xml:space="preserve">Organic Matcha Green Tea Powder Jar 1lb </t>
  </si>
  <si>
    <t>B0DJWSLKQS</t>
  </si>
  <si>
    <t>Allulose Sweetener 6 Pounds</t>
  </si>
  <si>
    <t>B0F2L717LV</t>
  </si>
  <si>
    <t>3月份短時間斷貨, 權重小幅下滑, 加大廣告力度, KW&amp;PT TOP都上提到120,</t>
  </si>
  <si>
    <t>Pumpkin Seed Oil 3,000mg with Saw Palmetto, 240 Softgels</t>
  </si>
  <si>
    <t>B0FCW9DX6Y</t>
  </si>
  <si>
    <t>Myo-Inositol &amp; D-Chiro Inositol Supplement for Women 40:1</t>
  </si>
  <si>
    <t>B0FCWBBR9Z</t>
  </si>
  <si>
    <t>Magnesium Citrate Powder 500mg, 3lbs – Unflavored, Easily Absorbed – Purified Trace Mineral for Muscle, Heart, &amp; Digestive Support – One a Day, Non-GMO, Filler Free</t>
  </si>
  <si>
    <t>B0C8M1F4V7</t>
  </si>
  <si>
    <t xml:space="preserve">Norwegian Cod Liver Oil 2000mg softgels 240 count </t>
  </si>
  <si>
    <t>B0FCVRCJ2S</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</si>
  <si>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</si>
  <si>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</si>
  <si>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</si>
  <si>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Mullein Leaf 20,000mg, 240 Veggie Capsules – 20:1 Max Strength Leaf Extract – Natural Soothing Herb for Lungs – Supports Respiratory &amp; Immune Health – Non-GMO, Vegan</t>
  </si>
  <si>
    <t>B0C8LYLM61</t>
  </si>
  <si>
    <t>Ultra Strength CLA 3000mg | 240 Softgels, Active Conjugated Linoleic Acid from Non-GMO Safflower Oil, Non-Stimulating, Supports Weight Management | Lean Muscle Mass</t>
  </si>
  <si>
    <t>B07WWK3SMQ</t>
  </si>
  <si>
    <t xml:space="preserve">Ashwagandha with MCT Oil softgels 240 count </t>
  </si>
  <si>
    <t>B0FQZJYJ61</t>
  </si>
  <si>
    <t>Organic Peruvian Maca Root Powder, 3lbs</t>
  </si>
  <si>
    <t>B0CF3MT9NR</t>
  </si>
  <si>
    <t>2 Pack Creatine Monohydrate Powder 600 Grams (21.2oz), Unflavored | Pure | Micronized Creatine Powder, 5000mg Per Serving, 4 Month Supply, Vegan | Keto, Non-GMO, No Filler, No Additives - 120 Servings</t>
  </si>
  <si>
    <t>B0BGR22RG6</t>
  </si>
  <si>
    <t>DEAL SUPPLEMENT Premium K Complete - High Potency Vitamin K1, K2 MK-7 &amp; MK-4 Complex, 200 Coconut Oil Infused Softgels - Full Spectrum Triple Vitamin K, Optimal Bone &amp; Heart Health Support</t>
  </si>
  <si>
    <t>B0BWH7QPX6</t>
  </si>
  <si>
    <t>Max Triple Magnesium Complex 500mg capsules 240 count </t>
  </si>
  <si>
    <t>B0FQZNWZNC</t>
  </si>
  <si>
    <t>Tongkat Ali Extract 300:1 400mg &amp; Maca Root 400mg | 300 Capsules, Ultra Strength Longjack (Eurycoma Longifolia) + Peru Maca – Non-GMO, Herbal Supplement for Men Health, Performance, &amp; Energy</t>
  </si>
  <si>
    <t>B0C2WG9NLL</t>
  </si>
  <si>
    <t>DEAL SUPPLEMENT Folic Acid 1000 mcg (1 mg), 500 Coconut Oil Softgels | Bioavailable Prenatal Vitamins (Vitamin B9) – 1,667 mcg DFE – Easy to Swallow, Non-GMO, &amp; No Gluten</t>
  </si>
  <si>
    <t>B09F2NL4H6</t>
  </si>
  <si>
    <t>Probiotics 200 billion CFU 40 strains with Magnesium 240 vegetarian capsules</t>
  </si>
  <si>
    <t>B0G884ZTJV</t>
  </si>
  <si>
    <t>Methylated B Complex for Women 15-in-1 240 vegetarian capsules</t>
  </si>
  <si>
    <t>B0G87MJHNZ</t>
  </si>
  <si>
    <t>Dihydroberberine 100mg</t>
  </si>
  <si>
    <t>B0DCKRBV9T</t>
  </si>
  <si>
    <t>Quercetin 1000mg Per Serving (2 Pack) | 300 Capsules, High Bioavailable Flavonoids, Third Party Tested, Supports Healthy Immune System, Non-GMO, No Gluten</t>
  </si>
  <si>
    <t>B08M23CLN5</t>
  </si>
  <si>
    <t>Multi Collagen Protein Powder,1Lb - Type I, II, III, V, X Collagen Peptides with Biotin 10000mcg, Vitamin C &amp; Hyaluronic Acid - Unflavored - Keto &amp; Paleo Friendly, Great for Hair, Skin, Nails &amp; Joints</t>
  </si>
  <si>
    <t>B0BL1NMB59</t>
  </si>
  <si>
    <t>L-Methylfolate 5-MTHF 15mg 120 Softgels</t>
  </si>
  <si>
    <t>B0G87K7RVM</t>
  </si>
  <si>
    <t xml:space="preserve">Electrolyte Powder Mixed Berry Flavor 1lb </t>
  </si>
  <si>
    <t>B0FQZSJXL1</t>
  </si>
  <si>
    <t>Eagleshine Vitamins 2 Pack NAC Supplement (N-Acetyl Cysteine) 1,000mg Per Serving with Reduced Glutathione, 480 Total Capsules – Antioxidant Support for Immune Health, Lung, &amp; Liver Function</t>
  </si>
  <si>
    <t>B08M245LZF</t>
  </si>
  <si>
    <t>Organic Lemon Powder, 1lb – Real Freeze-Dried Lemon Source – Rich in Essential Vitamin C – Natural Immune Support – Raw Lemon Juice Flavor &amp; Aroma – Non-GMO, Filler Free, No Sugar</t>
  </si>
  <si>
    <t>B0CF3RZQCZ</t>
  </si>
  <si>
    <t>DEAL SUPPLEMENT Slippery Elm Capsules, 6,000mg Per Serving – 300 Pills, Made with Organic Inner Bark Powder Extract – Natural Herb for Soothing Throat &amp; Digestive Support – Non-GMO</t>
  </si>
  <si>
    <t>B0C2XJGG1H</t>
  </si>
  <si>
    <t>Cayenne Pepper 5lb</t>
  </si>
  <si>
    <t>B0CDDY9DJL</t>
  </si>
  <si>
    <t>Eagle Shine Vitamins 2 Pack Antarctic Krill Oil, 1,000mg Per Serving, 480 Softgels – Mercury Free, No Fishy Taste – Rich in Omega-3s, EPA, DHA, Astaxanthin, &amp; Phospholipids – Non-GMO, No Gluten</t>
  </si>
  <si>
    <t>B08X63BXLZ</t>
  </si>
  <si>
    <t>Organic Ceremonial Matcha Powder 50g</t>
  </si>
  <si>
    <t>B0FQZ946DJ</t>
  </si>
  <si>
    <t>DHA Supplements | 240 Softgels, Burpless, Lemon Flavor, DHA 1000mg + EPA 500mg, Wild Caught Fish, Rich in Omega-3s, Mercury Free, Non-GMO, Support Brain Heart &amp; Joint Health</t>
  </si>
  <si>
    <t>B08WHZZP5F</t>
  </si>
  <si>
    <t xml:space="preserve">Saccaromyces Boulardii + FOS </t>
  </si>
  <si>
    <t>B0DJWTDKW3</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</si>
  <si>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</si>
  <si>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</si>
  <si>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</si>
  <si>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KSM-66 Ashwagandha 1200mg</t>
  </si>
  <si>
    <t>B0DJWP1442</t>
  </si>
  <si>
    <t>Whole milk powder 3lb</t>
  </si>
  <si>
    <t>B0DJWTBLGH</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</si>
  <si>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</si>
  <si>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</si>
  <si>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</si>
  <si>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5-HTP 200mg Per Serving, 240 Capsules, 98% African Derived Griffonia Seed Extract | 4 in 1 Formula Plus Active L-Theanine, L-Tryptophan &amp; GABA, Complete Support for Positive Mood, Relaxation</t>
  </si>
  <si>
    <t>B08WHFZQSJ</t>
  </si>
  <si>
    <t>DEAL SUPPLEMENT Unflavored Pea Protein Powder, 5lbs – Premium North American Grown Peas – Easily Digested Isolate Form – Great for Shakes, Bars, or Snacks – 27g Protein Serving, Soy Free, Vegan</t>
  </si>
  <si>
    <t>B0C2WJHQLT</t>
  </si>
  <si>
    <t>Electrolyte Powder Icy Grape Flavor 1lb </t>
  </si>
  <si>
    <t>B0FCW5LHQ8</t>
  </si>
  <si>
    <t xml:space="preserve">Organic Mushroom Coffee Jar 10oz </t>
  </si>
  <si>
    <t>B0DJWQN3G7</t>
  </si>
  <si>
    <t xml:space="preserve">Lithium Orotate 5mg capsules </t>
  </si>
  <si>
    <t>B0FQZPJY9F</t>
  </si>
  <si>
    <t>L-Theanine &amp; Magnesium Softgels</t>
  </si>
  <si>
    <t>B0G884RNS8</t>
  </si>
  <si>
    <t>Electrolyte Powder Watermelon Flavor 1lb </t>
  </si>
  <si>
    <t>B0FQYTVF81</t>
  </si>
  <si>
    <t>Organic Beet Root Powder 3lb</t>
  </si>
  <si>
    <t>B0C2XJ92Y6</t>
  </si>
  <si>
    <t>Magnesium Complex for Women</t>
  </si>
  <si>
    <t>B0G87JDKST</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</si>
  <si>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</si>
  <si>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</si>
  <si>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</si>
  <si>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 xml:space="preserve">Goat Milk 1lb </t>
  </si>
  <si>
    <t>B0F2L2SQT8</t>
  </si>
  <si>
    <t>CoQ10 600mg with DHA</t>
  </si>
  <si>
    <t>B0F1CC797J</t>
  </si>
  <si>
    <t>Allulose Sweetener 2 Pounds – Natural Sugar Subsitutes, No Aftertaste - Keto Friendly, Vegan, Zero Net Carb, Zero Calorie, Great for Cooking &amp; Baking</t>
  </si>
  <si>
    <t>B0BL1R1T8Y</t>
  </si>
  <si>
    <t>Vitamin D3 10,000 IU + K2 MK7 200 mcg, Infused with Virgin Coconut Oil, 250 Softgels, Double Strength Vitamin D &amp; K, Promotes Heart, Bone &amp; Teeth Health - Very Easy to Swallow</t>
  </si>
  <si>
    <t>B08FXX6WSZ</t>
  </si>
  <si>
    <t>NAD+ 1000mg</t>
  </si>
  <si>
    <t>B0DJWRXKPX</t>
  </si>
  <si>
    <t>2 Pack Magnesium Complex 500mg</t>
  </si>
  <si>
    <t>B0FMBTVDK2</t>
  </si>
  <si>
    <t>DEAL SUPPLEMENT Ultra Strength HMB Supplements 3,000mg Per Serving, 240 Capsules | Third Party Tested | Supports Muscle Growth, Retention &amp; Lean Muscle Mass | Fast Workout Recovery</t>
  </si>
  <si>
    <t>B0C8M8X8PG</t>
  </si>
  <si>
    <t>Max Strength Magnesium Glycinate 500mg Per Serving, 240 Capsules | Chelated, Highly Purified, Essential Mineral | Magnesium Supplement for Muscle, Joint, &amp; Heart Health</t>
  </si>
  <si>
    <t>B0CF3JV16Q</t>
  </si>
  <si>
    <t>Lions Mane Mushroom Supplement, 7,500mg Per Serving, 240 Capsules – Active Fruiting Body &amp; Mycelium 10:1 Extract – Natural Brain Nootropic &amp; Immune System Booster – Non-GMO</t>
  </si>
  <si>
    <t>B09KZ1VNPF</t>
  </si>
  <si>
    <t>Unscented Magnesium Flakes, 10lbs</t>
  </si>
  <si>
    <t>B0CZFY5HHJ</t>
  </si>
  <si>
    <t xml:space="preserve">Electrolyte Powder Lemon Lime Flavor Jar </t>
  </si>
  <si>
    <t>B0DJWN567H</t>
  </si>
  <si>
    <t>Bitter Melon 15,000mg Per Serving | 300 Capsules, with Berberine HCL | 15:1 Wild Bitter Melon Fruit Extract | Third Party Tested | Plant Based, Non-GMO &amp; No Gluten</t>
  </si>
  <si>
    <t>B081ZH92R6</t>
  </si>
  <si>
    <t>Organic Lions Mane Mushroom Powder Supplement, 1,500mg Per Serving, 1lb – Active Fruiting Body &amp; Mycelium Extract – Natural Brain Nootropic &amp; Immune System Booster – Non-GMO</t>
  </si>
  <si>
    <t>B0C8LTR6L1</t>
  </si>
  <si>
    <t>Glutathione Supplement 1000mg Per Serving, 98% Purity | Plus Vitamin C 500mg, Active Reduced Form (GSH) | 60 Capsules - Intracellular Antioxidant, Detoxification* Support, Immune &amp; Skin Whitening</t>
  </si>
  <si>
    <t>B09BDNFL58</t>
  </si>
  <si>
    <t>DEAL SUPPLEMENT Oil of Oregano Softgels with Black Seed Oil, 9,000mg Per Serving, 300 Count – 30:1 Extract, Active Carvacrol &amp; Thymoquinone – Antioxidant Immune Health Support – Plant Based, Non-GMO</t>
  </si>
  <si>
    <t>B0BWGY19D1</t>
  </si>
  <si>
    <t>DEAL SUPPLEMENT Quercetin 1,000mg Per Serving, 300 Capsules – Healthy Immune Support Supplements, High Bioavailable Flavonoids, Natural Antioxidant – Non-GMO, Soy Free, No Gluten</t>
  </si>
  <si>
    <t>B07XW8BXDS</t>
  </si>
  <si>
    <t xml:space="preserve">Organic Stevia Extract Powder 12oz </t>
  </si>
  <si>
    <t>B0CF3K9R3G</t>
  </si>
  <si>
    <t xml:space="preserve">Astaxanthin 24mg softgels 120 count </t>
  </si>
  <si>
    <t>B0DNRKCZGT</t>
  </si>
  <si>
    <t>DEAL SUPPLEMENT Odorless Aged Garlic Pills, 6,000mg Per Serving, 500 Softgels – 24:1 Garlic Oil Extract – Fresh Allium Sativum Bulb Source – Heart &amp; Immune Antioxidant Supplements – Non-GMO</t>
  </si>
  <si>
    <t>B0CF3CTC2V</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</si>
  <si>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</si>
  <si>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</si>
  <si>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</si>
  <si>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Alpha Lipoic Acid 1,000mg, 180 Veggie Capsules – 50/50 R-ALA &amp; S-ALA for Max Bioavailability – Antioxidant Supplement – Energy &amp; Nervous System Support – Non-GMO</t>
  </si>
  <si>
    <t>B0BWHLHMHY</t>
  </si>
  <si>
    <t>Apigenin, 100mg Per Serving, 240 Capsules – Plant Extract from Chamomile Flower – Active Bioflavonoids &amp; Antioxidants – Sleep &amp; Relaxation Supplement</t>
  </si>
  <si>
    <t>B09LFFGQXM</t>
  </si>
  <si>
    <t xml:space="preserve">Omega 3-6-9 3600mg 240 count </t>
  </si>
  <si>
    <t>B0F1C8CM23</t>
  </si>
  <si>
    <t>Fish Oil 1000mg</t>
  </si>
  <si>
    <t>B0G86TTDDL</t>
  </si>
  <si>
    <t>Vitamin K2 (MK-7) 200mcg, 240 Virgin Coconut Oil Softgels | Premium Menaquinone-7 Form, Easily Absorbed Vitamin K Supplement – Bone, Joint, &amp; Immune Support – Non-GMO</t>
  </si>
  <si>
    <t>B088B4L5WB</t>
  </si>
  <si>
    <t>Vitamin D3K2 5,000IU with coconut oil</t>
  </si>
  <si>
    <t>B0CZFY5H2J</t>
  </si>
  <si>
    <t>Hyaluronic Acid Supplements 1,500mg – 240 Capsules, with MSM &amp; Vitamin C – Pure 95% | Non-GMO + Plant Based HA – Supports Healthy Joints, Bones, Connective Tissue, &amp; Skin Hydration</t>
  </si>
  <si>
    <t>B091G5YF1J</t>
  </si>
  <si>
    <t>Mushroom Supplement, 8,000mg Per Serving, 240 Capsules – 10 in 1 Defense Formula</t>
  </si>
  <si>
    <t>B0BWH9RWC9</t>
  </si>
  <si>
    <t>Korean Red Panax Ginseng Root Extract, 7,500mg Per Serving, 240 Softgels – 150mg Active Ginsenosides, 5:1 Max Strength Extract – Energy &amp; Immune Health Supplement – Non-GMO</t>
  </si>
  <si>
    <t>B08517K5QY</t>
  </si>
  <si>
    <t>DEAL SUPPLEMENT High Potency Vitamin A 25000 IU, 500 Coconut Oil Softgels | Easily Absorbed, Natural Fish Liver Oil Source – Vitamins for Eye, Immune, &amp; Skin Health – Easy to Swallow, Non-GMO</t>
  </si>
  <si>
    <t>B0BKR14XL3</t>
  </si>
  <si>
    <t>DEAL SUPPLEMENT D Mannose Veggie Capsules, 2,000mg Per Serving, 240 Pills – Fast Acting Water-Soluble Form – Extra Strength Urinary Tract (UTI) Health Support – Non-GMO, Vegan Friendly</t>
  </si>
  <si>
    <t>B0C2SSC3XZ</t>
  </si>
  <si>
    <t>Creatine Monohydrate Powder 300 Grams (60 Servings), Unflavored | Pure | Micronized Creatine Powder, 5000mg(5g) Per Serving, 2 Month Supply, Vegan | Keto, Non-GMO, No Filler, No Additives</t>
  </si>
  <si>
    <t>B09YX7G6JJ</t>
  </si>
  <si>
    <t>Vitamin B3 Nicotinamide 1,000mg Per Serving – 500 Capsules, Flush Free Niacin, Essential B3 Vitamin Supplement – Supports Healthy Skin &amp; Energy Production – Non-GMO</t>
  </si>
  <si>
    <t>B0C2X6VR58</t>
  </si>
  <si>
    <t>Methylated Multivitamin 240 capsules</t>
  </si>
  <si>
    <t>B0FQZGNNR2</t>
  </si>
  <si>
    <t>Bioactive Vitamin B Complex | 240 Veggie Capsules - Methylated B Vitamins &amp; Esterified Vitamin C, High Potency &amp; Easy Absorption – Immune, Energy, &amp; Metabolism Supplement – Non-GMO, Vegan</t>
  </si>
  <si>
    <t>B0BWGKFVS9</t>
  </si>
  <si>
    <t>Vitamin K2 Supplement 600mcg, 180 Virgin Coconut Oil Softgels – Full Spectrum MK-7 &amp; MK-4 Forms, High Absorption, Triple Strength K Vitamins – Bone, Joint, &amp; Immune Support – Non-GMO</t>
  </si>
  <si>
    <t>B0CF3N7PNY</t>
  </si>
  <si>
    <t>Organic Matcha Green Tea Powder, 2lbs (907g) | Zero Sugar, First Harvest | Culinary Grade, Cafe Mix, Keto Friendly, Genuine Japanese Source, Non-GMO, Vegetarian</t>
  </si>
  <si>
    <t>B0BY3V6ZR7</t>
  </si>
  <si>
    <t>Vitamin B2 400mg (Riboflavin) | with Magnesium Glycinate 400mg, 240 Capsules – 2 in 1 Support Healthy Nervous System, Mood, Blood &amp; Energy Production, Non-GMO</t>
  </si>
  <si>
    <t>B085PZLP29</t>
  </si>
  <si>
    <t>Magnesium Citrate 400mg Per Serving, 300 Veggie Capsules – Chelated for Easy Absorption – Purified Trace Mineral – Supports Muscle, Heart, &amp; Digestive Health – Non-GMO</t>
  </si>
  <si>
    <t>B0BWGPJNTR</t>
  </si>
  <si>
    <t>Omega 3 Fish Oil Supplements, 3,000mg Per Serving, 240 Softgels – EPA 1,200mg + DHA 900mg – Burpless Pills, Lemon Flavored, Wild Caught – Brain &amp; Heart Support – Mercury Free, Non-GMO</t>
  </si>
  <si>
    <t>B0CF38KTZQ</t>
  </si>
  <si>
    <t>DEAL SUPPLEMENT Lutein and Zeaxanthin Supplements, 40mg Per Serving, 300 Softgels – Plus Astaxanthin, Omega-3s, &amp; Phospholipids – Essential Eye Vitamins &amp; Vision Health Support – Non-GMO</t>
  </si>
  <si>
    <t>B0C2XFMKWL</t>
  </si>
  <si>
    <t>2 Pack Deal Supplement Vitamin D3 K2 Softgel, 250 Count, 2-1 Complex, Vitamin D3 5000 IU &amp; Vitamin K2 MK7, Promotes Heart, Bone &amp; Teeth Health – Very Easy to Swallow</t>
  </si>
  <si>
    <t>B08LMTG54X</t>
  </si>
  <si>
    <t>R Alpha Lipoic Acid 600mg with Benfotiamine 300mg Per Serving, 120 Veggie Capsules – 200mg R-ALA Per Capsule – Antioxidant Supplement for Energy &amp; Nervous System Support</t>
  </si>
  <si>
    <t>B0CF3P11B1</t>
  </si>
  <si>
    <t>Ceylon Cinnamon 6000mg with Chromium 1000mcg, 240 Capsules | Active Inner Bark Extract, True Sri Lanka Source | Natural Cinnamon Supplements</t>
  </si>
  <si>
    <t>B084Z9VQ2Q</t>
  </si>
  <si>
    <t>Irish Sea Moss 7,000mg Per Serving, 240 Veggie Capsules</t>
  </si>
  <si>
    <t>B0CZFZYXN3</t>
  </si>
  <si>
    <t>DEAL SUPPLEMENT Methyl B-12 Vitamins 5000 mcg, 240 Chewable Tablets | Active Form - Strawberry Flavored - Energy Support &amp; Brain Health Function - Vegetarian &amp; GMO Free</t>
  </si>
  <si>
    <t>B0BKR522Q9</t>
  </si>
  <si>
    <t>Essential Amino Acids (EAA) 2000mg Per Serving, 300 Capsules – Unflavored - 9 in 1, All BCAAs (Branched-Chain Aminos) – Lean Muscle Support &amp; Natural Pre Workout Supplement</t>
  </si>
  <si>
    <t>B0BWH3JMNB</t>
  </si>
  <si>
    <t>DEAL SUPPLEMENT Alpha GPC 600mg Per Serving, 240 Capsules – Bioavailable Choline Replenishment –Nootropic Brain Health Supplements for Memory and Focus – Non-GMO, Gluten Free</t>
  </si>
  <si>
    <t>B0C2X5QQRR</t>
  </si>
  <si>
    <t>DEAL SUPPLEMENT Citicoline CDP Choline, 1,000mg Per Serving, 120 Capsules – Extra Strength Choline Supplements – Nootropic B Vitamin Properties – Promotes Brain Health, Memory, &amp; Focus – Non-GMO</t>
  </si>
  <si>
    <t>B0C2WY5ZN1</t>
  </si>
  <si>
    <t>Unsweetened Organic Coconut Milk Powder, 3lbs – Dairy Free Creamer Alternative – Sugar Free Raw Flavor – Rich Source of MCT Oil – Great for Coffee or Tea – Non-GMO, Plant Based, Keto</t>
  </si>
  <si>
    <t>B0CF3HYSHR</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</si>
  <si>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</si>
  <si>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</si>
  <si>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</si>
  <si>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Myo-Inositol &amp; D-Chiro Inositol (40:1) 2,050mg Per Serving, 240 Veggie Capsules – with Folate, Vitamin D3, &amp; Vitex Complex – Hormonal, Ovarian, &amp; Liver Support Supplement</t>
  </si>
  <si>
    <t>B0BWGKT1PJ</t>
  </si>
  <si>
    <t>DEAL SUPPLEMENT Vitamin D3 50,000 IU + K2 MK7 200 mcg,240 Softgels | Virgin Coconut Oil, Max Strength Vitamin D &amp; K, Promotes Heart, Bone, &amp; Teeth Health – One Softgel Weekly, Easy to Swallow</t>
  </si>
  <si>
    <t>B0C8LR3L5M</t>
  </si>
  <si>
    <t xml:space="preserve">Beef Gelatin Powder 1lb </t>
  </si>
  <si>
    <t>B0F1C28MLR</t>
  </si>
  <si>
    <t>Bromelain Supplement 2,000mg Per Serving, 240 Capsules – Natural Proteolytic Enzymes from Fresh Pineapple – Supports Nutrient Digestion</t>
  </si>
  <si>
    <t>B09BDHTR2H</t>
  </si>
  <si>
    <t>整体水平没有变化只是primeday多出了一些</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</si>
  <si>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</si>
  <si>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</si>
  <si>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</si>
  <si>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</si>
  <si>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</si>
  <si>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</si>
  <si>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Eagleshine Vitamins Phosphatidylserine Supplement, 400mg Per Serving, 240 Capsules – Soy Free Sunflower Lecithin Source – Retains 20% Active PS – Nootropic Brain Health Support – Non-GMO</t>
  </si>
  <si>
    <t>B0971RLCR2</t>
  </si>
  <si>
    <t>Magnesium Complex Supplement 500mg, 240 Veggie Capsules – 10 in 1 Blend with Glycinate, Citrate, Malate, &amp; More – Chelated for Easy Absorption – Muscle, Joint, &amp; Relaxation Support</t>
  </si>
  <si>
    <t>B07WS2TFP1</t>
  </si>
  <si>
    <t>Berberine Max Supplement, 5,000mg Per Serving, 240 Veggie Capsules – 97% Pure Berberine HCL – 25:1 Root Extract – Glucose Metabolism &amp; Weight Management Support– Non-GMO</t>
  </si>
  <si>
    <t>B0C7FPF4TT</t>
  </si>
  <si>
    <t xml:space="preserve">Fruits &amp; Veggies 240 caps </t>
  </si>
  <si>
    <t>B0DJWV79NT</t>
  </si>
  <si>
    <t xml:space="preserve">Vitamin D3K2 2000IU with coconut oil </t>
  </si>
  <si>
    <t>B0DCJ6L37S</t>
  </si>
  <si>
    <t>Ginkgo Biloba 500mg Per Serving, 300 Capsules, 5 Month Supply – Grown in Northern Asia – Extra Strength, Non-GMO, No Gluten</t>
  </si>
  <si>
    <t>B081NW5N61</t>
  </si>
  <si>
    <t>Psyllium Husk Fiber, 300 Capsules | 1500mg Per Serving, Complexed with Inulin &amp; Acacia – Natural Soluble Fiber Supplement, Plant Based, Non-GMO | Supports Digestive and Colon Health for Men and Women</t>
  </si>
  <si>
    <t>B0BKR4ZNH1</t>
  </si>
  <si>
    <t>9.9低價產品</t>
  </si>
  <si>
    <t>CoQ10 200mg &amp; PQQ 200mcg, 240 Veggie Capsules – 2 in 1 Coenzyme Q10 Supplement for Better Absorption – Antioxidant Support for Energy, Brain, &amp; Heart Health – Non-GMO</t>
  </si>
  <si>
    <t>B0C2WV9FGF</t>
  </si>
  <si>
    <t>2 Pack Magnesium Glycinate 500mg, 480 Veggie Capsules | Chelated for Easy Absorption | Highly Purified Essential Trace Mineral for Muscle, Joint, Heart, &amp; Digestive Health</t>
  </si>
  <si>
    <t>B0C6V5K27L</t>
  </si>
  <si>
    <t>DEAL SUPPLEMENT Rhodiola Rosea with Ashwagandha 5,000mg Per Serving, 240 Veggie Capsules – Max Strength 10:1 Root Extract – Adaptogenic Supplements for Relaxation, Energy, &amp; Brain Health – Non-GMO</t>
  </si>
  <si>
    <t>B0C8PVGKSK</t>
  </si>
  <si>
    <t>DIM Supplement 300mg, 240 Veggie Caps, 4 Months Supply, Diindolylmethane DIM Plus Black Pepper Extract, Estrogen Balance, Supports Acne &amp; PCOS Relief</t>
  </si>
  <si>
    <t>B07WV689LY</t>
  </si>
  <si>
    <t>CoQ10 100mg, 240 Capsules – with Omega 3 Fatty Acid 100mg – Bioavailable Coenzyme Q10 Supplements – Heart, Energy, &amp; Brain Health Antioxidant Support – Non-GMO, One A Day</t>
  </si>
  <si>
    <t>B0CF3M3Y1M</t>
  </si>
  <si>
    <t>Nattokinase 4,000 FU Per Serving, 240 Veggie Capsules – Bromelain, Turmeric Curcumin, with Black Pepper Complex – Heart Health &amp; Digestive Enzymes Supplement – Non-GMO, Vegan</t>
  </si>
  <si>
    <t>B0CF3HM62X</t>
  </si>
  <si>
    <t xml:space="preserve">納豆熱度持續上升+MI兩個納豆都缺貨 三月有跑過deal+上調廣告力度 </t>
  </si>
  <si>
    <t>DEAL SUPPLEMENT Vitamin E Supplements, 1,000 IU Per Serving, 240 Softgels – Extra Strength Antioxidant Protection – Bioavailable Stable Form – Skin, Heart, Brain, &amp; Immune Support – Non-GMO</t>
  </si>
  <si>
    <t>B0C2X2BW68</t>
  </si>
  <si>
    <t>Vitamin B1 500mg with Benfotiamine, 240 Capsules – 2 in 1 Enhanced Formula – Fat &amp; Water Soluble Thiamine B1 Supplement – Third Party Tested, Non-GMO, No Gluten</t>
  </si>
  <si>
    <t>B081ZJQYVK</t>
  </si>
  <si>
    <t>Zinc 50mg with Selenium 200mcg + Copper, 240 Capsules, 8 Month Supply, 3 in 1 Mineral Formula, Zinc Picolinate Complex Supplement, Supports Healthy Immune System for Adults and Kid</t>
  </si>
  <si>
    <t>B08FXYT1RT</t>
  </si>
  <si>
    <t>Benfotiamine 600mg Per Serving, 180 Veggie Capsules (300mg Per Cap), Fat Soluble Vitamin B1 Thiamine Supplement – Supports Energy &amp; Nervous System Health – 3rd Party Tested, Non-GMO, Gluten Free</t>
  </si>
  <si>
    <t>B0BWH53V3J</t>
  </si>
  <si>
    <t>DEAL SUPPLEMENT Psyllium Husk Powder 3 lbs, 9,000mg Per Serving – Unflavored, Plant Based, Soluble Dietary Fiber – Great for Baking &amp; Cooking – Keto Friendly, Gluten Free, Non-GMO</t>
  </si>
  <si>
    <t>B0C3NM9959</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</si>
  <si>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</si>
  <si>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</si>
  <si>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</si>
  <si>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Multi Collagen Pills with Hyaluronic Acid, Vitamin C &amp; Biotin 5000mcg, 300 Capsules - Type I, II, III, V, X Collagen Supplements for Women or Men - Hair, Skin, Nail, &amp; Joint Health - Unflavored, Keto</t>
  </si>
  <si>
    <t>B0C2WPPTNM</t>
  </si>
  <si>
    <t>Creatine Monohydrate Powder 600 Grams (1.32lb), Unflavored | Pure | Micronized Creatine Powder, 5000mg(5g) Per Serving, 4 Month Supply, Vegan | Keto, Non-GMO, No Filler, No Additives - 120 Servings</t>
  </si>
  <si>
    <t>B0B2FF7XN9</t>
  </si>
  <si>
    <t>Nitric Oxide Booster 3,000mg Per Serving, 300 Capsules</t>
  </si>
  <si>
    <t>B0CZGHL1TW</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</si>
  <si>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</si>
  <si>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</si>
  <si>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</si>
  <si>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Magnesium Glycinate 400mg | Elemental Magnesium - 300 Capsules | Chelated for Easy Absorption | Highly Purified Essential Trace Mineral for Muscle, Joint, Heart, &amp; Immune Support</t>
  </si>
  <si>
    <t>B0BKRPXKWD</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</si>
  <si>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</si>
  <si>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</si>
  <si>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</si>
  <si>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</si>
  <si>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</si>
  <si>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</si>
  <si>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</si>
  <si>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</si>
  <si>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</si>
  <si>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</si>
  <si>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</si>
  <si>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</si>
  <si>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</si>
  <si>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</si>
  <si>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</si>
  <si>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</si>
  <si>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</si>
  <si>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</si>
  <si>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</si>
  <si>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</si>
  <si>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</si>
  <si>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</si>
  <si>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</si>
  <si>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</si>
  <si>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</si>
  <si>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</si>
  <si>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</si>
  <si>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</si>
  <si>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</si>
  <si>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</si>
  <si>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</si>
  <si>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</si>
  <si>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</si>
  <si>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</si>
  <si>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</si>
  <si>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</si>
  <si>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</si>
  <si>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</si>
  <si>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</si>
  <si>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</si>
  <si>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</si>
  <si>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</si>
  <si>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</si>
  <si>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</si>
  <si>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</si>
  <si>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</si>
  <si>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</si>
  <si>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</si>
  <si>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</si>
  <si>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Year to Date</t>
  </si>
  <si>
    <t>MI</t>
  </si>
  <si>
    <t>NB</t>
  </si>
  <si>
    <t>DS</t>
  </si>
  <si>
    <t>Total</t>
  </si>
  <si>
    <t>$ Ad Sales</t>
  </si>
  <si>
    <t>$ Spend</t>
  </si>
  <si>
    <t>Acos</t>
  </si>
  <si>
    <t>%</t>
  </si>
  <si>
    <t>Asin</t>
  </si>
  <si>
    <t>Brand</t>
  </si>
  <si>
    <t>B0BR4NQGSC</t>
  </si>
  <si>
    <t>B01JNNAGEY</t>
  </si>
  <si>
    <t>B0CG7C5X2F</t>
  </si>
  <si>
    <t>B09TG497BW</t>
  </si>
  <si>
    <t>B07L44PJYM</t>
  </si>
  <si>
    <t>B0B239F6JW</t>
  </si>
  <si>
    <t>B0BCMY5TBJ</t>
  </si>
  <si>
    <t>B0CG7M7PRM</t>
  </si>
  <si>
    <t>B07P3HDQD9</t>
  </si>
  <si>
    <t>B01HFN37MC</t>
  </si>
  <si>
    <t>B087F1HYB7</t>
  </si>
  <si>
    <t>B01N91404L</t>
  </si>
  <si>
    <t>B01DPW5EIM</t>
  </si>
  <si>
    <t>B07CRQ7NJ5</t>
  </si>
  <si>
    <t>B01DPW5MJI</t>
  </si>
  <si>
    <t>B09SBP5D35</t>
  </si>
  <si>
    <t>B09NQVBGQK</t>
  </si>
  <si>
    <t>B01MTLG2HR</t>
  </si>
  <si>
    <t>B07RD8TVDG</t>
  </si>
  <si>
    <t>B01N02YD5I</t>
  </si>
  <si>
    <t>B01BHF3J4K</t>
  </si>
  <si>
    <t>B01M3YCOJ4</t>
  </si>
  <si>
    <t>B0B22T88RH</t>
  </si>
  <si>
    <t>B08X6N1YBK</t>
  </si>
  <si>
    <t>B08MX256RL</t>
  </si>
  <si>
    <t>B08N3BG2SR</t>
  </si>
  <si>
    <t>B08C73K1PR</t>
  </si>
  <si>
    <t>B08C9JP3L2</t>
  </si>
  <si>
    <t>B08MX453B9</t>
  </si>
  <si>
    <t>B08C77PT4J</t>
  </si>
  <si>
    <t>B01L2TGS30</t>
  </si>
  <si>
    <t>B07P3H1872</t>
  </si>
  <si>
    <t>B01DPW5DD8</t>
  </si>
  <si>
    <t>B01DPW5I6U</t>
  </si>
  <si>
    <t>B07L47VZ1Z</t>
  </si>
  <si>
    <t>B01DPW5E46</t>
  </si>
  <si>
    <t>B0C35H2G42</t>
  </si>
  <si>
    <t>B07SZHV7RN</t>
  </si>
  <si>
    <t>B07W86RNBX</t>
  </si>
  <si>
    <t>B07P3HRXK4</t>
  </si>
  <si>
    <t>B0CLFG8QLY</t>
  </si>
  <si>
    <t>B0B43XFX6P</t>
  </si>
  <si>
    <t>B0CG2L2N1J</t>
  </si>
  <si>
    <t>B0BSP1W5JW</t>
  </si>
  <si>
    <t>B0BSP38B2S</t>
  </si>
  <si>
    <t>B076B5V4RQ</t>
  </si>
  <si>
    <t>B076B63VJC</t>
  </si>
  <si>
    <t>B0C88PXW63</t>
  </si>
  <si>
    <t>B0C2SCGYD4</t>
  </si>
  <si>
    <t>B09WXLZZRX</t>
  </si>
  <si>
    <t>B07R8FQG58</t>
  </si>
  <si>
    <t>B0C2SH4J85</t>
  </si>
  <si>
    <t>B087CMLT8J</t>
  </si>
  <si>
    <t>B086M6FBG4</t>
  </si>
  <si>
    <t>B076XMGV8M</t>
  </si>
  <si>
    <t>B0CFPQWQNC</t>
  </si>
  <si>
    <t>B07W8XG27G</t>
  </si>
  <si>
    <t>B092373KF3</t>
  </si>
  <si>
    <t>B0872L4YZS</t>
  </si>
  <si>
    <t>B07Y8Y19GR</t>
  </si>
  <si>
    <t>B09238QQ52</t>
  </si>
  <si>
    <t>B08QDRP99J</t>
  </si>
  <si>
    <t>B08QDZLP2G</t>
  </si>
  <si>
    <t>B07G8GGRNT</t>
  </si>
  <si>
    <t>B0B9HVBQ4F</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</si>
  <si>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</si>
  <si>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</si>
  <si>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</si>
  <si>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</si>
  <si>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</si>
  <si>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</si>
  <si>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</si>
  <si>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</si>
  <si>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</si>
  <si>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</si>
  <si>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</si>
  <si>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</si>
  <si>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</si>
  <si>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</si>
  <si>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</si>
  <si>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</si>
  <si>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</si>
  <si>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</si>
  <si>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</si>
  <si>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</si>
  <si>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</si>
  <si>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</si>
  <si>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</si>
  <si>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</si>
  <si>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</si>
  <si>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</si>
  <si>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</si>
  <si>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</si>
  <si>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</si>
  <si>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</si>
  <si>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</si>
  <si>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</si>
  <si>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Sum of Units Ordered (2/1-2/28)</t>
  </si>
  <si>
    <t>Sum of Session (2/1-2/28)</t>
  </si>
  <si>
    <t>Sum of Units Ordered (3/1-3/31)</t>
  </si>
  <si>
    <t>Sum of Session (3/1-3/31)</t>
  </si>
  <si>
    <t>Sum of Units Ordered (4/1-4/28)</t>
  </si>
  <si>
    <t>Sum of Session (4/1-4/28)</t>
  </si>
  <si>
    <t>B07G7YPJSJ</t>
  </si>
  <si>
    <t>B07WTXS4BL</t>
  </si>
  <si>
    <t>B07WV6898X</t>
  </si>
  <si>
    <t>B07XVS9MS3</t>
  </si>
  <si>
    <t>B081NWFC6W</t>
  </si>
  <si>
    <t>B085176YLP</t>
  </si>
  <si>
    <t>B08C4NZQYY</t>
  </si>
  <si>
    <t>B08WHGBYD3</t>
  </si>
  <si>
    <t>B08WHPNJTT</t>
  </si>
  <si>
    <t>B0971W4PSN</t>
  </si>
  <si>
    <t>B0B7CMR12N</t>
  </si>
  <si>
    <t>B0D3T8WHH4</t>
  </si>
  <si>
    <t>B0BMDPLQ3K</t>
  </si>
  <si>
    <t>B0BWH9Y7PZ</t>
  </si>
  <si>
    <t>B0C2SKQBDB</t>
  </si>
  <si>
    <t>B0C2W734WL</t>
  </si>
  <si>
    <t>B0C6VXPZTS</t>
  </si>
  <si>
    <t>B0C6W3MPRS</t>
  </si>
  <si>
    <t>B0C6WK3P6H</t>
  </si>
  <si>
    <t>B0C6WP15YQ</t>
  </si>
  <si>
    <t>B0C6WRVJQV</t>
  </si>
  <si>
    <t>B0C6WZJ2K6</t>
  </si>
  <si>
    <t>B0C7SNQ62P</t>
  </si>
  <si>
    <t>B0C8LWRXVV</t>
  </si>
  <si>
    <t>B0C8LXD8F2</t>
  </si>
  <si>
    <t>B0C8M8MQMR</t>
  </si>
  <si>
    <t>B0C8QZLF18</t>
  </si>
  <si>
    <t>B0CVTNMFSK</t>
  </si>
  <si>
    <t>B0CXGX8QTQ</t>
  </si>
  <si>
    <t>B0CYKDW4QQ</t>
  </si>
  <si>
    <t>B0CZGQN3Y4</t>
  </si>
  <si>
    <t>B0D2FGQB84</t>
  </si>
  <si>
    <t>B0D2FTRPL1</t>
  </si>
  <si>
    <t>B0D2MDHWT5</t>
  </si>
  <si>
    <t>B0D7B94P8D</t>
  </si>
  <si>
    <t>B0DCHGCFBS</t>
  </si>
  <si>
    <t>B0DCHJ1H44</t>
  </si>
  <si>
    <t>B0DCKRMSJ8</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</si>
  <si>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</si>
  <si>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</si>
  <si>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</si>
  <si>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</si>
  <si>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</si>
  <si>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</si>
  <si>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</si>
  <si>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</si>
  <si>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</si>
  <si>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</si>
  <si>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</si>
  <si>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</si>
  <si>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</si>
  <si>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</si>
  <si>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</si>
  <si>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</si>
  <si>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</si>
  <si>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</si>
  <si>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</si>
  <si>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</si>
  <si>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</si>
  <si>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</si>
  <si>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</si>
  <si>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</si>
  <si>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</si>
  <si>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</si>
  <si>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</si>
  <si>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</si>
  <si>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</si>
  <si>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</si>
  <si>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</si>
  <si>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</si>
  <si>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</si>
  <si>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APR</t>
  </si>
  <si>
    <t>MAY</t>
  </si>
  <si>
    <t>JUN</t>
  </si>
  <si>
    <t>JUL</t>
  </si>
  <si>
    <t>AUG</t>
  </si>
  <si>
    <t>SEP</t>
  </si>
  <si>
    <t>OCT</t>
  </si>
  <si>
    <t>NOV</t>
  </si>
  <si>
    <t>DEC</t>
  </si>
  <si>
    <t>B0BFJXC2JN</t>
  </si>
  <si>
    <t>Name</t>
  </si>
  <si>
    <t>Units 30 Days</t>
  </si>
  <si>
    <t>Daily Units</t>
  </si>
  <si>
    <t>Actual Ad Spend</t>
  </si>
  <si>
    <t>Expected Budget</t>
  </si>
  <si>
    <t>1.2X</t>
  </si>
  <si>
    <t>Responsible</t>
  </si>
  <si>
    <t xml:space="preserve">Comments </t>
  </si>
  <si>
    <t xml:space="preserve">Review </t>
  </si>
  <si>
    <t>Vitamin D3 10000 iu Plus K2 (MK-7) 200 mcg, 180 Virgin Coconut Oil Softgels| 2 in 1 Vitamins D &amp; K Complex | Supports Calcium Absorption, Bone, Immune, &amp; Heart Health – Easy to Swallow</t>
  </si>
  <si>
    <t>Electrolyte Powder Pineapple Flavor 2lb</t>
  </si>
  <si>
    <t>Pure Inositol Powder, Myo-Inositol B8 Powder, 1KG (2.2 Pounds), Strongly Supports Liver Health &amp; Antioxidant, Super Inositol for Hair and Inositol for Sleep, Non-GMO and Vegan Friendly</t>
  </si>
  <si>
    <t>Organic Milk Thistle Extract, 3.5 Ounces, Pure Milk Thistle Powder Organic, Milk Thistle Tea, Contains 80% Active Silymarin, Strongly Supports Liver Health and Antioxidant, Vegan Friendly</t>
  </si>
  <si>
    <t>Micro Ingredients Organic Acacia Senegal Powder, 2 Pounds (32 Ounce), Instant Soluble Fiber Powder, Plant-Based Prebiotic Superfood for Gut Health, Non-GMO, No Gluten, Vegan</t>
  </si>
  <si>
    <t>Fadogia Agrestis 600mg Per Serving, 50:1 Extract Powder, 4 Ounce, Highly Purified and Bioavailable, USA Third Party Tested, Maximum Strength, No Filler, No Additives, Non-GMO &amp; No Gluten</t>
  </si>
  <si>
    <t>L Glutamine Powder Gut Health, 1Kg, 100% Pure, Free Form - Unflavored- Vegan Friendly, No Filler, No additives, Supports Muscle Recovery, Post Workout | Non-GMO &amp; Gluten-Free</t>
  </si>
  <si>
    <t>Erythritol Granules, 6 Pounds (96 Ounce), 1:1 Sugar Substitute, No After Taste, 0 Calorie, Natural Sweetener, Erythritol Keto Sugar Substitute, Non-GMO, Vegan</t>
  </si>
  <si>
    <t>Micro Ingredients L Citrulline Capsules, 1500mg Per Serving, 360 Counts, Citrulline Pre-Workout Supplement, Non-GMO</t>
  </si>
  <si>
    <t>Micro Ingredients Organic Boswellia Serrata Extract Powder, 8 Ounce, Pure Boswellia Supplement with 65% Boswellic Acid, Supports Joints, Knees and Bones Health, Non-GMO, Pet Friendly, India Origin</t>
  </si>
  <si>
    <t xml:space="preserve">Turmeric Ginger Peach Mango Flavor Gummies 120 count </t>
  </si>
  <si>
    <t>B0FGKN2XZX</t>
  </si>
  <si>
    <t>NMN 1000mg 240 Capsules</t>
  </si>
  <si>
    <t>B0FXJ959VH</t>
  </si>
  <si>
    <t>Organic Hibiscus Tea Bags</t>
  </si>
  <si>
    <t>NatureBell Cold Pressed Black Seed Oil 3,000mg Per Serving with Vitamin D3 2,000IU, 180 Softgels | Egyptian Nigella Sativa, Odorless Black Cumin Seed, Virgin Liquid Oil Capsules – Non-GMO</t>
  </si>
  <si>
    <t>NatureBell Double Strength Triphala Supplement (Made with Organic Amla, Bibhitaki, Haritaki Fruit Complex), 1200mg Per Serving, 180 Capsules, 3 in 1 Formula, Supports Digestive Health, Non-GMO</t>
  </si>
  <si>
    <t>Magnesium Glycinate 500mg vegetarian</t>
  </si>
  <si>
    <t>B0DNVCPMYW</t>
  </si>
  <si>
    <t>Berberine 500mg with Yohimbine</t>
  </si>
  <si>
    <t>Allulose Sweetener Powder 4lb</t>
  </si>
  <si>
    <t>Kava Kava Supplement 750mg, 180 Capsules, 3 Months Supply, Kava Kava Root Extract, Promotes Stress &amp; Anxiety Relief, Mental Calmness and Restful Sleep</t>
  </si>
  <si>
    <t>Ultra Strength HMB Supplements 1000mg Per Serving, 300 Capsules | Third Party Tested | Supports Muscle Growth, Retention &amp; Lean Muscle Mass | Fast Workout Recovery</t>
  </si>
  <si>
    <t>L Methylfolate 15mg Per Serving, 240 Veggie Capsules – Active Folic Acid Form (5-MTHF), Bioavailable Methylated Folate – Prenatal, Energy, &amp; Brain Support Supplement – Non-GMO</t>
  </si>
  <si>
    <t>DEAL SUPPLEMENT 2 Pack of Ultra Strength HMB Supplements 1000mg Per Serving, 600 Capsules | Third Party Tested | Supports Muscle Growth, Retention &amp; Lean Muscle Mass | Fast Workout Recover</t>
  </si>
  <si>
    <t>Red Yeast Rice 1,200mg Per Serving with CoQ10 100mg, 300 Capsules – Heart Health Supplement &amp; Antioxidant Support – Pure Monascus Purpureus Powder Source – Citrinin Free, Non-GMO</t>
  </si>
  <si>
    <t>2 Pack of Tongkat Ali Extract 300:1 Enhanced with Horny Goat, 1100mg Per Serving, 180 Capsules, 2-1 Formula, Indonesia Origin Eurycoma Longifolia (Longjack), Max Strength Tongkat Ali for Men</t>
  </si>
  <si>
    <t>ASIN</t>
  </si>
  <si>
    <t>TACOS(Seller)</t>
  </si>
  <si>
    <t>花费(美元)</t>
  </si>
  <si>
    <t>Notes</t>
  </si>
  <si>
    <t>总销量(Seller)</t>
  </si>
  <si>
    <t>广告销量</t>
  </si>
  <si>
    <t>广告订单数</t>
  </si>
  <si>
    <t>广告转化率</t>
  </si>
  <si>
    <t>广告订单成本(美元)</t>
  </si>
  <si>
    <t>点击量</t>
  </si>
  <si>
    <t>点击率</t>
  </si>
  <si>
    <t>曝光量</t>
  </si>
  <si>
    <t>广告销售额(美元)</t>
  </si>
  <si>
    <t>点击成本(美元)</t>
  </si>
  <si>
    <t>ROAS</t>
  </si>
  <si>
    <t>推广商品销售额(美元)</t>
  </si>
  <si>
    <t>推广商品订单数</t>
  </si>
  <si>
    <t>总销售额(Seller)(美元)</t>
  </si>
  <si>
    <t>TACOS(Seller)(对比周期)</t>
  </si>
  <si>
    <t>花费(对比周期)</t>
  </si>
  <si>
    <t>总销量(Seller)(对比周期)</t>
  </si>
  <si>
    <t>广告销量(对比周期)</t>
  </si>
  <si>
    <t>广告订单数(对比周期)</t>
  </si>
  <si>
    <t>广告转化率(对比周期)</t>
  </si>
  <si>
    <t>广告订单成本(对比周期)</t>
  </si>
  <si>
    <t>点击量(对比周期)</t>
  </si>
  <si>
    <t>点击率(对比周期)</t>
  </si>
  <si>
    <t>曝光量(对比周期)</t>
  </si>
  <si>
    <t>广告销售额(对比周期)</t>
  </si>
  <si>
    <t>点击成本(对比周期)</t>
  </si>
  <si>
    <t>ACOS(对比周期)</t>
  </si>
  <si>
    <t>ROAS(对比周期)</t>
  </si>
  <si>
    <t>推广商品销售额(对比周期)</t>
  </si>
  <si>
    <t>推广商品订单数(对比周期)</t>
  </si>
  <si>
    <t>总销售额(Seller)(对比周期)</t>
  </si>
  <si>
    <t>TACOS(Seller)(增长率)</t>
  </si>
  <si>
    <t>花费(增长率)</t>
  </si>
  <si>
    <t>总销量(Seller)(增长率)</t>
  </si>
  <si>
    <t>广告销量(增长率)</t>
  </si>
  <si>
    <t>广告订单数(增长率)</t>
  </si>
  <si>
    <t>广告转化率(增长率)</t>
  </si>
  <si>
    <t>广告订单成本(增长率)</t>
  </si>
  <si>
    <t>点击量(增长率)</t>
  </si>
  <si>
    <t>点击率(增长率)</t>
  </si>
  <si>
    <t>曝光量(增长率)</t>
  </si>
  <si>
    <t>广告销售额(增长率)</t>
  </si>
  <si>
    <t>点击成本(增长率)</t>
  </si>
  <si>
    <t>ACOS(增长率)</t>
  </si>
  <si>
    <t>ROAS(增长率)</t>
  </si>
  <si>
    <t>推广商品销售额(增长率)</t>
  </si>
  <si>
    <t>推广商品订单数(增长率)</t>
  </si>
  <si>
    <t>总销售额(Seller)(增长率)</t>
  </si>
  <si>
    <t>Psyllium Husk Capsules 2,000mg, 360 Caps</t>
  </si>
  <si>
    <t xml:space="preserve">上次deal結束後權重有上去一些 PT top rest花費差不多 降bid縮一些花費 KW rest降到0 降bid </t>
  </si>
  <si>
    <t>Sport Electrolytes Powder Watermelon Lime Flavor, 2 lbs</t>
  </si>
  <si>
    <t>DC產品</t>
  </si>
  <si>
    <t>Sport Electrolytes Powder Pineapple Flavor</t>
  </si>
  <si>
    <t xml:space="preserve">廣告花費快早早OOB 降點力度等下次deal boost KW rest下調到0 下調花最多的大詞electrolyte powder PT降bid </t>
  </si>
  <si>
    <t>PT補上一些同樣500mg的競品打打</t>
  </si>
  <si>
    <t xml:space="preserve">Biotin 5000mcg with coconut oil softgels 365 count </t>
  </si>
  <si>
    <t>Creatine Monohydrate for Women, 500g per Serving</t>
  </si>
  <si>
    <t>廣告花很快目前placement改成down only PT只打for women競品</t>
  </si>
  <si>
    <t>Creatine Monohydrate 5000mg Gummies, 120 Count</t>
  </si>
  <si>
    <t>5-HTP+ 300mg with Hemp Seed Oil, 240 Softgels</t>
  </si>
  <si>
    <t>KW花費高 降bid縮page花費 暫時關閉gaba相關詞 先跑跑5htp詞 降phrase PT主要出在nutricost跟now上面他們是純的5htp 加上有配方的競品打打</t>
  </si>
  <si>
    <t>Organic Beet Root Powder</t>
  </si>
  <si>
    <t>Vegan Omega-3 Algae Oil 1250mg, 120 Softgels</t>
  </si>
  <si>
    <t>沒貨等inbound中只保留KW 關閉PT</t>
  </si>
  <si>
    <t xml:space="preserve">Turmeric Curcumin with MCT Oil, 240  Softgels </t>
  </si>
  <si>
    <t xml:space="preserve">KW能跑上top rest降到0 多了biorootlabs相關詞補上 PT rest降到0 turmeric之前有幾波流量都沒有蹭到 庫存太多了等deal </t>
  </si>
  <si>
    <t xml:space="preserve"> Nitric Oxide Supplement 3,600mg, 300 Bisected Tablets</t>
  </si>
  <si>
    <t>做deal可以跑得很好 评分4.1 评论说pill size太大了 PT提rest到20 主要打force factor/snap贵价品 KW调低top到110 中小词拉拉bid</t>
  </si>
  <si>
    <t>Sport Electrolytes Powder Passion Fruit &amp; Citrus Flavor, 2 lbs</t>
  </si>
  <si>
    <t xml:space="preserve">KSM-66 Ashwagandha 1,000mg Per Serving, 120 Veggie Capsules </t>
  </si>
  <si>
    <t>Testosterone+ Advanced 15-in-1 Complex, 240 Softgels</t>
  </si>
  <si>
    <t xml:space="preserve">3.9/20降價後銷量有上去一些 KW rest下調到0 降for women相關詞的bid已經有比較高的IS沒什麼轉化花錢 大詞testosterone booster for men也下調0.1 PT補產品 等下次deal boost </t>
  </si>
  <si>
    <t>Astaxanthin 6mg with MCT Oil, 120 Softgels</t>
  </si>
  <si>
    <t>deal有效果 平常跑跑rest 小包沒什麼性價比 PT打在仿品旁邊</t>
  </si>
  <si>
    <t>--</t>
  </si>
  <si>
    <t>Pure Rosemary Essential Oil, 8 fl oz, Liquid Drops</t>
  </si>
  <si>
    <t>PT持续超标 关闭 KW表现不错 增加一点力度 80/10</t>
  </si>
  <si>
    <t>Liposomal Vitamin C 1,000mg, 40 packets</t>
  </si>
  <si>
    <t>KW開始出的比較多在liposomal vitamin c上面 在packet或powder詞轉化差</t>
  </si>
  <si>
    <t>L-Arginine 1000mg with MCT Oil, 300 Softgels</t>
  </si>
  <si>
    <t>花費太高降點力度 PT rest降到0 降bid KW降bid 等deal看表現</t>
  </si>
  <si>
    <t>Organic Ceylon Cinnamon Powder, 24 oz</t>
  </si>
  <si>
    <t>Grocery花起来比较快 deal卖到80+ 先不增加力度 货不够</t>
  </si>
  <si>
    <t>Chromium Picolinate with MCT Oil, 500 Softgels</t>
  </si>
  <si>
    <t>單一ingredient 競品單價都偏低 deal期間有效果</t>
  </si>
  <si>
    <t>Ashwagandha 12,500mg with black pepper capsules 240 count</t>
  </si>
  <si>
    <t>pattern</t>
  </si>
  <si>
    <t>Organic Castor Oil, 32 fl oz</t>
  </si>
  <si>
    <t>日銷個位數 廣告連在品牌詞旁邊都挺難出的 可以降價嗎?</t>
  </si>
  <si>
    <t>vivonu pumpkin seed有新包裝跟我們rebranding的很像 PT補上去 在彷品旁邊純花錢 調整競品bid往非MI彷品的競品旁邊打打 這類目市場比較多MI仿品且一般競品都比較低價 可以考慮降價 KW多了一些競品詞補上</t>
  </si>
  <si>
    <t>Omega-3 Fish Oil 1,000 mg, 360 Softgels</t>
  </si>
  <si>
    <t>广告比较花钱没转化在自己身上 deal后看销量调整budget</t>
  </si>
  <si>
    <t>Liposomal Glutathione Complex 3000mg, 120 Capsules</t>
  </si>
  <si>
    <t>liposomal glutathione有热度 广告花的多但评分太差3.7 PT表现不好 bid下调一点 KW 降base 提top 降page/rest花费</t>
  </si>
  <si>
    <t>Triple Magnesium Complex 500mg, 240 Capsules</t>
  </si>
  <si>
    <t>triple热度过了 现在比较流行8+ mag complex 加上review少不激进打 下调top/rest到70/0 KW下调到80/0</t>
  </si>
  <si>
    <t>Kids Omega-3 Fish Oil, 240 Veggie Softgels</t>
  </si>
  <si>
    <t>日銷個位數 廣告在KW上面很難轉化主要出在品牌詞和PT的gummies競品上 等下一次deal看情況是否需要降價</t>
  </si>
  <si>
    <t>Vitamin D3 10,000 IU, 400 Softgels</t>
  </si>
  <si>
    <t xml:space="preserve">9.99賣PT調整競品bid 只先跑跑看10000IU的競品 KW降bid </t>
  </si>
  <si>
    <t>Magnesium 12-in-1 Complex for Women, 240 Capsules</t>
  </si>
  <si>
    <t>KW for women/12-in-1转化不好花钱多 bid降下来 其他有机会的词往上拉 PT top降到80</t>
  </si>
  <si>
    <t xml:space="preserve">Krill Oil 1000mg, 150 Softgels </t>
  </si>
  <si>
    <t>Zinc Picolinate with MCT Oil, 300 Softgels</t>
  </si>
  <si>
    <t>Magnesium Glycinate Gummies 400mg  Grape Blueberry Flavor, 120 Count</t>
  </si>
  <si>
    <t>MiracleMag Calm Magnesium Powder, 1lb (New ASIN)</t>
  </si>
  <si>
    <t xml:space="preserve">Blood Booster+ vegetarian capsules 60 count </t>
  </si>
  <si>
    <t>Electrolytes Powder Watermelon Flavor, 1lb</t>
  </si>
  <si>
    <t>Methylated Multivitamin for Men &amp; Women, 240 Capsules</t>
  </si>
  <si>
    <t>Astaxanthin 24mg with MCT Oil, 30 Softgels</t>
  </si>
  <si>
    <t>Dog Multivitamin 25-in-1 Formula, 240 Soft Chews</t>
  </si>
  <si>
    <t>Myo-Inositol &amp; D-Chiro Inositol Supplement for Women (40:1)</t>
  </si>
  <si>
    <t>Hyaluronic Acid Complex, 240 Capsules</t>
  </si>
  <si>
    <t>Green Tea 9,000mg Equivalent, 300 Capsules</t>
  </si>
  <si>
    <t>Beef Gelatin Powder, 2 lb</t>
  </si>
  <si>
    <t>Magnesium Malate 2,000mg, 240 Capsules</t>
  </si>
  <si>
    <t>Aged Garlic Extract 1,000mg, 360 Softgels</t>
  </si>
  <si>
    <t>NMN Complex 1000mg Per Serving, 60 Veggie Capsules</t>
  </si>
  <si>
    <t>Shilajit 11-in-1 Complex, 240 Capsules</t>
  </si>
  <si>
    <t>Probiotics for Dogs 6 Billion CFU, 240 Soft Chews</t>
  </si>
  <si>
    <t>Ceylon Cinnamon, 240 Softgels</t>
  </si>
  <si>
    <t>Saccharomyces Boulardii with Prebiotics, 240 Vegetarian Capsules</t>
  </si>
  <si>
    <t>Magnesium Taurate 2,000mg, 240 Capsules</t>
  </si>
  <si>
    <t>Pure Vitamin E Oil 16 fl oz</t>
  </si>
  <si>
    <t xml:space="preserve">NatureBell Hair, Skin &amp; Nails* Vitamins for Women with MCT Oil, 300 Softgels </t>
  </si>
  <si>
    <t>L-Glutamine Powder, 1 KG</t>
  </si>
  <si>
    <t>GABA with MCT Oil, 300 Softgels</t>
  </si>
  <si>
    <t>DHEA 50 mg 240 Capsules</t>
  </si>
  <si>
    <t>Ginger Root with MCT Oil, 360 Softgels</t>
  </si>
  <si>
    <t>Sport Electrolytes Powder Passion Fruit &amp; Mango Flavor</t>
  </si>
  <si>
    <t>Pure Tea Tree Essential Oil Liquid Drops, 8 fl oz</t>
  </si>
  <si>
    <t>Advanced Electrolyte Complex with Multivitamins, 240 Capsules</t>
  </si>
  <si>
    <t>Sunflower Lecithin 2,400mg, 240 Softgels</t>
  </si>
  <si>
    <t xml:space="preserve">Kids Magnesium Calm Gummies 120 count Strawberry flavor </t>
  </si>
  <si>
    <t xml:space="preserve">Micro Ingredients Alpha GPC with MCT Oil 600mg, 240 Softgels </t>
  </si>
  <si>
    <t>Glutathione 500mg with Vitamin C, 240 Capsules</t>
  </si>
  <si>
    <t>Omega-3 Fish Oil for Dogs, 16 fl oz</t>
  </si>
  <si>
    <t xml:space="preserve">Lithium Orotate 5mg, 240 Vegetarian Capsules </t>
  </si>
  <si>
    <t>Pure Lavender Essential Oil, 8 fl oz, Liquid Drops</t>
  </si>
  <si>
    <t>Taurine 1,000 mg Per Serving (Free-Form), 400 Softgels</t>
  </si>
  <si>
    <t xml:space="preserve">Vitamin D3 2000IU with coconut oil softgels 500 count </t>
  </si>
  <si>
    <t>Fenugreek 500 mg per Serving, 360 Softgels</t>
  </si>
  <si>
    <t>Triple Boron Complex 10mg Per Serving, 360 Softgels</t>
  </si>
  <si>
    <t>Lithium Orotate 5mg, 240 Capsules</t>
  </si>
  <si>
    <t xml:space="preserve">Hyaluronic Acid Serum 4 fl oz </t>
  </si>
  <si>
    <t>Electrolytes Powder Mixed Berry Flavor, 1lb</t>
  </si>
  <si>
    <t>Rhodiola Rosea 500mg, 240 Vegetarian Capsules</t>
  </si>
  <si>
    <t>Lutein &amp; Zeaxanthin 20mg</t>
  </si>
  <si>
    <t>Ashwagandha Extract 300mg with Black Pepper Extract, 240 Softgels</t>
  </si>
  <si>
    <t>Mega Mushroom Gummies, 120 Count</t>
  </si>
  <si>
    <t>NatureBell Beet Root Extract, 300 Softgels</t>
  </si>
  <si>
    <t>Organic Ceremonial Matcha Powder, 50g</t>
  </si>
  <si>
    <t>Micro Ingredients Pumpkin Seed Oil with Saw Palmetto, 75 Softgels | Cold Pressed, Pure Virgin Oil, Essential Fatty Acids, &amp; Phytosterols | Natural Herbal Supplement | Non-GMO</t>
  </si>
  <si>
    <t>Magnesium Glycinate 500mg(Temp)</t>
  </si>
  <si>
    <t>Electrolyte Jar Grape Flavor 500g</t>
  </si>
  <si>
    <t>Organic Mushroom Coffee Jar, 10oz</t>
  </si>
  <si>
    <t>Mushroom complex 8000mg</t>
  </si>
  <si>
    <t>Rhodiola Rosea 5000mg Veggie</t>
  </si>
  <si>
    <t>Magnesium Taurate 1500mg</t>
  </si>
  <si>
    <t>Liver Cleanse Detox Capsules</t>
  </si>
  <si>
    <t>Citrus Bergamot 5000mg capsules 240 count</t>
  </si>
  <si>
    <t xml:space="preserve">Magnesium Powder Lemonade Flavor 420mg, 12oz </t>
  </si>
  <si>
    <t>Red Yeast Rice with CoQ10 Veggie</t>
  </si>
  <si>
    <t>Slippery Elm</t>
  </si>
  <si>
    <t>Organic Goji Berries, 1lb</t>
  </si>
  <si>
    <t>Irish Sea Moss 3000mg</t>
  </si>
  <si>
    <t xml:space="preserve"> Natural Calcium Bentonite Clay(Indian Healing Clay)</t>
  </si>
  <si>
    <t xml:space="preserve">Dihydroberberine 500mg vegetarian capsules 120 count </t>
  </si>
  <si>
    <t>Oil of Oregano with Black Seed Oil, 450 Softgels</t>
  </si>
  <si>
    <t>B0G2FM8NBG</t>
  </si>
  <si>
    <t>Blood+ Advanced Iron Supplement, 240 Veggie Capsules</t>
  </si>
  <si>
    <t>Probiotics for Men 100 Billion CFU, 120 Capsules</t>
  </si>
  <si>
    <t>brand</t>
  </si>
  <si>
    <t>asin</t>
  </si>
  <si>
    <t>name</t>
  </si>
  <si>
    <t>amz_30_avg</t>
  </si>
  <si>
    <t>amz_7_avg</t>
  </si>
  <si>
    <t>fba_fulfillable</t>
  </si>
  <si>
    <t>fc_transfer</t>
  </si>
  <si>
    <t>fba_inbound</t>
  </si>
  <si>
    <t>fc_processing</t>
  </si>
  <si>
    <t>fba_dos</t>
  </si>
  <si>
    <t>tts_30_avg</t>
  </si>
  <si>
    <t>tts_7_avg</t>
  </si>
  <si>
    <t>fbt_fulfillable</t>
  </si>
  <si>
    <t>mc_sellable</t>
  </si>
  <si>
    <t>total_sales_avg</t>
  </si>
  <si>
    <t>total_quantity</t>
  </si>
  <si>
    <t>dos</t>
  </si>
  <si>
    <t>Micro Ingredients</t>
  </si>
  <si>
    <t>Organic Mucuna Pruriens Extract, 1 LB</t>
  </si>
  <si>
    <t>D-mannose with Cranberry Powder, 8OZ</t>
  </si>
  <si>
    <t>L-Citrulline Malate Powder, 500 G</t>
  </si>
  <si>
    <t>Turmeric Curcumin, 100 G</t>
  </si>
  <si>
    <t>2 Pack Organic Acerola Cherry Powder, 8 OZ</t>
  </si>
  <si>
    <t>NatureBell</t>
  </si>
  <si>
    <t>HMB</t>
  </si>
  <si>
    <t>Pumpkin seed oil 2000mg</t>
  </si>
  <si>
    <t>Organic Orange Powder, 8 Ounces</t>
  </si>
  <si>
    <t>DIM 400mg</t>
  </si>
  <si>
    <t>Organic Mango juice Powder, 8 Ounces</t>
  </si>
  <si>
    <t>Erythritol Granlues, 6 LB</t>
  </si>
  <si>
    <t>Potassium Magesium</t>
  </si>
  <si>
    <t>Organic Monk Fruit Extract, 4 Oz</t>
  </si>
  <si>
    <t>Mucuna 2 pack</t>
  </si>
  <si>
    <t>Deal Supplement</t>
  </si>
  <si>
    <t>Kava Kava</t>
  </si>
  <si>
    <t>NAC 1200mg</t>
  </si>
  <si>
    <t>B0871WJFH8</t>
  </si>
  <si>
    <t>5-HTP 200mg</t>
  </si>
  <si>
    <t>Tongkat Ali 2000mg</t>
  </si>
  <si>
    <t>D-Aspartic Acid DAA, 300 Cap</t>
  </si>
  <si>
    <t>L-Tryptophan, 240 Caplets</t>
  </si>
  <si>
    <t>5-HTP 200mg, 180 Capsules</t>
  </si>
  <si>
    <t>L-CITRULLINE, 360 Capsules</t>
  </si>
  <si>
    <t>Dihydromyricetin</t>
  </si>
  <si>
    <t>black seed oil 1000mg</t>
  </si>
  <si>
    <t>Black Seed Oil 1000mg</t>
  </si>
  <si>
    <t>HMB 1000mg</t>
  </si>
  <si>
    <t>Folic Acid 1000 mcg</t>
  </si>
  <si>
    <t>PQQ</t>
  </si>
  <si>
    <t>B09VYJZJBH</t>
  </si>
  <si>
    <t>Organic Acai powder, 4 Ounces</t>
  </si>
  <si>
    <t>Creatine Monohydrate Powder, 1 KG</t>
  </si>
  <si>
    <t>Fadogia Agrestis 50:1 Stem Extract, 4 OZ</t>
  </si>
  <si>
    <t>Sweetened Matcha Powder, 24OZ</t>
  </si>
  <si>
    <t>B0BGQKY4KD</t>
  </si>
  <si>
    <t>Organic Unsweetened Matcha Green Tea Powder, 2lbs</t>
  </si>
  <si>
    <t>2pk Creatine 300g Pouch</t>
  </si>
  <si>
    <t>Vitamin A 500 Softgels</t>
  </si>
  <si>
    <t>Organic Nutritional yeast flakes 2lb</t>
  </si>
  <si>
    <t>Vitamin B2 Capsules</t>
  </si>
  <si>
    <t>COQ10 capsules</t>
  </si>
  <si>
    <t>Vitamin K Complete</t>
  </si>
  <si>
    <t>Berberine Supplement 2,000mg</t>
  </si>
  <si>
    <t>Trans-Resveratrol Supplement 1000mg</t>
  </si>
  <si>
    <t>TB 2 Pack Magnesium Glycinate 500mg</t>
  </si>
  <si>
    <t>Tongkat Ali + Maca 400mg</t>
  </si>
  <si>
    <t>B0C2WVSD9D</t>
  </si>
  <si>
    <t>Fadogia 1000mg &amp; Tongkat Ali 400mg</t>
  </si>
  <si>
    <t>Organic Hibiscus Tea, 200 Tea Bags</t>
  </si>
  <si>
    <t>Vitamin D3 10000IU K2 200mcg</t>
  </si>
  <si>
    <t>Berberine Supplement 500mg</t>
  </si>
  <si>
    <t>L Methylfolate 15mg Veggie Caps</t>
  </si>
  <si>
    <t>Magnesium Citrate Powder 3LB</t>
  </si>
  <si>
    <t>Baking Soda 6LB</t>
  </si>
  <si>
    <t>Guar Gum Powder 5LB</t>
  </si>
  <si>
    <t>Methylfolate 15mg</t>
  </si>
  <si>
    <t>Organic Lime Powder 1.5LB</t>
  </si>
  <si>
    <t>MiracleMag Magnesium Citrate Calm Powder</t>
  </si>
  <si>
    <t>Black Seed Oil with Vit D3 3000mg</t>
  </si>
  <si>
    <t>Electrolytes Powder Pineapple 2lb</t>
  </si>
  <si>
    <t>Advanced Glucosamine Chondroitin MSM, 240 Capsules</t>
  </si>
  <si>
    <t>Allulose Sweetener 4lbs</t>
  </si>
  <si>
    <t>Psyllium Husk Caps 1500mg, 500 Capsules</t>
  </si>
  <si>
    <t>Magnesium Glycinate 400mg 240 capsules</t>
  </si>
  <si>
    <t>NAC 600mg with NAD+, 300 Coconut MCT Oil Softgels</t>
  </si>
  <si>
    <t>Magnesium Glycinate 500mg, 240 Veggie Capsules</t>
  </si>
  <si>
    <t>Organic Mushroom Coffee with MCT Oil, 12oz (New ASIN)</t>
  </si>
  <si>
    <t xml:space="preserve">Multi Collagen Complex capsules, 300 count </t>
  </si>
  <si>
    <t>Goat Milk Powder, 1lb</t>
  </si>
  <si>
    <t>Kids Omega-3 (200mg DHA) Lemon Flavor Chewable</t>
  </si>
  <si>
    <t xml:space="preserve">Electrolyte Powder Strawberry &amp; Kiwi Flavor 2lb </t>
  </si>
  <si>
    <t>Organic Beet Root Powder, 2 Pounds</t>
  </si>
  <si>
    <t>B0FM9S8NQZ</t>
  </si>
  <si>
    <t>NAC 600mg with NAD+, 300 Softgels(New ASIN)</t>
  </si>
  <si>
    <t>Turmeric Ginger Gummies, 120 Count (New ASIN)</t>
  </si>
  <si>
    <t>2 Pack Pumpkin Seed Oil with Saw Palmetto, 300 Softgels</t>
  </si>
  <si>
    <t>Organic Blueberry Extract, 6 Oz</t>
  </si>
  <si>
    <t>Omega-3 Fish Oil, 4200mg, 240 softgels</t>
  </si>
  <si>
    <t>COQ10 Powder, 50 Grams</t>
  </si>
  <si>
    <t>Psyllium Husk 1500mg</t>
  </si>
  <si>
    <t>Organic Ceylon Cinnamon Powder, 1lb</t>
  </si>
  <si>
    <t>Methylated Multivitamins Gummies for Kids, 120 Count</t>
  </si>
  <si>
    <t>Organic Dandelion Root Extract, 1 LB</t>
  </si>
  <si>
    <t>Vitamin D3 K2 coconut 5000iu</t>
  </si>
  <si>
    <t xml:space="preserve">R-Alpha Lipoic Acid 600mg with coconut oil softgels 120 count </t>
  </si>
  <si>
    <t>Ashwagandha 450mg with Black Pepper, 180 Softgels</t>
  </si>
  <si>
    <t>Organic Kelp Powder, 1 LB</t>
  </si>
  <si>
    <t>Psyllium Husk Powder 3lb</t>
  </si>
  <si>
    <t>Pure Turmeric Curcumin 95% 1000mg, 120 Capsules</t>
  </si>
  <si>
    <t>Green Coffee Bean Extract, 4 OZ</t>
  </si>
  <si>
    <t>Organic Inulin FOS Fiber Powder, 1.1 lb</t>
  </si>
  <si>
    <t>Vitamin B2 Riboflavine, 180 Tablets</t>
  </si>
  <si>
    <t>B0G62JVYBD</t>
  </si>
  <si>
    <t>Resveratrol Complex 2900mg with NAD+ &amp; Antioxidants, 180 Capsules</t>
  </si>
  <si>
    <t>Organic Matcha Powder, 2 Pounds</t>
  </si>
  <si>
    <t>Lions Mane Mushroom</t>
  </si>
  <si>
    <t>Organic Goji Berries</t>
  </si>
  <si>
    <t>Nattokinase 4,000 FU Equivalent, 240 Softgels</t>
  </si>
  <si>
    <t>Psyllium Husk 3lb</t>
  </si>
  <si>
    <t>2 Pack Longjack 1000mg</t>
  </si>
  <si>
    <t>HMB Supplements 3000mg</t>
  </si>
  <si>
    <t>Organic Hibiscus Flower, 2LB</t>
  </si>
  <si>
    <t>Melatonin 20 mg, 400 Tablets</t>
  </si>
  <si>
    <t>Triple magnesium complex</t>
  </si>
  <si>
    <t>Organic Beet Root Juice Powder, 1 LB</t>
  </si>
  <si>
    <t>Krill Oil</t>
  </si>
  <si>
    <t>Pure Methylated B Complex, 240 capsules</t>
  </si>
  <si>
    <t>Nattokinase 10,000 FU, 240 Vegetarian Capsules</t>
  </si>
  <si>
    <t>Electrolyte Powder Lemon Raspberry 2LB</t>
  </si>
  <si>
    <t>Magnesium Citrate 500mg</t>
  </si>
  <si>
    <t>Organic Coconut Flakes, 4LB</t>
  </si>
  <si>
    <t>Turmeric Curcumin 3000mg with MCT Oil, 300 softgels</t>
  </si>
  <si>
    <t>Oil of Oregano with Black Seed Oil, 75 Softgels</t>
  </si>
  <si>
    <t>B0G62RH7CV</t>
  </si>
  <si>
    <t>Berberine HCl 1000mg, 120 Softgels</t>
  </si>
  <si>
    <t>2 Pack Organic Lemon Juice Powder, 10 OZ</t>
  </si>
  <si>
    <t>Vitamin D3 10000 iu Plus K2 (MK-7) 200 mcg 180 Softgels</t>
  </si>
  <si>
    <t>Nitric Oxide Booster 3600mg, 240 Tablets</t>
  </si>
  <si>
    <t>Pumpkin seed oil softgels 150 count</t>
  </si>
  <si>
    <t>2 Pack Pure Turmeric Curcumin 95% 1000mg, 240 Veggie Capsules</t>
  </si>
  <si>
    <t>Organic Goji Berry Powder, 1 LB</t>
  </si>
  <si>
    <t>Organic Cranberry Powder 8oz</t>
  </si>
  <si>
    <t>Organic Lions Mane Powder 1500mg</t>
  </si>
  <si>
    <t>Organic Turmeric Powder, 5lbs</t>
  </si>
  <si>
    <t>CoQ10 100mg with MCT Oil softgels 240 count</t>
  </si>
  <si>
    <t>Omega 3 Fish Oil Supplements 1000mg, 300 softgels</t>
  </si>
  <si>
    <t>Pure L-Lysine 2,000mg, 300 Veggie Caps</t>
  </si>
  <si>
    <t>Tongkat Ali (longjack) Extract, 100 G</t>
  </si>
  <si>
    <t>Organic Sunflower Lecithin Powder, 1 LB</t>
  </si>
  <si>
    <t>Quercetin with Bromelain</t>
  </si>
  <si>
    <t>Whole Milk Powder 4lb</t>
  </si>
  <si>
    <t>Magnesium Complex 500mg</t>
  </si>
  <si>
    <t>Vitamin B3 Niacinamade VB3 1000mg</t>
  </si>
  <si>
    <t>Sunflower Lecithin 1,600mg</t>
  </si>
  <si>
    <t>Marine Collagen Protein Powder, 1 LB</t>
  </si>
  <si>
    <t>Electrolytes Powder Jar Lemon Lime Flavor, 1lb</t>
  </si>
  <si>
    <t>Liposomal Vitamin C 2,500mg, 240 Veggie Caps</t>
  </si>
  <si>
    <t xml:space="preserve">Berberine 1000mg with MCT Oil 240 softgels </t>
  </si>
  <si>
    <t>Pine Pollen Powder, 6 OZ</t>
  </si>
  <si>
    <t>Multi Collagen with Biotin 5000mg Caps</t>
  </si>
  <si>
    <t>Fiber Gummies with Probiotics, 120 Count</t>
  </si>
  <si>
    <t>Astaxanthin 12mg with MCT Oil, 45 Softgels</t>
  </si>
  <si>
    <t>Allulose Sweetener 2.5LB</t>
  </si>
  <si>
    <t>Dried Organic Hibiscus Flowers 2lbs</t>
  </si>
  <si>
    <t>Ground Mushroom Coffee 24oz</t>
  </si>
  <si>
    <t>Liposomal Vitamin C 2000mg</t>
  </si>
  <si>
    <t>Triple Omega 3-6-9 Fish Oil Supplements 3600mg, 240 Softgels</t>
  </si>
  <si>
    <t>Psyllium Husk Capsule 1500mg</t>
  </si>
  <si>
    <t>Organic Cordyceps Mushroom Powder, 6 OZ</t>
  </si>
  <si>
    <t>Organic Matcha Powder, 1lb</t>
  </si>
  <si>
    <t>Instant Mushroom Coffee, 28OZ</t>
  </si>
  <si>
    <t>Goat Milk Powder 2lb</t>
  </si>
  <si>
    <t>Magnesium Oxide 400mg capsules (Pure Collection)</t>
  </si>
  <si>
    <t>Whole Milk Powder, 3lbs</t>
  </si>
  <si>
    <t>Pure Methylated Multivitamin for Men, 240 Capsules</t>
  </si>
  <si>
    <t>Astaxanthin 12mg with MCT Oil, 90 Softgels</t>
  </si>
  <si>
    <t>Vitamin D3 10,000 IU + K2 MK-7 200 mcg Per Serving, 90 Softgels</t>
  </si>
  <si>
    <t>Biotin + HA</t>
  </si>
  <si>
    <t>Citric Acid Granules 6 lb</t>
  </si>
  <si>
    <t>Organic Freeze Dried Strawberry 6.4OZ</t>
  </si>
  <si>
    <t>Creatine 1000g(1kg) Jar</t>
  </si>
  <si>
    <t>D-Mannose Powder, 250 Gram</t>
  </si>
  <si>
    <t>Organic Ginseng Root powder, 4 OZ</t>
  </si>
  <si>
    <t>Organic Chaga Mushroom Extract, 6 OZ</t>
  </si>
  <si>
    <t>Vitamin K2 coconut</t>
  </si>
  <si>
    <t>Astaxanthin</t>
  </si>
  <si>
    <t>Antarctic Krill Oil 2000mg</t>
  </si>
  <si>
    <t>2 Pack Magnesium Complex 500mg, 480 Veggie Capsules</t>
  </si>
  <si>
    <t>2 Pack Liver Detox, 480 Capsules</t>
  </si>
  <si>
    <t>Organic Red Raspberry Leaf 2LB</t>
  </si>
  <si>
    <t>VITAMIN B12, 180 Tablets</t>
  </si>
  <si>
    <t>Citicoline</t>
  </si>
  <si>
    <t>Organic Blue Spirulina Powder</t>
  </si>
  <si>
    <t>Organic Beet Powder 5LB</t>
  </si>
  <si>
    <t>Organic Spirulina Chlorella 2,000mg, 2,500 Mini Tablets</t>
  </si>
  <si>
    <t>Potassium Citrate Powder, 1 KG</t>
  </si>
  <si>
    <t>Creatine Powder 600g</t>
  </si>
  <si>
    <t>CoQ10 100mg</t>
  </si>
  <si>
    <t>Omega 3 Fish Oil 3000mg 240 Softgels</t>
  </si>
  <si>
    <t xml:space="preserve">CoQ10 200mg with MCT Oil softgels 240 count </t>
  </si>
  <si>
    <t>Saccharomyces Boulardii + FOS, 240 Veggie Capsules</t>
  </si>
  <si>
    <t>Hyaluronic acid powder 50g</t>
  </si>
  <si>
    <t>Organic Pea Protein Powder, 2.2 LB</t>
  </si>
  <si>
    <t>Organic Milk Thistle Extract, 3.5 Ounces</t>
  </si>
  <si>
    <t>Trans-Resveratrol with Vit E Powder, 5 OZ</t>
  </si>
  <si>
    <t>Organic Ginger Powder, 2 LB</t>
  </si>
  <si>
    <t>Monk Fruit Sweetener with Allulose 3LB</t>
  </si>
  <si>
    <t>Organic Coconut Milk Powder</t>
  </si>
  <si>
    <t>Organic Black Seed 2lb</t>
  </si>
  <si>
    <t>Magnesium Flakes, 10lbs</t>
  </si>
  <si>
    <t>Vitamin D3 2,000 IU with K2</t>
  </si>
  <si>
    <t>KSM 66 Ashwagandha 1200mg with Black Pepper</t>
  </si>
  <si>
    <t>Bromelain 500mg with Quercetin &amp; MCT Oil</t>
  </si>
  <si>
    <t>Berberine 1500mg</t>
  </si>
  <si>
    <t>Organic Tart Cherry Powder, 4 OZ</t>
  </si>
  <si>
    <t>Quercetin + Zinc + VC</t>
  </si>
  <si>
    <t>Vitamin B12 5000mcg</t>
  </si>
  <si>
    <t>BUTTERFLY PEA FLOWERS 8OZ</t>
  </si>
  <si>
    <t>Ashwagandha 6000mg, 300 MCT Oil Softgels</t>
  </si>
  <si>
    <t>Xylitol Sweetener Granules, 6 LB</t>
  </si>
  <si>
    <t>Quercetin 500mg 300 caps</t>
  </si>
  <si>
    <t>Vitamin K Complex  2600mcg</t>
  </si>
  <si>
    <t>Mucuna 1500mg</t>
  </si>
  <si>
    <t>Organic pineapple Powder, 8 Oz</t>
  </si>
  <si>
    <t>Magnesium Complex 400mg</t>
  </si>
  <si>
    <t>Organic Bee Pollen Granules 1LB</t>
  </si>
  <si>
    <t>Vitamin D3 K2 5000 IU sunflower oil, 180 sg</t>
  </si>
  <si>
    <t>Sport Hydration Electrolyte Tubes, 40 Bisected Tablets</t>
  </si>
  <si>
    <t>Organic Beet root Powder 4lb</t>
  </si>
  <si>
    <t>Astaxanthin 12mg, 120 Softgels</t>
  </si>
  <si>
    <t>DHA</t>
  </si>
  <si>
    <t>Bromelain 2000mg</t>
  </si>
  <si>
    <t>Tudca 500mg</t>
  </si>
  <si>
    <t>Pumpkin Seed Oil with Saw Palmetto,75 Softgels</t>
  </si>
  <si>
    <t>Micro Ingredients Vitamin D3 5,000 IU + K2 MK-7 100 mcg, 90 Softgels</t>
  </si>
  <si>
    <t>Collagen Complex Powder, 32 Ounces</t>
  </si>
  <si>
    <t>Organic Schisandra Extract, 8 OZ</t>
  </si>
  <si>
    <t>Lutein and Zeaxanthin 40mg</t>
  </si>
  <si>
    <t>Resveratrol Complex 2000mg, 240 veggie capsules</t>
  </si>
  <si>
    <t>Organic Chlorella &amp; Spirulina</t>
  </si>
  <si>
    <t>Organic Saw Palmetto Powder, 4 Oz</t>
  </si>
  <si>
    <t>Krill Oil 2 Pack</t>
  </si>
  <si>
    <t>Agar Agar Powder 1lb</t>
  </si>
  <si>
    <t>Bromelain 1000mg 240 Veggie Capsules</t>
  </si>
  <si>
    <t>Beet Root 3000mg with Grape Seed &amp; CoQ10, 400 tablets</t>
  </si>
  <si>
    <t>B0DVM7GKC2</t>
  </si>
  <si>
    <t>Liver Detox, 240 Veggie Capsules</t>
  </si>
  <si>
    <t>2 Pack Olive Leaf</t>
  </si>
  <si>
    <t>Myo &amp; D-Chiro Inositol Capsules 2050mg</t>
  </si>
  <si>
    <t xml:space="preserve">Vitamin B1 500mg with Benfotiamine with MCT Oil, 240 softgels </t>
  </si>
  <si>
    <t>Pure Methylated Prenatal Vitamins for Women, 240 Veggie Capsules</t>
  </si>
  <si>
    <t>2 Pack Pure Methylated B Complex, 480 Capsules</t>
  </si>
  <si>
    <t>2 Pack Zinc Picolinate 100mg</t>
  </si>
  <si>
    <t>Creatine Capsules 5000mg</t>
  </si>
  <si>
    <t>Creatine Capsules 300 Caps</t>
  </si>
  <si>
    <t xml:space="preserve">Organic Stevia Extract Powder, 12oz </t>
  </si>
  <si>
    <t>Organic Lion's Mane 9000mg Veggie</t>
  </si>
  <si>
    <t>Smoked Paprika Powder 4LB</t>
  </si>
  <si>
    <t>Organic Lions Mane Powder 8oz</t>
  </si>
  <si>
    <t>B0DW18Y9X6</t>
  </si>
  <si>
    <t>Lithium Orotate 10mg, 240 Veggie Capsules</t>
  </si>
  <si>
    <t>Astaxanthin 24mg with MCT Oil, 90 Softgels</t>
  </si>
  <si>
    <t>Organic Rhodiola Powder, 50 G</t>
  </si>
  <si>
    <t>Glutathione Reduced</t>
  </si>
  <si>
    <t>Vitamin D3K2 5,000IU with coconut oil Softgels 250 count</t>
  </si>
  <si>
    <t>Organic Stevia Powder, 8 Ounces</t>
  </si>
  <si>
    <t>2 Pack Magnesium Citrate 500mg</t>
  </si>
  <si>
    <t>2 Pack HA 250mg</t>
  </si>
  <si>
    <t>Organic Broccoli Powder, 1 LB</t>
  </si>
  <si>
    <t>DIM 300mg</t>
  </si>
  <si>
    <t>Golden Monk Fruit Sweetener 4 LB</t>
  </si>
  <si>
    <t xml:space="preserve">Cod liver Oil 2000mg </t>
  </si>
  <si>
    <t>2 Pack Vitamin D3 k2 10000 iu</t>
  </si>
  <si>
    <t>Women?€?s Probiotics 100 Billion CFU, 120 Veggie Capsules</t>
  </si>
  <si>
    <t>Flaxseed Oil 1400mg, 300 Softgels</t>
  </si>
  <si>
    <t>Glycine Powder, 1 KG</t>
  </si>
  <si>
    <t>Magnesium Glycinate 1000mg with VC</t>
  </si>
  <si>
    <t>Collagen Complex Powder, 1LB</t>
  </si>
  <si>
    <t>Organic French Chicory Root 2lb</t>
  </si>
  <si>
    <t>Magnesium 12-in-1 Complex, 240 Vegetarian Capsules</t>
  </si>
  <si>
    <t>Organic Lions Mane Powder 16OZ</t>
  </si>
  <si>
    <t>Organic Dragon Fruit Powder</t>
  </si>
  <si>
    <t>2 Pack Magnesium Glycinate 500mg</t>
  </si>
  <si>
    <t>Organic Shiitake Mushroom Powder, 8 OZ</t>
  </si>
  <si>
    <t>ALA 600mg</t>
  </si>
  <si>
    <t>Evening Primrose Oil + Cohosh</t>
  </si>
  <si>
    <t>Everyday Fruit Veggie Bundle Pack 480 Total veggie capsules</t>
  </si>
  <si>
    <t>Organic Black Seed Oil Liquid, 16 fl oz</t>
  </si>
  <si>
    <t>CoQ10 + PQQ 200mg</t>
  </si>
  <si>
    <t>Pure Methylated Multivitamin for Women, 240 Capsules</t>
  </si>
  <si>
    <t>Beef Gelatin Powder, 1lb</t>
  </si>
  <si>
    <t>Organic Bamboo Extract, 8 OZ</t>
  </si>
  <si>
    <t>Bitter Melon</t>
  </si>
  <si>
    <t>Benfotiamine 600mg</t>
  </si>
  <si>
    <t>Multi Collagen Powder 8OZ</t>
  </si>
  <si>
    <t xml:space="preserve">2 Pack Multi-Collagen Capsules </t>
  </si>
  <si>
    <t>Red Yeast Rice 1,200mg with CoQ10 100mg, 240 Veggie Capsules</t>
  </si>
  <si>
    <t>Organic Marshmallow Root Powder, 8 Z</t>
  </si>
  <si>
    <t>Allulose Sweetener 2lb</t>
  </si>
  <si>
    <t>Psyllium Husk Veg Caps 3,000mg, 500 Veggie Capsules</t>
  </si>
  <si>
    <t>Allulose Sweetener, 300 Packets</t>
  </si>
  <si>
    <t>Lutein &amp; Zeaxanthin 40mg</t>
  </si>
  <si>
    <t>Vitamin E 1000IU</t>
  </si>
  <si>
    <t>Citric Acid 6 LB</t>
  </si>
  <si>
    <t>Magnesium Malate 1500mg</t>
  </si>
  <si>
    <t xml:space="preserve">Vitality Fiber Supplement Powder, 1lb </t>
  </si>
  <si>
    <t>Magnesium Citrate Powder, 2 LB</t>
  </si>
  <si>
    <t>Organic Maca Root Powder 2lb</t>
  </si>
  <si>
    <t>Berberine 2 pack</t>
  </si>
  <si>
    <t>Organic Chlorella Powder 20OZ</t>
  </si>
  <si>
    <t>Organic Fo-Ti Extract, 6 OZ</t>
  </si>
  <si>
    <t>Organic Triple Fiber Powder, 2 LB</t>
  </si>
  <si>
    <t>Magnesium Citrate 400mg</t>
  </si>
  <si>
    <t xml:space="preserve"> Vitamin B12 1000mcg, 365 Tablets</t>
  </si>
  <si>
    <t xml:space="preserve">Pure Potassium Magnesium with Vitamin C capsules 300 count(Pure Collection) </t>
  </si>
  <si>
    <t>VITAMIN B5, 365 Capsules</t>
  </si>
  <si>
    <t xml:space="preserve">Organic Arrowroot Powder 5lbs </t>
  </si>
  <si>
    <t>CoQ10 100mg with Omega-3, 240 capsules</t>
  </si>
  <si>
    <t>Alpha Lipoic Acid 600mg, 300 Softgels</t>
  </si>
  <si>
    <t>Organic Spirulina Powder, 2lbs</t>
  </si>
  <si>
    <t>Electrolytes Powder ICY Grape Flavor 1lb</t>
  </si>
  <si>
    <t>2 Pack Vitamin D3&amp;K2, 300 Softgels</t>
  </si>
  <si>
    <t>2 Pack NAC 1000mg</t>
  </si>
  <si>
    <t>Goat Milk Powder, 1 Lb</t>
  </si>
  <si>
    <t>Bovine Colostrum Supplement Powder, 8oz</t>
  </si>
  <si>
    <t>Vitamin D3 K2 10000iu Coconut Oil</t>
  </si>
  <si>
    <t>Yohimbine 10mg, 300 Softgels</t>
  </si>
  <si>
    <t>Cayenen powder</t>
  </si>
  <si>
    <t>L-Lysine</t>
  </si>
  <si>
    <t>Pure Magnesium Glycinate 1000mg with Vitamin C(Pure Collection)</t>
  </si>
  <si>
    <t xml:space="preserve">CoQ10 600mg with DHA capsules 120 count </t>
  </si>
  <si>
    <t>P5P 100mg</t>
  </si>
  <si>
    <t>Monk Fruit Sweetener with Erythritol, 4lb</t>
  </si>
  <si>
    <t>Myco Gardian Mushroom Powder</t>
  </si>
  <si>
    <t>Boron 10mg with MCT Oil, 300 Softgels</t>
  </si>
  <si>
    <t>NMN 200mg, 120 Veggie Capsules</t>
  </si>
  <si>
    <t>Organic Wheat Grass Powder 16oz</t>
  </si>
  <si>
    <t>Nutritional Yeast Flakes, 2LB</t>
  </si>
  <si>
    <t>Magnesium Glycinate 1,500mg, 240 Capsules</t>
  </si>
  <si>
    <t>Magnesium Glycinate 350mg Per Serving, 240 Veggie Caps</t>
  </si>
  <si>
    <t>Melatonin 10mg, 400 Tablets</t>
  </si>
  <si>
    <t>Valerian Root Complex 5,000mg</t>
  </si>
  <si>
    <t>2 Pack Cranberry Pills 36000mg</t>
  </si>
  <si>
    <t>Organic MCT Oil Powder, 1 LB</t>
  </si>
  <si>
    <t>Ginkgo Biloba 500mg</t>
  </si>
  <si>
    <t>Krill Oil softgels, 2000mg</t>
  </si>
  <si>
    <t>Nature?€?s Fruits &amp; Veggies Supplement, 240 Veggie Capsules</t>
  </si>
  <si>
    <t>L-Theanine + Magnesium Glycinate, 400 Softgels</t>
  </si>
  <si>
    <t>L-Arginine 1,600mg + L-Citrulline 800mg, 240 Bisected Tablets</t>
  </si>
  <si>
    <t>Zinc Picolinate</t>
  </si>
  <si>
    <t>Vitamin B3 Niacinamide, 400 Capsules</t>
  </si>
  <si>
    <t>Bee Pollen granules, 2lb</t>
  </si>
  <si>
    <t>Lutein 40mg Softgels</t>
  </si>
  <si>
    <t>Allulose Sweetener 5lbs</t>
  </si>
  <si>
    <t>Myo-Inositol &amp; D-Chiro Inositol 2050mg, 240 Veggie Caps</t>
  </si>
  <si>
    <t>Calm Magnesium Powder, 1lb</t>
  </si>
  <si>
    <t>Organic Strawberry Powder, 12 Oz</t>
  </si>
  <si>
    <t>Organic Lavender Flowers 2LB</t>
  </si>
  <si>
    <t>Monk Fruit with Allulose 2lb</t>
  </si>
  <si>
    <t>Max Strength Magnesium glycinate 500MG</t>
  </si>
  <si>
    <t xml:space="preserve">Beet Root 300mg with MCT Oil softgels 360 count </t>
  </si>
  <si>
    <t>Cranberry Concentrate 40,000mg w/ Vitamin C,  300 MCT Oil Softgels</t>
  </si>
  <si>
    <t>Magnesium Complex for Women, 240 Vegetarian Capsules</t>
  </si>
  <si>
    <t>MI Organic Amla Powder, 2 LB</t>
  </si>
  <si>
    <t>Omega 369</t>
  </si>
  <si>
    <t>Hyaluronic Acid 1500mg</t>
  </si>
  <si>
    <t>Organic Fortified Yeast Flake 2Lb</t>
  </si>
  <si>
    <t>Organic Mushroom Powder Supplement</t>
  </si>
  <si>
    <t>Omega 3 Fish Oil Supplement 3000mg</t>
  </si>
  <si>
    <t xml:space="preserve">Lions Mane capsules 8,400 mg </t>
  </si>
  <si>
    <t>Glutathionewith Inositol Powder, 5 OZ</t>
  </si>
  <si>
    <t xml:space="preserve"> Organic Dandelion Root Tea Powder, 8oz</t>
  </si>
  <si>
    <t xml:space="preserve">Advanced Electrolyte hydration capsules 240 count </t>
  </si>
  <si>
    <t>Multi Collagen 1lb</t>
  </si>
  <si>
    <t>Organic Garlic Powder 3lb</t>
  </si>
  <si>
    <t>Organic Matcha Powder 2lb</t>
  </si>
  <si>
    <t>Xylitol Sweetener 5LB</t>
  </si>
  <si>
    <t>Vegan Omega 3 1,250mg</t>
  </si>
  <si>
    <t>Multi Collagen 120 Gummies</t>
  </si>
  <si>
    <t>Pure Magnesium Citrate 500mg with Vitamin C capsules 300 count (Pure Collection)</t>
  </si>
  <si>
    <t xml:space="preserve">Pure D Mannose 1300mg with Cranberry, 240 Veggie Caps </t>
  </si>
  <si>
    <t>L-Theanine 400mg, 400 Softgels</t>
  </si>
  <si>
    <t>2 Pack Ceylon Cinnamon 1200mg</t>
  </si>
  <si>
    <t>5HTP CAPSULES</t>
  </si>
  <si>
    <t>Saw Palmetto with Pumpkin Seed 5000mg(New ASIN)</t>
  </si>
  <si>
    <t>Ginkgo Biloba 5,600mg Equivalent, 400 Softgels</t>
  </si>
  <si>
    <t>Super Enzymes + Prebiotics &amp; Probiotics</t>
  </si>
  <si>
    <t>Vitamin D3+K2, 300 Softgels</t>
  </si>
  <si>
    <t>Creatine 300g Pouch</t>
  </si>
  <si>
    <t>Vitamin K Complex with Coconut oil softgels</t>
  </si>
  <si>
    <t xml:space="preserve">Apple Cider Vinegar with Mother 4,800mg, 300 Caps </t>
  </si>
  <si>
    <t>Bariatric Multivitamin with 45mg Iron, 240 Veggie Capsules</t>
  </si>
  <si>
    <t>Sport Electrolytes Powder Berry Punch Flavor, 2 lbs</t>
  </si>
  <si>
    <t>Pterostilbene 200mg</t>
  </si>
  <si>
    <t>Organic MCT Oil Liquid, 32 fl oz</t>
  </si>
  <si>
    <t>B0DGR5T8JG</t>
  </si>
  <si>
    <t>Cheddar Cheese Powder, 2lbs</t>
  </si>
  <si>
    <t>Vitamin D3 5000 IU coconut oil, 500 softgels(Vitamin D Only)</t>
  </si>
  <si>
    <t>Premium Vital Wheat Gluten Powder 6lb</t>
  </si>
  <si>
    <t>Krill Oil 2000mg, 120 Softgels</t>
  </si>
  <si>
    <t>Organic Chlorella, 720 Tablets</t>
  </si>
  <si>
    <t>Organic Barley Grass Powder, 10 Ounces</t>
  </si>
  <si>
    <t>Zinc+Quercetin</t>
  </si>
  <si>
    <t>Moringa Capsules 2 pack</t>
  </si>
  <si>
    <t>Magnesium 12 in 1 Complex 1,000mg, 240 Capsules</t>
  </si>
  <si>
    <t>Copper Glycinate with MCT Oil, 500 Softgels</t>
  </si>
  <si>
    <t>Organic Mega 10 , 10 Ounces</t>
  </si>
  <si>
    <t>Organic Lemon Powder 1LB</t>
  </si>
  <si>
    <t>CHOLINE 500MG WITH OMEGA 3</t>
  </si>
  <si>
    <t>Maca Root Complex 5000mg, 240 Veggie Capsules</t>
  </si>
  <si>
    <t>Mega Omega-3 Krill &amp; Fish Oil 2,000mg Equivalent, 240 Softgels</t>
  </si>
  <si>
    <t>Ceylon Cinnamon 7,200mg, 300 MCT Oil Softgels</t>
  </si>
  <si>
    <t>Pumpkin Seed Oil 2000mg</t>
  </si>
  <si>
    <t>Organic Pomegranate Juice Powder, 1 LB</t>
  </si>
  <si>
    <t>NAC with Glutathione 1000mg</t>
  </si>
  <si>
    <t>DIM(black pepper), 240 Capsules</t>
  </si>
  <si>
    <t>Organic Blue Spirulina (Phycocyanin) Powder 30g</t>
  </si>
  <si>
    <t>Cod Liver Oil 2,000mg, 240 Softgels</t>
  </si>
  <si>
    <t>Organic Chlorella Powder, 10 Ounces</t>
  </si>
  <si>
    <t>Organic Red Yeast Rice Powder, 8 Ounces</t>
  </si>
  <si>
    <t>Ginseng Softgel</t>
  </si>
  <si>
    <t>2 Pack creatine 500g jar</t>
  </si>
  <si>
    <t>Citicoline 1000mg</t>
  </si>
  <si>
    <t>Organic Guarana Powder 8oz</t>
  </si>
  <si>
    <t>Organic Maca Powder 3lb</t>
  </si>
  <si>
    <t>Tongkat Ali+ with MCT Oil, 240 Softgels</t>
  </si>
  <si>
    <t>Tart Cherry+ with Black Seed Oil, 300 Softgels</t>
  </si>
  <si>
    <t xml:space="preserve"> 2 Pack Pure Methylated Multivitamin, 480 Capsules</t>
  </si>
  <si>
    <t>Magnesium Glycinate, 500mg 240 CAPS</t>
  </si>
  <si>
    <t>PS</t>
  </si>
  <si>
    <t>EAA Capsules 2000mg</t>
  </si>
  <si>
    <t>R-Alpha Lipoic Acid with Benfotiamine 600mg Veggie</t>
  </si>
  <si>
    <t>Omega 3 Fish Oil Supplements 1200mg, 240 softgels</t>
  </si>
  <si>
    <t>Organic Boswellia Powder, 8Oz</t>
  </si>
  <si>
    <t>Organic Ceylon Cinnamon Powder 2LB</t>
  </si>
  <si>
    <t>Organic Spirulina, 720 Tablets</t>
  </si>
  <si>
    <t>Ascorbic Acid Powder, 1 KG</t>
  </si>
  <si>
    <t>Potassium chloride Powder, 1 KG</t>
  </si>
  <si>
    <t>Tyrosine</t>
  </si>
  <si>
    <t>Pure Organic Stevia Powder 1lb</t>
  </si>
  <si>
    <t>Organic Instant Coffee Powder, 1lb</t>
  </si>
  <si>
    <t>Resveratrol Supplement 3,000mg, 240 Veggie Capsules</t>
  </si>
  <si>
    <t>Pure Saffron Extract 88.5mg, 240 Veggie Caps</t>
  </si>
  <si>
    <t>Glycine Powder, 500 g (1.1 Pounds)</t>
  </si>
  <si>
    <t>Evening Primrose oil 1300mg</t>
  </si>
  <si>
    <t>Organic Triphala Powder, 8 Ounces</t>
  </si>
  <si>
    <t>Vitamin D3 10000IU + K2</t>
  </si>
  <si>
    <t>Glutathione 2000mg</t>
  </si>
  <si>
    <t>Vitamin A, 500 Softgels</t>
  </si>
  <si>
    <t>Apigenin 100mg</t>
  </si>
  <si>
    <t>CAYENNE PEPPER 5LB</t>
  </si>
  <si>
    <t>Berberine with Ceylon Cinnamon and Chromium Complex 3000mg 240 Veg Caps</t>
  </si>
  <si>
    <t>Vitamin D3 50000 + K2 200</t>
  </si>
  <si>
    <t>Organic Moringa Powder, 1 lb</t>
  </si>
  <si>
    <t>Milk Thistle 6,000mg Equivalent, 360 Softgels with Grape Seed Oil</t>
  </si>
  <si>
    <t>Pure Liposomal NAD+ for Women, 180 Veggie Capsules</t>
  </si>
  <si>
    <t>Organic Reishi Mushroom Powder, 8 oz</t>
  </si>
  <si>
    <t>Organic Horny Goat Weed Powder, 100 G</t>
  </si>
  <si>
    <t>Magnesium Glycinate 500MG</t>
  </si>
  <si>
    <t xml:space="preserve">Nitric Oxide Booster 3000mg </t>
  </si>
  <si>
    <t>Oregano Oil 6000mg, 150 sg</t>
  </si>
  <si>
    <t>Astaxanthin 24mg, 60 Softgels</t>
  </si>
  <si>
    <t>L-Theanine Powder, 100 Gram</t>
  </si>
  <si>
    <t>2 Pack HA 2000mg</t>
  </si>
  <si>
    <t>Organic Inulin FOS Powder, 2.2 LB</t>
  </si>
  <si>
    <t>Organic Turkey Tail Powder, 8 Ounces</t>
  </si>
  <si>
    <t>Vitamin B1 with Benfotiamine 500mg</t>
  </si>
  <si>
    <t>Vitamin D3 K2 1000IU Coconut oil</t>
  </si>
  <si>
    <t>Multi Collagen Protein Powder Chocolate Flavored, 2lbs</t>
  </si>
  <si>
    <t xml:space="preserve">Lions Mane+ with Omega-3, 240 Softgels with MCT Oil </t>
  </si>
  <si>
    <t>NMN Complex 1000mg, 120 Veggie Capsules</t>
  </si>
  <si>
    <t>St johns wort 1500mg</t>
  </si>
  <si>
    <t>2 Pack Magnesium Glycinate 500mg Veggie Caps</t>
  </si>
  <si>
    <t>Vitamin B2 with Magnesium 400mg</t>
  </si>
  <si>
    <t>Supreme Omega-3 Fish Oil, 120 Softgels</t>
  </si>
  <si>
    <t>Organic Moringa Leaf Powder, 2 LB</t>
  </si>
  <si>
    <t>Organic Elderberry juice Powder, 4 Ounces</t>
  </si>
  <si>
    <t>Vitamin B Complex Veggie</t>
  </si>
  <si>
    <t>Pea Protein Powder 5LB</t>
  </si>
  <si>
    <t>TMG Supplements 1,500mg</t>
  </si>
  <si>
    <t xml:space="preserve">Black Seed Oil 3000mg with Oregano Oil Softgels 240 count </t>
  </si>
  <si>
    <t>Organic Spirulina Powder, 1 LB</t>
  </si>
  <si>
    <t>Organic Celery juice Powder, 20 Oz</t>
  </si>
  <si>
    <t>Nattokinase 4000FU</t>
  </si>
  <si>
    <t>Organic Acai powder, 8 Ounces</t>
  </si>
  <si>
    <t>Beef Gelatin Powder 2lb</t>
  </si>
  <si>
    <t>Taurine Powder 1kg</t>
  </si>
  <si>
    <t>Potassium Citrate Supplement 99mg, 500 Capsules</t>
  </si>
  <si>
    <t>D-Mannose 2000mg</t>
  </si>
  <si>
    <t>Organic Rainbow Peppercorn Blend, 2LB</t>
  </si>
  <si>
    <t xml:space="preserve">NAD+ 500mg with Resveratrol, 240 Veggie Capsules </t>
  </si>
  <si>
    <t>Grape Seed Extract 36,000mg, 240 Capsules</t>
  </si>
  <si>
    <t>B0F7NTZ8KD</t>
  </si>
  <si>
    <t xml:space="preserve">Pure Fruits + Veggies with Probiotics vegetarian capsules 240 count </t>
  </si>
  <si>
    <t>Methylated Multivitamin, 240 Capsules</t>
  </si>
  <si>
    <t>Odorless garlic 7500mg</t>
  </si>
  <si>
    <t>Oregano Oil 6000mg, 300 sg</t>
  </si>
  <si>
    <t>Golden Monkfruit with Allulose 2LB</t>
  </si>
  <si>
    <t>B0DS6L19ZT</t>
  </si>
  <si>
    <t>2 Pack Vitamin D3 10000iu Plus K2 + Black Seed &amp; MCT Oil Drops, 2 fl oz</t>
  </si>
  <si>
    <t>Supreme Omega-3 rTG Fish Oil 1300mg, 60 Softgels</t>
  </si>
  <si>
    <t>Pea Protein Powder, 5lb</t>
  </si>
  <si>
    <t>Berberine Max Supplement 5000mg</t>
  </si>
  <si>
    <t>Calcium 1200 mg w/ Vitamin D3 K2 &amp; Boron, 300 Tablets</t>
  </si>
  <si>
    <t>Super Greens Powder, 1lb</t>
  </si>
  <si>
    <t>Allulose Sweetener Granules, 3 LB</t>
  </si>
  <si>
    <t>Organic Ceylon Cinnamon Powder, 3lbs</t>
  </si>
  <si>
    <t>Instant Mushroom Coffee, 14OZ</t>
  </si>
  <si>
    <t>Vitamin D3 K2 sunflower oil</t>
  </si>
  <si>
    <t>ALA 1000mg</t>
  </si>
  <si>
    <t>Alpha GPC 600mg</t>
  </si>
  <si>
    <t>Vitamin K2 600mcg Coconut</t>
  </si>
  <si>
    <t>Glutathione Reduced 1,000mg, 120 Veggie Capsules</t>
  </si>
  <si>
    <t>Pure Methylated Multivitamin 240 caps(Pure Collection)</t>
  </si>
  <si>
    <t>B0DVBCTSL2</t>
  </si>
  <si>
    <t>Organic Lime Powder, 1.5lbs (New ASIN)</t>
  </si>
  <si>
    <t>Glycine Powder, 300 Servings (2 lb)</t>
  </si>
  <si>
    <t>Mullein Leaf 20000mg Veggie</t>
  </si>
  <si>
    <t>Mega Probiotics 200 Billion CFU, 120 Veggie Caps</t>
  </si>
  <si>
    <t>Organic Barley Grass Juice Powder 10OZ</t>
  </si>
  <si>
    <t>D Mannose Veggie 2000mg</t>
  </si>
  <si>
    <t>Vitamin D3 K2 Coconut 5000iu</t>
  </si>
  <si>
    <t>Vitamin D3 K2 2000IU Coconut oil</t>
  </si>
  <si>
    <t>Organic Lemon Juice Powder, 10 Ounces</t>
  </si>
  <si>
    <t>Pregnenolone</t>
  </si>
  <si>
    <t xml:space="preserve">Allulose Sweetener 6lb </t>
  </si>
  <si>
    <t xml:space="preserve">Astaxanthin 6mg with MCT Oil, 240 Softgels </t>
  </si>
  <si>
    <t>Organic Slippery Elm Bark Powder, 1 LB</t>
  </si>
  <si>
    <t>Turkey tail</t>
  </si>
  <si>
    <t>Glucosamine Chondroitin Complex 4000mg, , 300 Bisected Tablets</t>
  </si>
  <si>
    <t>Organic Camu Powder 12oz</t>
  </si>
  <si>
    <t>2 Pack NAC 1200mg</t>
  </si>
  <si>
    <t>Irish Sea Moss Capsule 7,000mg</t>
  </si>
  <si>
    <t>Xanthan Gum 2lb</t>
  </si>
  <si>
    <t>Organic Ginger Powder 3LB</t>
  </si>
  <si>
    <t>Saw Palmetto with Pumpkin Seed Oil, 240 Softgels</t>
  </si>
  <si>
    <t>Ceylon Cinnamon 6000mg</t>
  </si>
  <si>
    <t>Quercetin 2 Pack</t>
  </si>
  <si>
    <t>DHA Supplements 1000mg</t>
  </si>
  <si>
    <t>Organic Cinnamon Sticks 2LB</t>
  </si>
  <si>
    <t>Mega Mushroom Powder 5OZ</t>
  </si>
  <si>
    <t>Matcha Latte with Allulose 2lb??</t>
  </si>
  <si>
    <t>Brewers Yeast 3lb powder</t>
  </si>
  <si>
    <t>Vitamin B2 Riboflavin 400mg, 240 Coconut Oil Softgels</t>
  </si>
  <si>
    <t>Beef Organ for Women, 240 Capsules</t>
  </si>
  <si>
    <t>Odorless Garlic, 150 Softgels</t>
  </si>
  <si>
    <t>Bovine Collagen Protein Powder, 1lb</t>
  </si>
  <si>
    <t>Liposomal NAD+ Ultimate 1000mg, 60 Veggie Capsules</t>
  </si>
  <si>
    <t>Organic Papaya Powder, 8 Ounces</t>
  </si>
  <si>
    <t>Vitamin D3 K2 50000IU</t>
  </si>
  <si>
    <t>NAD 1500MG 240 Cap</t>
  </si>
  <si>
    <t>DIM+ 400mg with Pumpkin Seed Oil, 240 Softgels</t>
  </si>
  <si>
    <t>Oregano with Black Seed 9000mg</t>
  </si>
  <si>
    <t>Organic Acacia Senegal Fiber, 2 LB</t>
  </si>
  <si>
    <t>Organic Ceremonial Grade Matcha, 100g</t>
  </si>
  <si>
    <t>Organic Ginkgo Biloba Powder, 8 Ounces</t>
  </si>
  <si>
    <t>Organic Coconut Milk Powder, 2 LB</t>
  </si>
  <si>
    <t>CoQ10 with PQQ 200mg Veggie</t>
  </si>
  <si>
    <t>Quercetin Dihydrate Powder, 100 Gram</t>
  </si>
  <si>
    <t>D-Ribose Powder, 1 KG</t>
  </si>
  <si>
    <t>Organic Chicory Inulin Powder, 10 Ounces</t>
  </si>
  <si>
    <t>Selenium Supplement 200mcg, 500 Coconut Softgels</t>
  </si>
  <si>
    <t xml:space="preserve">Instant Whey Protein Powder Concentrate, 2lbs </t>
  </si>
  <si>
    <t>NAD+ 1000mg 120 vegetarian capsules</t>
  </si>
  <si>
    <t>Magnesium Glycinate Powder 400mg 12oz, Peach ring flavor</t>
  </si>
  <si>
    <t xml:space="preserve">CoQ10 400mg Per Serving, 240 Softgels </t>
  </si>
  <si>
    <t>Vitamin K2 coconut 150mg</t>
  </si>
  <si>
    <t>Triple Magnesium Complex 400mg, 300 Capsules(Pure Collection)</t>
  </si>
  <si>
    <t>Magnesium Flakes, 6LB</t>
  </si>
  <si>
    <t>Vtm B9 Folic Acid, 500 Softgels</t>
  </si>
  <si>
    <t>Hyaluronic Acid Powder, 100 Gram</t>
  </si>
  <si>
    <t>Red Panax Ginseng 6000mg Softgels</t>
  </si>
  <si>
    <t>Vitamin D3 K2 2 Pack sunflower oil</t>
  </si>
  <si>
    <t>Creatine Monohydrate 5,000mg 500 Capsules</t>
  </si>
  <si>
    <t>Organic Acerola Cherry Powder, 8 Ounces</t>
  </si>
  <si>
    <t>Aged Garlic Pills 6000mg</t>
  </si>
  <si>
    <t>Sport Electrolytes Powder Pineapple (Pina Colada) Flavor, 2 lbs</t>
  </si>
  <si>
    <t>Organic Spinach Powder, 1 LB</t>
  </si>
  <si>
    <t>Zinc Selenium with Copper</t>
  </si>
  <si>
    <t>Organic Kale Powder, 1 LB</t>
  </si>
  <si>
    <t>Organic Stevia Powder, 4 Ounces</t>
  </si>
  <si>
    <t>CLA</t>
  </si>
  <si>
    <t>Organic Pumpkin Seed Protein Powder, 2lb</t>
  </si>
  <si>
    <t>BIOTIN, 365 Softgels</t>
  </si>
  <si>
    <t>Black Seed Oil with Vitamin D3 1000 IU, 240 Softgels(NEW ASIN)</t>
  </si>
  <si>
    <t>2 Pack Zinc + Quercetin</t>
  </si>
  <si>
    <t>Vitamin E Supplement 1000IU</t>
  </si>
  <si>
    <t>Stevia Erythritol Sweetner Powder, 4 PZ</t>
  </si>
  <si>
    <t>Creatine Monohydrate Powder, 500 G</t>
  </si>
  <si>
    <t>Vegan Omega 7 Sea Buckthorn Oil 6,000mg 240 Softgels</t>
  </si>
  <si>
    <t>Magnesium Glycinate 1000MG</t>
  </si>
  <si>
    <t>Organic Ashwagandha Powder 2lb</t>
  </si>
  <si>
    <t>KSM-66 Ashwagandha Gummies 300mg, 120 Count</t>
  </si>
  <si>
    <t>Organic Raspberry Juice Powder, 8 Ounces</t>
  </si>
  <si>
    <t>Magnesium Glycinate 800 mg Per Serving, 240 Softgels</t>
  </si>
  <si>
    <t>Glycine 2000mg, 240 capsules</t>
  </si>
  <si>
    <t>B0FH5QKZ9V</t>
  </si>
  <si>
    <t>MiracleMag Magnesium Citrate Calm Powder, 2lbs (New ASIN)</t>
  </si>
  <si>
    <t>Mega Mushroom Supplement with MCT Oil, 240 Softgels</t>
  </si>
  <si>
    <t>Longjack</t>
  </si>
  <si>
    <t>Krill Oil 1000mg</t>
  </si>
  <si>
    <t>Instant Creatine Monohydrate Powder, 5g Per Serving, 240 Servings</t>
  </si>
  <si>
    <t>Liposomal NAD+ 8-in-1 Complex 2000mg, 120 Vegetarian Capsules</t>
  </si>
  <si>
    <t>L-Methylfolate 15 mg Per Serving, 120 Coconut Oil Softgels</t>
  </si>
  <si>
    <t>Black Seed Oil 3,000mg, 120 Softgels</t>
  </si>
  <si>
    <t>TMG 2000mg, 240 Capsules</t>
  </si>
  <si>
    <t>Methylated B Complex for Women, 240 Vegetarian Capsules</t>
  </si>
  <si>
    <t>Citrus Bergamot Extract 1000 mg with MCT Oil, 240 Softgels</t>
  </si>
  <si>
    <t>NAC with NAD+, 240 Vegetarian Capsules</t>
  </si>
  <si>
    <t>Probiotics with Magnesium, 240 Capsules</t>
  </si>
  <si>
    <t>Benfotiamine 600mg, 180 Softgels</t>
  </si>
  <si>
    <t>CoQ10 300mg with Omega-3, 240 Capsules</t>
  </si>
  <si>
    <t>L-Theanine with Magnesium Glycinate, 360 Softgels</t>
  </si>
  <si>
    <t>DHEA Micronized 100mg, 240 Capsules</t>
  </si>
  <si>
    <t>B0GDS357K4</t>
  </si>
  <si>
    <t>Organic Beet Root Powder, 8 oz</t>
  </si>
  <si>
    <t>Beet Root Capsules 3000 mg, 300 Capsules</t>
  </si>
  <si>
    <t>Bovine Colostrum 1,000 mg Per Serving, 240 Capsules</t>
  </si>
  <si>
    <t>Elderberry</t>
  </si>
  <si>
    <t>Omega 3 Fish Oil Supplements 3,000mg Per Serving, 120 Softgels</t>
  </si>
  <si>
    <t>Hydration Electrolyte Powder, 1lb</t>
  </si>
  <si>
    <t>Hyaluronic Acid with MSM &amp; Collagen</t>
  </si>
  <si>
    <t>Inositol Powder, 1 KG</t>
  </si>
  <si>
    <t>DHEA 100mg</t>
  </si>
  <si>
    <t>PS 500mg</t>
  </si>
  <si>
    <t>D-Mannose Powder</t>
  </si>
  <si>
    <t>Olive Leaf Extract</t>
  </si>
  <si>
    <t>Cranberry</t>
  </si>
  <si>
    <t>Hyaluronic Acid 250mg</t>
  </si>
  <si>
    <t>Huperzine A</t>
  </si>
  <si>
    <t>Quercetin 1000MG</t>
  </si>
  <si>
    <t>Moringa</t>
  </si>
  <si>
    <t>Cinnamon</t>
  </si>
  <si>
    <t>Ginseng</t>
  </si>
  <si>
    <t>Vitamin K2</t>
  </si>
  <si>
    <t>L-Tryptophan 1500mg</t>
  </si>
  <si>
    <t>Vitamin B1 Thiamine, 180 Tablets</t>
  </si>
  <si>
    <t>L Tyrosine Pills, 240 Capusles</t>
  </si>
  <si>
    <t>Sunflower Leththin 2400mg</t>
  </si>
  <si>
    <t>Ginkgo</t>
  </si>
  <si>
    <t>Creatine 500g Jar</t>
  </si>
  <si>
    <t>Fadogia Agrestis 600mg</t>
  </si>
  <si>
    <t>Melatonin tab strawberry flavor</t>
  </si>
  <si>
    <t>Omerga 3 Fish oil 4200mg</t>
  </si>
  <si>
    <t>Collagen jar 600g</t>
  </si>
  <si>
    <t>Vitamin D3 50,000 iu + K2 200mcg Coconut</t>
  </si>
  <si>
    <t>Vitamin E Softgels 1000iu</t>
  </si>
  <si>
    <t>Benfotiamine 300mg + Thiamine 100mg</t>
  </si>
  <si>
    <t>Oregano with Black Seed 7500mg</t>
  </si>
  <si>
    <t>Magnesium Glycinate Veggie 500MG</t>
  </si>
  <si>
    <t>Nattokinase 8000FU Veggie</t>
  </si>
  <si>
    <t>Diegestive Enzymes with Prebiotics 400mg</t>
  </si>
  <si>
    <t>Vitamin B complex for women veggie capsules</t>
  </si>
  <si>
    <t xml:space="preserve">CoQ10 300mg with Omega-3 </t>
  </si>
  <si>
    <t xml:space="preserve">Electrolyte Lemon &amp; Raspberry 500g </t>
  </si>
  <si>
    <t>HMB 3000mg (New ASIN)</t>
  </si>
  <si>
    <t>L-Theanine 400mg</t>
  </si>
  <si>
    <t>R-Alpha Lipoic Acid (R-ALA) 1200mg vegetarian capsules 90 count</t>
  </si>
  <si>
    <t>Instant Colostrum Powder with Probiotics, 12oz</t>
  </si>
  <si>
    <t>Turmeric Ginger Gummies, 120 Count</t>
  </si>
  <si>
    <t>B0GDSF7HQF</t>
  </si>
  <si>
    <t>Potassium Citrate 99 mg Per Serving, 500 Capsules</t>
  </si>
  <si>
    <t>B0GC9L62FD</t>
  </si>
  <si>
    <t>Hydration Electrolyte Powder Strawberry Kiwi, 2 lbs</t>
  </si>
  <si>
    <t>B0GFGX8PFJ</t>
  </si>
  <si>
    <t>Liposomal NAD+ Ultimate 1000mg 120 Capsules</t>
  </si>
  <si>
    <t>B0G6294C7K</t>
  </si>
  <si>
    <t>Fish Oil 3000mg</t>
  </si>
  <si>
    <t>B0G62GVNSS</t>
  </si>
  <si>
    <t>Women?€?s Probiotics 100B CFU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</si>
</sst>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 numFmtId="170" formatCode="\$#,##0.00;\-\$#,##0.00"/>
  </numFmts>
  <fonts count="20">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rgb="FF000000"/>
      <name val="Calibri"/>
      <scheme val="minor"/>
    </font>
    <font>
      <sz val="11"/>
      <color rgb="FF000000"/>
      <name val="Calibri"/>
      <charset val="1"/>
      <scheme val="minor"/>
    </font>
    <font>
      <sz val="11"/>
      <color rgb="FFFFFFFF"/>
      <name val="Calibri"/>
    </font>
    <font>
      <sz val="11"/>
      <name val="Calibri"/>
    </font>
    <font>
      <sz val="11"/>
      <color rgb="FF000000"/>
      <name val="Aptos Narrow"/>
      <family val="2"/>
    </font>
    <font>
      <sz val="11"/>
      <color rgb="FFFF0000"/>
      <name val="Calibri"/>
    </font>
    <font>
      <sz val="11"/>
      <color rgb="FF000000"/>
      <name val="Calibri"/>
    </font>
  </fonts>
  <fills count="13">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rgb="FFFF9933"/>
        <bgColor indexed="64"/>
      </patternFill>
    </fill>
    <fill>
      <patternFill patternType="solid">
        <fgColor rgb="FF462551"/>
        <bgColor rgb="FF462551"/>
      </patternFill>
    </fill>
    <fill>
      <patternFill patternType="solid">
        <fgColor theme="2" tint="-9.9978637043366805E-2"/>
        <bgColor indexed="64"/>
      </patternFill>
    </fill>
  </fills>
  <borders count="37">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thin">
        <color rgb="FF4472C4"/>
      </left>
      <right style="medium">
        <color indexed="64"/>
      </right>
      <top style="thin">
        <color rgb="FF4472C4"/>
      </top>
      <bottom/>
      <diagonal/>
    </border>
    <border>
      <left style="thin">
        <color rgb="FF4472C4"/>
      </left>
      <right style="medium">
        <color indexed="64"/>
      </right>
      <top style="thin">
        <color rgb="FF4472C4"/>
      </top>
      <bottom style="thin">
        <color rgb="FF4472C4"/>
      </bottom>
      <diagonal/>
    </border>
    <border>
      <left style="thin">
        <color rgb="FF4472C4"/>
      </left>
      <right style="medium">
        <color indexed="64"/>
      </right>
      <top style="thin">
        <color rgb="FF4472C4"/>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99">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7" borderId="2" xfId="0" applyFont="1" applyFill="1" applyBorder="1"/>
    <xf numFmtId="8" fontId="9" fillId="7"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7" borderId="11" xfId="0" applyFont="1" applyFill="1" applyBorder="1"/>
    <xf numFmtId="8" fontId="9" fillId="7" borderId="12" xfId="0" applyNumberFormat="1" applyFont="1" applyFill="1" applyBorder="1"/>
    <xf numFmtId="0" fontId="8" fillId="8" borderId="13" xfId="0" applyFont="1" applyFill="1" applyBorder="1"/>
    <xf numFmtId="8" fontId="9" fillId="8" borderId="14" xfId="0" applyNumberFormat="1" applyFont="1" applyFill="1" applyBorder="1"/>
    <xf numFmtId="0" fontId="8" fillId="0" borderId="0" xfId="0" applyFont="1"/>
    <xf numFmtId="0" fontId="9" fillId="7" borderId="7" xfId="0" applyFont="1" applyFill="1" applyBorder="1"/>
    <xf numFmtId="0" fontId="9" fillId="0" borderId="10" xfId="0" applyFont="1" applyBorder="1"/>
    <xf numFmtId="0" fontId="9" fillId="7" borderId="12" xfId="0" applyFont="1" applyFill="1" applyBorder="1"/>
    <xf numFmtId="0" fontId="9" fillId="8" borderId="14" xfId="0" applyFont="1" applyFill="1" applyBorder="1"/>
    <xf numFmtId="0" fontId="8" fillId="7" borderId="15" xfId="0" applyFont="1" applyFill="1" applyBorder="1"/>
    <xf numFmtId="10" fontId="9" fillId="7" borderId="7" xfId="0" applyNumberFormat="1" applyFont="1" applyFill="1" applyBorder="1"/>
    <xf numFmtId="0" fontId="8" fillId="0" borderId="16" xfId="0" applyFont="1" applyBorder="1"/>
    <xf numFmtId="10" fontId="9" fillId="0" borderId="10" xfId="0" applyNumberFormat="1" applyFont="1" applyBorder="1"/>
    <xf numFmtId="0" fontId="8" fillId="7" borderId="17" xfId="0" applyFont="1" applyFill="1" applyBorder="1"/>
    <xf numFmtId="10" fontId="9" fillId="7" borderId="12" xfId="0" applyNumberFormat="1" applyFont="1" applyFill="1" applyBorder="1"/>
    <xf numFmtId="0" fontId="8" fillId="8" borderId="18" xfId="0" applyFont="1" applyFill="1" applyBorder="1"/>
    <xf numFmtId="10" fontId="9" fillId="8"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7" borderId="19" xfId="0" applyFont="1" applyFill="1" applyBorder="1"/>
    <xf numFmtId="3" fontId="9" fillId="7" borderId="20" xfId="0" applyNumberFormat="1" applyFont="1" applyFill="1" applyBorder="1"/>
    <xf numFmtId="0" fontId="8" fillId="0" borderId="21" xfId="0" applyFont="1" applyBorder="1"/>
    <xf numFmtId="3" fontId="9" fillId="0" borderId="22" xfId="0" applyNumberFormat="1" applyFont="1" applyBorder="1"/>
    <xf numFmtId="0" fontId="8" fillId="7" borderId="21" xfId="0" applyFont="1" applyFill="1" applyBorder="1"/>
    <xf numFmtId="3" fontId="9" fillId="7" borderId="22" xfId="0" applyNumberFormat="1" applyFont="1" applyFill="1" applyBorder="1"/>
    <xf numFmtId="0" fontId="8" fillId="8" borderId="21" xfId="0" applyFont="1" applyFill="1" applyBorder="1"/>
    <xf numFmtId="3" fontId="9" fillId="8"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7" borderId="2" xfId="0" applyNumberFormat="1" applyFont="1" applyFill="1" applyBorder="1"/>
    <xf numFmtId="8" fontId="9" fillId="0" borderId="9" xfId="0" applyNumberFormat="1" applyFont="1" applyBorder="1"/>
    <xf numFmtId="8" fontId="9" fillId="7" borderId="11" xfId="0" applyNumberFormat="1" applyFont="1" applyFill="1" applyBorder="1"/>
    <xf numFmtId="8" fontId="9" fillId="8" borderId="13" xfId="0" applyNumberFormat="1" applyFont="1" applyFill="1" applyBorder="1"/>
    <xf numFmtId="10" fontId="9" fillId="7" borderId="2" xfId="0" applyNumberFormat="1" applyFont="1" applyFill="1" applyBorder="1"/>
    <xf numFmtId="10" fontId="9" fillId="0" borderId="9" xfId="0" applyNumberFormat="1" applyFont="1" applyBorder="1"/>
    <xf numFmtId="10" fontId="9" fillId="7" borderId="11" xfId="0" applyNumberFormat="1" applyFont="1" applyFill="1" applyBorder="1"/>
    <xf numFmtId="10" fontId="9" fillId="8" borderId="13" xfId="0" applyNumberFormat="1" applyFont="1" applyFill="1" applyBorder="1"/>
    <xf numFmtId="3" fontId="9" fillId="7" borderId="25" xfId="0" applyNumberFormat="1" applyFont="1" applyFill="1" applyBorder="1"/>
    <xf numFmtId="3" fontId="9" fillId="0" borderId="26" xfId="0" applyNumberFormat="1" applyFont="1" applyBorder="1"/>
    <xf numFmtId="3" fontId="9" fillId="7" borderId="26" xfId="0" applyNumberFormat="1" applyFont="1" applyFill="1" applyBorder="1"/>
    <xf numFmtId="3" fontId="9" fillId="8" borderId="26" xfId="0" applyNumberFormat="1" applyFont="1" applyFill="1" applyBorder="1"/>
    <xf numFmtId="9" fontId="7" fillId="0" borderId="27" xfId="0" applyNumberFormat="1" applyFont="1" applyBorder="1"/>
    <xf numFmtId="3" fontId="9" fillId="7" borderId="28" xfId="0" applyNumberFormat="1" applyFont="1" applyFill="1" applyBorder="1"/>
    <xf numFmtId="3" fontId="9" fillId="7" borderId="29" xfId="0" applyNumberFormat="1" applyFont="1" applyFill="1" applyBorder="1"/>
    <xf numFmtId="3" fontId="9" fillId="0" borderId="30" xfId="0" applyNumberFormat="1" applyFont="1" applyBorder="1"/>
    <xf numFmtId="3" fontId="9" fillId="7" borderId="30" xfId="0" applyNumberFormat="1" applyFont="1" applyFill="1" applyBorder="1"/>
    <xf numFmtId="3" fontId="9" fillId="8"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9" borderId="0" xfId="0" applyFont="1" applyFill="1"/>
    <xf numFmtId="167" fontId="7" fillId="0" borderId="0" xfId="3" applyNumberFormat="1" applyFont="1" applyAlignment="1">
      <alignment vertical="center"/>
    </xf>
    <xf numFmtId="4" fontId="4" fillId="0" borderId="0" xfId="2" applyNumberFormat="1" applyFont="1"/>
    <xf numFmtId="4" fontId="11" fillId="0" borderId="0" xfId="2" applyNumberFormat="1" applyFont="1"/>
    <xf numFmtId="0" fontId="2" fillId="3" borderId="0" xfId="0" applyFont="1" applyFill="1"/>
    <xf numFmtId="0" fontId="7" fillId="0" borderId="0" xfId="0" applyFont="1" applyAlignment="1">
      <alignment horizontal="left" vertical="justify"/>
    </xf>
    <xf numFmtId="44" fontId="0" fillId="0" borderId="0" xfId="2" applyFont="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7" borderId="7" xfId="3" applyFont="1" applyFill="1" applyBorder="1"/>
    <xf numFmtId="43" fontId="9" fillId="0" borderId="10" xfId="3" applyFont="1" applyBorder="1"/>
    <xf numFmtId="43" fontId="9" fillId="7"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0" fillId="9" borderId="0" xfId="0" applyFill="1"/>
    <xf numFmtId="0" fontId="7" fillId="9" borderId="0" xfId="0" applyFont="1" applyFill="1"/>
    <xf numFmtId="0" fontId="7" fillId="9" borderId="0" xfId="0" applyFont="1" applyFill="1" applyAlignment="1">
      <alignment horizontal="left" vertical="justify"/>
    </xf>
    <xf numFmtId="43" fontId="9" fillId="8" borderId="14" xfId="0" applyNumberFormat="1" applyFont="1" applyFill="1" applyBorder="1"/>
    <xf numFmtId="0" fontId="0" fillId="0" borderId="0" xfId="0" applyAlignment="1">
      <alignment vertical="center" wrapText="1"/>
    </xf>
    <xf numFmtId="164" fontId="2" fillId="2" borderId="0" xfId="2" applyNumberFormat="1" applyFont="1" applyFill="1" applyAlignment="1">
      <alignment horizontal="center"/>
    </xf>
    <xf numFmtId="166" fontId="11" fillId="0" borderId="0" xfId="2" applyNumberFormat="1" applyFont="1"/>
    <xf numFmtId="0" fontId="11" fillId="0" borderId="1" xfId="0" applyFont="1" applyBorder="1"/>
    <xf numFmtId="170" fontId="0" fillId="0" borderId="0" xfId="0" applyNumberFormat="1" applyAlignment="1">
      <alignment horizontal="right"/>
    </xf>
    <xf numFmtId="8" fontId="4" fillId="0" borderId="0" xfId="2" applyNumberFormat="1" applyFont="1"/>
    <xf numFmtId="8" fontId="11" fillId="0" borderId="0" xfId="2" applyNumberFormat="1" applyFont="1"/>
    <xf numFmtId="43" fontId="4" fillId="0" borderId="0" xfId="2" applyNumberFormat="1" applyFont="1"/>
    <xf numFmtId="4" fontId="0" fillId="0" borderId="0" xfId="0" applyNumberFormat="1"/>
    <xf numFmtId="8" fontId="9" fillId="7" borderId="15" xfId="0" applyNumberFormat="1" applyFont="1" applyFill="1" applyBorder="1"/>
    <xf numFmtId="8" fontId="9" fillId="0" borderId="16" xfId="0" applyNumberFormat="1" applyFont="1" applyBorder="1"/>
    <xf numFmtId="8" fontId="9" fillId="7" borderId="17" xfId="0" applyNumberFormat="1" applyFont="1" applyFill="1" applyBorder="1"/>
    <xf numFmtId="8" fontId="9" fillId="8" borderId="18" xfId="0" applyNumberFormat="1" applyFont="1" applyFill="1" applyBorder="1"/>
    <xf numFmtId="43" fontId="9" fillId="7" borderId="2" xfId="3" applyFont="1" applyFill="1" applyBorder="1"/>
    <xf numFmtId="43" fontId="9" fillId="7" borderId="8" xfId="3" applyFont="1" applyFill="1" applyBorder="1"/>
    <xf numFmtId="43" fontId="9" fillId="0" borderId="9" xfId="3" applyFont="1" applyBorder="1"/>
    <xf numFmtId="43" fontId="9" fillId="0" borderId="34" xfId="3" applyFont="1" applyBorder="1"/>
    <xf numFmtId="43" fontId="9" fillId="7" borderId="11" xfId="3" applyFont="1" applyFill="1" applyBorder="1"/>
    <xf numFmtId="43" fontId="9" fillId="7" borderId="35" xfId="3" applyFont="1" applyFill="1" applyBorder="1"/>
    <xf numFmtId="43" fontId="9" fillId="8" borderId="13" xfId="0" applyNumberFormat="1" applyFont="1" applyFill="1" applyBorder="1"/>
    <xf numFmtId="43" fontId="9" fillId="8" borderId="36" xfId="0" applyNumberFormat="1" applyFont="1" applyFill="1" applyBorder="1"/>
    <xf numFmtId="8" fontId="9" fillId="7" borderId="8" xfId="0" applyNumberFormat="1" applyFont="1" applyFill="1" applyBorder="1"/>
    <xf numFmtId="8" fontId="9" fillId="0" borderId="34" xfId="0" applyNumberFormat="1" applyFont="1" applyBorder="1"/>
    <xf numFmtId="8" fontId="9" fillId="7" borderId="35" xfId="0" applyNumberFormat="1" applyFont="1" applyFill="1" applyBorder="1"/>
    <xf numFmtId="8" fontId="9" fillId="8" borderId="36" xfId="0" applyNumberFormat="1" applyFont="1" applyFill="1" applyBorder="1"/>
    <xf numFmtId="43" fontId="9" fillId="7" borderId="15" xfId="0" applyNumberFormat="1" applyFont="1" applyFill="1" applyBorder="1"/>
    <xf numFmtId="43" fontId="9" fillId="0" borderId="16" xfId="0" applyNumberFormat="1" applyFont="1" applyBorder="1"/>
    <xf numFmtId="43" fontId="9" fillId="7" borderId="17" xfId="0" applyNumberFormat="1" applyFont="1" applyFill="1" applyBorder="1"/>
    <xf numFmtId="43" fontId="9" fillId="8" borderId="18" xfId="0" applyNumberFormat="1" applyFont="1" applyFill="1" applyBorder="1"/>
    <xf numFmtId="10" fontId="0" fillId="0" borderId="0" xfId="1" applyNumberFormat="1" applyFont="1" applyFill="1"/>
    <xf numFmtId="0" fontId="13" fillId="0" borderId="0" xfId="0" applyFont="1"/>
    <xf numFmtId="0" fontId="14" fillId="0" borderId="0" xfId="0" applyFont="1" applyAlignment="1">
      <alignment vertical="center"/>
    </xf>
    <xf numFmtId="0" fontId="14" fillId="0" borderId="0" xfId="0" applyFont="1" applyAlignment="1">
      <alignment horizontal="left" vertical="center"/>
    </xf>
    <xf numFmtId="1" fontId="0" fillId="0" borderId="0" xfId="0" applyNumberFormat="1"/>
    <xf numFmtId="3" fontId="0" fillId="0" borderId="0" xfId="0" applyNumberFormat="1"/>
    <xf numFmtId="169" fontId="0" fillId="0" borderId="0" xfId="1" applyNumberFormat="1" applyFont="1"/>
    <xf numFmtId="10" fontId="0" fillId="0" borderId="0" xfId="0" applyNumberFormat="1"/>
    <xf numFmtId="0" fontId="15" fillId="11" borderId="0" xfId="0" applyFont="1" applyFill="1" applyAlignment="1">
      <alignment wrapText="1"/>
    </xf>
    <xf numFmtId="0" fontId="16" fillId="0" borderId="0" xfId="0" applyFont="1"/>
    <xf numFmtId="10" fontId="16" fillId="0" borderId="0" xfId="0" applyNumberFormat="1" applyFont="1"/>
    <xf numFmtId="8" fontId="16" fillId="0" borderId="0" xfId="0" applyNumberFormat="1" applyFont="1"/>
    <xf numFmtId="3" fontId="16" fillId="0" borderId="0" xfId="0" applyNumberFormat="1" applyFont="1"/>
    <xf numFmtId="0" fontId="16" fillId="0" borderId="0" xfId="0" quotePrefix="1" applyFont="1"/>
    <xf numFmtId="0" fontId="17" fillId="0" borderId="0" xfId="0" applyFont="1"/>
    <xf numFmtId="10" fontId="16" fillId="9" borderId="0" xfId="0" applyNumberFormat="1" applyFont="1" applyFill="1"/>
    <xf numFmtId="0" fontId="18" fillId="0" borderId="0" xfId="0" applyFont="1"/>
    <xf numFmtId="0" fontId="19" fillId="0" borderId="0" xfId="0" applyFont="1"/>
    <xf numFmtId="0" fontId="0" fillId="0" borderId="0" xfId="0" applyAlignment="1">
      <alignment vertical="top"/>
    </xf>
    <xf numFmtId="0" fontId="18" fillId="12" borderId="0" xfId="0" applyFont="1" applyFill="1"/>
    <xf numFmtId="0" fontId="0" fillId="0" borderId="0" xfId="0" applyAlignment="1">
      <alignment vertical="center"/>
    </xf>
    <xf numFmtId="0" fontId="1" fillId="0" borderId="0" xfId="0" applyFont="1" applyAlignment="1">
      <alignment vertical="center"/>
    </xf>
    <xf numFmtId="0" fontId="2" fillId="4" borderId="0" xfId="0" applyFont="1" applyFill="1" applyAlignment="1">
      <alignment horizontal="center"/>
    </xf>
    <xf numFmtId="0" fontId="2" fillId="10" borderId="0" xfId="0" applyFont="1" applyFill="1" applyAlignment="1">
      <alignment horizontal="center"/>
    </xf>
    <xf numFmtId="0" fontId="2" fillId="5" borderId="0" xfId="0" applyFont="1" applyFill="1" applyAlignment="1">
      <alignment horizontal="center"/>
    </xf>
    <xf numFmtId="17"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164" fontId="2" fillId="6" borderId="0" xfId="2" applyNumberFormat="1" applyFont="1" applyFill="1"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9933"/>
      <color rgb="FFEC7C8F"/>
      <color rgb="FFFF0066"/>
      <color rgb="FFFFF3F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313197831670117E-2"/>
          <c:y val="8.4406322166842587E-2"/>
          <c:w val="0.94334779700085036"/>
          <c:h val="0.79790631357952257"/>
        </c:manualLayout>
      </c:layout>
      <c:lineChart>
        <c:grouping val="standard"/>
        <c:varyColors val="0"/>
        <c:ser>
          <c:idx val="0"/>
          <c:order val="0"/>
          <c:tx>
            <c:strRef>
              <c:f>'Sales Summary'!$A$37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Summary'!$B$37:$AW$37</c:f>
              <c:numCache>
                <c:formatCode>#,##0</c:formatCode>
                <c:ptCount val="48"/>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pt idx="32">
                  <c:v>775274</c:v>
                </c:pt>
                <c:pt idx="33">
                  <c:v>871708</c:v>
                </c:pt>
                <c:pt idx="34">
                  <c:v>799507</c:v>
                </c:pt>
                <c:pt idx="35">
                  <c:v>739352</c:v>
                </c:pt>
                <c:pt idx="36">
                  <c:v>978960</c:v>
                </c:pt>
                <c:pt idx="37">
                  <c:v>904348</c:v>
                </c:pt>
                <c:pt idx="38">
                  <c:v>1009660</c:v>
                </c:pt>
              </c:numCache>
            </c:numRef>
          </c:val>
          <c:smooth val="0"/>
          <c:extLst>
            <c:ext xmlns:c16="http://schemas.microsoft.com/office/drawing/2014/chart" uri="{C3380CC4-5D6E-409C-BE32-E72D297353CC}">
              <c16:uniqueId val="{00000000-03C5-4E34-BFB7-9A35A14DE10F}"/>
            </c:ext>
          </c:extLst>
        </c:ser>
        <c:ser>
          <c:idx val="1"/>
          <c:order val="1"/>
          <c:tx>
            <c:strRef>
              <c:f>'Sales Summary'!$A$38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Summary'!$B$38:$AW$38</c:f>
              <c:numCache>
                <c:formatCode>#,##0</c:formatCode>
                <c:ptCount val="48"/>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pt idx="32">
                  <c:v>255858</c:v>
                </c:pt>
                <c:pt idx="33">
                  <c:v>258198</c:v>
                </c:pt>
                <c:pt idx="34">
                  <c:v>264121</c:v>
                </c:pt>
                <c:pt idx="35">
                  <c:v>210935</c:v>
                </c:pt>
                <c:pt idx="36">
                  <c:v>274668</c:v>
                </c:pt>
                <c:pt idx="37">
                  <c:v>263793</c:v>
                </c:pt>
                <c:pt idx="38">
                  <c:v>303748</c:v>
                </c:pt>
              </c:numCache>
            </c:numRef>
          </c:val>
          <c:smooth val="0"/>
          <c:extLst>
            <c:ext xmlns:c16="http://schemas.microsoft.com/office/drawing/2014/chart" uri="{C3380CC4-5D6E-409C-BE32-E72D297353CC}">
              <c16:uniqueId val="{00000001-03C5-4E34-BFB7-9A35A14DE10F}"/>
            </c:ext>
          </c:extLst>
        </c:ser>
        <c:ser>
          <c:idx val="2"/>
          <c:order val="2"/>
          <c:tx>
            <c:strRef>
              <c:f>'Sales Summary'!$A$39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Summary'!$B$39:$AW$39</c:f>
              <c:numCache>
                <c:formatCode>#,##0</c:formatCode>
                <c:ptCount val="48"/>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pt idx="32">
                  <c:v>176167</c:v>
                </c:pt>
                <c:pt idx="33">
                  <c:v>197143</c:v>
                </c:pt>
                <c:pt idx="34">
                  <c:v>180525</c:v>
                </c:pt>
                <c:pt idx="35">
                  <c:v>151210</c:v>
                </c:pt>
                <c:pt idx="36">
                  <c:v>199807</c:v>
                </c:pt>
                <c:pt idx="37">
                  <c:v>159850</c:v>
                </c:pt>
                <c:pt idx="38">
                  <c:v>214250</c:v>
                </c:pt>
              </c:numCache>
            </c:numRef>
          </c:val>
          <c:smooth val="0"/>
          <c:extLst>
            <c:ext xmlns:c16="http://schemas.microsoft.com/office/drawing/2014/chart" uri="{C3380CC4-5D6E-409C-BE32-E72D297353CC}">
              <c16:uniqueId val="{00000002-03C5-4E34-BFB7-9A35A14DE10F}"/>
            </c:ext>
          </c:extLst>
        </c:ser>
        <c:ser>
          <c:idx val="3"/>
          <c:order val="3"/>
          <c:tx>
            <c:strRef>
              <c:f>'Sales Summary'!$A$40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Summary'!$B$40:$AW$40</c:f>
              <c:numCache>
                <c:formatCode>#,##0</c:formatCode>
                <c:ptCount val="48"/>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pt idx="32">
                  <c:v>1207299</c:v>
                </c:pt>
                <c:pt idx="33">
                  <c:v>1327049</c:v>
                </c:pt>
                <c:pt idx="34">
                  <c:v>1244153</c:v>
                </c:pt>
                <c:pt idx="35">
                  <c:v>1101497</c:v>
                </c:pt>
                <c:pt idx="36">
                  <c:v>1453435</c:v>
                </c:pt>
                <c:pt idx="37">
                  <c:v>1327991</c:v>
                </c:pt>
                <c:pt idx="38">
                  <c:v>1527658</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CVR!$A$432:$AA$432</c:f>
              <c:strCache>
                <c:ptCount val="27"/>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strCache>
            </c:strRef>
          </c:cat>
          <c:val>
            <c:numRef>
              <c:f>CVR!$A$433:$AA$433</c:f>
              <c:numCache>
                <c:formatCode>0.00%</c:formatCode>
                <c:ptCount val="27"/>
                <c:pt idx="0">
                  <c:v>0.17119999999999999</c:v>
                </c:pt>
                <c:pt idx="1">
                  <c:v>0.16869999999999999</c:v>
                </c:pt>
                <c:pt idx="2">
                  <c:v>0.15559999999999999</c:v>
                </c:pt>
                <c:pt idx="3">
                  <c:v>0.15379999999999999</c:v>
                </c:pt>
                <c:pt idx="4">
                  <c:v>0.17710000000000001</c:v>
                </c:pt>
                <c:pt idx="5">
                  <c:v>0.192</c:v>
                </c:pt>
                <c:pt idx="6">
                  <c:v>0.19189999999999999</c:v>
                </c:pt>
                <c:pt idx="7">
                  <c:v>0.19600000000000001</c:v>
                </c:pt>
                <c:pt idx="8">
                  <c:v>0.1981</c:v>
                </c:pt>
                <c:pt idx="9">
                  <c:v>0.20469999999999999</c:v>
                </c:pt>
                <c:pt idx="10">
                  <c:v>0.1976</c:v>
                </c:pt>
                <c:pt idx="11">
                  <c:v>0.2024</c:v>
                </c:pt>
                <c:pt idx="12">
                  <c:v>0.182</c:v>
                </c:pt>
                <c:pt idx="13">
                  <c:v>0.189</c:v>
                </c:pt>
                <c:pt idx="14">
                  <c:v>0.1938</c:v>
                </c:pt>
                <c:pt idx="15">
                  <c:v>0.1951</c:v>
                </c:pt>
                <c:pt idx="16">
                  <c:v>0.1973</c:v>
                </c:pt>
                <c:pt idx="17">
                  <c:v>0.2051</c:v>
                </c:pt>
                <c:pt idx="18">
                  <c:v>0.2167</c:v>
                </c:pt>
                <c:pt idx="19">
                  <c:v>0.2099</c:v>
                </c:pt>
                <c:pt idx="20">
                  <c:v>0.2248</c:v>
                </c:pt>
                <c:pt idx="21">
                  <c:v>0.2351</c:v>
                </c:pt>
                <c:pt idx="22">
                  <c:v>0.22670000000000001</c:v>
                </c:pt>
                <c:pt idx="23">
                  <c:v>0.24079999999999999</c:v>
                </c:pt>
                <c:pt idx="24">
                  <c:v>0.2243</c:v>
                </c:pt>
                <c:pt idx="25">
                  <c:v>0.2288</c:v>
                </c:pt>
                <c:pt idx="26">
                  <c:v>0.23319999999999999</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25</xdr:col>
      <xdr:colOff>1030941</xdr:colOff>
      <xdr:row>43</xdr:row>
      <xdr:rowOff>123264</xdr:rowOff>
    </xdr:from>
    <xdr:to>
      <xdr:col>40</xdr:col>
      <xdr:colOff>1075764</xdr:colOff>
      <xdr:row>94</xdr:row>
      <xdr:rowOff>134469</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512165</xdr:colOff>
      <xdr:row>434</xdr:row>
      <xdr:rowOff>47228</xdr:rowOff>
    </xdr:from>
    <xdr:to>
      <xdr:col>22</xdr:col>
      <xdr:colOff>481853</xdr:colOff>
      <xdr:row>473</xdr:row>
      <xdr:rowOff>134471</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59"/>
  <sheetViews>
    <sheetView zoomScaleNormal="100" workbookViewId="0">
      <pane xSplit="2" ySplit="2" topLeftCell="J3" activePane="bottomRight" state="frozen"/>
      <selection pane="bottomRight" activeCell="B13" sqref="B13"/>
      <selection pane="bottomLeft" activeCell="A3" sqref="A3"/>
      <selection pane="topRight" activeCell="C1" sqref="C1"/>
    </sheetView>
  </sheetViews>
  <sheetFormatPr defaultRowHeight="15" customHeight="1"/>
  <cols>
    <col min="1" max="1" width="65.5703125" customWidth="1"/>
    <col min="2" max="2" width="14.28515625" customWidth="1"/>
    <col min="3" max="3" width="16"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4.5703125" style="112" customWidth="1"/>
    <col min="22" max="22" width="10.28515625" customWidth="1"/>
    <col min="23" max="23" width="15.85546875" customWidth="1"/>
    <col min="24" max="24" width="17.140625" customWidth="1"/>
    <col min="25" max="25" width="8.28515625" customWidth="1"/>
    <col min="26" max="26" width="2" customWidth="1"/>
    <col min="27" max="28" width="10.85546875" customWidth="1"/>
    <col min="29" max="29" width="2.28515625" customWidth="1"/>
    <col min="30" max="31" width="12.42578125" customWidth="1"/>
    <col min="32" max="32" width="2.7109375" customWidth="1"/>
  </cols>
  <sheetData>
    <row r="1" spans="1:37" ht="14.45" customHeight="1">
      <c r="B1" s="194">
        <v>46054</v>
      </c>
      <c r="C1" s="195"/>
      <c r="E1" s="194">
        <v>46082</v>
      </c>
      <c r="F1" s="195"/>
      <c r="J1" s="196"/>
      <c r="K1" s="196"/>
      <c r="M1" s="197" t="s">
        <v>0</v>
      </c>
      <c r="N1" s="197"/>
      <c r="O1" s="1"/>
      <c r="Q1" s="141" t="s">
        <v>1</v>
      </c>
      <c r="R1" s="1"/>
      <c r="U1" s="191" t="s">
        <v>2</v>
      </c>
      <c r="V1" s="191"/>
      <c r="W1" s="193" t="s">
        <v>3</v>
      </c>
      <c r="X1" s="193"/>
      <c r="AA1" s="191" t="s">
        <v>4</v>
      </c>
      <c r="AB1" s="191"/>
      <c r="AD1" s="192" t="s">
        <v>5</v>
      </c>
      <c r="AE1" s="192"/>
    </row>
    <row r="2" spans="1:37">
      <c r="A2" s="3" t="s">
        <v>6</v>
      </c>
      <c r="B2" s="3" t="s">
        <v>7</v>
      </c>
      <c r="C2" s="3" t="s">
        <v>8</v>
      </c>
      <c r="D2" s="3"/>
      <c r="E2" s="3" t="s">
        <v>7</v>
      </c>
      <c r="F2" s="3" t="s">
        <v>8</v>
      </c>
      <c r="G2" s="3" t="s">
        <v>9</v>
      </c>
      <c r="H2" s="3"/>
      <c r="I2" s="3"/>
      <c r="J2" s="3" t="s">
        <v>10</v>
      </c>
      <c r="K2" s="3" t="s">
        <v>11</v>
      </c>
      <c r="L2" s="3"/>
      <c r="M2" s="3" t="s">
        <v>12</v>
      </c>
      <c r="N2" s="3" t="s">
        <v>13</v>
      </c>
      <c r="O2" s="3"/>
      <c r="P2" s="3"/>
      <c r="Q2" s="32" t="s">
        <v>14</v>
      </c>
      <c r="R2" s="3"/>
      <c r="S2" s="3"/>
      <c r="T2" s="3"/>
      <c r="U2" s="113" t="s">
        <v>15</v>
      </c>
      <c r="V2" s="3" t="s">
        <v>11</v>
      </c>
      <c r="W2" s="3" t="s">
        <v>16</v>
      </c>
      <c r="X2" s="3" t="s">
        <v>17</v>
      </c>
      <c r="Y2" s="3" t="s">
        <v>11</v>
      </c>
      <c r="Z2" s="3"/>
      <c r="AA2" s="3" t="s">
        <v>16</v>
      </c>
      <c r="AB2" s="3" t="s">
        <v>17</v>
      </c>
      <c r="AD2" s="3" t="s">
        <v>16</v>
      </c>
      <c r="AE2" s="3" t="s">
        <v>17</v>
      </c>
      <c r="AG2" t="s">
        <v>18</v>
      </c>
      <c r="AH2" t="s">
        <v>19</v>
      </c>
      <c r="AI2" t="s">
        <v>20</v>
      </c>
      <c r="AJ2" t="s">
        <v>21</v>
      </c>
      <c r="AK2" t="s">
        <v>22</v>
      </c>
    </row>
    <row r="3" spans="1:37" ht="13.9" customHeight="1">
      <c r="A3" t="s">
        <v>23</v>
      </c>
      <c r="B3" t="s">
        <v>24</v>
      </c>
      <c r="C3" s="27">
        <v>18981</v>
      </c>
      <c r="E3" t="s">
        <v>24</v>
      </c>
      <c r="F3" s="27">
        <v>15345</v>
      </c>
      <c r="G3" t="b">
        <f>IF(B3=E3,TRUE,FALSE)</f>
        <v>1</v>
      </c>
      <c r="J3" s="24">
        <f>F3-C3</f>
        <v>-3636</v>
      </c>
      <c r="K3" s="4">
        <f>F3/C3-1</f>
        <v>-0.19155998103366523</v>
      </c>
      <c r="M3" s="5">
        <v>16752.86</v>
      </c>
      <c r="N3" s="5">
        <v>23037.23</v>
      </c>
      <c r="Q3" s="122">
        <v>179769.58000000002</v>
      </c>
      <c r="U3" s="145">
        <f>N3-M3</f>
        <v>6284.369999999999</v>
      </c>
      <c r="V3" s="4">
        <f>IF(M3=0,0,N3/M3-1)</f>
        <v>0.37512221793771316</v>
      </c>
      <c r="W3" s="17">
        <v>662779.37</v>
      </c>
      <c r="X3" s="17">
        <v>536241.65</v>
      </c>
      <c r="Y3" s="4">
        <f>X3/W3-1</f>
        <v>-0.1909198229872483</v>
      </c>
      <c r="Z3" s="4"/>
      <c r="AA3">
        <v>85442</v>
      </c>
      <c r="AB3">
        <v>68108</v>
      </c>
      <c r="AD3" s="25">
        <v>0.22260000000000002</v>
      </c>
      <c r="AE3" s="25">
        <v>0.22450000000000001</v>
      </c>
      <c r="AG3" t="s">
        <v>25</v>
      </c>
    </row>
    <row r="4" spans="1:37" ht="13.9" customHeight="1">
      <c r="A4" t="s">
        <v>26</v>
      </c>
      <c r="B4" t="s">
        <v>27</v>
      </c>
      <c r="C4" s="27">
        <v>49012</v>
      </c>
      <c r="E4" t="s">
        <v>27</v>
      </c>
      <c r="F4" s="27">
        <v>45416</v>
      </c>
      <c r="G4" t="b">
        <f>IF(B4=E4,TRUE,FALSE)</f>
        <v>1</v>
      </c>
      <c r="J4" s="24">
        <f>F4-C4</f>
        <v>-3596</v>
      </c>
      <c r="K4" s="4">
        <f>F4/C4-1</f>
        <v>-7.3369786990940988E-2</v>
      </c>
      <c r="M4" s="5">
        <v>88783.37999999999</v>
      </c>
      <c r="N4" s="5">
        <v>138749.25</v>
      </c>
      <c r="Q4" s="122">
        <v>527141.49</v>
      </c>
      <c r="U4" s="145">
        <f>N4-M4</f>
        <v>49965.87000000001</v>
      </c>
      <c r="V4" s="4">
        <f>IF(M4=0,0,N4/M4-1)</f>
        <v>0.56278404809548821</v>
      </c>
      <c r="W4" s="17">
        <v>1672439.07</v>
      </c>
      <c r="X4" s="17">
        <v>1450731.2</v>
      </c>
      <c r="Y4" s="4">
        <f>X4/W4-1</f>
        <v>-0.13256558877209212</v>
      </c>
      <c r="Z4" s="4"/>
      <c r="AA4">
        <v>279659</v>
      </c>
      <c r="AB4">
        <v>250491</v>
      </c>
      <c r="AD4" s="25">
        <v>0.1757</v>
      </c>
      <c r="AE4" s="25">
        <v>0.1804</v>
      </c>
      <c r="AI4" s="107" t="s">
        <v>28</v>
      </c>
    </row>
    <row r="5" spans="1:37">
      <c r="A5" t="s">
        <v>29</v>
      </c>
      <c r="B5" t="s">
        <v>30</v>
      </c>
      <c r="C5" s="27">
        <v>12231</v>
      </c>
      <c r="E5" t="s">
        <v>30</v>
      </c>
      <c r="F5" s="27">
        <v>9045</v>
      </c>
      <c r="G5" t="b">
        <f>IF(B5=E5,TRUE,FALSE)</f>
        <v>1</v>
      </c>
      <c r="J5" s="24">
        <f>F5-C5</f>
        <v>-3186</v>
      </c>
      <c r="K5" s="4">
        <f>F5/C5-1</f>
        <v>-0.26048565121412803</v>
      </c>
      <c r="M5" s="5">
        <v>14506.060000000001</v>
      </c>
      <c r="N5" s="5">
        <v>16935.02</v>
      </c>
      <c r="Q5" s="122">
        <v>88364.540000000008</v>
      </c>
      <c r="U5" s="145">
        <f>N5-M5</f>
        <v>2428.9599999999991</v>
      </c>
      <c r="V5" s="4">
        <f>IF(M5=0,0,N5/M5-1)</f>
        <v>0.1674445025044704</v>
      </c>
      <c r="W5" s="17">
        <v>329612.17</v>
      </c>
      <c r="X5" s="17">
        <v>243756.41</v>
      </c>
      <c r="Y5" s="4">
        <f>X5/W5-1</f>
        <v>-0.26047509107445876</v>
      </c>
      <c r="Z5" s="4"/>
      <c r="AA5">
        <v>58082</v>
      </c>
      <c r="AB5">
        <v>45024</v>
      </c>
      <c r="AD5" s="25">
        <v>0.21059999999999998</v>
      </c>
      <c r="AE5" s="25">
        <v>0.20069999999999999</v>
      </c>
      <c r="AG5" t="s">
        <v>31</v>
      </c>
    </row>
    <row r="6" spans="1:37" ht="13.9" customHeight="1">
      <c r="A6" t="s">
        <v>32</v>
      </c>
      <c r="B6" t="s">
        <v>33</v>
      </c>
      <c r="C6" s="27">
        <v>25251</v>
      </c>
      <c r="E6" t="s">
        <v>33</v>
      </c>
      <c r="F6" s="27">
        <v>22604</v>
      </c>
      <c r="G6" t="b">
        <f>IF(B6=E6,TRUE,FALSE)</f>
        <v>1</v>
      </c>
      <c r="J6" s="24">
        <f>F6-C6</f>
        <v>-2647</v>
      </c>
      <c r="K6" s="4">
        <f>F6/C6-1</f>
        <v>-0.10482753158290758</v>
      </c>
      <c r="M6" s="5">
        <v>46516.21</v>
      </c>
      <c r="N6" s="5">
        <v>47768.32</v>
      </c>
      <c r="Q6" s="122">
        <v>226782.9</v>
      </c>
      <c r="U6" s="145">
        <f>N6-M6</f>
        <v>1252.1100000000006</v>
      </c>
      <c r="V6" s="4">
        <f>IF(M6=0,0,N6/M6-1)</f>
        <v>2.691771320148395E-2</v>
      </c>
      <c r="W6" s="17">
        <v>675338.82</v>
      </c>
      <c r="X6" s="17">
        <v>637435.47</v>
      </c>
      <c r="Y6" s="4">
        <f>X6/W6-1</f>
        <v>-5.6124938886231934E-2</v>
      </c>
      <c r="Z6" s="4"/>
      <c r="AA6">
        <v>106403</v>
      </c>
      <c r="AB6">
        <v>88056</v>
      </c>
      <c r="AD6" s="25">
        <v>0.2379</v>
      </c>
      <c r="AE6" s="25">
        <v>0.25579999999999997</v>
      </c>
      <c r="AI6" t="s">
        <v>34</v>
      </c>
    </row>
    <row r="7" spans="1:37" ht="14.45" customHeight="1">
      <c r="A7" s="126" t="s">
        <v>35</v>
      </c>
      <c r="B7" s="126" t="s">
        <v>36</v>
      </c>
      <c r="C7" s="27">
        <v>4264</v>
      </c>
      <c r="E7" s="126" t="s">
        <v>36</v>
      </c>
      <c r="F7" s="27">
        <v>2263</v>
      </c>
      <c r="G7" t="b">
        <f>IF(B7=E7,TRUE,FALSE)</f>
        <v>1</v>
      </c>
      <c r="J7" s="24">
        <f>F7-C7</f>
        <v>-2001</v>
      </c>
      <c r="K7" s="4">
        <f>F7/C7-1</f>
        <v>-0.46927767354596628</v>
      </c>
      <c r="M7" s="5">
        <v>6173.95</v>
      </c>
      <c r="N7" s="5">
        <v>2451.9299999999998</v>
      </c>
      <c r="Q7" s="121">
        <v>9028.27</v>
      </c>
      <c r="U7" s="145">
        <f>N7-M7</f>
        <v>-3722.02</v>
      </c>
      <c r="V7" s="4">
        <f>IF(M7=0,0,N7/M7-1)</f>
        <v>-0.60285878570445184</v>
      </c>
      <c r="W7" s="17">
        <v>42594.36</v>
      </c>
      <c r="X7" s="17">
        <v>22595.48</v>
      </c>
      <c r="Y7" s="4">
        <f>X7/W7-1</f>
        <v>-0.4695194387238123</v>
      </c>
      <c r="Z7" s="4"/>
      <c r="AA7">
        <v>12851</v>
      </c>
      <c r="AB7">
        <v>8136</v>
      </c>
      <c r="AD7" s="25">
        <v>0.33159999999999995</v>
      </c>
      <c r="AE7" s="25">
        <v>0.27779999999999999</v>
      </c>
      <c r="AG7" t="s">
        <v>37</v>
      </c>
      <c r="AI7" t="s">
        <v>38</v>
      </c>
    </row>
    <row r="8" spans="1:37" ht="13.9" customHeight="1">
      <c r="A8" t="s">
        <v>39</v>
      </c>
      <c r="B8" t="s">
        <v>40</v>
      </c>
      <c r="C8" s="27">
        <v>6684</v>
      </c>
      <c r="E8" t="s">
        <v>40</v>
      </c>
      <c r="F8" s="27">
        <v>4692</v>
      </c>
      <c r="G8" t="b">
        <f>IF(B8=E8,TRUE,FALSE)</f>
        <v>1</v>
      </c>
      <c r="J8" s="24">
        <f>F8-C8</f>
        <v>-1992</v>
      </c>
      <c r="K8" s="4">
        <f>F8/C8-1</f>
        <v>-0.29802513464991021</v>
      </c>
      <c r="M8" s="5">
        <v>10199.16</v>
      </c>
      <c r="N8" s="5">
        <v>7735.6900000000005</v>
      </c>
      <c r="Q8" s="122">
        <v>39794.559999999998</v>
      </c>
      <c r="U8" s="145">
        <f>N8-M8</f>
        <v>-2463.4699999999993</v>
      </c>
      <c r="V8" s="4">
        <f>IF(M8=0,0,N8/M8-1)</f>
        <v>-0.2415365579126123</v>
      </c>
      <c r="W8" s="17">
        <v>146288.68</v>
      </c>
      <c r="X8" s="17">
        <v>119636.79</v>
      </c>
      <c r="Y8" s="4">
        <f>X8/W8-1</f>
        <v>-0.18218696074091312</v>
      </c>
      <c r="Z8" s="4"/>
      <c r="AA8">
        <v>33908</v>
      </c>
      <c r="AB8">
        <v>20738</v>
      </c>
      <c r="AD8" s="25">
        <v>0.19760000000000003</v>
      </c>
      <c r="AE8" s="25">
        <v>0.22489999999999999</v>
      </c>
      <c r="AG8" t="s">
        <v>41</v>
      </c>
    </row>
    <row r="9" spans="1:37" ht="13.9" customHeight="1">
      <c r="A9" t="s">
        <v>42</v>
      </c>
      <c r="B9" t="s">
        <v>43</v>
      </c>
      <c r="C9" s="27">
        <v>2205</v>
      </c>
      <c r="E9" t="s">
        <v>43</v>
      </c>
      <c r="F9" s="27">
        <v>726</v>
      </c>
      <c r="G9" t="b">
        <f>IF(B9=E9,TRUE,FALSE)</f>
        <v>1</v>
      </c>
      <c r="J9" s="24">
        <f>F9-C9</f>
        <v>-1479</v>
      </c>
      <c r="K9" s="4">
        <f>F9/C9-1</f>
        <v>-0.6707482993197279</v>
      </c>
      <c r="M9" s="5">
        <v>1307.5</v>
      </c>
      <c r="N9" s="5">
        <v>419.8</v>
      </c>
      <c r="Q9" s="122">
        <v>3515.03</v>
      </c>
      <c r="U9" s="145">
        <f>N9-M9</f>
        <v>-887.7</v>
      </c>
      <c r="V9" s="4">
        <f>IF(M9=0,0,N9/M9-1)</f>
        <v>-0.67892925430210327</v>
      </c>
      <c r="W9" s="17">
        <v>55090.95</v>
      </c>
      <c r="X9" s="17">
        <v>18139.740000000002</v>
      </c>
      <c r="Y9" s="4">
        <f>X9/W9-1</f>
        <v>-0.67073103658586386</v>
      </c>
      <c r="Z9" s="4"/>
      <c r="AA9">
        <v>11060</v>
      </c>
      <c r="AB9">
        <v>4334</v>
      </c>
      <c r="AD9" s="25">
        <v>0.19940000000000002</v>
      </c>
      <c r="AE9" s="25">
        <v>0.1671</v>
      </c>
      <c r="AH9" t="s">
        <v>37</v>
      </c>
    </row>
    <row r="10" spans="1:37" ht="13.9" customHeight="1">
      <c r="A10" s="39" t="s">
        <v>44</v>
      </c>
      <c r="B10" s="36" t="s">
        <v>45</v>
      </c>
      <c r="C10" s="27">
        <v>6958</v>
      </c>
      <c r="E10" s="36" t="s">
        <v>45</v>
      </c>
      <c r="F10" s="27">
        <v>5571</v>
      </c>
      <c r="G10" t="b">
        <f>IF(B10=E10,TRUE,FALSE)</f>
        <v>1</v>
      </c>
      <c r="J10" s="24">
        <f>F10-C10</f>
        <v>-1387</v>
      </c>
      <c r="K10" s="4">
        <f>F10/C10-1</f>
        <v>-0.1993388904857718</v>
      </c>
      <c r="M10" s="5">
        <v>13183.699999999999</v>
      </c>
      <c r="N10" s="5">
        <v>9794.49</v>
      </c>
      <c r="Q10" s="121">
        <v>57382.05</v>
      </c>
      <c r="U10" s="145">
        <f>N10-M10</f>
        <v>-3389.2099999999991</v>
      </c>
      <c r="V10" s="4">
        <f>IF(M10=0,0,N10/M10-1)</f>
        <v>-0.25707578297443046</v>
      </c>
      <c r="W10" s="17">
        <v>187744.05</v>
      </c>
      <c r="X10" s="17">
        <v>150308.65</v>
      </c>
      <c r="Y10" s="4">
        <f>X10/W10-1</f>
        <v>-0.19939593292037749</v>
      </c>
      <c r="Z10" s="4"/>
      <c r="AA10">
        <v>30418</v>
      </c>
      <c r="AB10">
        <v>26890</v>
      </c>
      <c r="AD10" s="25">
        <v>0.2288</v>
      </c>
      <c r="AE10" s="25">
        <v>0.2059</v>
      </c>
      <c r="AG10" t="s">
        <v>37</v>
      </c>
    </row>
    <row r="11" spans="1:37" ht="13.9" customHeight="1">
      <c r="A11" t="s">
        <v>46</v>
      </c>
      <c r="B11" t="s">
        <v>47</v>
      </c>
      <c r="C11" s="27">
        <v>4339</v>
      </c>
      <c r="E11" t="s">
        <v>47</v>
      </c>
      <c r="F11" s="27">
        <v>3077</v>
      </c>
      <c r="G11" t="b">
        <f>IF(B11=E11,TRUE,FALSE)</f>
        <v>1</v>
      </c>
      <c r="J11" s="24">
        <f>F11-C11</f>
        <v>-1262</v>
      </c>
      <c r="K11" s="4">
        <f>F11/C11-1</f>
        <v>-0.29085042636552205</v>
      </c>
      <c r="M11" s="5">
        <v>11808.36</v>
      </c>
      <c r="N11" s="5">
        <v>6664.0199999999995</v>
      </c>
      <c r="Q11" s="122">
        <v>25007.670000000002</v>
      </c>
      <c r="U11" s="145">
        <f>N11-M11</f>
        <v>-5144.3400000000011</v>
      </c>
      <c r="V11" s="4">
        <f>IF(M11=0,0,N11/M11-1)</f>
        <v>-0.43565236832210408</v>
      </c>
      <c r="W11" s="17">
        <v>112612.47</v>
      </c>
      <c r="X11" s="17">
        <v>79106.66</v>
      </c>
      <c r="Y11" s="4">
        <f>X11/W11-1</f>
        <v>-0.29753196959448625</v>
      </c>
      <c r="Z11" s="4"/>
      <c r="AA11">
        <v>20536</v>
      </c>
      <c r="AB11">
        <v>14253</v>
      </c>
      <c r="AD11" s="25">
        <v>0.21160000000000001</v>
      </c>
      <c r="AE11" s="25">
        <v>0.21440000000000001</v>
      </c>
      <c r="AG11" t="s">
        <v>48</v>
      </c>
      <c r="AI11" s="136" t="s">
        <v>49</v>
      </c>
    </row>
    <row r="12" spans="1:37" ht="13.9" customHeight="1">
      <c r="A12" t="s">
        <v>50</v>
      </c>
      <c r="B12" s="26" t="s">
        <v>51</v>
      </c>
      <c r="C12" s="27">
        <v>3160</v>
      </c>
      <c r="D12" s="18"/>
      <c r="E12" s="26" t="s">
        <v>51</v>
      </c>
      <c r="F12" s="27">
        <v>2065</v>
      </c>
      <c r="G12" t="b">
        <f>IF(B12=E12,TRUE,FALSE)</f>
        <v>1</v>
      </c>
      <c r="H12" s="18"/>
      <c r="I12" s="18"/>
      <c r="J12" s="24">
        <f>F12-C12</f>
        <v>-1095</v>
      </c>
      <c r="K12" s="4">
        <f>F12/C12-1</f>
        <v>-0.34651898734177211</v>
      </c>
      <c r="M12" s="5">
        <v>3602.6</v>
      </c>
      <c r="N12" s="5">
        <v>2014.26</v>
      </c>
      <c r="Q12" s="122">
        <v>11816.5</v>
      </c>
      <c r="U12" s="145">
        <f>N12-M12</f>
        <v>-1588.34</v>
      </c>
      <c r="V12" s="4">
        <f>IF(M12=0,0,N12/M12-1)</f>
        <v>-0.44088713706767335</v>
      </c>
      <c r="W12" s="17">
        <v>75800.960000000006</v>
      </c>
      <c r="X12" s="17">
        <v>49483.93</v>
      </c>
      <c r="Y12" s="4">
        <f>X12/W12-1</f>
        <v>-0.34718597231486259</v>
      </c>
      <c r="Z12" s="4"/>
      <c r="AA12">
        <v>18776</v>
      </c>
      <c r="AB12">
        <v>13658</v>
      </c>
      <c r="AD12" s="25">
        <v>0.16870000000000002</v>
      </c>
      <c r="AE12" s="25">
        <v>0.15079999999999999</v>
      </c>
      <c r="AG12" t="s">
        <v>52</v>
      </c>
    </row>
    <row r="13" spans="1:37" ht="13.9" customHeight="1">
      <c r="A13" t="s">
        <v>53</v>
      </c>
      <c r="B13" t="s">
        <v>54</v>
      </c>
      <c r="C13" s="27">
        <v>3568</v>
      </c>
      <c r="E13" t="s">
        <v>54</v>
      </c>
      <c r="F13" s="27">
        <v>2479</v>
      </c>
      <c r="G13" t="b">
        <f>IF(B13=E13,TRUE,FALSE)</f>
        <v>1</v>
      </c>
      <c r="J13" s="24">
        <f>F13-C13</f>
        <v>-1089</v>
      </c>
      <c r="K13" s="4">
        <f>F13/C13-1</f>
        <v>-0.30521300448430488</v>
      </c>
      <c r="M13" s="5">
        <v>5287.67</v>
      </c>
      <c r="N13" s="5">
        <v>3447.22</v>
      </c>
      <c r="Q13" s="122">
        <v>32646.92</v>
      </c>
      <c r="U13" s="145">
        <f>N13-M13</f>
        <v>-1840.4500000000003</v>
      </c>
      <c r="V13" s="4">
        <f>IF(M13=0,0,N13/M13-1)</f>
        <v>-0.3480644593932678</v>
      </c>
      <c r="W13" s="17">
        <v>106976.42</v>
      </c>
      <c r="X13" s="17">
        <v>74331.710000000006</v>
      </c>
      <c r="Y13" s="4">
        <f>X13/W13-1</f>
        <v>-0.3051579965005371</v>
      </c>
      <c r="Z13" s="4"/>
      <c r="AA13">
        <v>10472</v>
      </c>
      <c r="AB13">
        <v>7921</v>
      </c>
      <c r="AD13" s="25">
        <v>0.34090000000000004</v>
      </c>
      <c r="AE13" s="25">
        <v>0.31230000000000002</v>
      </c>
      <c r="AH13" t="s">
        <v>55</v>
      </c>
    </row>
    <row r="14" spans="1:37" ht="13.9" customHeight="1">
      <c r="A14" t="s">
        <v>56</v>
      </c>
      <c r="B14" t="s">
        <v>57</v>
      </c>
      <c r="C14" s="27">
        <v>4068</v>
      </c>
      <c r="E14" t="s">
        <v>57</v>
      </c>
      <c r="F14" s="27">
        <v>3024</v>
      </c>
      <c r="G14" t="b">
        <f>IF(B14=E14,TRUE,FALSE)</f>
        <v>1</v>
      </c>
      <c r="J14" s="24">
        <f>F14-C14</f>
        <v>-1044</v>
      </c>
      <c r="K14" s="4">
        <f>F14/C14-1</f>
        <v>-0.25663716814159288</v>
      </c>
      <c r="M14" s="5">
        <v>7671.61</v>
      </c>
      <c r="N14" s="5">
        <v>5036.6099999999997</v>
      </c>
      <c r="Q14" s="122">
        <v>37538.99</v>
      </c>
      <c r="U14" s="145">
        <f>N14-M14</f>
        <v>-2635</v>
      </c>
      <c r="V14" s="4">
        <f>IF(M14=0,0,N14/M14-1)</f>
        <v>-0.34347418599224933</v>
      </c>
      <c r="W14" s="17">
        <v>130877.43</v>
      </c>
      <c r="X14" s="17">
        <v>96708.96</v>
      </c>
      <c r="Y14" s="4">
        <f>X14/W14-1</f>
        <v>-0.26107228725380682</v>
      </c>
      <c r="Z14" s="4"/>
      <c r="AA14">
        <v>16769</v>
      </c>
      <c r="AB14">
        <v>9377</v>
      </c>
      <c r="AD14" s="25">
        <v>0.2432</v>
      </c>
      <c r="AE14" s="25">
        <v>0.3206</v>
      </c>
      <c r="AG14" t="s">
        <v>58</v>
      </c>
    </row>
    <row r="15" spans="1:37" ht="13.9" customHeight="1">
      <c r="A15" t="s">
        <v>59</v>
      </c>
      <c r="B15" t="s">
        <v>60</v>
      </c>
      <c r="C15" s="27">
        <v>1964</v>
      </c>
      <c r="E15" t="s">
        <v>60</v>
      </c>
      <c r="F15" s="27">
        <v>1053</v>
      </c>
      <c r="G15" t="b">
        <f>IF(B15=E15,TRUE,FALSE)</f>
        <v>1</v>
      </c>
      <c r="J15" s="24">
        <f>F15-C15</f>
        <v>-911</v>
      </c>
      <c r="K15" s="4">
        <f>F15/C15-1</f>
        <v>-0.46384928716904272</v>
      </c>
      <c r="M15" s="5">
        <v>2652.64</v>
      </c>
      <c r="N15" s="5">
        <v>2896.66</v>
      </c>
      <c r="Q15" s="122">
        <v>18096.490000000002</v>
      </c>
      <c r="U15" s="145">
        <f>N15-M15</f>
        <v>244.01999999999998</v>
      </c>
      <c r="V15" s="4">
        <f>IF(M15=0,0,N15/M15-1)</f>
        <v>9.1991374630556733E-2</v>
      </c>
      <c r="W15" s="17">
        <v>41761.69</v>
      </c>
      <c r="X15" s="17">
        <v>31574.67</v>
      </c>
      <c r="Y15" s="4">
        <f>X15/W15-1</f>
        <v>-0.24393217803206724</v>
      </c>
      <c r="Z15" s="4"/>
      <c r="AA15">
        <v>13682</v>
      </c>
      <c r="AB15">
        <v>8559</v>
      </c>
      <c r="AD15" s="25">
        <v>0.1439</v>
      </c>
      <c r="AE15" s="25">
        <v>0.12300000000000001</v>
      </c>
      <c r="AG15" t="s">
        <v>61</v>
      </c>
    </row>
    <row r="16" spans="1:37" ht="14.25" customHeight="1">
      <c r="A16" t="s">
        <v>62</v>
      </c>
      <c r="B16" t="s">
        <v>63</v>
      </c>
      <c r="C16" s="27">
        <v>3194</v>
      </c>
      <c r="E16" t="s">
        <v>63</v>
      </c>
      <c r="F16" s="27">
        <v>2414</v>
      </c>
      <c r="G16" t="b">
        <f>IF(B16=E16,TRUE,FALSE)</f>
        <v>1</v>
      </c>
      <c r="J16" s="24">
        <f>F16-C16</f>
        <v>-780</v>
      </c>
      <c r="K16" s="4">
        <f>F16/C16-1</f>
        <v>-0.24420788979336261</v>
      </c>
      <c r="M16" s="5">
        <v>4934.3900000000003</v>
      </c>
      <c r="N16" s="5">
        <v>4313.12</v>
      </c>
      <c r="Q16" s="122">
        <v>24519.32</v>
      </c>
      <c r="U16" s="145">
        <f>N16-M16</f>
        <v>-621.27000000000044</v>
      </c>
      <c r="V16" s="4">
        <f>IF(M16=0,0,N16/M16-1)</f>
        <v>-0.12590614037398751</v>
      </c>
      <c r="W16" s="17">
        <v>92568.57</v>
      </c>
      <c r="X16" s="17">
        <v>69867.399999999994</v>
      </c>
      <c r="Y16" s="4">
        <f>X16/W16-1</f>
        <v>-0.24523626107651886</v>
      </c>
      <c r="Z16" s="4"/>
      <c r="AA16">
        <v>11214</v>
      </c>
      <c r="AB16">
        <v>10416</v>
      </c>
      <c r="AD16" s="25">
        <v>0.28420000000000001</v>
      </c>
      <c r="AE16" s="25">
        <v>0.2306</v>
      </c>
      <c r="AH16" t="s">
        <v>64</v>
      </c>
    </row>
    <row r="17" spans="1:34" ht="13.9" customHeight="1">
      <c r="A17" s="125" t="s">
        <v>65</v>
      </c>
      <c r="B17" s="125" t="s">
        <v>66</v>
      </c>
      <c r="C17" s="27">
        <v>1147</v>
      </c>
      <c r="E17" s="125" t="s">
        <v>66</v>
      </c>
      <c r="F17" s="27">
        <v>390</v>
      </c>
      <c r="G17" t="b">
        <f>IF(B17=E17,TRUE,FALSE)</f>
        <v>1</v>
      </c>
      <c r="J17" s="24">
        <f>F17-C17</f>
        <v>-757</v>
      </c>
      <c r="K17" s="4">
        <f>F17/C17-1</f>
        <v>-0.65998256320836968</v>
      </c>
      <c r="M17" s="5">
        <v>1417.45</v>
      </c>
      <c r="N17" s="5">
        <v>904.94</v>
      </c>
      <c r="Q17" s="121">
        <v>6954.43</v>
      </c>
      <c r="U17" s="145">
        <f>N17-M17</f>
        <v>-512.51</v>
      </c>
      <c r="V17" s="4">
        <f>IF(M17=0,0,N17/M17-1)</f>
        <v>-0.36157183674909166</v>
      </c>
      <c r="W17" s="17">
        <v>35835.33</v>
      </c>
      <c r="X17" s="17">
        <v>15554.47</v>
      </c>
      <c r="Y17" s="4"/>
      <c r="Z17" s="4"/>
      <c r="AA17">
        <v>4666</v>
      </c>
      <c r="AB17">
        <v>2922</v>
      </c>
      <c r="AD17" s="25">
        <v>0.24559999999999998</v>
      </c>
      <c r="AE17" s="25">
        <v>0.13109999999999999</v>
      </c>
    </row>
    <row r="18" spans="1:34" ht="13.9" customHeight="1">
      <c r="A18" s="126" t="s">
        <v>67</v>
      </c>
      <c r="B18" s="126" t="s">
        <v>68</v>
      </c>
      <c r="C18" s="27">
        <v>751</v>
      </c>
      <c r="E18" s="126" t="s">
        <v>68</v>
      </c>
      <c r="F18" s="27">
        <v>2</v>
      </c>
      <c r="G18" t="b">
        <f>IF(B18=E18,TRUE,FALSE)</f>
        <v>1</v>
      </c>
      <c r="J18" s="24">
        <f>F18-C18</f>
        <v>-749</v>
      </c>
      <c r="K18" s="4">
        <f>F18/C18-1</f>
        <v>-0.99733688415446076</v>
      </c>
      <c r="M18" s="5">
        <v>643.19000000000005</v>
      </c>
      <c r="N18" s="5">
        <v>0</v>
      </c>
      <c r="Q18" s="121">
        <v>0</v>
      </c>
      <c r="U18" s="145">
        <f>N18-M18</f>
        <v>-643.19000000000005</v>
      </c>
      <c r="V18" s="4">
        <f>IF(M18=0,0,N18/M18-1)</f>
        <v>-1</v>
      </c>
      <c r="W18" s="17">
        <v>7500.99</v>
      </c>
      <c r="X18" s="17">
        <v>19.98</v>
      </c>
      <c r="Y18" s="4">
        <f>X18/W18-1</f>
        <v>-0.99733635160158862</v>
      </c>
      <c r="Z18" s="4"/>
      <c r="AA18">
        <v>2879</v>
      </c>
      <c r="AB18">
        <v>10</v>
      </c>
      <c r="AD18" s="25">
        <v>0.26119999999999999</v>
      </c>
      <c r="AE18" s="25">
        <v>0.2</v>
      </c>
      <c r="AG18" t="s">
        <v>69</v>
      </c>
    </row>
    <row r="19" spans="1:34" ht="13.9" customHeight="1">
      <c r="A19" t="s">
        <v>70</v>
      </c>
      <c r="B19" t="s">
        <v>71</v>
      </c>
      <c r="C19" s="27">
        <v>2402</v>
      </c>
      <c r="E19" t="s">
        <v>71</v>
      </c>
      <c r="F19" s="27">
        <v>1662</v>
      </c>
      <c r="G19" t="b">
        <f>IF(B19=E19,TRUE,FALSE)</f>
        <v>1</v>
      </c>
      <c r="J19" s="24">
        <f>F19-C19</f>
        <v>-740</v>
      </c>
      <c r="K19" s="4">
        <f>F19/C19-1</f>
        <v>-0.30807660283097416</v>
      </c>
      <c r="M19" s="5">
        <v>6495.93</v>
      </c>
      <c r="N19" s="5">
        <v>2693.4700000000003</v>
      </c>
      <c r="Q19" s="122">
        <v>17151.239999999998</v>
      </c>
      <c r="U19" s="145">
        <f>N19-M19</f>
        <v>-3802.46</v>
      </c>
      <c r="V19" s="4">
        <f>IF(M19=0,0,N19/M19-1)</f>
        <v>-0.58536037180203604</v>
      </c>
      <c r="W19" s="17">
        <v>43185.38</v>
      </c>
      <c r="X19" s="17">
        <v>29072</v>
      </c>
      <c r="Y19" s="4">
        <f>X19/W19-1</f>
        <v>-0.3268092118212228</v>
      </c>
      <c r="Z19" s="4"/>
      <c r="AA19">
        <v>13012</v>
      </c>
      <c r="AB19">
        <v>9722</v>
      </c>
      <c r="AD19" s="25">
        <v>0.18460000000000001</v>
      </c>
      <c r="AE19" s="25">
        <v>0.1704</v>
      </c>
      <c r="AG19" t="s">
        <v>72</v>
      </c>
    </row>
    <row r="20" spans="1:34" ht="13.9" customHeight="1">
      <c r="A20" t="s">
        <v>73</v>
      </c>
      <c r="B20" t="s">
        <v>74</v>
      </c>
      <c r="C20" s="27">
        <v>4596</v>
      </c>
      <c r="E20" t="s">
        <v>74</v>
      </c>
      <c r="F20" s="27">
        <v>3889</v>
      </c>
      <c r="G20" t="b">
        <f>IF(B20=E20,TRUE,FALSE)</f>
        <v>1</v>
      </c>
      <c r="J20" s="24">
        <f>F20-C20</f>
        <v>-707</v>
      </c>
      <c r="K20" s="4">
        <f>F20/C20-1</f>
        <v>-0.15382941688424712</v>
      </c>
      <c r="M20" s="5">
        <v>7768.24</v>
      </c>
      <c r="N20" s="5">
        <v>6985.74</v>
      </c>
      <c r="Q20" s="122">
        <v>30718.16</v>
      </c>
      <c r="U20" s="145">
        <f>N20-M20</f>
        <v>-782.5</v>
      </c>
      <c r="V20" s="4">
        <f>IF(M20=0,0,N20/M20-1)</f>
        <v>-0.10073066743560966</v>
      </c>
      <c r="W20" s="17">
        <v>110074.2</v>
      </c>
      <c r="X20" s="17">
        <v>97210.18</v>
      </c>
      <c r="Y20" s="4">
        <f>X20/W20-1</f>
        <v>-0.11686680439194652</v>
      </c>
      <c r="Z20" s="4"/>
      <c r="AA20">
        <v>20997</v>
      </c>
      <c r="AB20">
        <v>21810</v>
      </c>
      <c r="AD20" s="25">
        <v>0.21890000000000001</v>
      </c>
      <c r="AE20" s="25">
        <v>0.17829999999999999</v>
      </c>
      <c r="AG20" t="s">
        <v>75</v>
      </c>
    </row>
    <row r="21" spans="1:34" ht="13.9" customHeight="1">
      <c r="A21" t="s">
        <v>76</v>
      </c>
      <c r="B21" t="s">
        <v>77</v>
      </c>
      <c r="C21" s="27">
        <v>1786</v>
      </c>
      <c r="E21" t="s">
        <v>77</v>
      </c>
      <c r="F21" s="27">
        <v>1152</v>
      </c>
      <c r="G21" t="b">
        <f>IF(B21=E21,TRUE,FALSE)</f>
        <v>1</v>
      </c>
      <c r="J21" s="24">
        <f>F21-C21</f>
        <v>-634</v>
      </c>
      <c r="K21" s="4">
        <f>F21/C21-1</f>
        <v>-0.35498320268757</v>
      </c>
      <c r="M21" s="5">
        <v>3376.02</v>
      </c>
      <c r="N21" s="5">
        <v>2815.29</v>
      </c>
      <c r="Q21" s="122">
        <v>17650.16</v>
      </c>
      <c r="U21" s="145">
        <f>N21-M21</f>
        <v>-560.73</v>
      </c>
      <c r="V21" s="4">
        <f>IF(M21=0,0,N21/M21-1)</f>
        <v>-0.16609202552117586</v>
      </c>
      <c r="W21" s="17">
        <v>42838.7</v>
      </c>
      <c r="X21" s="17">
        <v>27627.599999999999</v>
      </c>
      <c r="Y21" s="4">
        <f>X21/W21-1</f>
        <v>-0.35507846876772642</v>
      </c>
      <c r="Z21" s="4"/>
      <c r="AA21">
        <v>7740</v>
      </c>
      <c r="AB21">
        <v>5417</v>
      </c>
      <c r="AD21" s="25">
        <v>0.23050000000000001</v>
      </c>
      <c r="AE21" s="25">
        <v>0.21249999999999999</v>
      </c>
      <c r="AG21" t="s">
        <v>78</v>
      </c>
    </row>
    <row r="22" spans="1:34" ht="13.9" customHeight="1">
      <c r="A22" s="39" t="s">
        <v>79</v>
      </c>
      <c r="B22" s="36" t="s">
        <v>80</v>
      </c>
      <c r="C22" s="27">
        <v>3906</v>
      </c>
      <c r="E22" s="36" t="s">
        <v>80</v>
      </c>
      <c r="F22" s="27">
        <v>3274</v>
      </c>
      <c r="G22" t="b">
        <f>IF(B22=E22,TRUE,FALSE)</f>
        <v>1</v>
      </c>
      <c r="J22" s="24">
        <f>F22-C22</f>
        <v>-632</v>
      </c>
      <c r="K22" s="4">
        <f>F22/C22-1</f>
        <v>-0.1618023553507425</v>
      </c>
      <c r="M22" s="5">
        <v>9468.27</v>
      </c>
      <c r="N22" s="5">
        <v>9467.7199999999993</v>
      </c>
      <c r="Q22" s="122">
        <v>45984.06</v>
      </c>
      <c r="U22" s="145">
        <f>N22-M22</f>
        <v>-0.55000000000109139</v>
      </c>
      <c r="V22" s="4">
        <f>IF(M22=0,0,N22/M22-1)</f>
        <v>-5.8088753278173755E-5</v>
      </c>
      <c r="W22" s="17">
        <v>116870.12</v>
      </c>
      <c r="X22" s="17">
        <v>98159.66</v>
      </c>
      <c r="Y22" s="4">
        <f>X22/W22-1</f>
        <v>-0.16009618198389797</v>
      </c>
      <c r="Z22" s="4"/>
      <c r="AA22">
        <v>14268</v>
      </c>
      <c r="AB22">
        <v>15263</v>
      </c>
      <c r="AD22" s="25">
        <v>0.2737</v>
      </c>
      <c r="AE22" s="25">
        <v>0.2137</v>
      </c>
      <c r="AH22" t="s">
        <v>81</v>
      </c>
    </row>
    <row r="23" spans="1:34" ht="13.9" customHeight="1">
      <c r="A23" t="s">
        <v>82</v>
      </c>
      <c r="B23" t="s">
        <v>83</v>
      </c>
      <c r="C23" s="27">
        <v>1196</v>
      </c>
      <c r="E23" t="s">
        <v>83</v>
      </c>
      <c r="F23" s="27">
        <v>614</v>
      </c>
      <c r="G23" t="b">
        <f>IF(B23=E23,TRUE,FALSE)</f>
        <v>1</v>
      </c>
      <c r="J23" s="24">
        <f>F23-C23</f>
        <v>-582</v>
      </c>
      <c r="K23" s="4">
        <f>F23/C23-1</f>
        <v>-0.48662207357859533</v>
      </c>
      <c r="M23" s="5">
        <v>1218.3699999999999</v>
      </c>
      <c r="N23" s="5">
        <v>958.46</v>
      </c>
      <c r="Q23" s="122">
        <v>6575.2</v>
      </c>
      <c r="U23" s="145">
        <f>N23-M23</f>
        <v>-259.90999999999985</v>
      </c>
      <c r="V23" s="4">
        <f>IF(M23=0,0,N23/M23-1)</f>
        <v>-0.21332600113266076</v>
      </c>
      <c r="W23" s="17">
        <v>16604.38</v>
      </c>
      <c r="X23" s="17">
        <v>11286.48</v>
      </c>
      <c r="Y23" s="4">
        <f>X23/W23-1</f>
        <v>-0.32027091646902817</v>
      </c>
      <c r="Z23" s="4"/>
      <c r="AA23">
        <v>5210</v>
      </c>
      <c r="AB23">
        <v>2614</v>
      </c>
      <c r="AD23" s="25">
        <v>0.2303</v>
      </c>
      <c r="AE23" s="25">
        <v>0.2349</v>
      </c>
      <c r="AG23" t="s">
        <v>84</v>
      </c>
    </row>
    <row r="24" spans="1:34" ht="13.9" customHeight="1">
      <c r="A24" t="s">
        <v>85</v>
      </c>
      <c r="B24" t="s">
        <v>86</v>
      </c>
      <c r="C24" s="27">
        <v>3769</v>
      </c>
      <c r="E24" t="s">
        <v>86</v>
      </c>
      <c r="F24" s="27">
        <v>3204</v>
      </c>
      <c r="G24" t="b">
        <f>IF(B24=E24,TRUE,FALSE)</f>
        <v>1</v>
      </c>
      <c r="J24" s="24">
        <f>F24-C24</f>
        <v>-565</v>
      </c>
      <c r="K24" s="4">
        <f>F24/C24-1</f>
        <v>-0.1499071371716636</v>
      </c>
      <c r="M24" s="5">
        <v>6447.3899999999994</v>
      </c>
      <c r="N24" s="5">
        <v>8204.5300000000007</v>
      </c>
      <c r="Q24" s="122">
        <v>41743</v>
      </c>
      <c r="U24" s="145">
        <f>N24-M24</f>
        <v>1757.1400000000012</v>
      </c>
      <c r="V24" s="4">
        <f>IF(M24=0,0,N24/M24-1)</f>
        <v>0.27253508784174696</v>
      </c>
      <c r="W24" s="17">
        <v>113014.01000000001</v>
      </c>
      <c r="X24" s="17">
        <v>96055.26</v>
      </c>
      <c r="Y24" s="4">
        <f>X24/W24-1</f>
        <v>-0.15005882898943246</v>
      </c>
      <c r="Z24" s="4"/>
      <c r="AA24">
        <v>19031</v>
      </c>
      <c r="AB24">
        <v>17683</v>
      </c>
      <c r="AD24" s="25">
        <v>0.19829999999999998</v>
      </c>
      <c r="AE24" s="25">
        <v>0.18010000000000001</v>
      </c>
      <c r="AG24" t="s">
        <v>87</v>
      </c>
    </row>
    <row r="25" spans="1:34" ht="13.9" customHeight="1">
      <c r="A25" s="26" t="s">
        <v>88</v>
      </c>
      <c r="B25" s="36" t="s">
        <v>89</v>
      </c>
      <c r="C25" s="27">
        <v>987</v>
      </c>
      <c r="E25" s="36" t="s">
        <v>89</v>
      </c>
      <c r="F25" s="27">
        <v>461</v>
      </c>
      <c r="G25" t="b">
        <f>IF(B25=E25,TRUE,FALSE)</f>
        <v>1</v>
      </c>
      <c r="J25" s="24">
        <f>F25-C25</f>
        <v>-526</v>
      </c>
      <c r="K25" s="4">
        <f>F25/C25-1</f>
        <v>-0.5329280648429584</v>
      </c>
      <c r="M25" s="5">
        <v>841.81</v>
      </c>
      <c r="N25" s="5">
        <v>535.96</v>
      </c>
      <c r="Q25" s="122">
        <v>1363.35</v>
      </c>
      <c r="U25" s="145">
        <f>N25-M25</f>
        <v>-305.84999999999991</v>
      </c>
      <c r="V25" s="4">
        <f>IF(M25=0,0,N25/M25-1)</f>
        <v>-0.36332426557061559</v>
      </c>
      <c r="W25" s="17">
        <v>13777.77</v>
      </c>
      <c r="X25" s="17">
        <v>6419.73</v>
      </c>
      <c r="Y25" s="4">
        <f>X25/W25-1</f>
        <v>-0.53405159180331796</v>
      </c>
      <c r="Z25" s="4"/>
      <c r="AA25">
        <v>3572</v>
      </c>
      <c r="AB25">
        <v>1825</v>
      </c>
      <c r="AD25" s="25">
        <v>0.27550000000000002</v>
      </c>
      <c r="AE25" s="25">
        <v>0.25259999999999999</v>
      </c>
      <c r="AH25" t="s">
        <v>90</v>
      </c>
    </row>
    <row r="26" spans="1:34" ht="13.9" customHeight="1">
      <c r="A26" s="39" t="s">
        <v>91</v>
      </c>
      <c r="B26" s="36" t="s">
        <v>92</v>
      </c>
      <c r="C26" s="27">
        <v>1601</v>
      </c>
      <c r="E26" s="36" t="s">
        <v>92</v>
      </c>
      <c r="F26" s="27">
        <v>1076</v>
      </c>
      <c r="G26" t="b">
        <f>IF(B26=E26,TRUE,FALSE)</f>
        <v>1</v>
      </c>
      <c r="J26" s="24">
        <f>F26-C26</f>
        <v>-525</v>
      </c>
      <c r="K26" s="4">
        <f>F26/C26-1</f>
        <v>-0.32792004996876956</v>
      </c>
      <c r="M26" s="5">
        <v>3057.46</v>
      </c>
      <c r="N26" s="5">
        <v>3097.1</v>
      </c>
      <c r="Q26" s="121">
        <v>13681.05</v>
      </c>
      <c r="U26" s="145">
        <f>N26-M26</f>
        <v>39.639999999999873</v>
      </c>
      <c r="V26" s="4">
        <f>IF(M26=0,0,N26/M26-1)</f>
        <v>1.2965010171841929E-2</v>
      </c>
      <c r="W26" s="17">
        <v>31739.25</v>
      </c>
      <c r="X26" s="17">
        <v>26875.24</v>
      </c>
      <c r="Y26" s="4">
        <f>X26/W26-1</f>
        <v>-0.15324905282891055</v>
      </c>
      <c r="Z26" s="4"/>
      <c r="AA26">
        <v>8452</v>
      </c>
      <c r="AB26">
        <v>7118</v>
      </c>
      <c r="AD26" s="25">
        <v>0.1898</v>
      </c>
      <c r="AE26" s="25">
        <v>0.151</v>
      </c>
    </row>
    <row r="27" spans="1:34" ht="13.9" customHeight="1">
      <c r="A27" s="126" t="s">
        <v>93</v>
      </c>
      <c r="B27" s="126" t="s">
        <v>94</v>
      </c>
      <c r="C27" s="27">
        <v>853</v>
      </c>
      <c r="E27" s="126" t="s">
        <v>94</v>
      </c>
      <c r="F27" s="27">
        <v>337</v>
      </c>
      <c r="G27" t="b">
        <f>IF(B27=E27,TRUE,FALSE)</f>
        <v>1</v>
      </c>
      <c r="J27" s="24">
        <f>F27-C27</f>
        <v>-516</v>
      </c>
      <c r="K27" s="4">
        <f>F27/C27-1</f>
        <v>-0.60492379835873389</v>
      </c>
      <c r="M27" s="5">
        <v>1980.77</v>
      </c>
      <c r="N27" s="5">
        <v>2729.43</v>
      </c>
      <c r="Q27" s="121">
        <v>12701.09</v>
      </c>
      <c r="U27" s="145">
        <f>N27-M27</f>
        <v>748.65999999999985</v>
      </c>
      <c r="V27" s="4">
        <f>IF(M27=0,0,N27/M27-1)</f>
        <v>0.37796412506247568</v>
      </c>
      <c r="W27" s="17">
        <v>21666.07</v>
      </c>
      <c r="X27" s="17">
        <v>13098.3</v>
      </c>
      <c r="Y27" s="4">
        <f>X27/W27-1</f>
        <v>-0.39544642844779887</v>
      </c>
      <c r="Z27" s="4"/>
      <c r="AA27">
        <v>6199</v>
      </c>
      <c r="AB27">
        <v>4112</v>
      </c>
      <c r="AD27" s="25">
        <v>0.1376</v>
      </c>
      <c r="AE27" s="25">
        <v>8.199999999999999E-2</v>
      </c>
    </row>
    <row r="28" spans="1:34" ht="13.9" customHeight="1">
      <c r="A28" t="s">
        <v>95</v>
      </c>
      <c r="B28" t="s">
        <v>96</v>
      </c>
      <c r="C28" s="27">
        <v>11365</v>
      </c>
      <c r="E28" t="s">
        <v>96</v>
      </c>
      <c r="F28" s="27">
        <v>10923</v>
      </c>
      <c r="G28" t="b">
        <f>IF(B28=E28,TRUE,FALSE)</f>
        <v>1</v>
      </c>
      <c r="J28" s="24">
        <f>F28-C28</f>
        <v>-442</v>
      </c>
      <c r="K28" s="4">
        <f>F28/C28-1</f>
        <v>-3.8891333040035225E-2</v>
      </c>
      <c r="M28" s="5">
        <v>10857.17</v>
      </c>
      <c r="N28" s="5">
        <v>8301.7199999999993</v>
      </c>
      <c r="Q28" s="122">
        <v>60601.55</v>
      </c>
      <c r="U28" s="145">
        <f>N28-M28</f>
        <v>-2555.4500000000007</v>
      </c>
      <c r="V28" s="4">
        <f>IF(M28=0,0,N28/M28-1)</f>
        <v>-0.2353698063123264</v>
      </c>
      <c r="W28" s="17">
        <v>340074.76</v>
      </c>
      <c r="X28" s="17">
        <v>326946.53999999998</v>
      </c>
      <c r="Y28" s="4">
        <f>X28/W28-1</f>
        <v>-3.8603923443186527E-2</v>
      </c>
      <c r="Z28" s="4"/>
      <c r="AA28">
        <v>25806</v>
      </c>
      <c r="AB28">
        <v>23602</v>
      </c>
      <c r="AD28" s="25">
        <v>0.44159999999999999</v>
      </c>
      <c r="AE28" s="25">
        <v>0.45979999999999999</v>
      </c>
      <c r="AG28" t="s">
        <v>97</v>
      </c>
    </row>
    <row r="29" spans="1:34" ht="13.9" customHeight="1">
      <c r="A29" t="s">
        <v>98</v>
      </c>
      <c r="B29" t="s">
        <v>99</v>
      </c>
      <c r="C29" s="27">
        <v>555</v>
      </c>
      <c r="E29" t="s">
        <v>99</v>
      </c>
      <c r="F29" s="27">
        <v>114</v>
      </c>
      <c r="G29" t="b">
        <f>IF(B29=E29,TRUE,FALSE)</f>
        <v>1</v>
      </c>
      <c r="J29" s="24">
        <f>F29-C29</f>
        <v>-441</v>
      </c>
      <c r="K29" s="4">
        <f>F29/C29-1</f>
        <v>-0.79459459459459458</v>
      </c>
      <c r="M29" s="5">
        <v>338.82</v>
      </c>
      <c r="N29" s="5">
        <v>87.13</v>
      </c>
      <c r="Q29" s="122">
        <v>334.79</v>
      </c>
      <c r="U29" s="145">
        <f>N29-M29</f>
        <v>-251.69</v>
      </c>
      <c r="V29" s="4">
        <f>IF(M29=0,0,N29/M29-1)</f>
        <v>-0.7428428073903548</v>
      </c>
      <c r="W29" s="17">
        <v>14976.48</v>
      </c>
      <c r="X29" s="17">
        <v>3076.32</v>
      </c>
      <c r="Y29" s="4">
        <f>X29/W29-1</f>
        <v>-0.79458991698984005</v>
      </c>
      <c r="Z29" s="4"/>
      <c r="AA29">
        <v>1907</v>
      </c>
      <c r="AB29">
        <v>638</v>
      </c>
      <c r="AD29" s="25">
        <v>0.29100000000000004</v>
      </c>
      <c r="AE29" s="25">
        <v>0.17550000000000002</v>
      </c>
    </row>
    <row r="30" spans="1:34" ht="13.9" customHeight="1">
      <c r="A30" s="126" t="s">
        <v>100</v>
      </c>
      <c r="B30" s="126" t="s">
        <v>101</v>
      </c>
      <c r="C30" s="27">
        <v>1020</v>
      </c>
      <c r="E30" s="126" t="s">
        <v>101</v>
      </c>
      <c r="F30" s="27">
        <v>590</v>
      </c>
      <c r="G30" t="b">
        <f>IF(B30=E30,TRUE,FALSE)</f>
        <v>1</v>
      </c>
      <c r="J30" s="24">
        <f>F30-C30</f>
        <v>-430</v>
      </c>
      <c r="K30" s="4">
        <f>F30/C30-1</f>
        <v>-0.42156862745098034</v>
      </c>
      <c r="M30" s="5">
        <v>2732.02</v>
      </c>
      <c r="N30" s="5">
        <v>2821.09</v>
      </c>
      <c r="Q30" s="121">
        <v>14913.13</v>
      </c>
      <c r="U30" s="145">
        <f>N30-M30</f>
        <v>89.070000000000164</v>
      </c>
      <c r="V30" s="4">
        <f>IF(M30=0,0,N30/M30-1)</f>
        <v>3.2602250349558215E-2</v>
      </c>
      <c r="W30" s="17">
        <v>28234.68</v>
      </c>
      <c r="X30" s="17">
        <v>23000.199999999997</v>
      </c>
      <c r="Y30" s="4">
        <f>X30/W30-1</f>
        <v>-0.18539186560641041</v>
      </c>
      <c r="Z30" s="4"/>
      <c r="AA30">
        <v>9101</v>
      </c>
      <c r="AB30">
        <v>6374</v>
      </c>
      <c r="AD30" s="25">
        <v>0.11210000000000001</v>
      </c>
      <c r="AE30" s="25">
        <v>9.2399999999999996E-2</v>
      </c>
    </row>
    <row r="31" spans="1:34" ht="13.9" customHeight="1">
      <c r="A31" t="s">
        <v>102</v>
      </c>
      <c r="B31" t="s">
        <v>103</v>
      </c>
      <c r="C31" s="27">
        <v>2978</v>
      </c>
      <c r="E31" t="s">
        <v>103</v>
      </c>
      <c r="F31" s="27">
        <v>2584</v>
      </c>
      <c r="G31" t="b">
        <f>IF(B31=E31,TRUE,FALSE)</f>
        <v>1</v>
      </c>
      <c r="J31" s="24">
        <f>F31-C31</f>
        <v>-394</v>
      </c>
      <c r="K31" s="4">
        <f>F31/C31-1</f>
        <v>-0.13230355943586303</v>
      </c>
      <c r="M31" s="5">
        <v>3407.97</v>
      </c>
      <c r="N31" s="5">
        <v>2888.2799999999997</v>
      </c>
      <c r="Q31" s="122">
        <v>26475.79</v>
      </c>
      <c r="U31" s="145">
        <f>N31-M31</f>
        <v>-519.69000000000005</v>
      </c>
      <c r="V31" s="4">
        <f>IF(M31=0,0,N31/M31-1)</f>
        <v>-0.15249253954700304</v>
      </c>
      <c r="W31" s="17">
        <v>71279.31</v>
      </c>
      <c r="X31" s="17">
        <v>58457.65</v>
      </c>
      <c r="Y31" s="4">
        <f>X31/W31-1</f>
        <v>-0.17987912621488611</v>
      </c>
      <c r="Z31" s="4"/>
      <c r="AA31">
        <v>13617</v>
      </c>
      <c r="AB31">
        <v>13528</v>
      </c>
      <c r="AD31" s="25">
        <v>0.21890000000000001</v>
      </c>
      <c r="AE31" s="25">
        <v>0.19020000000000001</v>
      </c>
    </row>
    <row r="32" spans="1:34" ht="13.9" customHeight="1">
      <c r="A32" t="s">
        <v>104</v>
      </c>
      <c r="B32" t="s">
        <v>105</v>
      </c>
      <c r="C32" s="27">
        <v>394</v>
      </c>
      <c r="E32" t="s">
        <v>105</v>
      </c>
      <c r="F32" s="27">
        <v>17</v>
      </c>
      <c r="G32" t="b">
        <f>IF(B32=E32,TRUE,FALSE)</f>
        <v>1</v>
      </c>
      <c r="J32" s="24">
        <f>F32-C32</f>
        <v>-377</v>
      </c>
      <c r="K32" s="4">
        <f>F32/C32-1</f>
        <v>-0.95685279187817263</v>
      </c>
      <c r="M32" s="5">
        <v>1652.55</v>
      </c>
      <c r="N32" s="5">
        <v>103.59</v>
      </c>
      <c r="Q32" s="122">
        <v>722.24</v>
      </c>
      <c r="U32" s="145">
        <f>N32-M32</f>
        <v>-1548.96</v>
      </c>
      <c r="V32" s="4">
        <f>IF(M32=0,0,N32/M32-1)</f>
        <v>-0.93731505854588359</v>
      </c>
      <c r="W32" s="17">
        <v>13784.66</v>
      </c>
      <c r="X32" s="17">
        <v>594.83000000000004</v>
      </c>
      <c r="Y32" s="4">
        <f>X32/W32-1</f>
        <v>-0.95684840975403096</v>
      </c>
      <c r="Z32" s="4"/>
      <c r="AA32">
        <v>6349</v>
      </c>
      <c r="AB32">
        <v>433</v>
      </c>
      <c r="AD32" s="25">
        <v>6.2800000000000009E-2</v>
      </c>
      <c r="AE32" s="25">
        <v>3.7000000000000005E-2</v>
      </c>
    </row>
    <row r="33" spans="1:31" ht="13.9" customHeight="1">
      <c r="A33" t="s">
        <v>106</v>
      </c>
      <c r="B33" t="s">
        <v>107</v>
      </c>
      <c r="C33" s="27">
        <v>1663</v>
      </c>
      <c r="E33" t="s">
        <v>107</v>
      </c>
      <c r="F33" s="27">
        <v>1334</v>
      </c>
      <c r="G33" t="b">
        <f>IF(B33=E33,TRUE,FALSE)</f>
        <v>1</v>
      </c>
      <c r="J33" s="24">
        <f>F33-C33</f>
        <v>-329</v>
      </c>
      <c r="K33" s="4">
        <f>F33/C33-1</f>
        <v>-0.19783523752254961</v>
      </c>
      <c r="M33" s="5">
        <v>2825.27</v>
      </c>
      <c r="N33" s="5">
        <v>2877.55</v>
      </c>
      <c r="Q33" s="122">
        <v>13874.96</v>
      </c>
      <c r="U33" s="145">
        <f>N33-M33</f>
        <v>52.2800000000002</v>
      </c>
      <c r="V33" s="4">
        <f>IF(M33=0,0,N33/M33-1)</f>
        <v>1.8504426125644624E-2</v>
      </c>
      <c r="W33" s="17">
        <v>28853.77</v>
      </c>
      <c r="X33" s="17">
        <v>24950.46</v>
      </c>
      <c r="Y33" s="4">
        <f>X33/W33-1</f>
        <v>-0.13527902939546554</v>
      </c>
      <c r="Z33" s="4"/>
      <c r="AA33">
        <v>7981</v>
      </c>
      <c r="AB33">
        <v>6976</v>
      </c>
      <c r="AD33" s="25">
        <v>0.20850000000000002</v>
      </c>
      <c r="AE33" s="25">
        <v>0.19089999999999999</v>
      </c>
    </row>
    <row r="34" spans="1:31" ht="13.9" customHeight="1">
      <c r="A34" t="s">
        <v>108</v>
      </c>
      <c r="B34" t="s">
        <v>109</v>
      </c>
      <c r="C34" s="27">
        <v>1093</v>
      </c>
      <c r="E34" t="s">
        <v>109</v>
      </c>
      <c r="F34" s="27">
        <v>775</v>
      </c>
      <c r="G34" t="b">
        <f>IF(B34=E34,TRUE,FALSE)</f>
        <v>1</v>
      </c>
      <c r="J34" s="24">
        <f>F34-C34</f>
        <v>-318</v>
      </c>
      <c r="K34" s="4">
        <f>F34/C34-1</f>
        <v>-0.29094236047575484</v>
      </c>
      <c r="M34" s="5">
        <v>1828.33</v>
      </c>
      <c r="N34" s="5">
        <v>1841.78</v>
      </c>
      <c r="Q34" s="122">
        <v>11207.29</v>
      </c>
      <c r="U34" s="145">
        <f>N34-M34</f>
        <v>13.450000000000045</v>
      </c>
      <c r="V34" s="4">
        <f>IF(M34=0,0,N34/M34-1)</f>
        <v>7.3564400299728216E-3</v>
      </c>
      <c r="W34" s="17">
        <v>19282.98</v>
      </c>
      <c r="X34" s="17">
        <v>17037.849999999999</v>
      </c>
      <c r="Y34" s="4">
        <f>X34/W34-1</f>
        <v>-0.11643065542774</v>
      </c>
      <c r="Z34" s="4"/>
      <c r="AA34">
        <v>5358</v>
      </c>
      <c r="AB34">
        <v>4543</v>
      </c>
      <c r="AD34" s="25">
        <v>0.20420000000000002</v>
      </c>
      <c r="AE34" s="25">
        <v>0.17059999999999997</v>
      </c>
    </row>
    <row r="35" spans="1:31" ht="13.9" customHeight="1">
      <c r="A35" t="s">
        <v>110</v>
      </c>
      <c r="B35" t="s">
        <v>111</v>
      </c>
      <c r="C35" s="27">
        <v>371</v>
      </c>
      <c r="E35" t="s">
        <v>111</v>
      </c>
      <c r="F35" s="27">
        <v>61</v>
      </c>
      <c r="G35" t="b">
        <f>IF(B35=E35,TRUE,FALSE)</f>
        <v>1</v>
      </c>
      <c r="J35" s="24">
        <f>F35-C35</f>
        <v>-310</v>
      </c>
      <c r="K35" s="4">
        <f>F35/C35-1</f>
        <v>-0.83557951482479786</v>
      </c>
      <c r="M35" s="5">
        <v>1603.23</v>
      </c>
      <c r="N35" s="5">
        <v>491.96</v>
      </c>
      <c r="Q35" s="122">
        <v>2102.88</v>
      </c>
      <c r="U35" s="145">
        <f>N35-M35</f>
        <v>-1111.27</v>
      </c>
      <c r="V35" s="4">
        <f>IF(M35=0,0,N35/M35-1)</f>
        <v>-0.69314446461206436</v>
      </c>
      <c r="W35" s="17">
        <v>7415.09</v>
      </c>
      <c r="X35" s="17">
        <v>1219.3900000000001</v>
      </c>
      <c r="Y35" s="4">
        <f>X35/W35-1</f>
        <v>-0.83555290630322765</v>
      </c>
      <c r="Z35" s="4"/>
      <c r="AA35">
        <v>3342</v>
      </c>
      <c r="AB35">
        <v>1011</v>
      </c>
      <c r="AD35" s="25">
        <v>0.1104</v>
      </c>
      <c r="AE35" s="25">
        <v>5.74E-2</v>
      </c>
    </row>
    <row r="36" spans="1:31" ht="13.9" customHeight="1">
      <c r="A36" t="s">
        <v>112</v>
      </c>
      <c r="B36" t="s">
        <v>113</v>
      </c>
      <c r="C36" s="27">
        <v>1135</v>
      </c>
      <c r="E36" t="s">
        <v>113</v>
      </c>
      <c r="F36" s="27">
        <v>826</v>
      </c>
      <c r="G36" t="b">
        <f>IF(B36=E36,TRUE,FALSE)</f>
        <v>1</v>
      </c>
      <c r="J36" s="24">
        <f>F36-C36</f>
        <v>-309</v>
      </c>
      <c r="K36" s="4">
        <f>F36/C36-1</f>
        <v>-0.27224669603524232</v>
      </c>
      <c r="M36" s="5">
        <v>1862.7</v>
      </c>
      <c r="N36" s="5">
        <v>2068.25</v>
      </c>
      <c r="Q36" s="122">
        <v>12677.7</v>
      </c>
      <c r="U36" s="145">
        <f>N36-M36</f>
        <v>205.54999999999995</v>
      </c>
      <c r="V36" s="4">
        <f>IF(M36=0,0,N36/M36-1)</f>
        <v>0.11035056638213336</v>
      </c>
      <c r="W36" s="17">
        <v>22076.12</v>
      </c>
      <c r="X36" s="17">
        <v>20606.2</v>
      </c>
      <c r="Y36" s="4">
        <f>X36/W36-1</f>
        <v>-6.6584164246253352E-2</v>
      </c>
      <c r="Z36" s="4"/>
      <c r="AA36">
        <v>5443</v>
      </c>
      <c r="AB36">
        <v>5146</v>
      </c>
      <c r="AD36" s="25">
        <v>0.20929999999999999</v>
      </c>
      <c r="AE36" s="25">
        <v>0.16010000000000002</v>
      </c>
    </row>
    <row r="37" spans="1:31" ht="13.9" customHeight="1">
      <c r="A37" s="39" t="s">
        <v>114</v>
      </c>
      <c r="B37" s="36" t="s">
        <v>115</v>
      </c>
      <c r="C37" s="27">
        <v>2252</v>
      </c>
      <c r="E37" s="36" t="s">
        <v>115</v>
      </c>
      <c r="F37" s="27">
        <v>1971</v>
      </c>
      <c r="G37" t="b">
        <f>IF(B37=E37,TRUE,FALSE)</f>
        <v>1</v>
      </c>
      <c r="J37" s="24">
        <f>F37-C37</f>
        <v>-281</v>
      </c>
      <c r="K37" s="4">
        <f>F37/C37-1</f>
        <v>-0.12477797513321487</v>
      </c>
      <c r="M37" s="5">
        <v>5996.21</v>
      </c>
      <c r="N37" s="5">
        <v>6003.83</v>
      </c>
      <c r="Q37" s="121">
        <v>32769.07</v>
      </c>
      <c r="U37" s="145">
        <f>N37-M37</f>
        <v>7.6199999999998909</v>
      </c>
      <c r="V37" s="4">
        <f>IF(M37=0,0,N37/M37-1)</f>
        <v>1.2708027237204877E-3</v>
      </c>
      <c r="W37" s="17">
        <v>49289.22</v>
      </c>
      <c r="X37" s="17">
        <v>46411.73</v>
      </c>
      <c r="Y37" s="4">
        <f>X37/W37-1</f>
        <v>-5.8379702498842501E-2</v>
      </c>
      <c r="Z37" s="4"/>
      <c r="AA37">
        <v>9362</v>
      </c>
      <c r="AB37">
        <v>7621</v>
      </c>
      <c r="AD37" s="25">
        <v>0.2407</v>
      </c>
      <c r="AE37" s="25">
        <v>0.25800000000000001</v>
      </c>
    </row>
    <row r="38" spans="1:31" ht="13.9" customHeight="1">
      <c r="A38" s="39" t="s">
        <v>116</v>
      </c>
      <c r="B38" s="36" t="s">
        <v>117</v>
      </c>
      <c r="C38" s="27">
        <v>2213</v>
      </c>
      <c r="E38" s="36" t="s">
        <v>117</v>
      </c>
      <c r="F38" s="27">
        <v>1939</v>
      </c>
      <c r="G38" t="b">
        <f>IF(B38=E38,TRUE,FALSE)</f>
        <v>1</v>
      </c>
      <c r="J38" s="24">
        <f>F38-C38</f>
        <v>-274</v>
      </c>
      <c r="K38" s="4">
        <f>F38/C38-1</f>
        <v>-0.12381382738364211</v>
      </c>
      <c r="M38" s="5">
        <v>2188.4899999999998</v>
      </c>
      <c r="N38" s="5">
        <v>2336.8200000000002</v>
      </c>
      <c r="Q38" s="122">
        <v>12017.07</v>
      </c>
      <c r="U38" s="145">
        <f>N38-M38</f>
        <v>148.33000000000038</v>
      </c>
      <c r="V38" s="4">
        <f>IF(M38=0,0,N38/M38-1)</f>
        <v>6.7777325918784381E-2</v>
      </c>
      <c r="W38" s="17">
        <v>45901.4</v>
      </c>
      <c r="X38" s="17">
        <v>42371.34</v>
      </c>
      <c r="Y38" s="4">
        <f>X38/W38-1</f>
        <v>-7.6905279577529351E-2</v>
      </c>
      <c r="Z38" s="4"/>
      <c r="AA38">
        <v>6730</v>
      </c>
      <c r="AB38">
        <v>6102</v>
      </c>
      <c r="AD38" s="25">
        <v>0.32880000000000004</v>
      </c>
      <c r="AE38" s="25">
        <v>0.31690000000000002</v>
      </c>
    </row>
    <row r="39" spans="1:31" ht="13.9" customHeight="1">
      <c r="A39" s="39" t="s">
        <v>118</v>
      </c>
      <c r="B39" s="36" t="s">
        <v>119</v>
      </c>
      <c r="C39" s="18">
        <v>2266</v>
      </c>
      <c r="E39" s="36" t="s">
        <v>119</v>
      </c>
      <c r="F39" s="18">
        <v>1996</v>
      </c>
      <c r="G39" t="b">
        <f>IF(B39=E39,TRUE,FALSE)</f>
        <v>1</v>
      </c>
      <c r="J39" s="24">
        <f>F39-C39</f>
        <v>-270</v>
      </c>
      <c r="K39" s="4">
        <f>F39/C39-1</f>
        <v>-0.11915269196822598</v>
      </c>
      <c r="M39" s="5">
        <v>3318.14</v>
      </c>
      <c r="N39" s="5">
        <v>3951.85</v>
      </c>
      <c r="Q39" s="121">
        <v>24613.599999999999</v>
      </c>
      <c r="U39" s="145">
        <f>N39-M39</f>
        <v>633.71</v>
      </c>
      <c r="V39" s="4">
        <f>IF(M39=0,0,N39/M39-1)</f>
        <v>0.19098350280578891</v>
      </c>
      <c r="W39">
        <v>47003.18</v>
      </c>
      <c r="X39">
        <v>47873</v>
      </c>
      <c r="Y39" s="4">
        <f>X39/W39-1</f>
        <v>1.8505556432564685E-2</v>
      </c>
      <c r="Z39" s="4"/>
      <c r="AA39">
        <v>10340</v>
      </c>
      <c r="AB39">
        <v>8668</v>
      </c>
      <c r="AD39" s="25">
        <v>0.21879999999999999</v>
      </c>
      <c r="AE39" s="25">
        <v>0.23</v>
      </c>
    </row>
    <row r="40" spans="1:31" ht="13.9" customHeight="1">
      <c r="A40" t="s">
        <v>120</v>
      </c>
      <c r="B40" t="s">
        <v>121</v>
      </c>
      <c r="C40" s="27">
        <v>530</v>
      </c>
      <c r="E40" t="s">
        <v>121</v>
      </c>
      <c r="F40" s="27">
        <v>262</v>
      </c>
      <c r="G40" t="b">
        <f>IF(B40=E40,TRUE,FALSE)</f>
        <v>1</v>
      </c>
      <c r="J40" s="24">
        <f>F40-C40</f>
        <v>-268</v>
      </c>
      <c r="K40" s="4">
        <f>F40/C40-1</f>
        <v>-0.50566037735849056</v>
      </c>
      <c r="M40" s="5">
        <v>0</v>
      </c>
      <c r="N40" s="5">
        <v>0</v>
      </c>
      <c r="Q40" s="122">
        <v>0</v>
      </c>
      <c r="U40" s="145">
        <f>N40-M40</f>
        <v>0</v>
      </c>
      <c r="V40" s="4">
        <f>IF(M40=0,0,N40/M40-1)</f>
        <v>0</v>
      </c>
      <c r="W40" s="17">
        <v>5294.7</v>
      </c>
      <c r="X40" s="17">
        <v>2617.38</v>
      </c>
      <c r="Y40" s="4">
        <f>X40/W40-1</f>
        <v>-0.50566037735849045</v>
      </c>
      <c r="Z40" s="4"/>
      <c r="AA40">
        <v>1844</v>
      </c>
      <c r="AB40">
        <v>916</v>
      </c>
      <c r="AD40" s="25">
        <v>0.28739999999999999</v>
      </c>
      <c r="AE40" s="25">
        <v>0.28489999999999999</v>
      </c>
    </row>
    <row r="41" spans="1:31" ht="13.9" customHeight="1">
      <c r="A41" s="26" t="s">
        <v>122</v>
      </c>
      <c r="B41" s="132" t="s">
        <v>123</v>
      </c>
      <c r="C41" s="27">
        <v>264</v>
      </c>
      <c r="E41" s="132" t="s">
        <v>123</v>
      </c>
      <c r="F41" s="27">
        <v>5</v>
      </c>
      <c r="G41" t="b">
        <f>IF(B41=E41,TRUE,FALSE)</f>
        <v>1</v>
      </c>
      <c r="J41" s="24">
        <f>F41-C41</f>
        <v>-259</v>
      </c>
      <c r="K41" s="4">
        <f>F41/C41-1</f>
        <v>-0.98106060606060608</v>
      </c>
      <c r="M41" s="5">
        <v>245.88</v>
      </c>
      <c r="N41" s="5">
        <v>2.16</v>
      </c>
      <c r="Q41" s="121">
        <v>0</v>
      </c>
      <c r="U41" s="145">
        <f>N41-M41</f>
        <v>-243.72</v>
      </c>
      <c r="V41" s="4">
        <f>IF(M41=0,0,N41/M41-1)</f>
        <v>-0.99121522693997077</v>
      </c>
      <c r="W41" s="17">
        <v>10291.800000000001</v>
      </c>
      <c r="X41" s="17">
        <v>194.95</v>
      </c>
      <c r="Y41" s="4">
        <f>X41/W41-1</f>
        <v>-0.98105773528440121</v>
      </c>
      <c r="Z41" s="4"/>
      <c r="AA41">
        <v>2382</v>
      </c>
      <c r="AB41">
        <v>75</v>
      </c>
      <c r="AD41" s="25">
        <v>0.1104</v>
      </c>
      <c r="AE41" s="25">
        <v>6.6699999999999995E-2</v>
      </c>
    </row>
    <row r="42" spans="1:31" ht="13.9" customHeight="1">
      <c r="A42" s="126" t="s">
        <v>124</v>
      </c>
      <c r="B42" s="126" t="s">
        <v>125</v>
      </c>
      <c r="C42" s="27">
        <v>986</v>
      </c>
      <c r="E42" s="126" t="s">
        <v>125</v>
      </c>
      <c r="F42" s="27">
        <v>727</v>
      </c>
      <c r="G42" t="b">
        <f>IF(B42=E42,TRUE,FALSE)</f>
        <v>1</v>
      </c>
      <c r="J42" s="24">
        <f>F42-C42</f>
        <v>-259</v>
      </c>
      <c r="K42" s="4">
        <f>F42/C42-1</f>
        <v>-0.26267748478701824</v>
      </c>
      <c r="M42" s="5">
        <v>2818.1</v>
      </c>
      <c r="N42" s="5">
        <v>3523.98</v>
      </c>
      <c r="Q42" s="121">
        <v>16761.02</v>
      </c>
      <c r="U42" s="145">
        <f>N42-M42</f>
        <v>705.88000000000011</v>
      </c>
      <c r="V42" s="4">
        <f>IF(M42=0,0,N42/M42-1)</f>
        <v>0.25048082041091524</v>
      </c>
      <c r="W42" s="17">
        <v>28847.360000000001</v>
      </c>
      <c r="X42" s="17">
        <v>25385.73</v>
      </c>
      <c r="Y42" s="4">
        <f>X42/W42-1</f>
        <v>-0.11999815581044504</v>
      </c>
      <c r="Z42" s="4"/>
      <c r="AA42">
        <v>8003</v>
      </c>
      <c r="AB42">
        <v>6744</v>
      </c>
      <c r="AD42" s="25">
        <v>0.1232</v>
      </c>
      <c r="AE42" s="25">
        <v>0.10769999999999999</v>
      </c>
    </row>
    <row r="43" spans="1:31" ht="13.9" customHeight="1">
      <c r="A43" s="126" t="s">
        <v>126</v>
      </c>
      <c r="B43" s="126" t="s">
        <v>127</v>
      </c>
      <c r="C43" s="27">
        <v>1791</v>
      </c>
      <c r="E43" s="126" t="s">
        <v>127</v>
      </c>
      <c r="F43" s="27">
        <v>1541</v>
      </c>
      <c r="G43" t="b">
        <f>IF(B43=E43,TRUE,FALSE)</f>
        <v>1</v>
      </c>
      <c r="J43" s="24">
        <f>F43-C43</f>
        <v>-250</v>
      </c>
      <c r="K43" s="4">
        <f>F43/C43-1</f>
        <v>-0.13958682300390846</v>
      </c>
      <c r="M43" s="5">
        <v>2912.54</v>
      </c>
      <c r="N43" s="5">
        <v>3786.2</v>
      </c>
      <c r="Q43" s="121">
        <v>18910.650000000001</v>
      </c>
      <c r="U43" s="145">
        <f>N43-M43</f>
        <v>873.65999999999985</v>
      </c>
      <c r="V43" s="4">
        <f>IF(M43=0,0,N43/M43-1)</f>
        <v>0.29996497902174735</v>
      </c>
      <c r="W43" s="17">
        <v>36060.31</v>
      </c>
      <c r="X43" s="17">
        <v>33880.21</v>
      </c>
      <c r="Y43" s="4">
        <f>X43/W43-1</f>
        <v>-6.0457050979317639E-2</v>
      </c>
      <c r="Z43" s="4"/>
      <c r="AA43">
        <v>14702</v>
      </c>
      <c r="AB43">
        <v>10840</v>
      </c>
      <c r="AD43" s="25">
        <v>0.12210000000000001</v>
      </c>
      <c r="AE43" s="25">
        <v>0.14219999999999999</v>
      </c>
    </row>
    <row r="44" spans="1:31">
      <c r="A44" s="39" t="s">
        <v>128</v>
      </c>
      <c r="B44" s="36" t="s">
        <v>129</v>
      </c>
      <c r="C44" s="18">
        <v>1643</v>
      </c>
      <c r="E44" s="36" t="s">
        <v>129</v>
      </c>
      <c r="F44" s="18">
        <v>1402</v>
      </c>
      <c r="G44" t="b">
        <f>IF(B44=E44,TRUE,FALSE)</f>
        <v>1</v>
      </c>
      <c r="J44" s="24">
        <f>F44-C44</f>
        <v>-241</v>
      </c>
      <c r="K44" s="4">
        <f>F44/C44-1</f>
        <v>-0.14668289713937921</v>
      </c>
      <c r="M44" s="5">
        <v>2822.24</v>
      </c>
      <c r="N44" s="5">
        <v>3052.92</v>
      </c>
      <c r="Q44" s="121">
        <v>15258.4</v>
      </c>
      <c r="U44" s="145">
        <f>N44-M44</f>
        <v>230.68000000000029</v>
      </c>
      <c r="V44" s="4">
        <f>IF(M44=0,0,N44/M44-1)</f>
        <v>8.1736492998469412E-2</v>
      </c>
      <c r="W44">
        <v>28482.57</v>
      </c>
      <c r="X44">
        <v>26455.38</v>
      </c>
      <c r="Y44" s="4">
        <f>X44/W44-1</f>
        <v>-7.1173001593606178E-2</v>
      </c>
      <c r="Z44" s="4"/>
      <c r="AA44">
        <v>6605</v>
      </c>
      <c r="AB44">
        <v>5725</v>
      </c>
      <c r="AD44" s="25">
        <v>0.24879999999999999</v>
      </c>
      <c r="AE44" s="25">
        <v>0.24350000000000002</v>
      </c>
    </row>
    <row r="45" spans="1:31">
      <c r="A45" t="s">
        <v>130</v>
      </c>
      <c r="B45" t="s">
        <v>131</v>
      </c>
      <c r="C45" s="27">
        <v>28657</v>
      </c>
      <c r="E45" t="s">
        <v>131</v>
      </c>
      <c r="F45" s="27">
        <v>28420</v>
      </c>
      <c r="G45" t="b">
        <f>IF(B45=E45,TRUE,FALSE)</f>
        <v>1</v>
      </c>
      <c r="J45" s="24">
        <f>F45-C45</f>
        <v>-237</v>
      </c>
      <c r="K45" s="4">
        <f>F45/C45-1</f>
        <v>-8.2702306591757591E-3</v>
      </c>
      <c r="M45" s="5">
        <v>35310.800000000003</v>
      </c>
      <c r="N45" s="5">
        <v>38577.49</v>
      </c>
      <c r="Q45" s="122">
        <v>287412.93</v>
      </c>
      <c r="U45" s="145">
        <f>N45-M45</f>
        <v>3266.6899999999951</v>
      </c>
      <c r="V45" s="4">
        <f>IF(M45=0,0,N45/M45-1)</f>
        <v>9.2512489096820083E-2</v>
      </c>
      <c r="W45" s="17">
        <v>1000337.21</v>
      </c>
      <c r="X45" s="17">
        <v>993006.89</v>
      </c>
      <c r="Y45" s="4">
        <f>X45/W45-1</f>
        <v>-7.3278489760467691E-3</v>
      </c>
      <c r="Z45" s="4"/>
      <c r="AA45">
        <v>135680</v>
      </c>
      <c r="AB45">
        <v>131219</v>
      </c>
      <c r="AD45" s="25">
        <v>0.21149999999999999</v>
      </c>
      <c r="AE45" s="25">
        <v>0.21609999999999999</v>
      </c>
    </row>
    <row r="46" spans="1:31">
      <c r="A46" s="22" t="s">
        <v>132</v>
      </c>
      <c r="B46" s="22" t="s">
        <v>133</v>
      </c>
      <c r="C46" s="27">
        <v>541</v>
      </c>
      <c r="E46" s="22" t="s">
        <v>133</v>
      </c>
      <c r="F46" s="27">
        <v>318</v>
      </c>
      <c r="G46" t="b">
        <f>IF(B46=E46,TRUE,FALSE)</f>
        <v>1</v>
      </c>
      <c r="J46" s="24">
        <f>F46-C46</f>
        <v>-223</v>
      </c>
      <c r="K46" s="4">
        <f>F46/C46-1</f>
        <v>-0.4121996303142329</v>
      </c>
      <c r="M46" s="5">
        <v>1096.04</v>
      </c>
      <c r="N46" s="5">
        <v>698.69</v>
      </c>
      <c r="Q46" s="122">
        <v>2087.69</v>
      </c>
      <c r="U46" s="145">
        <f>N46-M46</f>
        <v>-397.34999999999991</v>
      </c>
      <c r="V46" s="4">
        <f>IF(M46=0,0,N46/M46-1)</f>
        <v>-0.36253238932885656</v>
      </c>
      <c r="W46" s="17">
        <v>12299.91</v>
      </c>
      <c r="X46" s="17">
        <v>6891.4</v>
      </c>
      <c r="Y46" s="4">
        <f>X46/W46-1</f>
        <v>-0.43971947762219399</v>
      </c>
      <c r="Z46" s="4"/>
      <c r="AA46">
        <v>3501</v>
      </c>
      <c r="AB46">
        <v>1822</v>
      </c>
      <c r="AD46" s="25">
        <v>0.1542</v>
      </c>
      <c r="AE46" s="25">
        <v>0.17399999999999999</v>
      </c>
    </row>
    <row r="47" spans="1:31" ht="13.5" customHeight="1">
      <c r="A47" s="39" t="s">
        <v>134</v>
      </c>
      <c r="B47" s="36" t="s">
        <v>135</v>
      </c>
      <c r="C47" s="27">
        <v>1701</v>
      </c>
      <c r="E47" s="36" t="s">
        <v>135</v>
      </c>
      <c r="F47" s="27">
        <v>1479</v>
      </c>
      <c r="G47" t="b">
        <f>IF(B47=E47,TRUE,FALSE)</f>
        <v>1</v>
      </c>
      <c r="J47" s="24">
        <f>F47-C47</f>
        <v>-222</v>
      </c>
      <c r="K47" s="4">
        <f>F47/C47-1</f>
        <v>-0.13051146384479717</v>
      </c>
      <c r="M47" s="5">
        <v>4087.45</v>
      </c>
      <c r="N47" s="5">
        <v>3751.81</v>
      </c>
      <c r="Q47" s="122">
        <v>14895.55</v>
      </c>
      <c r="U47" s="145">
        <f>N47-M47</f>
        <v>-335.63999999999987</v>
      </c>
      <c r="V47" s="4">
        <f>IF(M47=0,0,N47/M47-1)</f>
        <v>-8.2114765929858446E-2</v>
      </c>
      <c r="W47" s="17">
        <v>27912.42</v>
      </c>
      <c r="X47" s="17">
        <v>26180.7</v>
      </c>
      <c r="Y47" s="4">
        <f>X47/W47-1</f>
        <v>-6.2041198864161484E-2</v>
      </c>
      <c r="Z47" s="4"/>
      <c r="AA47">
        <v>7563</v>
      </c>
      <c r="AB47">
        <v>6081</v>
      </c>
      <c r="AD47" s="25">
        <v>0.22489999999999999</v>
      </c>
      <c r="AE47" s="25">
        <v>0.24239999999999998</v>
      </c>
    </row>
    <row r="48" spans="1:31">
      <c r="A48" t="s">
        <v>136</v>
      </c>
      <c r="B48" t="s">
        <v>137</v>
      </c>
      <c r="C48" s="27">
        <v>676</v>
      </c>
      <c r="E48" t="s">
        <v>137</v>
      </c>
      <c r="F48" s="27">
        <v>456</v>
      </c>
      <c r="G48" t="b">
        <f>IF(B48=E48,TRUE,FALSE)</f>
        <v>1</v>
      </c>
      <c r="J48" s="24">
        <f>F48-C48</f>
        <v>-220</v>
      </c>
      <c r="K48" s="4">
        <f>F48/C48-1</f>
        <v>-0.32544378698224852</v>
      </c>
      <c r="M48" s="5">
        <v>850.13</v>
      </c>
      <c r="N48" s="5">
        <v>741.71</v>
      </c>
      <c r="Q48" s="122">
        <v>3795.74</v>
      </c>
      <c r="U48" s="145">
        <f>N48-M48</f>
        <v>-108.41999999999996</v>
      </c>
      <c r="V48" s="4">
        <f>IF(M48=0,0,N48/M48-1)</f>
        <v>-0.12753343606271972</v>
      </c>
      <c r="W48" s="17">
        <v>11298.04</v>
      </c>
      <c r="X48" s="17">
        <v>7709.84</v>
      </c>
      <c r="Y48" s="4">
        <f>X48/W48-1</f>
        <v>-0.31759491026762166</v>
      </c>
      <c r="Z48" s="4"/>
      <c r="AA48">
        <v>2445</v>
      </c>
      <c r="AB48">
        <v>2037</v>
      </c>
      <c r="AD48" s="25">
        <v>0.27649999999999997</v>
      </c>
      <c r="AE48" s="25">
        <v>0.22239999999999999</v>
      </c>
    </row>
    <row r="49" spans="1:36">
      <c r="A49" t="s">
        <v>138</v>
      </c>
      <c r="B49" t="s">
        <v>139</v>
      </c>
      <c r="C49" s="27">
        <v>2311</v>
      </c>
      <c r="E49" t="s">
        <v>139</v>
      </c>
      <c r="F49" s="27">
        <v>2094</v>
      </c>
      <c r="G49" t="b">
        <f>IF(B49=E49,TRUE,FALSE)</f>
        <v>1</v>
      </c>
      <c r="J49" s="24">
        <f>F49-C49</f>
        <v>-217</v>
      </c>
      <c r="K49" s="4">
        <f>F49/C49-1</f>
        <v>-9.389874513197749E-2</v>
      </c>
      <c r="L49" s="5"/>
      <c r="M49" s="5">
        <v>3536.95</v>
      </c>
      <c r="N49" s="5">
        <v>3209.07</v>
      </c>
      <c r="O49" s="5"/>
      <c r="P49" s="5"/>
      <c r="Q49" s="122">
        <v>17511.939999999999</v>
      </c>
      <c r="R49" s="5"/>
      <c r="S49" s="5"/>
      <c r="T49" s="5"/>
      <c r="U49" s="145">
        <f>N49-M49</f>
        <v>-327.87999999999965</v>
      </c>
      <c r="V49" s="4">
        <f>IF(M49=0,0,N49/M49-1)</f>
        <v>-9.2701338724041848E-2</v>
      </c>
      <c r="W49" s="17">
        <v>62266.87</v>
      </c>
      <c r="X49" s="17">
        <v>56424.39</v>
      </c>
      <c r="Y49" s="4">
        <f>X49/W49-1</f>
        <v>-9.3829672183618706E-2</v>
      </c>
      <c r="Z49" s="4"/>
      <c r="AA49">
        <v>10471</v>
      </c>
      <c r="AB49">
        <v>9658</v>
      </c>
      <c r="AD49" s="25">
        <v>0.22159999999999999</v>
      </c>
      <c r="AE49" s="25">
        <v>0.2162</v>
      </c>
    </row>
    <row r="50" spans="1:36">
      <c r="A50" t="s">
        <v>140</v>
      </c>
      <c r="B50" t="s">
        <v>141</v>
      </c>
      <c r="C50" s="27">
        <v>552</v>
      </c>
      <c r="E50" t="s">
        <v>141</v>
      </c>
      <c r="F50" s="27">
        <v>340</v>
      </c>
      <c r="G50" t="b">
        <f>IF(B50=E50,TRUE,FALSE)</f>
        <v>1</v>
      </c>
      <c r="J50" s="24">
        <f>F50-C50</f>
        <v>-212</v>
      </c>
      <c r="K50" s="4">
        <f>F50/C50-1</f>
        <v>-0.38405797101449279</v>
      </c>
      <c r="M50" s="5">
        <v>2000.62</v>
      </c>
      <c r="N50" s="5">
        <v>1680.71</v>
      </c>
      <c r="Q50" s="122">
        <v>9112.2800000000007</v>
      </c>
      <c r="U50" s="145">
        <f>N50-M50</f>
        <v>-319.90999999999985</v>
      </c>
      <c r="V50" s="4">
        <f>IF(M50=0,0,N50/M50-1)</f>
        <v>-0.15990542931691165</v>
      </c>
      <c r="W50" s="17">
        <v>10956.53</v>
      </c>
      <c r="X50" s="17">
        <v>10194.200000000001</v>
      </c>
      <c r="Y50" s="4">
        <f>X50/W50-1</f>
        <v>-6.9577685635871966E-2</v>
      </c>
      <c r="Z50" s="4"/>
      <c r="AA50">
        <v>4944</v>
      </c>
      <c r="AB50">
        <v>3317</v>
      </c>
      <c r="AD50" s="25">
        <v>0.1119</v>
      </c>
      <c r="AE50" s="25">
        <v>0.10220000000000001</v>
      </c>
    </row>
    <row r="51" spans="1:36">
      <c r="A51" t="s">
        <v>142</v>
      </c>
      <c r="B51" t="s">
        <v>143</v>
      </c>
      <c r="C51" s="27">
        <v>1610</v>
      </c>
      <c r="E51" t="s">
        <v>143</v>
      </c>
      <c r="F51" s="27">
        <v>1421</v>
      </c>
      <c r="G51" t="b">
        <f>IF(B51=E51,TRUE,FALSE)</f>
        <v>1</v>
      </c>
      <c r="J51" s="24">
        <f>F51-C51</f>
        <v>-189</v>
      </c>
      <c r="K51" s="4">
        <f>F51/C51-1</f>
        <v>-0.11739130434782608</v>
      </c>
      <c r="M51" s="5">
        <v>2791.59</v>
      </c>
      <c r="N51" s="5">
        <v>1740.31</v>
      </c>
      <c r="Q51" s="122">
        <v>12396.88</v>
      </c>
      <c r="U51" s="145">
        <f>N51-M51</f>
        <v>-1051.2800000000002</v>
      </c>
      <c r="V51" s="4">
        <f>IF(M51=0,0,N51/M51-1)</f>
        <v>-0.37658825257290651</v>
      </c>
      <c r="W51" s="17">
        <v>38561.979999999996</v>
      </c>
      <c r="X51" s="17">
        <v>34028.11</v>
      </c>
      <c r="Y51" s="4">
        <f>X51/W51-1</f>
        <v>-0.11757357895004339</v>
      </c>
      <c r="Z51" s="4"/>
      <c r="AA51">
        <v>2921</v>
      </c>
      <c r="AB51">
        <v>2283</v>
      </c>
      <c r="AD51" s="25">
        <v>0.55120000000000002</v>
      </c>
      <c r="AE51" s="25">
        <v>0.62070000000000003</v>
      </c>
    </row>
    <row r="52" spans="1:36">
      <c r="A52" t="s">
        <v>144</v>
      </c>
      <c r="B52" t="s">
        <v>145</v>
      </c>
      <c r="C52" s="27">
        <v>502</v>
      </c>
      <c r="E52" t="s">
        <v>145</v>
      </c>
      <c r="F52" s="27">
        <v>315</v>
      </c>
      <c r="G52" t="b">
        <f>IF(B52=E52,TRUE,FALSE)</f>
        <v>1</v>
      </c>
      <c r="J52" s="24">
        <f>F52-C52</f>
        <v>-187</v>
      </c>
      <c r="K52" s="4">
        <f>F52/C52-1</f>
        <v>-0.37250996015936255</v>
      </c>
      <c r="M52" s="5">
        <v>1379.85</v>
      </c>
      <c r="N52" s="5">
        <v>640.9</v>
      </c>
      <c r="Q52" s="122">
        <v>3226.16</v>
      </c>
      <c r="U52" s="145">
        <f>N52-M52</f>
        <v>-738.94999999999993</v>
      </c>
      <c r="V52" s="4">
        <f>IF(M52=0,0,N52/M52-1)</f>
        <v>-0.53552922419103521</v>
      </c>
      <c r="W52" s="17">
        <v>9391.7800000000007</v>
      </c>
      <c r="X52" s="17">
        <v>6294.05</v>
      </c>
      <c r="Y52" s="4">
        <f>X52/W52-1</f>
        <v>-0.32983417413951355</v>
      </c>
      <c r="Z52" s="4"/>
      <c r="AA52">
        <v>4125</v>
      </c>
      <c r="AB52">
        <v>2220</v>
      </c>
      <c r="AD52" s="25">
        <v>0.1217</v>
      </c>
      <c r="AE52" s="25">
        <v>0.1419</v>
      </c>
    </row>
    <row r="53" spans="1:36">
      <c r="A53" t="s">
        <v>146</v>
      </c>
      <c r="B53" t="s">
        <v>147</v>
      </c>
      <c r="C53" s="27">
        <v>725</v>
      </c>
      <c r="E53" t="s">
        <v>147</v>
      </c>
      <c r="F53" s="27">
        <v>538</v>
      </c>
      <c r="G53" t="b">
        <f>IF(B53=E53,TRUE,FALSE)</f>
        <v>1</v>
      </c>
      <c r="J53" s="24">
        <f>F53-C53</f>
        <v>-187</v>
      </c>
      <c r="K53" s="4">
        <f>F53/C53-1</f>
        <v>-0.25793103448275867</v>
      </c>
      <c r="M53" s="5">
        <v>1454.3</v>
      </c>
      <c r="N53" s="5">
        <v>1217.1400000000001</v>
      </c>
      <c r="Q53" s="122">
        <v>6170.72</v>
      </c>
      <c r="U53" s="145">
        <f>N53-M53</f>
        <v>-237.15999999999985</v>
      </c>
      <c r="V53" s="4">
        <f>IF(M53=0,0,N53/M53-1)</f>
        <v>-0.16307501890944087</v>
      </c>
      <c r="W53" s="17">
        <v>14052.55</v>
      </c>
      <c r="X53" s="17">
        <v>12356.82</v>
      </c>
      <c r="Y53" s="4">
        <f>X53/W53-1</f>
        <v>-0.1206706256159914</v>
      </c>
      <c r="Z53" s="4"/>
      <c r="AA53">
        <v>2593</v>
      </c>
      <c r="AB53">
        <v>1972</v>
      </c>
      <c r="AD53" s="25">
        <v>0.28000000000000003</v>
      </c>
      <c r="AE53" s="25">
        <v>0.27279999999999999</v>
      </c>
    </row>
    <row r="54" spans="1:36">
      <c r="A54" s="36" t="s">
        <v>148</v>
      </c>
      <c r="B54" s="36" t="s">
        <v>149</v>
      </c>
      <c r="C54" s="27">
        <v>2345</v>
      </c>
      <c r="E54" s="36" t="s">
        <v>149</v>
      </c>
      <c r="F54" s="27">
        <v>2159</v>
      </c>
      <c r="G54" t="b">
        <f>IF(B54=E54,TRUE,FALSE)</f>
        <v>1</v>
      </c>
      <c r="J54" s="24">
        <f>F54-C54</f>
        <v>-186</v>
      </c>
      <c r="K54" s="4">
        <f>F54/C54-1</f>
        <v>-7.9317697228144968E-2</v>
      </c>
      <c r="M54" s="5">
        <v>6258.55</v>
      </c>
      <c r="N54" s="5">
        <v>5659.96</v>
      </c>
      <c r="Q54" s="122">
        <v>35020.019999999997</v>
      </c>
      <c r="U54" s="145">
        <f>N54-M54</f>
        <v>-598.59000000000015</v>
      </c>
      <c r="V54" s="4">
        <f>IF(M54=0,0,N54/M54-1)</f>
        <v>-9.56435596104529E-2</v>
      </c>
      <c r="W54" s="17">
        <v>58549.94</v>
      </c>
      <c r="X54" s="17">
        <v>53907.03</v>
      </c>
      <c r="Y54" s="4">
        <f>X54/W54-1</f>
        <v>-7.9298287923096122E-2</v>
      </c>
      <c r="Z54" s="4"/>
      <c r="AA54">
        <v>14764</v>
      </c>
      <c r="AB54">
        <v>13281</v>
      </c>
      <c r="AD54" s="25">
        <v>0.1588</v>
      </c>
      <c r="AE54" s="25">
        <v>0.1623</v>
      </c>
    </row>
    <row r="55" spans="1:36">
      <c r="A55" t="s">
        <v>150</v>
      </c>
      <c r="B55" t="s">
        <v>151</v>
      </c>
      <c r="C55" s="27">
        <v>21376</v>
      </c>
      <c r="E55" t="s">
        <v>151</v>
      </c>
      <c r="F55" s="27">
        <v>21198</v>
      </c>
      <c r="G55" t="b">
        <f>IF(B55=E55,TRUE,FALSE)</f>
        <v>1</v>
      </c>
      <c r="J55" s="24">
        <f>F55-C55</f>
        <v>-178</v>
      </c>
      <c r="K55" s="4">
        <f>F55/C55-1</f>
        <v>-8.3270958083832003E-3</v>
      </c>
      <c r="M55" s="5">
        <v>26985.9</v>
      </c>
      <c r="N55" s="5">
        <v>28206.63</v>
      </c>
      <c r="Q55" s="122">
        <v>141029.32</v>
      </c>
      <c r="U55" s="145">
        <f>N55-M55</f>
        <v>1220.7299999999996</v>
      </c>
      <c r="V55" s="4">
        <f>IF(M55=0,0,N55/M55-1)</f>
        <v>4.5235845385923845E-2</v>
      </c>
      <c r="W55" s="17">
        <v>532312.93999999994</v>
      </c>
      <c r="X55" s="17">
        <v>527789.17000000004</v>
      </c>
      <c r="Y55" s="4">
        <f>X55/W55-1</f>
        <v>-8.4983280699505448E-3</v>
      </c>
      <c r="Z55" s="4"/>
      <c r="AA55">
        <v>103006</v>
      </c>
      <c r="AB55">
        <v>96334</v>
      </c>
      <c r="AD55" s="25">
        <v>0.2079</v>
      </c>
      <c r="AE55" s="25">
        <v>0.21920000000000001</v>
      </c>
    </row>
    <row r="56" spans="1:36">
      <c r="A56" t="s">
        <v>152</v>
      </c>
      <c r="B56" t="s">
        <v>153</v>
      </c>
      <c r="C56" s="27">
        <v>843</v>
      </c>
      <c r="E56" t="s">
        <v>153</v>
      </c>
      <c r="F56" s="27">
        <v>672</v>
      </c>
      <c r="G56" t="b">
        <f>IF(B56=E56,TRUE,FALSE)</f>
        <v>1</v>
      </c>
      <c r="J56" s="24">
        <f>F56-C56</f>
        <v>-171</v>
      </c>
      <c r="K56" s="4">
        <f>F56/C56-1</f>
        <v>-0.20284697508896798</v>
      </c>
      <c r="M56" s="5">
        <v>1607.94</v>
      </c>
      <c r="N56" s="5">
        <v>1370.39</v>
      </c>
      <c r="Q56" s="122">
        <v>9753.02</v>
      </c>
      <c r="U56" s="145">
        <f>N56-M56</f>
        <v>-237.54999999999995</v>
      </c>
      <c r="V56" s="4">
        <f>IF(M56=0,0,N56/M56-1)</f>
        <v>-0.14773561202532426</v>
      </c>
      <c r="W56" s="17">
        <v>16845.86</v>
      </c>
      <c r="X56" s="17">
        <v>13414.27</v>
      </c>
      <c r="Y56" s="4">
        <f>X56/W56-1</f>
        <v>-0.20370524271245283</v>
      </c>
      <c r="Z56" s="4"/>
      <c r="AA56">
        <v>3409</v>
      </c>
      <c r="AB56">
        <v>2534</v>
      </c>
      <c r="AD56" s="25">
        <v>0.24789999999999998</v>
      </c>
      <c r="AE56" s="25">
        <v>0.26479999999999998</v>
      </c>
    </row>
    <row r="57" spans="1:36">
      <c r="A57" s="36" t="s">
        <v>154</v>
      </c>
      <c r="B57" s="36" t="s">
        <v>155</v>
      </c>
      <c r="C57" s="27">
        <v>183</v>
      </c>
      <c r="E57" s="36" t="s">
        <v>155</v>
      </c>
      <c r="F57" s="27">
        <v>18</v>
      </c>
      <c r="G57" t="b">
        <f>IF(B57=E57,TRUE,FALSE)</f>
        <v>1</v>
      </c>
      <c r="J57" s="24">
        <f>F57-C57</f>
        <v>-165</v>
      </c>
      <c r="K57" s="4">
        <f>F57/C57-1</f>
        <v>-0.90163934426229508</v>
      </c>
      <c r="M57" s="5">
        <v>267.93</v>
      </c>
      <c r="N57" s="5">
        <v>32.840000000000003</v>
      </c>
      <c r="Q57" s="122">
        <v>134.84</v>
      </c>
      <c r="U57" s="145">
        <f>N57-M57</f>
        <v>-235.09</v>
      </c>
      <c r="V57" s="4">
        <f>IF(M57=0,0,N57/M57-1)</f>
        <v>-0.87743067219049753</v>
      </c>
      <c r="W57" s="17">
        <v>4572.67</v>
      </c>
      <c r="X57" s="17">
        <v>449.57</v>
      </c>
      <c r="Y57" s="4">
        <f>X57/W57-1</f>
        <v>-0.90168326163926105</v>
      </c>
      <c r="Z57" s="4"/>
      <c r="AA57">
        <v>974</v>
      </c>
      <c r="AB57">
        <v>141</v>
      </c>
      <c r="AD57" s="25">
        <v>0.18989999999999999</v>
      </c>
      <c r="AE57" s="25">
        <v>0.12770000000000001</v>
      </c>
    </row>
    <row r="58" spans="1:36" ht="30.75">
      <c r="A58" s="39" t="s">
        <v>156</v>
      </c>
      <c r="B58" s="36" t="s">
        <v>157</v>
      </c>
      <c r="C58" s="27">
        <v>1380</v>
      </c>
      <c r="E58" s="36" t="s">
        <v>157</v>
      </c>
      <c r="F58" s="27">
        <v>1220</v>
      </c>
      <c r="G58" t="b">
        <f>IF(B58=E58,TRUE,FALSE)</f>
        <v>1</v>
      </c>
      <c r="J58" s="24">
        <f>F58-C58</f>
        <v>-160</v>
      </c>
      <c r="K58" s="4">
        <f>F58/C58-1</f>
        <v>-0.11594202898550721</v>
      </c>
      <c r="M58" s="5">
        <v>1909.34</v>
      </c>
      <c r="N58" s="5">
        <v>2250.2399999999998</v>
      </c>
      <c r="Q58" s="121">
        <v>12547.29</v>
      </c>
      <c r="U58" s="145">
        <f>N58-M58</f>
        <v>340.89999999999986</v>
      </c>
      <c r="V58" s="4">
        <f>IF(M58=0,0,N58/M58-1)</f>
        <v>0.17854337100778284</v>
      </c>
      <c r="W58" s="17">
        <v>25873.98</v>
      </c>
      <c r="X58" s="17">
        <v>24570</v>
      </c>
      <c r="Y58" s="4">
        <f>X58/W58-1</f>
        <v>-5.0397348996945923E-2</v>
      </c>
      <c r="Z58" s="4"/>
      <c r="AA58">
        <v>8489</v>
      </c>
      <c r="AB58">
        <v>6607</v>
      </c>
      <c r="AD58" s="25">
        <v>0.16269999999999998</v>
      </c>
      <c r="AE58" s="25">
        <v>0.18429999999999999</v>
      </c>
    </row>
    <row r="59" spans="1:36" ht="21" customHeight="1">
      <c r="A59" s="39" t="s">
        <v>158</v>
      </c>
      <c r="B59" s="36" t="s">
        <v>159</v>
      </c>
      <c r="C59" s="27">
        <v>1665</v>
      </c>
      <c r="E59" s="36" t="s">
        <v>159</v>
      </c>
      <c r="F59" s="27">
        <v>1515</v>
      </c>
      <c r="G59" t="b">
        <f>IF(B59=E59,TRUE,FALSE)</f>
        <v>1</v>
      </c>
      <c r="J59" s="24">
        <f>F59-C59</f>
        <v>-150</v>
      </c>
      <c r="K59" s="4">
        <f>F59/C59-1</f>
        <v>-9.0090090090090058E-2</v>
      </c>
      <c r="M59" s="5">
        <v>3517.63</v>
      </c>
      <c r="N59" s="5">
        <v>2519.91</v>
      </c>
      <c r="Q59" s="121">
        <v>17147.580000000002</v>
      </c>
      <c r="U59" s="145">
        <f>N59-M59</f>
        <v>-997.72000000000025</v>
      </c>
      <c r="V59" s="4">
        <f>IF(M59=0,0,N59/M59-1)</f>
        <v>-0.28363415140307546</v>
      </c>
      <c r="W59" s="17">
        <v>33278.75</v>
      </c>
      <c r="X59" s="17">
        <v>30281.25</v>
      </c>
      <c r="Y59" s="4">
        <f>X59/W59-1</f>
        <v>-9.007249370844761E-2</v>
      </c>
      <c r="Z59" s="4"/>
      <c r="AA59">
        <v>7658</v>
      </c>
      <c r="AB59">
        <v>5443</v>
      </c>
      <c r="AD59" s="25">
        <v>0.21489999999999998</v>
      </c>
      <c r="AE59" s="25">
        <v>0.27760000000000001</v>
      </c>
    </row>
    <row r="60" spans="1:36">
      <c r="A60" s="26" t="s">
        <v>160</v>
      </c>
      <c r="B60" s="26" t="s">
        <v>161</v>
      </c>
      <c r="C60" s="27">
        <v>2472</v>
      </c>
      <c r="D60" s="18"/>
      <c r="E60" s="26" t="s">
        <v>161</v>
      </c>
      <c r="F60" s="27">
        <v>2328</v>
      </c>
      <c r="G60" t="b">
        <f>IF(B60=E60,TRUE,FALSE)</f>
        <v>1</v>
      </c>
      <c r="H60" s="18"/>
      <c r="I60" s="18"/>
      <c r="J60" s="24">
        <f>F60-C60</f>
        <v>-144</v>
      </c>
      <c r="K60" s="4">
        <f>F60/C60-1</f>
        <v>-5.8252427184465994E-2</v>
      </c>
      <c r="M60" s="17">
        <v>4498.6499999999996</v>
      </c>
      <c r="N60" s="17">
        <v>4345.53</v>
      </c>
      <c r="O60" s="17"/>
      <c r="P60" s="17"/>
      <c r="Q60" s="122">
        <v>25751.54</v>
      </c>
      <c r="U60" s="145">
        <f>N60-M60</f>
        <v>-153.11999999999989</v>
      </c>
      <c r="V60" s="4">
        <f>IF(M60=0,0,N60/M60-1)</f>
        <v>-3.4036877729985648E-2</v>
      </c>
      <c r="W60" s="17">
        <v>59175.41</v>
      </c>
      <c r="X60" s="17">
        <v>55747.92</v>
      </c>
      <c r="Y60" s="4">
        <f>X60/W60-1</f>
        <v>-5.7920849217605874E-2</v>
      </c>
      <c r="Z60" s="4"/>
      <c r="AA60">
        <v>17072</v>
      </c>
      <c r="AB60">
        <v>16051</v>
      </c>
      <c r="AD60" s="25">
        <v>0.1449</v>
      </c>
      <c r="AE60" s="25">
        <v>0.1444</v>
      </c>
    </row>
    <row r="61" spans="1:36">
      <c r="A61" t="s">
        <v>162</v>
      </c>
      <c r="B61" t="s">
        <v>163</v>
      </c>
      <c r="C61" s="27">
        <v>765</v>
      </c>
      <c r="E61" t="s">
        <v>163</v>
      </c>
      <c r="F61" s="27">
        <v>627</v>
      </c>
      <c r="G61" t="b">
        <f>IF(B61=E61,TRUE,FALSE)</f>
        <v>1</v>
      </c>
      <c r="J61" s="24">
        <f>F61-C61</f>
        <v>-138</v>
      </c>
      <c r="K61" s="4">
        <f>F61/C61-1</f>
        <v>-0.18039215686274512</v>
      </c>
      <c r="M61" s="5">
        <v>3925.85</v>
      </c>
      <c r="N61" s="5">
        <v>2936.53</v>
      </c>
      <c r="Q61" s="122">
        <v>13524.78</v>
      </c>
      <c r="U61" s="145">
        <f>N61-M61</f>
        <v>-989.31999999999971</v>
      </c>
      <c r="V61" s="4">
        <f>IF(M61=0,0,N61/M61-1)</f>
        <v>-0.25200147738706258</v>
      </c>
      <c r="W61" s="17">
        <v>28286.99</v>
      </c>
      <c r="X61" s="17">
        <v>23181.26</v>
      </c>
      <c r="Y61" s="4">
        <f>X61/W61-1</f>
        <v>-0.18049746544259404</v>
      </c>
      <c r="Z61" s="4"/>
      <c r="AA61">
        <v>9748</v>
      </c>
      <c r="AB61">
        <v>7454</v>
      </c>
      <c r="AD61" s="25">
        <v>7.8700000000000006E-2</v>
      </c>
      <c r="AE61" s="25">
        <v>8.3800000000000013E-2</v>
      </c>
    </row>
    <row r="62" spans="1:36">
      <c r="A62" s="126" t="s">
        <v>164</v>
      </c>
      <c r="B62" s="126" t="s">
        <v>165</v>
      </c>
      <c r="C62" s="27">
        <v>506</v>
      </c>
      <c r="E62" s="126" t="s">
        <v>165</v>
      </c>
      <c r="F62" s="27">
        <v>370</v>
      </c>
      <c r="G62" t="b">
        <f>IF(B62=E62,TRUE,FALSE)</f>
        <v>1</v>
      </c>
      <c r="J62" s="24">
        <f>F62-C62</f>
        <v>-136</v>
      </c>
      <c r="K62" s="4">
        <f>F62/C62-1</f>
        <v>-0.26877470355731226</v>
      </c>
      <c r="M62" s="5">
        <v>2741.49</v>
      </c>
      <c r="N62" s="5">
        <v>1741.78</v>
      </c>
      <c r="Q62" s="121">
        <v>6003.66</v>
      </c>
      <c r="U62" s="145">
        <f>N62-M62</f>
        <v>-999.70999999999981</v>
      </c>
      <c r="V62" s="4">
        <f>IF(M62=0,0,N62/M62-1)</f>
        <v>-0.36465936406844446</v>
      </c>
      <c r="W62" s="17">
        <v>8882.59</v>
      </c>
      <c r="X62" s="17">
        <v>6615.5</v>
      </c>
      <c r="Y62" s="4">
        <f>X62/W62-1</f>
        <v>-0.25522848628609451</v>
      </c>
      <c r="Z62" s="4"/>
      <c r="AA62">
        <v>4254</v>
      </c>
      <c r="AB62">
        <v>2782</v>
      </c>
      <c r="AD62" s="25">
        <v>0.11890000000000001</v>
      </c>
      <c r="AE62" s="25">
        <v>0.1326</v>
      </c>
      <c r="AJ62" t="s">
        <v>166</v>
      </c>
    </row>
    <row r="63" spans="1:36">
      <c r="A63" s="126" t="s">
        <v>167</v>
      </c>
      <c r="B63" s="36" t="s">
        <v>168</v>
      </c>
      <c r="C63" s="27">
        <v>1135</v>
      </c>
      <c r="E63" s="36" t="s">
        <v>168</v>
      </c>
      <c r="F63" s="27">
        <v>1003</v>
      </c>
      <c r="G63" t="b">
        <f>IF(B63=E63,TRUE,FALSE)</f>
        <v>1</v>
      </c>
      <c r="J63" s="24">
        <f>F63-C63</f>
        <v>-132</v>
      </c>
      <c r="K63" s="4">
        <f>F63/C63-1</f>
        <v>-0.11629955947136561</v>
      </c>
      <c r="M63" s="5">
        <v>1675.52</v>
      </c>
      <c r="N63" s="5">
        <v>2311.13</v>
      </c>
      <c r="Q63" s="121">
        <v>10295.89</v>
      </c>
      <c r="U63" s="145">
        <f>N63-M63</f>
        <v>635.61000000000013</v>
      </c>
      <c r="V63" s="4">
        <f>IF(M63=0,0,N63/M63-1)</f>
        <v>0.37935088808250583</v>
      </c>
      <c r="W63" s="17">
        <v>17714.28</v>
      </c>
      <c r="X63" s="17">
        <v>17030.810000000001</v>
      </c>
      <c r="Y63" s="4">
        <f>X63/W63-1</f>
        <v>-3.8582996317095497E-2</v>
      </c>
      <c r="Z63" s="4"/>
      <c r="AA63">
        <v>3689</v>
      </c>
      <c r="AB63">
        <v>3421</v>
      </c>
      <c r="AD63" s="25">
        <v>0.30769999999999997</v>
      </c>
      <c r="AE63" s="25">
        <v>0.29289999999999999</v>
      </c>
    </row>
    <row r="64" spans="1:36">
      <c r="A64" s="39" t="s">
        <v>169</v>
      </c>
      <c r="B64" s="36" t="s">
        <v>170</v>
      </c>
      <c r="C64" s="18">
        <v>1761</v>
      </c>
      <c r="E64" s="36" t="s">
        <v>170</v>
      </c>
      <c r="F64" s="18">
        <v>1641</v>
      </c>
      <c r="G64" t="b">
        <f>IF(B64=E64,TRUE,FALSE)</f>
        <v>1</v>
      </c>
      <c r="J64" s="24">
        <f>F64-C64</f>
        <v>-120</v>
      </c>
      <c r="K64" s="4">
        <f>F64/C64-1</f>
        <v>-6.8143100511073307E-2</v>
      </c>
      <c r="M64" s="5">
        <v>2532.6</v>
      </c>
      <c r="N64" s="5">
        <v>3125.16</v>
      </c>
      <c r="Q64" s="121">
        <v>20697.25</v>
      </c>
      <c r="U64" s="145">
        <f>N64-M64</f>
        <v>592.55999999999995</v>
      </c>
      <c r="V64" s="4">
        <f>IF(M64=0,0,N64/M64-1)</f>
        <v>0.23397299218194734</v>
      </c>
      <c r="W64">
        <v>37910.44</v>
      </c>
      <c r="X64">
        <v>37837.050000000003</v>
      </c>
      <c r="Y64" s="4">
        <f>X64/W64-1</f>
        <v>-1.9358783490774911E-3</v>
      </c>
      <c r="Z64" s="4"/>
      <c r="AA64">
        <v>5887</v>
      </c>
      <c r="AB64">
        <v>5635</v>
      </c>
      <c r="AD64" s="25">
        <v>0.29930000000000001</v>
      </c>
      <c r="AE64" s="25">
        <v>0.2903</v>
      </c>
    </row>
    <row r="65" spans="1:31">
      <c r="A65" s="39" t="s">
        <v>171</v>
      </c>
      <c r="B65" s="36" t="s">
        <v>172</v>
      </c>
      <c r="C65" s="27">
        <v>1402</v>
      </c>
      <c r="E65" s="36" t="s">
        <v>172</v>
      </c>
      <c r="F65" s="27">
        <v>1284</v>
      </c>
      <c r="G65" t="b">
        <f>IF(B65=E65,TRUE,FALSE)</f>
        <v>1</v>
      </c>
      <c r="J65" s="24">
        <f>F65-C65</f>
        <v>-118</v>
      </c>
      <c r="K65" s="4">
        <f>F65/C65-1</f>
        <v>-8.4165477888730411E-2</v>
      </c>
      <c r="M65" s="5">
        <v>2444.4499999999998</v>
      </c>
      <c r="N65" s="5">
        <v>2632.42</v>
      </c>
      <c r="Q65" s="121">
        <v>14065.53</v>
      </c>
      <c r="U65" s="145">
        <f>N65-M65</f>
        <v>187.97000000000025</v>
      </c>
      <c r="V65" s="4">
        <f>IF(M65=0,0,N65/M65-1)</f>
        <v>7.6896643416719535E-2</v>
      </c>
      <c r="W65" s="17">
        <v>36106.71</v>
      </c>
      <c r="X65" s="17">
        <v>35467.72</v>
      </c>
      <c r="Y65" s="4">
        <f>X65/W65-1</f>
        <v>-1.7697264580461614E-2</v>
      </c>
      <c r="Z65" s="4"/>
      <c r="AA65">
        <v>7187</v>
      </c>
      <c r="AB65">
        <v>5786</v>
      </c>
      <c r="AD65" s="25">
        <v>0.19550000000000001</v>
      </c>
      <c r="AE65" s="25">
        <v>0.22089999999999999</v>
      </c>
    </row>
    <row r="66" spans="1:31">
      <c r="A66" t="s">
        <v>173</v>
      </c>
      <c r="B66" t="s">
        <v>174</v>
      </c>
      <c r="C66" s="27">
        <v>1320</v>
      </c>
      <c r="E66" t="s">
        <v>174</v>
      </c>
      <c r="F66" s="27">
        <v>1208</v>
      </c>
      <c r="G66" t="b">
        <f>IF(B66=E66,TRUE,FALSE)</f>
        <v>1</v>
      </c>
      <c r="J66" s="24">
        <f>F66-C66</f>
        <v>-112</v>
      </c>
      <c r="K66" s="4">
        <f>F66/C66-1</f>
        <v>-8.484848484848484E-2</v>
      </c>
      <c r="M66" s="5">
        <v>2298.52</v>
      </c>
      <c r="N66" s="5">
        <v>1680.82</v>
      </c>
      <c r="Q66" s="122">
        <v>7250.46</v>
      </c>
      <c r="U66" s="145">
        <f>N66-M66</f>
        <v>-617.70000000000005</v>
      </c>
      <c r="V66" s="4">
        <f>IF(M66=0,0,N66/M66-1)</f>
        <v>-0.26873814454518563</v>
      </c>
      <c r="W66" s="17">
        <v>32898.51</v>
      </c>
      <c r="X66" s="17">
        <v>30099.77</v>
      </c>
      <c r="Y66" s="4">
        <f>X66/W66-1</f>
        <v>-8.5071937908434148E-2</v>
      </c>
      <c r="Z66" s="4"/>
      <c r="AA66">
        <v>3963</v>
      </c>
      <c r="AB66">
        <v>3241</v>
      </c>
      <c r="AD66" s="25">
        <v>0.33479999999999999</v>
      </c>
      <c r="AE66" s="25">
        <v>0.36930000000000002</v>
      </c>
    </row>
    <row r="67" spans="1:31">
      <c r="A67" t="s">
        <v>175</v>
      </c>
      <c r="B67" t="s">
        <v>176</v>
      </c>
      <c r="C67" s="27">
        <v>3109</v>
      </c>
      <c r="E67" t="s">
        <v>176</v>
      </c>
      <c r="F67" s="27">
        <v>2999</v>
      </c>
      <c r="G67" t="b">
        <f>IF(B67=E67,TRUE,FALSE)</f>
        <v>1</v>
      </c>
      <c r="J67" s="24">
        <f>F67-C67</f>
        <v>-110</v>
      </c>
      <c r="K67" s="4">
        <f>F67/C67-1</f>
        <v>-3.5381151495657792E-2</v>
      </c>
      <c r="M67" s="5">
        <v>4512.43</v>
      </c>
      <c r="N67" s="5">
        <v>4832.5600000000004</v>
      </c>
      <c r="Q67" s="122">
        <v>40843.85</v>
      </c>
      <c r="U67" s="145">
        <f>N67-M67</f>
        <v>320.13000000000011</v>
      </c>
      <c r="V67" s="4">
        <f>IF(M67=0,0,N67/M67-1)</f>
        <v>7.0944036805003163E-2</v>
      </c>
      <c r="W67" s="17">
        <v>93163.93</v>
      </c>
      <c r="X67" s="17">
        <v>89895.32</v>
      </c>
      <c r="Y67" s="4">
        <f>X67/W67-1</f>
        <v>-3.5084501050996697E-2</v>
      </c>
      <c r="Z67" s="4"/>
      <c r="AA67">
        <v>12775</v>
      </c>
      <c r="AB67">
        <v>12247</v>
      </c>
      <c r="AD67" s="25">
        <v>0.24420000000000003</v>
      </c>
      <c r="AE67" s="25">
        <v>0.24379999999999999</v>
      </c>
    </row>
    <row r="68" spans="1:31">
      <c r="A68" t="s">
        <v>177</v>
      </c>
      <c r="B68" t="s">
        <v>178</v>
      </c>
      <c r="C68" s="27">
        <v>1770</v>
      </c>
      <c r="E68" t="s">
        <v>178</v>
      </c>
      <c r="F68" s="27">
        <v>1660</v>
      </c>
      <c r="G68" t="b">
        <f>IF(B68=E68,TRUE,FALSE)</f>
        <v>1</v>
      </c>
      <c r="J68" s="24">
        <f>F68-C68</f>
        <v>-110</v>
      </c>
      <c r="K68" s="4">
        <f>F68/C68-1</f>
        <v>-6.2146892655367214E-2</v>
      </c>
      <c r="M68" s="5">
        <v>2381.44</v>
      </c>
      <c r="N68" s="5">
        <v>2012.06</v>
      </c>
      <c r="Q68" s="122">
        <v>14232.17</v>
      </c>
      <c r="U68" s="145">
        <f>N68-M68</f>
        <v>-369.38000000000011</v>
      </c>
      <c r="V68" s="4">
        <f>IF(M68=0,0,N68/M68-1)</f>
        <v>-0.15510783391561411</v>
      </c>
      <c r="W68" s="17">
        <v>61837</v>
      </c>
      <c r="X68" s="17">
        <v>58003.35</v>
      </c>
      <c r="Y68" s="4">
        <f>X68/W68-1</f>
        <v>-6.1996054142341994E-2</v>
      </c>
      <c r="Z68" s="4"/>
      <c r="AA68">
        <v>3934</v>
      </c>
      <c r="AB68">
        <v>3709</v>
      </c>
      <c r="AD68" s="25">
        <v>0.44969999999999999</v>
      </c>
      <c r="AE68" s="25">
        <v>0.44540000000000002</v>
      </c>
    </row>
    <row r="69" spans="1:31">
      <c r="A69" t="s">
        <v>179</v>
      </c>
      <c r="B69" t="s">
        <v>180</v>
      </c>
      <c r="C69" s="27">
        <v>2894</v>
      </c>
      <c r="E69" t="s">
        <v>180</v>
      </c>
      <c r="F69" s="27">
        <v>2786</v>
      </c>
      <c r="G69" t="b">
        <f>IF(B69=E69,TRUE,FALSE)</f>
        <v>1</v>
      </c>
      <c r="J69" s="24">
        <f>F69-C69</f>
        <v>-108</v>
      </c>
      <c r="K69" s="4">
        <f>F69/C69-1</f>
        <v>-3.7318590186593004E-2</v>
      </c>
      <c r="M69" s="5">
        <v>4536.6899999999996</v>
      </c>
      <c r="N69" s="5">
        <v>3699.47</v>
      </c>
      <c r="Q69" s="122">
        <v>31350.06</v>
      </c>
      <c r="U69" s="145">
        <f>N69-M69</f>
        <v>-837.2199999999998</v>
      </c>
      <c r="V69" s="4">
        <f>IF(M69=0,0,N69/M69-1)</f>
        <v>-0.18454423820009735</v>
      </c>
      <c r="W69" s="17">
        <v>86583.2</v>
      </c>
      <c r="X69" s="17">
        <v>83257.55</v>
      </c>
      <c r="Y69" s="4">
        <f>X69/W69-1</f>
        <v>-3.8409876280848909E-2</v>
      </c>
      <c r="Z69" s="4"/>
      <c r="AA69">
        <v>11661</v>
      </c>
      <c r="AB69">
        <v>9966</v>
      </c>
      <c r="AD69" s="25">
        <v>0.24710000000000001</v>
      </c>
      <c r="AE69" s="25">
        <v>0.2772</v>
      </c>
    </row>
    <row r="70" spans="1:31">
      <c r="A70" t="s">
        <v>181</v>
      </c>
      <c r="B70" t="s">
        <v>182</v>
      </c>
      <c r="C70" s="27">
        <v>337</v>
      </c>
      <c r="E70" t="s">
        <v>182</v>
      </c>
      <c r="F70" s="27">
        <v>234</v>
      </c>
      <c r="G70" t="b">
        <f>IF(B70=E70,TRUE,FALSE)</f>
        <v>1</v>
      </c>
      <c r="J70" s="24">
        <f>F70-C70</f>
        <v>-103</v>
      </c>
      <c r="K70" s="4">
        <f>F70/C70-1</f>
        <v>-0.3056379821958457</v>
      </c>
      <c r="M70" s="5">
        <v>1319.5</v>
      </c>
      <c r="N70" s="5">
        <v>1002.47</v>
      </c>
      <c r="Q70" s="122">
        <v>3290</v>
      </c>
      <c r="U70" s="145">
        <f>N70-M70</f>
        <v>-317.02999999999997</v>
      </c>
      <c r="V70" s="4">
        <f>IF(M70=0,0,N70/M70-1)</f>
        <v>-0.24026525198938986</v>
      </c>
      <c r="W70" s="17">
        <v>5522.23</v>
      </c>
      <c r="X70" s="17">
        <v>4676.46</v>
      </c>
      <c r="Y70" s="4">
        <f>X70/W70-1</f>
        <v>-0.15315732955708106</v>
      </c>
      <c r="Z70" s="4"/>
      <c r="AA70">
        <v>2585</v>
      </c>
      <c r="AB70">
        <v>1803</v>
      </c>
      <c r="AD70" s="25">
        <v>0.13039999999999999</v>
      </c>
      <c r="AE70" s="25">
        <v>0.1298</v>
      </c>
    </row>
    <row r="71" spans="1:31">
      <c r="A71" t="s">
        <v>183</v>
      </c>
      <c r="B71" t="s">
        <v>184</v>
      </c>
      <c r="C71" s="27">
        <v>477</v>
      </c>
      <c r="E71" t="s">
        <v>184</v>
      </c>
      <c r="F71" s="27">
        <v>381</v>
      </c>
      <c r="G71" t="b">
        <f>IF(B71=E71,TRUE,FALSE)</f>
        <v>1</v>
      </c>
      <c r="J71" s="24">
        <f>F71-C71</f>
        <v>-96</v>
      </c>
      <c r="K71" s="4">
        <f>F71/C71-1</f>
        <v>-0.20125786163522008</v>
      </c>
      <c r="M71" s="5">
        <v>1095.9000000000001</v>
      </c>
      <c r="N71" s="5">
        <v>475.4</v>
      </c>
      <c r="Q71" s="122">
        <v>3968.62</v>
      </c>
      <c r="U71" s="145">
        <f>N71-M71</f>
        <v>-620.50000000000011</v>
      </c>
      <c r="V71" s="4">
        <f>IF(M71=0,0,N71/M71-1)</f>
        <v>-0.5662012957386624</v>
      </c>
      <c r="W71" s="17">
        <v>16677.190000000002</v>
      </c>
      <c r="X71" s="17">
        <v>13322.970000000001</v>
      </c>
      <c r="Y71" s="4">
        <f>X71/W71-1</f>
        <v>-0.20112620891169319</v>
      </c>
      <c r="Z71" s="4"/>
      <c r="AA71">
        <v>2965</v>
      </c>
      <c r="AB71">
        <v>2142</v>
      </c>
      <c r="AD71" s="25">
        <v>0.1211</v>
      </c>
      <c r="AE71" s="25">
        <v>0.10640000000000001</v>
      </c>
    </row>
    <row r="72" spans="1:31">
      <c r="A72" t="s">
        <v>185</v>
      </c>
      <c r="B72" t="s">
        <v>186</v>
      </c>
      <c r="C72" s="27">
        <v>1653</v>
      </c>
      <c r="E72" t="s">
        <v>186</v>
      </c>
      <c r="F72" s="27">
        <v>1562</v>
      </c>
      <c r="G72" t="b">
        <f>IF(B72=E72,TRUE,FALSE)</f>
        <v>1</v>
      </c>
      <c r="J72" s="24">
        <f>F72-C72</f>
        <v>-91</v>
      </c>
      <c r="K72" s="4">
        <f>F72/C72-1</f>
        <v>-5.5051421657592248E-2</v>
      </c>
      <c r="M72" s="5">
        <v>1595.22</v>
      </c>
      <c r="N72" s="5">
        <v>1392.42</v>
      </c>
      <c r="Q72" s="122">
        <v>10063.68</v>
      </c>
      <c r="U72" s="145">
        <f>N72-M72</f>
        <v>-202.79999999999995</v>
      </c>
      <c r="V72" s="4">
        <f>IF(M72=0,0,N72/M72-1)</f>
        <v>-0.12712980027833154</v>
      </c>
      <c r="W72" s="17">
        <v>41152.1</v>
      </c>
      <c r="X72" s="17">
        <v>38905.4</v>
      </c>
      <c r="Y72" s="4">
        <f>X72/W72-1</f>
        <v>-5.4595026742256136E-2</v>
      </c>
      <c r="Z72" s="4"/>
      <c r="AA72">
        <v>10307</v>
      </c>
      <c r="AB72">
        <v>9981</v>
      </c>
      <c r="AD72" s="25">
        <v>0.16020000000000001</v>
      </c>
      <c r="AE72" s="25">
        <v>0.1565</v>
      </c>
    </row>
    <row r="73" spans="1:31">
      <c r="A73" t="s">
        <v>187</v>
      </c>
      <c r="B73" t="s">
        <v>188</v>
      </c>
      <c r="C73" s="27">
        <v>2336</v>
      </c>
      <c r="E73" t="s">
        <v>188</v>
      </c>
      <c r="F73" s="27">
        <v>2245</v>
      </c>
      <c r="G73" t="b">
        <f>IF(B73=E73,TRUE,FALSE)</f>
        <v>1</v>
      </c>
      <c r="J73" s="24">
        <f>F73-C73</f>
        <v>-91</v>
      </c>
      <c r="K73" s="4">
        <f>F73/C73-1</f>
        <v>-3.8955479452054798E-2</v>
      </c>
      <c r="M73" s="5">
        <v>4610.63</v>
      </c>
      <c r="N73" s="5">
        <v>5352.11</v>
      </c>
      <c r="Q73" s="122">
        <v>32721.7</v>
      </c>
      <c r="U73" s="145">
        <f>N73-M73</f>
        <v>741.47999999999956</v>
      </c>
      <c r="V73" s="4">
        <f>IF(M73=0,0,N73/M73-1)</f>
        <v>0.16081967106447492</v>
      </c>
      <c r="W73" s="17">
        <v>64363.31</v>
      </c>
      <c r="X73" s="17">
        <v>62817.67</v>
      </c>
      <c r="Y73" s="4">
        <f>X73/W73-1</f>
        <v>-2.4014302558398537E-2</v>
      </c>
      <c r="Z73" s="4"/>
      <c r="AA73">
        <v>11069</v>
      </c>
      <c r="AB73">
        <v>9472</v>
      </c>
      <c r="AD73" s="25">
        <v>0.19600000000000001</v>
      </c>
      <c r="AE73" s="25">
        <v>0.2359</v>
      </c>
    </row>
    <row r="74" spans="1:31">
      <c r="A74" t="s">
        <v>189</v>
      </c>
      <c r="B74" t="s">
        <v>190</v>
      </c>
      <c r="C74" s="27">
        <v>763</v>
      </c>
      <c r="E74" t="s">
        <v>190</v>
      </c>
      <c r="F74" s="27">
        <v>674</v>
      </c>
      <c r="G74" t="b">
        <f>IF(B74=E74,TRUE,FALSE)</f>
        <v>1</v>
      </c>
      <c r="J74" s="24">
        <f>F74-C74</f>
        <v>-89</v>
      </c>
      <c r="K74" s="4">
        <f>F74/C74-1</f>
        <v>-0.11664482306684143</v>
      </c>
      <c r="M74" s="5">
        <v>1404.62</v>
      </c>
      <c r="N74" s="5">
        <v>1171.97</v>
      </c>
      <c r="Q74" s="122">
        <v>8931.24</v>
      </c>
      <c r="U74" s="145">
        <f>N74-M74</f>
        <v>-232.64999999999986</v>
      </c>
      <c r="V74" s="4">
        <f>IF(M74=0,0,N74/M74-1)</f>
        <v>-0.16563198587518324</v>
      </c>
      <c r="W74" s="17">
        <v>19049.579999999998</v>
      </c>
      <c r="X74" s="17">
        <v>16837.099999999999</v>
      </c>
      <c r="Y74" s="4">
        <f>X74/W74-1</f>
        <v>-0.11614324305312762</v>
      </c>
      <c r="Z74" s="4"/>
      <c r="AA74">
        <v>2780</v>
      </c>
      <c r="AB74">
        <v>1950</v>
      </c>
      <c r="AD74" s="25">
        <v>0.2263</v>
      </c>
      <c r="AE74" s="25">
        <v>0.33079999999999998</v>
      </c>
    </row>
    <row r="75" spans="1:31" ht="30.75">
      <c r="A75" s="39" t="s">
        <v>191</v>
      </c>
      <c r="B75" s="36" t="s">
        <v>192</v>
      </c>
      <c r="C75" s="27">
        <v>279</v>
      </c>
      <c r="E75" s="36" t="s">
        <v>192</v>
      </c>
      <c r="F75" s="27">
        <v>191</v>
      </c>
      <c r="G75" t="b">
        <f>IF(B75=E75,TRUE,FALSE)</f>
        <v>1</v>
      </c>
      <c r="J75" s="24">
        <f>F75-C75</f>
        <v>-88</v>
      </c>
      <c r="K75" s="4">
        <f>F75/C75-1</f>
        <v>-0.31541218637992829</v>
      </c>
      <c r="M75" s="5">
        <v>675.8</v>
      </c>
      <c r="N75" s="5">
        <v>412.18</v>
      </c>
      <c r="Q75" s="121">
        <v>930.79</v>
      </c>
      <c r="U75" s="145">
        <f>N75-M75</f>
        <v>-263.61999999999995</v>
      </c>
      <c r="V75" s="4">
        <f>IF(M75=0,0,N75/M75-1)</f>
        <v>-0.39008582420834559</v>
      </c>
      <c r="W75" s="17">
        <v>2786.91</v>
      </c>
      <c r="X75" s="17">
        <v>2456.37</v>
      </c>
      <c r="Y75" s="4">
        <f>X75/W75-1</f>
        <v>-0.11860447592494916</v>
      </c>
      <c r="Z75" s="4"/>
      <c r="AA75">
        <v>1593</v>
      </c>
      <c r="AB75">
        <v>952</v>
      </c>
      <c r="AD75" s="25">
        <v>0.17510000000000001</v>
      </c>
      <c r="AE75" s="25">
        <v>0.1996</v>
      </c>
    </row>
    <row r="76" spans="1:31">
      <c r="A76" t="s">
        <v>193</v>
      </c>
      <c r="B76" t="s">
        <v>194</v>
      </c>
      <c r="C76" s="27">
        <v>1354</v>
      </c>
      <c r="E76" t="s">
        <v>194</v>
      </c>
      <c r="F76" s="27">
        <v>1266</v>
      </c>
      <c r="G76" t="b">
        <f>IF(B76=E76,TRUE,FALSE)</f>
        <v>1</v>
      </c>
      <c r="J76" s="24">
        <f>F76-C76</f>
        <v>-88</v>
      </c>
      <c r="K76" s="4">
        <f>F76/C76-1</f>
        <v>-6.4992614475627764E-2</v>
      </c>
      <c r="M76" s="5">
        <v>2280.6</v>
      </c>
      <c r="N76" s="5">
        <v>2192.06</v>
      </c>
      <c r="Q76" s="122">
        <v>14542.31</v>
      </c>
      <c r="U76" s="145">
        <f>N76-M76</f>
        <v>-88.539999999999964</v>
      </c>
      <c r="V76" s="4">
        <f>IF(M76=0,0,N76/M76-1)</f>
        <v>-3.8823116723669227E-2</v>
      </c>
      <c r="W76" s="17">
        <v>32472.14</v>
      </c>
      <c r="X76" s="17">
        <v>30362.22</v>
      </c>
      <c r="Y76" s="4">
        <f>X76/W76-1</f>
        <v>-6.4976315081174185E-2</v>
      </c>
      <c r="Z76" s="4"/>
      <c r="AA76">
        <v>7592</v>
      </c>
      <c r="AB76">
        <v>7091</v>
      </c>
      <c r="AD76" s="25">
        <v>0.1789</v>
      </c>
      <c r="AE76" s="25">
        <v>0.17809999999999998</v>
      </c>
    </row>
    <row r="77" spans="1:31">
      <c r="A77" t="s">
        <v>195</v>
      </c>
      <c r="B77" t="s">
        <v>196</v>
      </c>
      <c r="C77" s="27">
        <v>410</v>
      </c>
      <c r="E77" t="s">
        <v>196</v>
      </c>
      <c r="F77" s="27">
        <v>324</v>
      </c>
      <c r="G77" t="b">
        <f>IF(B77=E77,TRUE,FALSE)</f>
        <v>1</v>
      </c>
      <c r="J77" s="24">
        <f>F77-C77</f>
        <v>-86</v>
      </c>
      <c r="K77" s="4">
        <f>F77/C77-1</f>
        <v>-0.20975609756097557</v>
      </c>
      <c r="M77" s="5">
        <v>1493.29</v>
      </c>
      <c r="N77" s="5">
        <v>1135.76</v>
      </c>
      <c r="Q77" s="122">
        <v>4676.67</v>
      </c>
      <c r="U77" s="145">
        <f>N77-M77</f>
        <v>-357.53</v>
      </c>
      <c r="V77" s="4">
        <f>IF(M77=0,0,N77/M77-1)</f>
        <v>-0.23942435829611131</v>
      </c>
      <c r="W77" s="17">
        <v>8572.35</v>
      </c>
      <c r="X77" s="17">
        <v>8714.41</v>
      </c>
      <c r="Y77" s="4">
        <f>X77/W77-1</f>
        <v>1.6571885189008873E-2</v>
      </c>
      <c r="Z77" s="4"/>
      <c r="AA77">
        <v>2680</v>
      </c>
      <c r="AB77">
        <v>2335</v>
      </c>
      <c r="AD77" s="25">
        <v>0.153</v>
      </c>
      <c r="AE77" s="25">
        <v>0.13880000000000001</v>
      </c>
    </row>
    <row r="78" spans="1:31">
      <c r="A78" s="39" t="s">
        <v>197</v>
      </c>
      <c r="B78" s="36" t="s">
        <v>198</v>
      </c>
      <c r="C78" s="18">
        <v>2046</v>
      </c>
      <c r="E78" s="36" t="s">
        <v>198</v>
      </c>
      <c r="F78" s="18">
        <v>1966</v>
      </c>
      <c r="G78" t="b">
        <f>IF(B78=E78,TRUE,FALSE)</f>
        <v>1</v>
      </c>
      <c r="J78" s="24">
        <f>F78-C78</f>
        <v>-80</v>
      </c>
      <c r="K78" s="4">
        <f>F78/C78-1</f>
        <v>-3.910068426197455E-2</v>
      </c>
      <c r="M78" s="5">
        <v>4457.8900000000003</v>
      </c>
      <c r="N78" s="5">
        <v>4912.0200000000004</v>
      </c>
      <c r="Q78" s="121">
        <v>25149.38</v>
      </c>
      <c r="U78" s="145">
        <f>N78-M78</f>
        <v>454.13000000000011</v>
      </c>
      <c r="V78" s="4">
        <f>IF(M78=0,0,N78/M78-1)</f>
        <v>0.10187106456193407</v>
      </c>
      <c r="W78">
        <v>52780.800000000003</v>
      </c>
      <c r="X78">
        <v>54430.84</v>
      </c>
      <c r="Y78" s="4">
        <f>X78/W78-1</f>
        <v>3.1262125621438042E-2</v>
      </c>
      <c r="Z78" s="4"/>
      <c r="AA78">
        <v>6676</v>
      </c>
      <c r="AB78">
        <v>6110</v>
      </c>
      <c r="AD78" s="25">
        <v>0.30680000000000002</v>
      </c>
      <c r="AE78" s="25">
        <v>0.31929999999999997</v>
      </c>
    </row>
    <row r="79" spans="1:31" ht="16.5">
      <c r="A79" s="23" t="s">
        <v>199</v>
      </c>
      <c r="B79" s="22" t="s">
        <v>200</v>
      </c>
      <c r="C79" s="27">
        <v>656</v>
      </c>
      <c r="E79" s="22" t="s">
        <v>200</v>
      </c>
      <c r="F79" s="27">
        <v>576</v>
      </c>
      <c r="G79" t="b">
        <f>IF(B79=E79,TRUE,FALSE)</f>
        <v>1</v>
      </c>
      <c r="J79" s="24">
        <f>F79-C79</f>
        <v>-80</v>
      </c>
      <c r="K79" s="4">
        <f>F79/C79-1</f>
        <v>-0.12195121951219512</v>
      </c>
      <c r="M79" s="5">
        <v>1547.2</v>
      </c>
      <c r="N79" s="5">
        <v>1381.65</v>
      </c>
      <c r="Q79" s="122">
        <v>7554.54</v>
      </c>
      <c r="U79" s="145">
        <f>N79-M79</f>
        <v>-165.54999999999995</v>
      </c>
      <c r="V79" s="4">
        <f>IF(M79=0,0,N79/M79-1)</f>
        <v>-0.10699974146845914</v>
      </c>
      <c r="W79" s="17">
        <v>16876.16</v>
      </c>
      <c r="X79" s="17">
        <v>15718.74</v>
      </c>
      <c r="Y79" s="4">
        <f>X79/W79-1</f>
        <v>-6.8583137396184934E-2</v>
      </c>
      <c r="Z79" s="4"/>
      <c r="AA79">
        <v>3800</v>
      </c>
      <c r="AB79">
        <v>3046</v>
      </c>
      <c r="AD79" s="25">
        <v>0.1726</v>
      </c>
      <c r="AE79" s="25">
        <v>0.18909999999999999</v>
      </c>
    </row>
    <row r="80" spans="1:31">
      <c r="A80" s="39" t="s">
        <v>201</v>
      </c>
      <c r="B80" s="36" t="s">
        <v>202</v>
      </c>
      <c r="C80" s="18">
        <v>936</v>
      </c>
      <c r="E80" s="36" t="s">
        <v>202</v>
      </c>
      <c r="F80" s="18">
        <v>858</v>
      </c>
      <c r="G80" t="b">
        <f>IF(B80=E80,TRUE,FALSE)</f>
        <v>1</v>
      </c>
      <c r="J80" s="24">
        <f>F80-C80</f>
        <v>-78</v>
      </c>
      <c r="K80" s="4">
        <f>F80/C80-1</f>
        <v>-8.333333333333337E-2</v>
      </c>
      <c r="M80" s="5">
        <v>1281.72</v>
      </c>
      <c r="N80" s="5">
        <v>1431.95</v>
      </c>
      <c r="Q80" s="121">
        <v>6486.4</v>
      </c>
      <c r="U80" s="145">
        <f>N80-M80</f>
        <v>150.23000000000002</v>
      </c>
      <c r="V80" s="4">
        <f>IF(M80=0,0,N80/M80-1)</f>
        <v>0.11720968698311651</v>
      </c>
      <c r="W80">
        <v>15756.06</v>
      </c>
      <c r="X80">
        <v>15214.42</v>
      </c>
      <c r="Y80" s="4">
        <f>X80/W80-1</f>
        <v>-3.4376614458183075E-2</v>
      </c>
      <c r="Z80" s="4"/>
      <c r="AA80">
        <v>4567</v>
      </c>
      <c r="AB80">
        <v>3990</v>
      </c>
      <c r="AD80" s="25">
        <v>0.20489999999999997</v>
      </c>
      <c r="AE80" s="25">
        <v>0.2145</v>
      </c>
    </row>
    <row r="81" spans="1:31">
      <c r="A81" s="39" t="s">
        <v>203</v>
      </c>
      <c r="B81" s="36" t="s">
        <v>204</v>
      </c>
      <c r="C81" s="27">
        <v>2660</v>
      </c>
      <c r="E81" s="36" t="s">
        <v>204</v>
      </c>
      <c r="F81" s="27">
        <v>2583</v>
      </c>
      <c r="G81" t="b">
        <f>IF(B81=E81,TRUE,FALSE)</f>
        <v>1</v>
      </c>
      <c r="J81" s="24">
        <f>F81-C81</f>
        <v>-77</v>
      </c>
      <c r="K81" s="4">
        <f>F81/C81-1</f>
        <v>-2.8947368421052611E-2</v>
      </c>
      <c r="M81" s="5">
        <v>4865.9799999999996</v>
      </c>
      <c r="N81" s="5">
        <v>4372.7199999999993</v>
      </c>
      <c r="Q81" s="121">
        <v>33126.82</v>
      </c>
      <c r="U81" s="145">
        <f>N81-M81</f>
        <v>-493.26000000000022</v>
      </c>
      <c r="V81" s="4">
        <f>IF(M81=0,0,N81/M81-1)</f>
        <v>-0.10136909728358934</v>
      </c>
      <c r="W81" s="17">
        <v>79696.62</v>
      </c>
      <c r="X81" s="17">
        <v>76752.34</v>
      </c>
      <c r="Y81" s="4">
        <f>X81/W81-1</f>
        <v>-3.6943599364690716E-2</v>
      </c>
      <c r="Z81" s="4"/>
      <c r="AA81">
        <v>9781</v>
      </c>
      <c r="AB81">
        <v>9442</v>
      </c>
      <c r="AD81" s="25">
        <v>0.27190000000000003</v>
      </c>
      <c r="AE81" s="25">
        <v>0.27279999999999999</v>
      </c>
    </row>
    <row r="82" spans="1:31">
      <c r="A82" s="126" t="s">
        <v>205</v>
      </c>
      <c r="B82" s="126" t="s">
        <v>206</v>
      </c>
      <c r="C82" s="27">
        <v>467</v>
      </c>
      <c r="E82" s="126" t="s">
        <v>206</v>
      </c>
      <c r="F82" s="27">
        <v>391</v>
      </c>
      <c r="G82" t="b">
        <f>IF(B82=E82,TRUE,FALSE)</f>
        <v>1</v>
      </c>
      <c r="J82" s="24">
        <f>F82-C82</f>
        <v>-76</v>
      </c>
      <c r="K82" s="4">
        <f>F82/C82-1</f>
        <v>-0.16274089935760172</v>
      </c>
      <c r="M82" s="5">
        <v>1278.6600000000001</v>
      </c>
      <c r="N82" s="5">
        <v>1558.98</v>
      </c>
      <c r="Q82" s="121">
        <v>9537.85</v>
      </c>
      <c r="U82" s="145">
        <f>N82-M82</f>
        <v>280.31999999999994</v>
      </c>
      <c r="V82" s="4">
        <f>IF(M82=0,0,N82/M82-1)</f>
        <v>0.21922950588897749</v>
      </c>
      <c r="W82" s="17">
        <v>8784.93</v>
      </c>
      <c r="X82" s="17">
        <v>7043.29</v>
      </c>
      <c r="Y82" s="4">
        <f>X82/W82-1</f>
        <v>-0.19825314487423351</v>
      </c>
      <c r="Z82" s="4"/>
      <c r="AA82">
        <v>2492</v>
      </c>
      <c r="AB82">
        <v>2811</v>
      </c>
      <c r="AD82" s="25">
        <v>0.18780000000000002</v>
      </c>
      <c r="AE82" s="25">
        <v>0.1384</v>
      </c>
    </row>
    <row r="83" spans="1:31">
      <c r="A83" t="s">
        <v>207</v>
      </c>
      <c r="B83" t="s">
        <v>208</v>
      </c>
      <c r="C83" s="27">
        <v>620</v>
      </c>
      <c r="E83" t="s">
        <v>208</v>
      </c>
      <c r="F83" s="27">
        <v>545</v>
      </c>
      <c r="G83" t="b">
        <f>IF(B83=E83,TRUE,FALSE)</f>
        <v>1</v>
      </c>
      <c r="J83" s="24">
        <f>F83-C83</f>
        <v>-75</v>
      </c>
      <c r="K83" s="4">
        <f>F83/C83-1</f>
        <v>-0.12096774193548387</v>
      </c>
      <c r="M83" s="5">
        <v>1081.68</v>
      </c>
      <c r="N83" s="5">
        <v>1108.8900000000001</v>
      </c>
      <c r="Q83" s="122">
        <v>6780.82</v>
      </c>
      <c r="U83" s="145">
        <f>N83-M83</f>
        <v>27.210000000000036</v>
      </c>
      <c r="V83" s="4">
        <f>IF(M83=0,0,N83/M83-1)</f>
        <v>2.5155313956068293E-2</v>
      </c>
      <c r="W83" s="17">
        <v>12365.4</v>
      </c>
      <c r="X83" s="17">
        <v>10850.8</v>
      </c>
      <c r="Y83" s="4">
        <f>X83/W83-1</f>
        <v>-0.12248693936306143</v>
      </c>
      <c r="Z83" s="4"/>
      <c r="AA83">
        <v>2403</v>
      </c>
      <c r="AB83">
        <v>2182</v>
      </c>
      <c r="AD83" s="25">
        <v>0.25840000000000002</v>
      </c>
      <c r="AE83" s="25">
        <v>0.24979999999999999</v>
      </c>
    </row>
    <row r="84" spans="1:31">
      <c r="A84" s="39" t="s">
        <v>209</v>
      </c>
      <c r="B84" s="36" t="s">
        <v>210</v>
      </c>
      <c r="C84">
        <v>8346</v>
      </c>
      <c r="E84" s="36" t="s">
        <v>210</v>
      </c>
      <c r="F84">
        <v>8271</v>
      </c>
      <c r="G84" t="b">
        <f>IF(B84=E84,TRUE,FALSE)</f>
        <v>1</v>
      </c>
      <c r="J84" s="24">
        <f>F84-C84</f>
        <v>-75</v>
      </c>
      <c r="K84" s="4">
        <f>F84/C84-1</f>
        <v>-8.9863407620417446E-3</v>
      </c>
      <c r="M84" s="5">
        <v>10288.31</v>
      </c>
      <c r="N84" s="5">
        <v>12360.46</v>
      </c>
      <c r="Q84" s="5">
        <v>51780.66</v>
      </c>
      <c r="U84" s="145">
        <f>N84-M84</f>
        <v>2072.1499999999996</v>
      </c>
      <c r="V84" s="4">
        <f>IF(M84=0,0,N84/M84-1)</f>
        <v>0.20140820018059324</v>
      </c>
      <c r="W84" s="148">
        <v>182078.87</v>
      </c>
      <c r="X84" s="148">
        <v>182133.59</v>
      </c>
      <c r="Y84" s="4">
        <f>X84/W84-1</f>
        <v>3.0052910587596848E-4</v>
      </c>
    </row>
    <row r="85" spans="1:31">
      <c r="A85" s="39" t="s">
        <v>211</v>
      </c>
      <c r="B85" s="36" t="s">
        <v>212</v>
      </c>
      <c r="C85" s="27">
        <v>435</v>
      </c>
      <c r="E85" s="36" t="s">
        <v>212</v>
      </c>
      <c r="F85" s="27">
        <v>362</v>
      </c>
      <c r="G85" t="b">
        <f>IF(B85=E85,TRUE,FALSE)</f>
        <v>1</v>
      </c>
      <c r="J85" s="24">
        <f>F85-C85</f>
        <v>-73</v>
      </c>
      <c r="K85" s="4">
        <f>F85/C85-1</f>
        <v>-0.16781609195402303</v>
      </c>
      <c r="M85" s="5">
        <v>729.45</v>
      </c>
      <c r="N85" s="5">
        <v>702.48</v>
      </c>
      <c r="Q85" s="121">
        <v>2919.51</v>
      </c>
      <c r="U85" s="145">
        <f>N85-M85</f>
        <v>-26.970000000000027</v>
      </c>
      <c r="V85" s="4">
        <f>IF(M85=0,0,N85/M85-1)</f>
        <v>-3.6973061895949066E-2</v>
      </c>
      <c r="W85" s="17">
        <v>4345.45</v>
      </c>
      <c r="X85" s="17">
        <v>3616.18</v>
      </c>
      <c r="Y85" s="4">
        <f>X85/W85-1</f>
        <v>-0.16782381571528837</v>
      </c>
      <c r="Z85" s="4"/>
      <c r="AA85">
        <v>1480</v>
      </c>
      <c r="AB85">
        <v>1464</v>
      </c>
      <c r="AD85" s="25">
        <v>0.29320000000000002</v>
      </c>
      <c r="AE85" s="25">
        <v>0.24660000000000001</v>
      </c>
    </row>
    <row r="86" spans="1:31">
      <c r="A86" t="s">
        <v>213</v>
      </c>
      <c r="B86" t="s">
        <v>214</v>
      </c>
      <c r="C86" s="27">
        <v>337</v>
      </c>
      <c r="E86" t="s">
        <v>214</v>
      </c>
      <c r="F86" s="27">
        <v>267</v>
      </c>
      <c r="G86" t="b">
        <f>IF(B86=E86,TRUE,FALSE)</f>
        <v>1</v>
      </c>
      <c r="J86" s="24">
        <f>F86-C86</f>
        <v>-70</v>
      </c>
      <c r="K86" s="4">
        <f>F86/C86-1</f>
        <v>-0.20771513353115723</v>
      </c>
      <c r="M86" s="5">
        <v>0</v>
      </c>
      <c r="N86" s="5">
        <v>0</v>
      </c>
      <c r="Q86" s="122">
        <v>0</v>
      </c>
      <c r="U86" s="145">
        <f>N86-M86</f>
        <v>0</v>
      </c>
      <c r="V86" s="4">
        <f>IF(M86=0,0,N86/M86-1)</f>
        <v>0</v>
      </c>
      <c r="W86" s="17">
        <v>7407.11</v>
      </c>
      <c r="X86" s="17">
        <v>5868.91</v>
      </c>
      <c r="Y86" s="4">
        <f>X86/W86-1</f>
        <v>-0.2076653377633112</v>
      </c>
      <c r="Z86" s="4"/>
      <c r="AA86">
        <v>1749</v>
      </c>
      <c r="AB86">
        <v>1245</v>
      </c>
      <c r="AD86" s="25">
        <v>0.1938</v>
      </c>
      <c r="AE86" s="25">
        <v>0.21199999999999999</v>
      </c>
    </row>
    <row r="87" spans="1:31">
      <c r="A87" t="s">
        <v>215</v>
      </c>
      <c r="B87" t="s">
        <v>216</v>
      </c>
      <c r="C87" s="27">
        <v>396</v>
      </c>
      <c r="E87" t="s">
        <v>216</v>
      </c>
      <c r="F87" s="27">
        <v>328</v>
      </c>
      <c r="G87" t="b">
        <f>IF(B87=E87,TRUE,FALSE)</f>
        <v>1</v>
      </c>
      <c r="J87" s="24">
        <f>F87-C87</f>
        <v>-68</v>
      </c>
      <c r="K87" s="4">
        <f>F87/C87-1</f>
        <v>-0.17171717171717171</v>
      </c>
      <c r="M87" s="5">
        <v>732.45</v>
      </c>
      <c r="N87" s="5">
        <v>490.24</v>
      </c>
      <c r="Q87" s="122">
        <v>3487.66</v>
      </c>
      <c r="U87" s="145">
        <f>N87-M87</f>
        <v>-242.21000000000004</v>
      </c>
      <c r="V87" s="4">
        <f>IF(M87=0,0,N87/M87-1)</f>
        <v>-0.33068468837463316</v>
      </c>
      <c r="W87" s="17">
        <v>10681.75</v>
      </c>
      <c r="X87" s="17">
        <v>8847.41</v>
      </c>
      <c r="Y87" s="4">
        <f>X87/W87-1</f>
        <v>-0.17172654293538048</v>
      </c>
      <c r="Z87" s="4"/>
      <c r="AA87">
        <v>2378</v>
      </c>
      <c r="AB87">
        <v>1826</v>
      </c>
      <c r="AD87" s="25">
        <v>0.13159999999999999</v>
      </c>
      <c r="AE87" s="25">
        <v>0.14019999999999999</v>
      </c>
    </row>
    <row r="88" spans="1:31">
      <c r="A88" t="s">
        <v>217</v>
      </c>
      <c r="B88" t="s">
        <v>218</v>
      </c>
      <c r="C88" s="27">
        <v>1634</v>
      </c>
      <c r="E88" t="s">
        <v>218</v>
      </c>
      <c r="F88" s="27">
        <v>1572</v>
      </c>
      <c r="G88" t="b">
        <f>IF(B88=E88,TRUE,FALSE)</f>
        <v>1</v>
      </c>
      <c r="J88" s="24">
        <f>F88-C88</f>
        <v>-62</v>
      </c>
      <c r="K88" s="4">
        <f>F88/C88-1</f>
        <v>-3.7943696450428388E-2</v>
      </c>
      <c r="L88" s="5"/>
      <c r="M88" s="5">
        <v>2584.52</v>
      </c>
      <c r="N88" s="5">
        <v>3055.53</v>
      </c>
      <c r="O88" s="5"/>
      <c r="P88" s="5"/>
      <c r="Q88" s="122">
        <v>16509.919999999998</v>
      </c>
      <c r="R88" s="5"/>
      <c r="S88" s="5"/>
      <c r="T88" s="5"/>
      <c r="U88" s="145">
        <f>N88-M88</f>
        <v>471.01000000000022</v>
      </c>
      <c r="V88" s="4">
        <f>IF(M88=0,0,N88/M88-1)</f>
        <v>0.18224273752959941</v>
      </c>
      <c r="W88" s="17">
        <v>38623.129999999997</v>
      </c>
      <c r="X88" s="17">
        <v>37705.08</v>
      </c>
      <c r="Y88" s="4">
        <f>X88/W88-1</f>
        <v>-2.3769435568789854E-2</v>
      </c>
      <c r="Z88" s="4"/>
      <c r="AA88">
        <v>5300</v>
      </c>
      <c r="AB88">
        <v>5465</v>
      </c>
      <c r="AD88" s="25">
        <v>0.30659999999999998</v>
      </c>
      <c r="AE88" s="25">
        <v>0.28620000000000001</v>
      </c>
    </row>
    <row r="89" spans="1:31">
      <c r="A89" t="s">
        <v>219</v>
      </c>
      <c r="B89" t="s">
        <v>220</v>
      </c>
      <c r="C89" s="27">
        <v>1514</v>
      </c>
      <c r="E89" t="s">
        <v>220</v>
      </c>
      <c r="F89" s="27">
        <v>1453</v>
      </c>
      <c r="G89" t="b">
        <f>IF(B89=E89,TRUE,FALSE)</f>
        <v>1</v>
      </c>
      <c r="J89" s="24">
        <f>F89-C89</f>
        <v>-61</v>
      </c>
      <c r="K89" s="4">
        <f>F89/C89-1</f>
        <v>-4.0290620871862637E-2</v>
      </c>
      <c r="M89" s="5">
        <v>1544.63</v>
      </c>
      <c r="N89" s="5">
        <v>1540.73</v>
      </c>
      <c r="Q89" s="122">
        <v>11288.68</v>
      </c>
      <c r="U89" s="145">
        <f>N89-M89</f>
        <v>-3.9000000000000909</v>
      </c>
      <c r="V89" s="4">
        <f>IF(M89=0,0,N89/M89-1)</f>
        <v>-2.5248765076426594E-3</v>
      </c>
      <c r="W89" s="17">
        <v>45338.6</v>
      </c>
      <c r="X89" s="17">
        <v>43511.65</v>
      </c>
      <c r="Y89" s="4">
        <f>X89/W89-1</f>
        <v>-4.0295686236451855E-2</v>
      </c>
      <c r="Z89" s="4"/>
      <c r="AA89">
        <v>4901</v>
      </c>
      <c r="AB89">
        <v>5354</v>
      </c>
      <c r="AD89" s="25">
        <v>0.30769999999999997</v>
      </c>
      <c r="AE89" s="25">
        <v>0.27010000000000001</v>
      </c>
    </row>
    <row r="90" spans="1:31">
      <c r="A90" t="s">
        <v>221</v>
      </c>
      <c r="B90" t="s">
        <v>222</v>
      </c>
      <c r="C90" s="27">
        <v>389</v>
      </c>
      <c r="E90" t="s">
        <v>222</v>
      </c>
      <c r="F90" s="27">
        <v>330</v>
      </c>
      <c r="G90" t="b">
        <f>IF(B90=E90,TRUE,FALSE)</f>
        <v>1</v>
      </c>
      <c r="J90" s="24">
        <f>F90-C90</f>
        <v>-59</v>
      </c>
      <c r="K90" s="4">
        <f>F90/C90-1</f>
        <v>-0.15167095115681239</v>
      </c>
      <c r="M90" s="5">
        <v>333.1</v>
      </c>
      <c r="N90" s="5">
        <v>537.53</v>
      </c>
      <c r="Q90" s="122">
        <v>2291.4900000000002</v>
      </c>
      <c r="U90" s="145">
        <f>N90-M90</f>
        <v>204.42999999999995</v>
      </c>
      <c r="V90" s="4">
        <f>IF(M90=0,0,N90/M90-1)</f>
        <v>0.61371960372260559</v>
      </c>
      <c r="W90" s="17">
        <v>11649.05</v>
      </c>
      <c r="X90" s="17">
        <v>9880.5</v>
      </c>
      <c r="Y90" s="4">
        <f>X90/W90-1</f>
        <v>-0.15181924706306515</v>
      </c>
      <c r="Z90" s="4"/>
      <c r="AA90">
        <v>1853</v>
      </c>
      <c r="AB90">
        <v>1993</v>
      </c>
      <c r="AD90" s="25">
        <v>9.0700000000000003E-2</v>
      </c>
      <c r="AE90" s="25">
        <v>7.5300000000000006E-2</v>
      </c>
    </row>
    <row r="91" spans="1:31">
      <c r="A91" t="s">
        <v>223</v>
      </c>
      <c r="B91" t="s">
        <v>224</v>
      </c>
      <c r="C91" s="27">
        <v>571</v>
      </c>
      <c r="E91" t="s">
        <v>224</v>
      </c>
      <c r="F91" s="27">
        <v>516</v>
      </c>
      <c r="G91" t="b">
        <f>IF(B91=E91,TRUE,FALSE)</f>
        <v>1</v>
      </c>
      <c r="J91" s="24">
        <f>F91-C91</f>
        <v>-55</v>
      </c>
      <c r="K91" s="4">
        <f>F91/C91-1</f>
        <v>-9.6322241681260912E-2</v>
      </c>
      <c r="M91" s="5">
        <v>592.33000000000004</v>
      </c>
      <c r="N91" s="5">
        <v>308.89999999999998</v>
      </c>
      <c r="Q91" s="122">
        <v>2186.4299999999998</v>
      </c>
      <c r="U91" s="145">
        <f>N91-M91</f>
        <v>-283.43000000000006</v>
      </c>
      <c r="V91" s="4">
        <f>IF(M91=0,0,N91/M91-1)</f>
        <v>-0.47850016038357002</v>
      </c>
      <c r="W91" s="17">
        <v>11388.21</v>
      </c>
      <c r="X91" s="17">
        <v>10293.84</v>
      </c>
      <c r="Y91" s="4">
        <f>X91/W91-1</f>
        <v>-9.6096752694233678E-2</v>
      </c>
      <c r="Z91" s="4"/>
      <c r="AA91">
        <v>1846</v>
      </c>
      <c r="AB91">
        <v>1514</v>
      </c>
      <c r="AD91" s="25">
        <v>0.15060000000000001</v>
      </c>
      <c r="AE91" s="25">
        <v>0.14269999999999999</v>
      </c>
    </row>
    <row r="92" spans="1:31">
      <c r="A92" s="39" t="s">
        <v>225</v>
      </c>
      <c r="B92" s="36" t="s">
        <v>226</v>
      </c>
      <c r="C92" s="27">
        <v>693</v>
      </c>
      <c r="E92" s="36" t="s">
        <v>226</v>
      </c>
      <c r="F92" s="27">
        <v>639</v>
      </c>
      <c r="G92" t="b">
        <f>IF(B92=E92,TRUE,FALSE)</f>
        <v>1</v>
      </c>
      <c r="J92" s="24">
        <f>F92-C92</f>
        <v>-54</v>
      </c>
      <c r="K92" s="4">
        <f>F92/C92-1</f>
        <v>-7.7922077922077948E-2</v>
      </c>
      <c r="M92" s="5">
        <v>987.26</v>
      </c>
      <c r="N92" s="5">
        <v>1098.08</v>
      </c>
      <c r="Q92" s="121">
        <v>5076.3999999999996</v>
      </c>
      <c r="U92" s="145">
        <f>N92-M92</f>
        <v>110.81999999999994</v>
      </c>
      <c r="V92" s="4">
        <f>IF(M92=0,0,N92/M92-1)</f>
        <v>0.11225006583878616</v>
      </c>
      <c r="W92" s="17">
        <v>12048.67</v>
      </c>
      <c r="X92" s="17">
        <v>11868.81</v>
      </c>
      <c r="Y92" s="4">
        <f>X92/W92-1</f>
        <v>-1.4927788710289214E-2</v>
      </c>
      <c r="Z92" s="4"/>
      <c r="AA92">
        <v>3915</v>
      </c>
      <c r="AB92">
        <v>3826</v>
      </c>
      <c r="AD92" s="25">
        <v>0.17679999999999998</v>
      </c>
      <c r="AE92" s="25">
        <v>0.16649999999999998</v>
      </c>
    </row>
    <row r="93" spans="1:31">
      <c r="A93" t="s">
        <v>227</v>
      </c>
      <c r="B93" t="s">
        <v>228</v>
      </c>
      <c r="C93" s="27">
        <v>1014</v>
      </c>
      <c r="E93" t="s">
        <v>228</v>
      </c>
      <c r="F93" s="27">
        <v>961</v>
      </c>
      <c r="G93" t="b">
        <f>IF(B93=E93,TRUE,FALSE)</f>
        <v>1</v>
      </c>
      <c r="J93" s="24">
        <f>F93-C93</f>
        <v>-53</v>
      </c>
      <c r="K93" s="4">
        <f>F93/C93-1</f>
        <v>-5.2268244575936929E-2</v>
      </c>
      <c r="M93" s="5">
        <v>2017.82</v>
      </c>
      <c r="N93" s="5">
        <v>1901.08</v>
      </c>
      <c r="Q93" s="122">
        <v>12479.38</v>
      </c>
      <c r="U93" s="145">
        <f>N93-M93</f>
        <v>-116.74000000000001</v>
      </c>
      <c r="V93" s="4">
        <f>IF(M93=0,0,N93/M93-1)</f>
        <v>-5.785451626012228E-2</v>
      </c>
      <c r="W93" s="17">
        <v>39470.730000000003</v>
      </c>
      <c r="X93" s="17">
        <v>37422.76</v>
      </c>
      <c r="Y93" s="4">
        <f>X93/W93-1</f>
        <v>-5.1885789799175241E-2</v>
      </c>
      <c r="Z93" s="4"/>
      <c r="AA93">
        <v>3006</v>
      </c>
      <c r="AB93">
        <v>3112</v>
      </c>
      <c r="AD93" s="25">
        <v>0.33929999999999999</v>
      </c>
      <c r="AE93" s="25">
        <v>0.30780000000000002</v>
      </c>
    </row>
    <row r="94" spans="1:31">
      <c r="A94" t="s">
        <v>229</v>
      </c>
      <c r="B94" t="s">
        <v>230</v>
      </c>
      <c r="C94" s="27">
        <v>730</v>
      </c>
      <c r="E94" t="s">
        <v>230</v>
      </c>
      <c r="F94" s="27">
        <v>677</v>
      </c>
      <c r="G94" t="b">
        <f>IF(B94=E94,TRUE,FALSE)</f>
        <v>1</v>
      </c>
      <c r="J94" s="24">
        <f>F94-C94</f>
        <v>-53</v>
      </c>
      <c r="K94" s="4">
        <f>F94/C94-1</f>
        <v>-7.2602739726027377E-2</v>
      </c>
      <c r="M94" s="5">
        <v>1816.57</v>
      </c>
      <c r="N94" s="5">
        <v>1852.31</v>
      </c>
      <c r="Q94" s="122">
        <v>6422.71</v>
      </c>
      <c r="U94" s="145">
        <f>N94-M94</f>
        <v>35.740000000000009</v>
      </c>
      <c r="V94" s="4">
        <f>IF(M94=0,0,N94/M94-1)</f>
        <v>1.967444139229424E-2</v>
      </c>
      <c r="W94" s="17">
        <v>12192.5</v>
      </c>
      <c r="X94" s="17">
        <v>11490.03</v>
      </c>
      <c r="Y94" s="4">
        <f>X94/W94-1</f>
        <v>-5.7614927209349909E-2</v>
      </c>
      <c r="Z94" s="4"/>
      <c r="AA94">
        <v>4397</v>
      </c>
      <c r="AB94">
        <v>3735</v>
      </c>
      <c r="AD94" s="25">
        <v>0.16579999999999998</v>
      </c>
      <c r="AE94" s="25">
        <v>0.18129999999999999</v>
      </c>
    </row>
    <row r="95" spans="1:31">
      <c r="A95" t="s">
        <v>231</v>
      </c>
      <c r="B95" t="s">
        <v>232</v>
      </c>
      <c r="C95" s="27">
        <v>1354</v>
      </c>
      <c r="E95" t="s">
        <v>232</v>
      </c>
      <c r="F95" s="27">
        <v>1304</v>
      </c>
      <c r="G95" t="b">
        <f>IF(B95=E95,TRUE,FALSE)</f>
        <v>1</v>
      </c>
      <c r="J95" s="24">
        <f>F95-C95</f>
        <v>-50</v>
      </c>
      <c r="K95" s="4">
        <f>F95/C95-1</f>
        <v>-3.6927621861152171E-2</v>
      </c>
      <c r="M95" s="5">
        <v>2639.7</v>
      </c>
      <c r="N95" s="5">
        <v>2533.0700000000002</v>
      </c>
      <c r="Q95" s="122">
        <v>17776.68</v>
      </c>
      <c r="U95" s="145">
        <f>N95-M95</f>
        <v>-106.62999999999965</v>
      </c>
      <c r="V95" s="4">
        <f>IF(M95=0,0,N95/M95-1)</f>
        <v>-4.0394741826722647E-2</v>
      </c>
      <c r="W95" s="17">
        <v>36444.720000000001</v>
      </c>
      <c r="X95" s="17">
        <v>35121.74</v>
      </c>
      <c r="Y95" s="4">
        <f>X95/W95-1</f>
        <v>-3.6301006016783877E-2</v>
      </c>
      <c r="Z95" s="4"/>
      <c r="AA95">
        <v>6383</v>
      </c>
      <c r="AB95">
        <v>6690</v>
      </c>
      <c r="AD95" s="25">
        <v>0.21210000000000001</v>
      </c>
      <c r="AE95" s="25">
        <v>0.19359999999999999</v>
      </c>
    </row>
    <row r="96" spans="1:31" ht="15.75" customHeight="1">
      <c r="A96" t="s">
        <v>233</v>
      </c>
      <c r="B96" t="s">
        <v>234</v>
      </c>
      <c r="C96" s="27">
        <v>213</v>
      </c>
      <c r="E96" t="s">
        <v>234</v>
      </c>
      <c r="F96" s="27">
        <v>166</v>
      </c>
      <c r="G96" t="b">
        <f>IF(B96=E96,TRUE,FALSE)</f>
        <v>1</v>
      </c>
      <c r="J96" s="24">
        <f>F96-C96</f>
        <v>-47</v>
      </c>
      <c r="K96" s="4">
        <f>F96/C96-1</f>
        <v>-0.22065727699530513</v>
      </c>
      <c r="M96" s="5">
        <v>0</v>
      </c>
      <c r="N96" s="5">
        <v>0</v>
      </c>
      <c r="Q96" s="122">
        <v>0</v>
      </c>
      <c r="U96" s="145">
        <f>N96-M96</f>
        <v>0</v>
      </c>
      <c r="V96" s="4">
        <f>IF(M96=0,0,N96/M96-1)</f>
        <v>0</v>
      </c>
      <c r="W96" s="17">
        <v>3895.06</v>
      </c>
      <c r="X96" s="17">
        <v>3784.52</v>
      </c>
      <c r="Y96" s="4">
        <f>X96/W96-1</f>
        <v>-2.8379537157322332E-2</v>
      </c>
      <c r="Z96" s="4"/>
      <c r="AA96">
        <v>1232</v>
      </c>
      <c r="AB96">
        <v>785</v>
      </c>
      <c r="AD96" s="25">
        <v>0.1729</v>
      </c>
      <c r="AE96" s="25">
        <v>0.21149999999999999</v>
      </c>
    </row>
    <row r="97" spans="1:36">
      <c r="A97" s="126" t="s">
        <v>235</v>
      </c>
      <c r="B97" s="126" t="s">
        <v>236</v>
      </c>
      <c r="C97" s="27">
        <v>810</v>
      </c>
      <c r="E97" s="126" t="s">
        <v>236</v>
      </c>
      <c r="F97" s="27">
        <v>765</v>
      </c>
      <c r="G97" t="b">
        <f>IF(B97=E97,TRUE,FALSE)</f>
        <v>1</v>
      </c>
      <c r="J97" s="24">
        <f>F97-C97</f>
        <v>-45</v>
      </c>
      <c r="K97" s="4">
        <f>F97/C97-1</f>
        <v>-5.555555555555558E-2</v>
      </c>
      <c r="M97" s="5">
        <v>1901.03</v>
      </c>
      <c r="N97" s="5">
        <v>1793.76</v>
      </c>
      <c r="Q97" s="121">
        <v>11456.62</v>
      </c>
      <c r="U97" s="145">
        <f>N97-M97</f>
        <v>-107.26999999999998</v>
      </c>
      <c r="V97" s="4">
        <f>IF(M97=0,0,N97/M97-1)</f>
        <v>-5.6427305197708555E-2</v>
      </c>
      <c r="W97" s="17">
        <v>13827.7</v>
      </c>
      <c r="X97" s="17">
        <v>14306.75</v>
      </c>
      <c r="Y97" s="4">
        <f>X97/W97-1</f>
        <v>3.4644228613579964E-2</v>
      </c>
      <c r="Z97" s="4"/>
      <c r="AA97">
        <v>6994</v>
      </c>
      <c r="AB97">
        <v>5100</v>
      </c>
      <c r="AD97" s="25">
        <v>0.1157</v>
      </c>
      <c r="AE97" s="25">
        <v>0.14960000000000001</v>
      </c>
    </row>
    <row r="98" spans="1:36">
      <c r="A98" t="s">
        <v>237</v>
      </c>
      <c r="B98" t="s">
        <v>238</v>
      </c>
      <c r="C98" s="27">
        <v>459</v>
      </c>
      <c r="E98" t="s">
        <v>238</v>
      </c>
      <c r="F98" s="27">
        <v>416</v>
      </c>
      <c r="G98" t="b">
        <f>IF(B98=E98,TRUE,FALSE)</f>
        <v>1</v>
      </c>
      <c r="J98" s="24">
        <f>F98-C98</f>
        <v>-43</v>
      </c>
      <c r="K98" s="4">
        <f>F98/C98-1</f>
        <v>-9.3681917211329013E-2</v>
      </c>
      <c r="M98" s="5">
        <v>838.99</v>
      </c>
      <c r="N98" s="5">
        <v>734.74</v>
      </c>
      <c r="Q98" s="122">
        <v>2825.14</v>
      </c>
      <c r="U98" s="145">
        <f>N98-M98</f>
        <v>-104.25</v>
      </c>
      <c r="V98" s="4">
        <f>IF(M98=0,0,N98/M98-1)</f>
        <v>-0.12425654656193752</v>
      </c>
      <c r="W98" s="17">
        <v>10074.17</v>
      </c>
      <c r="X98" s="17">
        <v>9130.1</v>
      </c>
      <c r="Y98" s="4">
        <f>X98/W98-1</f>
        <v>-9.371193855176152E-2</v>
      </c>
      <c r="Z98" s="4"/>
      <c r="AA98">
        <v>3740</v>
      </c>
      <c r="AB98">
        <v>3308</v>
      </c>
      <c r="AD98" s="25">
        <v>0.1225</v>
      </c>
      <c r="AE98" s="25">
        <v>0.1255</v>
      </c>
    </row>
    <row r="99" spans="1:36">
      <c r="A99" t="s">
        <v>239</v>
      </c>
      <c r="B99" t="s">
        <v>240</v>
      </c>
      <c r="C99" s="27">
        <v>2305</v>
      </c>
      <c r="E99" t="s">
        <v>240</v>
      </c>
      <c r="F99" s="27">
        <v>2263</v>
      </c>
      <c r="G99" t="b">
        <f>IF(B99=E99,TRUE,FALSE)</f>
        <v>1</v>
      </c>
      <c r="J99" s="24">
        <f>F99-C99</f>
        <v>-42</v>
      </c>
      <c r="K99" s="4">
        <f>F99/C99-1</f>
        <v>-1.822125813449027E-2</v>
      </c>
      <c r="M99" s="5">
        <v>5309.25</v>
      </c>
      <c r="N99" s="5">
        <v>4877.47</v>
      </c>
      <c r="Q99" s="122">
        <v>32739.46</v>
      </c>
      <c r="U99" s="145">
        <f>N99-M99</f>
        <v>-431.77999999999975</v>
      </c>
      <c r="V99" s="4">
        <f>IF(M99=0,0,N99/M99-1)</f>
        <v>-8.1325987663040888E-2</v>
      </c>
      <c r="W99" s="17">
        <v>52948.509999999995</v>
      </c>
      <c r="X99" s="17">
        <v>54285.29</v>
      </c>
      <c r="Y99" s="4">
        <f>X99/W99-1</f>
        <v>2.5246791647206113E-2</v>
      </c>
      <c r="Z99" s="4"/>
      <c r="AA99">
        <v>16527</v>
      </c>
      <c r="AB99">
        <v>17295</v>
      </c>
      <c r="AD99" s="25">
        <v>0.13930000000000001</v>
      </c>
      <c r="AE99" s="25">
        <v>0.13070000000000001</v>
      </c>
    </row>
    <row r="100" spans="1:36">
      <c r="A100" s="126" t="s">
        <v>241</v>
      </c>
      <c r="B100" s="126" t="s">
        <v>242</v>
      </c>
      <c r="C100" s="27">
        <v>188</v>
      </c>
      <c r="E100" s="126" t="s">
        <v>242</v>
      </c>
      <c r="F100" s="27">
        <v>147</v>
      </c>
      <c r="G100" t="b">
        <f>IF(B100=E100,TRUE,FALSE)</f>
        <v>1</v>
      </c>
      <c r="J100" s="24">
        <f>F100-C100</f>
        <v>-41</v>
      </c>
      <c r="K100" s="4">
        <f>F100/C100-1</f>
        <v>-0.21808510638297873</v>
      </c>
      <c r="M100" s="5">
        <v>578.12</v>
      </c>
      <c r="N100" s="5">
        <v>804.61</v>
      </c>
      <c r="Q100" s="121">
        <v>1839.82</v>
      </c>
      <c r="U100" s="145">
        <f>N100-M100</f>
        <v>226.49</v>
      </c>
      <c r="V100" s="4">
        <f>IF(M100=0,0,N100/M100-1)</f>
        <v>0.39176987476648439</v>
      </c>
      <c r="W100" s="17">
        <v>2904.12</v>
      </c>
      <c r="X100" s="17">
        <v>2548.5300000000002</v>
      </c>
      <c r="Y100" s="4">
        <f>X100/W100-1</f>
        <v>-0.12244328746745992</v>
      </c>
      <c r="Z100" s="4"/>
      <c r="AA100">
        <v>2489</v>
      </c>
      <c r="AB100">
        <v>1327</v>
      </c>
      <c r="AD100" s="25">
        <v>7.5499999999999998E-2</v>
      </c>
      <c r="AE100" s="25">
        <v>0.1108</v>
      </c>
    </row>
    <row r="101" spans="1:36">
      <c r="A101" t="s">
        <v>243</v>
      </c>
      <c r="B101" t="s">
        <v>244</v>
      </c>
      <c r="C101" s="27">
        <v>3635</v>
      </c>
      <c r="E101" t="s">
        <v>244</v>
      </c>
      <c r="F101" s="27">
        <v>3596</v>
      </c>
      <c r="G101" t="b">
        <f>IF(B101=E101,TRUE,FALSE)</f>
        <v>1</v>
      </c>
      <c r="J101" s="24">
        <f>F101-C101</f>
        <v>-39</v>
      </c>
      <c r="K101" s="4">
        <f>F101/C101-1</f>
        <v>-1.072902338376891E-2</v>
      </c>
      <c r="M101" s="5">
        <v>6640.81</v>
      </c>
      <c r="N101" s="5">
        <v>7868.28</v>
      </c>
      <c r="Q101" s="122">
        <v>29909.19</v>
      </c>
      <c r="U101" s="145">
        <f>N101-M101</f>
        <v>1227.4699999999993</v>
      </c>
      <c r="V101" s="4">
        <f>IF(M101=0,0,N101/M101-1)</f>
        <v>0.18483739182419012</v>
      </c>
      <c r="W101" s="17">
        <v>79758.27</v>
      </c>
      <c r="X101" s="17">
        <v>78876.09</v>
      </c>
      <c r="Y101" s="4">
        <f>X101/W101-1</f>
        <v>-1.1060671200616712E-2</v>
      </c>
      <c r="Z101" s="4"/>
      <c r="AA101">
        <v>27172</v>
      </c>
      <c r="AB101">
        <v>24201</v>
      </c>
      <c r="AD101" s="25">
        <v>0.13369999999999999</v>
      </c>
      <c r="AE101" s="25">
        <v>0.1482</v>
      </c>
    </row>
    <row r="102" spans="1:36">
      <c r="A102" s="36" t="s">
        <v>245</v>
      </c>
      <c r="B102" s="36" t="s">
        <v>246</v>
      </c>
      <c r="C102" s="27">
        <v>1090</v>
      </c>
      <c r="E102" s="36" t="s">
        <v>246</v>
      </c>
      <c r="F102" s="27">
        <v>1054</v>
      </c>
      <c r="G102" t="b">
        <f>IF(B102=E102,TRUE,FALSE)</f>
        <v>1</v>
      </c>
      <c r="J102" s="24">
        <f>F102-C102</f>
        <v>-36</v>
      </c>
      <c r="K102" s="4">
        <f>F102/C102-1</f>
        <v>-3.3027522935779818E-2</v>
      </c>
      <c r="M102" s="5">
        <v>2700.05</v>
      </c>
      <c r="N102" s="5">
        <v>2231.3000000000002</v>
      </c>
      <c r="Q102" s="122">
        <v>17358.02</v>
      </c>
      <c r="U102" s="145">
        <f>N102-M102</f>
        <v>-468.75</v>
      </c>
      <c r="V102" s="4">
        <f>IF(M102=0,0,N102/M102-1)</f>
        <v>-0.17360789615007133</v>
      </c>
      <c r="W102" s="17">
        <v>49031</v>
      </c>
      <c r="X102" s="17">
        <v>47414.06</v>
      </c>
      <c r="Y102" s="4">
        <f>X102/W102-1</f>
        <v>-3.2977911933266713E-2</v>
      </c>
      <c r="Z102" s="4"/>
      <c r="AA102">
        <v>5586</v>
      </c>
      <c r="AB102">
        <v>5386</v>
      </c>
      <c r="AD102" s="25">
        <v>0.19550000000000001</v>
      </c>
      <c r="AE102" s="25">
        <v>0.1948</v>
      </c>
    </row>
    <row r="103" spans="1:36">
      <c r="A103" t="s">
        <v>247</v>
      </c>
      <c r="B103" t="s">
        <v>248</v>
      </c>
      <c r="C103" s="27">
        <v>488</v>
      </c>
      <c r="E103" t="s">
        <v>248</v>
      </c>
      <c r="F103" s="27">
        <v>453</v>
      </c>
      <c r="G103" t="b">
        <f>IF(B103=E103,TRUE,FALSE)</f>
        <v>1</v>
      </c>
      <c r="J103" s="24">
        <f>F103-C103</f>
        <v>-35</v>
      </c>
      <c r="K103" s="4">
        <f>F103/C103-1</f>
        <v>-7.1721311475409832E-2</v>
      </c>
      <c r="M103" s="5">
        <v>654.66999999999996</v>
      </c>
      <c r="N103" s="5">
        <v>361.98</v>
      </c>
      <c r="Q103" s="122">
        <v>2992.73</v>
      </c>
      <c r="U103" s="145">
        <f>N103-M103</f>
        <v>-292.68999999999994</v>
      </c>
      <c r="V103" s="4">
        <f>IF(M103=0,0,N103/M103-1)</f>
        <v>-0.44708020834924456</v>
      </c>
      <c r="W103" s="17">
        <v>11214.51</v>
      </c>
      <c r="X103" s="17">
        <v>10381.619999999999</v>
      </c>
      <c r="Y103" s="4">
        <f>X103/W103-1</f>
        <v>-7.4268960480663115E-2</v>
      </c>
      <c r="Z103" s="4"/>
      <c r="AA103">
        <v>1950</v>
      </c>
      <c r="AB103">
        <v>1683</v>
      </c>
      <c r="AD103" s="25">
        <v>0.21179999999999999</v>
      </c>
      <c r="AE103" s="25">
        <v>0.1699</v>
      </c>
    </row>
    <row r="104" spans="1:36">
      <c r="A104" s="126" t="s">
        <v>249</v>
      </c>
      <c r="B104" s="36" t="s">
        <v>250</v>
      </c>
      <c r="C104" s="27">
        <v>164</v>
      </c>
      <c r="E104" s="36" t="s">
        <v>250</v>
      </c>
      <c r="F104" s="27">
        <v>131</v>
      </c>
      <c r="G104" t="b">
        <f>IF(B104=E104,TRUE,FALSE)</f>
        <v>1</v>
      </c>
      <c r="J104" s="24">
        <f>F104-C104</f>
        <v>-33</v>
      </c>
      <c r="K104" s="4">
        <f>F104/C104-1</f>
        <v>-0.20121951219512191</v>
      </c>
      <c r="M104" s="5">
        <v>705.94</v>
      </c>
      <c r="N104" s="5">
        <v>807.25</v>
      </c>
      <c r="Q104" s="121">
        <v>2647.47</v>
      </c>
      <c r="U104" s="145">
        <f>N104-M104</f>
        <v>101.30999999999995</v>
      </c>
      <c r="V104" s="4">
        <f>IF(M104=0,0,N104/M104-1)</f>
        <v>0.14351077995297046</v>
      </c>
      <c r="W104" s="17">
        <v>2720.56</v>
      </c>
      <c r="X104" s="17">
        <v>2880.25</v>
      </c>
      <c r="Y104" s="4">
        <f>X104/W104-1</f>
        <v>5.8697474049460352E-2</v>
      </c>
      <c r="Z104" s="4"/>
      <c r="AA104">
        <v>1082</v>
      </c>
      <c r="AB104">
        <v>912</v>
      </c>
      <c r="AD104" s="25">
        <v>0.15160000000000001</v>
      </c>
      <c r="AE104" s="25">
        <v>0.14360000000000001</v>
      </c>
    </row>
    <row r="105" spans="1:36">
      <c r="A105" t="s">
        <v>251</v>
      </c>
      <c r="B105" t="s">
        <v>252</v>
      </c>
      <c r="C105" s="27">
        <v>2615</v>
      </c>
      <c r="E105" t="s">
        <v>252</v>
      </c>
      <c r="F105" s="27">
        <v>2584</v>
      </c>
      <c r="G105" t="b">
        <f>IF(B105=E105,TRUE,FALSE)</f>
        <v>1</v>
      </c>
      <c r="J105" s="24">
        <f>F105-C105</f>
        <v>-31</v>
      </c>
      <c r="K105" s="4">
        <f>F105/C105-1</f>
        <v>-1.1854684512428326E-2</v>
      </c>
      <c r="M105" s="5">
        <v>2453.44</v>
      </c>
      <c r="N105" s="5">
        <v>2686.99</v>
      </c>
      <c r="Q105" s="122">
        <v>17430.45</v>
      </c>
      <c r="U105" s="145">
        <f>N105-M105</f>
        <v>233.54999999999973</v>
      </c>
      <c r="V105" s="4">
        <f>IF(M105=0,0,N105/M105-1)</f>
        <v>9.5192872049041144E-2</v>
      </c>
      <c r="W105" s="17">
        <v>62620.369999999995</v>
      </c>
      <c r="X105" s="17">
        <v>61874.32</v>
      </c>
      <c r="Y105" s="4">
        <f>X105/W105-1</f>
        <v>-1.1913854868631391E-2</v>
      </c>
      <c r="Z105" s="4"/>
      <c r="AA105">
        <v>7890</v>
      </c>
      <c r="AB105">
        <v>7814</v>
      </c>
      <c r="AD105" s="25">
        <v>0.33490000000000003</v>
      </c>
      <c r="AE105" s="25">
        <v>0.32969999999999999</v>
      </c>
    </row>
    <row r="106" spans="1:36">
      <c r="A106" t="s">
        <v>253</v>
      </c>
      <c r="B106" t="s">
        <v>254</v>
      </c>
      <c r="C106" s="27">
        <v>2278</v>
      </c>
      <c r="E106" t="s">
        <v>254</v>
      </c>
      <c r="F106" s="27">
        <v>2248</v>
      </c>
      <c r="G106" t="b">
        <f>IF(B106=E106,TRUE,FALSE)</f>
        <v>1</v>
      </c>
      <c r="J106" s="24">
        <f>F106-C106</f>
        <v>-30</v>
      </c>
      <c r="K106" s="4">
        <f>F106/C106-1</f>
        <v>-1.3169446883230851E-2</v>
      </c>
      <c r="M106" s="5">
        <v>2405.81</v>
      </c>
      <c r="N106" s="5">
        <v>2003.13</v>
      </c>
      <c r="Q106" s="122">
        <v>14407.74</v>
      </c>
      <c r="U106" s="145">
        <f>N106-M106</f>
        <v>-402.67999999999984</v>
      </c>
      <c r="V106" s="4">
        <f>IF(M106=0,0,N106/M106-1)</f>
        <v>-0.16737813875576202</v>
      </c>
      <c r="W106" s="17">
        <v>61460.229999999996</v>
      </c>
      <c r="X106" s="17">
        <v>64637.31</v>
      </c>
      <c r="Y106" s="4">
        <f>X106/W106-1</f>
        <v>5.1693265710200054E-2</v>
      </c>
      <c r="Z106" s="4"/>
      <c r="AA106">
        <v>5860</v>
      </c>
      <c r="AB106">
        <v>5612</v>
      </c>
      <c r="AD106" s="25">
        <v>0.38909999999999995</v>
      </c>
      <c r="AE106" s="25">
        <v>0.3972</v>
      </c>
    </row>
    <row r="107" spans="1:36">
      <c r="A107" s="126" t="s">
        <v>255</v>
      </c>
      <c r="B107" s="126" t="s">
        <v>256</v>
      </c>
      <c r="C107" s="27">
        <v>89</v>
      </c>
      <c r="E107" s="126" t="s">
        <v>256</v>
      </c>
      <c r="F107" s="27">
        <v>60</v>
      </c>
      <c r="G107" t="b">
        <f>IF(B107=E107,TRUE,FALSE)</f>
        <v>1</v>
      </c>
      <c r="J107" s="24">
        <f>F107-C107</f>
        <v>-29</v>
      </c>
      <c r="K107" s="4">
        <f>F107/C107-1</f>
        <v>-0.3258426966292135</v>
      </c>
      <c r="M107" s="5">
        <v>790.98</v>
      </c>
      <c r="N107" s="5">
        <v>580.46</v>
      </c>
      <c r="Q107" s="121">
        <v>366.52</v>
      </c>
      <c r="U107" s="145">
        <f>N107-M107</f>
        <v>-210.51999999999998</v>
      </c>
      <c r="V107" s="4">
        <f>IF(M107=0,0,N107/M107-1)</f>
        <v>-0.26615085084325774</v>
      </c>
      <c r="W107" s="17">
        <v>1488.11</v>
      </c>
      <c r="X107" s="17">
        <v>1169.1500000000001</v>
      </c>
      <c r="Y107" s="4">
        <f>X107/W107-1</f>
        <v>-0.21433899375718179</v>
      </c>
      <c r="Z107" s="4"/>
      <c r="AA107">
        <v>822</v>
      </c>
      <c r="AB107">
        <v>582</v>
      </c>
      <c r="AD107" s="25">
        <v>0.10830000000000001</v>
      </c>
      <c r="AE107" s="25">
        <v>0.1014</v>
      </c>
      <c r="AJ107" t="s">
        <v>257</v>
      </c>
    </row>
    <row r="108" spans="1:36">
      <c r="A108" t="s">
        <v>258</v>
      </c>
      <c r="B108" t="s">
        <v>259</v>
      </c>
      <c r="C108" s="27">
        <v>876</v>
      </c>
      <c r="E108" t="s">
        <v>259</v>
      </c>
      <c r="F108" s="27">
        <v>853</v>
      </c>
      <c r="G108" t="b">
        <f>IF(B108=E108,TRUE,FALSE)</f>
        <v>1</v>
      </c>
      <c r="J108" s="24">
        <f>F108-C108</f>
        <v>-23</v>
      </c>
      <c r="K108" s="4">
        <f>F108/C108-1</f>
        <v>-2.6255707762557035E-2</v>
      </c>
      <c r="M108" s="5">
        <v>2156.04</v>
      </c>
      <c r="N108" s="5">
        <v>1626.03</v>
      </c>
      <c r="Q108" s="122">
        <v>7920.58</v>
      </c>
      <c r="U108" s="145">
        <f>N108-M108</f>
        <v>-530.01</v>
      </c>
      <c r="V108" s="4">
        <f>IF(M108=0,0,N108/M108-1)</f>
        <v>-0.24582568041409247</v>
      </c>
      <c r="W108" s="17">
        <v>28013.64</v>
      </c>
      <c r="X108" s="17">
        <v>27275.95</v>
      </c>
      <c r="Y108" s="4">
        <f>X108/W108-1</f>
        <v>-2.6333243377154814E-2</v>
      </c>
      <c r="Z108" s="4"/>
      <c r="AA108">
        <v>4719</v>
      </c>
      <c r="AB108">
        <v>4176</v>
      </c>
      <c r="AD108" s="25">
        <v>0.18539999999999998</v>
      </c>
      <c r="AE108" s="25">
        <v>0.20379999999999998</v>
      </c>
    </row>
    <row r="109" spans="1:36">
      <c r="A109" s="126" t="s">
        <v>260</v>
      </c>
      <c r="B109" s="36" t="s">
        <v>261</v>
      </c>
      <c r="C109" s="27">
        <v>408</v>
      </c>
      <c r="E109" s="36" t="s">
        <v>261</v>
      </c>
      <c r="F109" s="27">
        <v>397</v>
      </c>
      <c r="G109" t="b">
        <f>IF(B109=E109,TRUE,FALSE)</f>
        <v>1</v>
      </c>
      <c r="J109" s="24">
        <f>F109-C109</f>
        <v>-11</v>
      </c>
      <c r="K109" s="4">
        <f>F109/C109-1</f>
        <v>-2.6960784313725505E-2</v>
      </c>
      <c r="M109" s="5">
        <v>1428.18</v>
      </c>
      <c r="N109" s="5">
        <v>1464.91</v>
      </c>
      <c r="Q109" s="121">
        <v>6199.88</v>
      </c>
      <c r="U109" s="145">
        <f>N109-M109</f>
        <v>36.730000000000018</v>
      </c>
      <c r="V109" s="4">
        <f>IF(M109=0,0,N109/M109-1)</f>
        <v>2.5718046744808154E-2</v>
      </c>
      <c r="W109" s="17">
        <v>8154.28</v>
      </c>
      <c r="X109" s="17">
        <v>7934.39</v>
      </c>
      <c r="Y109" s="4"/>
      <c r="Z109" s="4"/>
      <c r="AA109">
        <v>2475</v>
      </c>
      <c r="AB109">
        <v>2443</v>
      </c>
      <c r="AD109" s="25">
        <v>0.16440000000000002</v>
      </c>
      <c r="AE109" s="25">
        <v>0.16210000000000002</v>
      </c>
    </row>
    <row r="110" spans="1:36">
      <c r="A110" t="s">
        <v>262</v>
      </c>
      <c r="B110" t="s">
        <v>263</v>
      </c>
      <c r="C110" s="27">
        <v>584</v>
      </c>
      <c r="E110" t="s">
        <v>263</v>
      </c>
      <c r="F110" s="27">
        <v>574</v>
      </c>
      <c r="G110" t="b">
        <f>IF(B110=E110,TRUE,FALSE)</f>
        <v>1</v>
      </c>
      <c r="J110" s="24">
        <f>F110-C110</f>
        <v>-10</v>
      </c>
      <c r="K110" s="4">
        <f>F110/C110-1</f>
        <v>-1.7123287671232834E-2</v>
      </c>
      <c r="M110" s="5">
        <v>2196.4899999999998</v>
      </c>
      <c r="N110" s="5">
        <v>2038.55</v>
      </c>
      <c r="Q110" s="122">
        <v>7642.99</v>
      </c>
      <c r="U110" s="145">
        <f>N110-M110</f>
        <v>-157.93999999999983</v>
      </c>
      <c r="V110" s="4">
        <f>IF(M110=0,0,N110/M110-1)</f>
        <v>-7.1905631257142E-2</v>
      </c>
      <c r="W110" s="17">
        <v>13815.82</v>
      </c>
      <c r="X110" s="17">
        <v>14336.01</v>
      </c>
      <c r="Y110" s="4">
        <f>X110/W110-1</f>
        <v>3.7651764426577694E-2</v>
      </c>
      <c r="Z110" s="4"/>
      <c r="AA110">
        <v>3234</v>
      </c>
      <c r="AB110">
        <v>3009</v>
      </c>
      <c r="AD110" s="25">
        <v>0.18090000000000001</v>
      </c>
      <c r="AE110" s="25">
        <v>0.1898</v>
      </c>
    </row>
    <row r="111" spans="1:36">
      <c r="A111" t="s">
        <v>264</v>
      </c>
      <c r="B111" t="s">
        <v>265</v>
      </c>
      <c r="C111" s="27">
        <v>417</v>
      </c>
      <c r="E111" t="s">
        <v>265</v>
      </c>
      <c r="F111" s="27">
        <v>409</v>
      </c>
      <c r="G111" t="b">
        <f>IF(B111=E111,TRUE,FALSE)</f>
        <v>1</v>
      </c>
      <c r="J111" s="24">
        <f>F111-C111</f>
        <v>-8</v>
      </c>
      <c r="K111" s="4">
        <f>F111/C111-1</f>
        <v>-1.918465227817745E-2</v>
      </c>
      <c r="M111" s="5">
        <v>1248.78</v>
      </c>
      <c r="N111" s="5">
        <v>719.02</v>
      </c>
      <c r="Q111" s="122">
        <v>2140.6799999999998</v>
      </c>
      <c r="U111" s="145">
        <f>N111-M111</f>
        <v>-529.76</v>
      </c>
      <c r="V111" s="4">
        <f>IF(M111=0,0,N111/M111-1)</f>
        <v>-0.42422204071173464</v>
      </c>
      <c r="W111" s="17">
        <v>4073.95</v>
      </c>
      <c r="X111" s="17">
        <v>3788.36</v>
      </c>
      <c r="Y111" s="4">
        <f>X111/W111-1</f>
        <v>-7.0101498545637408E-2</v>
      </c>
      <c r="Z111" s="4"/>
      <c r="AA111">
        <v>1821</v>
      </c>
      <c r="AB111">
        <v>1386</v>
      </c>
      <c r="AD111" s="25">
        <v>0.22899999999999998</v>
      </c>
      <c r="AE111" s="25">
        <v>0.29510000000000003</v>
      </c>
    </row>
    <row r="112" spans="1:36">
      <c r="A112" t="s">
        <v>266</v>
      </c>
      <c r="B112" t="s">
        <v>267</v>
      </c>
      <c r="C112" s="27">
        <v>82</v>
      </c>
      <c r="E112" t="s">
        <v>267</v>
      </c>
      <c r="F112" s="27">
        <v>76</v>
      </c>
      <c r="G112" t="b">
        <f>IF(B112=E112,TRUE,FALSE)</f>
        <v>1</v>
      </c>
      <c r="J112" s="24">
        <f>F112-C112</f>
        <v>-6</v>
      </c>
      <c r="K112" s="4">
        <f>F112/C112-1</f>
        <v>-7.3170731707317027E-2</v>
      </c>
      <c r="M112" s="5">
        <v>116.17</v>
      </c>
      <c r="N112" s="5">
        <v>100.09</v>
      </c>
      <c r="Q112" s="122">
        <v>1092.57</v>
      </c>
      <c r="U112" s="145">
        <f>N112-M112</f>
        <v>-16.079999999999998</v>
      </c>
      <c r="V112" s="4">
        <f>IF(M112=0,0,N112/M112-1)</f>
        <v>-0.13841783593010237</v>
      </c>
      <c r="W112" s="17">
        <v>2455.88</v>
      </c>
      <c r="X112" s="17">
        <v>2278.04</v>
      </c>
      <c r="Y112" s="4">
        <f>X112/W112-1</f>
        <v>-7.241396159421476E-2</v>
      </c>
      <c r="Z112" s="4"/>
      <c r="AA112">
        <v>356</v>
      </c>
      <c r="AB112">
        <v>349</v>
      </c>
      <c r="AD112" s="25">
        <v>0.22750000000000001</v>
      </c>
      <c r="AE112" s="25">
        <v>0.21780000000000002</v>
      </c>
    </row>
    <row r="113" spans="1:31">
      <c r="A113" t="s">
        <v>268</v>
      </c>
      <c r="B113" t="s">
        <v>269</v>
      </c>
      <c r="C113" s="27">
        <v>385</v>
      </c>
      <c r="E113" t="s">
        <v>269</v>
      </c>
      <c r="F113" s="27">
        <v>382</v>
      </c>
      <c r="G113" t="b">
        <f>IF(B113=E113,TRUE,FALSE)</f>
        <v>1</v>
      </c>
      <c r="J113" s="24">
        <f>F113-C113</f>
        <v>-3</v>
      </c>
      <c r="K113" s="4">
        <f>F113/C113-1</f>
        <v>-7.7922077922077948E-3</v>
      </c>
      <c r="M113" s="5">
        <v>534.39</v>
      </c>
      <c r="N113" s="5">
        <v>285.74</v>
      </c>
      <c r="Q113" s="122">
        <v>2979.87</v>
      </c>
      <c r="U113" s="145">
        <f>N113-M113</f>
        <v>-248.64999999999998</v>
      </c>
      <c r="V113" s="4">
        <f>IF(M113=0,0,N113/M113-1)</f>
        <v>-0.46529688055539964</v>
      </c>
      <c r="W113" s="17">
        <v>11534.61</v>
      </c>
      <c r="X113" s="17">
        <v>11445.779999999999</v>
      </c>
      <c r="Y113" s="4">
        <f>X113/W113-1</f>
        <v>-7.701170650763367E-3</v>
      </c>
      <c r="Z113" s="4"/>
      <c r="AA113">
        <v>2011</v>
      </c>
      <c r="AB113">
        <v>1754</v>
      </c>
      <c r="AD113" s="25">
        <v>0.13869999999999999</v>
      </c>
      <c r="AE113" s="25">
        <v>0.12089999999999999</v>
      </c>
    </row>
    <row r="114" spans="1:31">
      <c r="A114" t="s">
        <v>270</v>
      </c>
      <c r="B114" t="s">
        <v>271</v>
      </c>
      <c r="C114" s="27">
        <v>126</v>
      </c>
      <c r="E114" t="s">
        <v>271</v>
      </c>
      <c r="F114" s="27">
        <v>123</v>
      </c>
      <c r="G114" t="b">
        <f>IF(B114=E114,TRUE,FALSE)</f>
        <v>1</v>
      </c>
      <c r="J114" s="24">
        <f>F114-C114</f>
        <v>-3</v>
      </c>
      <c r="K114" s="4">
        <f>F114/C114-1</f>
        <v>-2.3809523809523836E-2</v>
      </c>
      <c r="M114" s="5">
        <v>369.53</v>
      </c>
      <c r="N114" s="5">
        <v>409.42</v>
      </c>
      <c r="Q114" s="122">
        <v>848.05</v>
      </c>
      <c r="U114" s="145">
        <f>N114-M114</f>
        <v>39.890000000000043</v>
      </c>
      <c r="V114" s="4">
        <f>IF(M114=0,0,N114/M114-1)</f>
        <v>0.10794793386193291</v>
      </c>
      <c r="W114" s="17">
        <v>2765.7</v>
      </c>
      <c r="X114" s="17">
        <v>2699.85</v>
      </c>
      <c r="Y114" s="4">
        <f>X114/W114-1</f>
        <v>-2.3809523809523725E-2</v>
      </c>
      <c r="Z114" s="4"/>
      <c r="AA114">
        <v>0</v>
      </c>
      <c r="AB114" t="e">
        <v>#N/A</v>
      </c>
      <c r="AD114" s="25">
        <v>0</v>
      </c>
      <c r="AE114" s="25">
        <v>0</v>
      </c>
    </row>
    <row r="115" spans="1:31">
      <c r="A115" t="s">
        <v>272</v>
      </c>
      <c r="B115" t="s">
        <v>273</v>
      </c>
      <c r="C115" s="27">
        <v>2</v>
      </c>
      <c r="E115" t="s">
        <v>273</v>
      </c>
      <c r="F115" s="27">
        <v>0</v>
      </c>
      <c r="G115" t="b">
        <f>IF(B115=E115,TRUE,FALSE)</f>
        <v>1</v>
      </c>
      <c r="J115" s="24">
        <f>F115-C115</f>
        <v>-2</v>
      </c>
      <c r="K115" s="4">
        <f>F115/C115-1</f>
        <v>-1</v>
      </c>
      <c r="M115" s="5">
        <v>0</v>
      </c>
      <c r="N115" s="5">
        <v>0</v>
      </c>
      <c r="Q115" s="122">
        <v>0</v>
      </c>
      <c r="U115" s="145">
        <f>N115-M115</f>
        <v>0</v>
      </c>
      <c r="V115" s="4">
        <f>IF(M115=0,0,N115/M115-1)</f>
        <v>0</v>
      </c>
      <c r="W115" s="17">
        <v>109.98</v>
      </c>
      <c r="X115" s="17">
        <v>0</v>
      </c>
      <c r="Y115" s="4">
        <f>X115/W115-1</f>
        <v>-1</v>
      </c>
      <c r="Z115" s="4"/>
      <c r="AA115">
        <v>8</v>
      </c>
      <c r="AB115">
        <v>0</v>
      </c>
      <c r="AD115" s="25">
        <v>0.25</v>
      </c>
      <c r="AE115" s="25">
        <v>0</v>
      </c>
    </row>
    <row r="116" spans="1:31">
      <c r="A116" s="39" t="s">
        <v>274</v>
      </c>
      <c r="B116" s="36" t="s">
        <v>275</v>
      </c>
      <c r="C116" s="27">
        <v>2</v>
      </c>
      <c r="E116" s="36" t="s">
        <v>275</v>
      </c>
      <c r="F116" s="27">
        <v>0</v>
      </c>
      <c r="G116" t="b">
        <f>IF(B116=E116,TRUE,FALSE)</f>
        <v>1</v>
      </c>
      <c r="J116" s="24">
        <f>F116-C116</f>
        <v>-2</v>
      </c>
      <c r="K116" s="4">
        <f>F116/C116-1</f>
        <v>-1</v>
      </c>
      <c r="M116" s="5">
        <v>0</v>
      </c>
      <c r="N116" s="5">
        <v>0</v>
      </c>
      <c r="Q116" s="122">
        <v>0</v>
      </c>
      <c r="U116" s="145">
        <f>N116-M116</f>
        <v>0</v>
      </c>
      <c r="V116" s="4">
        <f>IF(M116=0,0,N116/M116-1)</f>
        <v>0</v>
      </c>
      <c r="W116" s="17">
        <v>49.98</v>
      </c>
      <c r="X116" s="17">
        <v>0</v>
      </c>
      <c r="Y116" s="4">
        <f>X116/W116-1</f>
        <v>-1</v>
      </c>
      <c r="Z116" s="4"/>
      <c r="AA116">
        <v>98</v>
      </c>
      <c r="AB116">
        <v>0</v>
      </c>
      <c r="AD116" s="25">
        <v>2.0400000000000001E-2</v>
      </c>
      <c r="AE116" s="25">
        <v>0</v>
      </c>
    </row>
    <row r="117" spans="1:31">
      <c r="A117" s="22" t="s">
        <v>276</v>
      </c>
      <c r="B117" s="22" t="s">
        <v>277</v>
      </c>
      <c r="C117" s="27">
        <v>80</v>
      </c>
      <c r="E117" s="22" t="s">
        <v>277</v>
      </c>
      <c r="F117" s="27">
        <v>78</v>
      </c>
      <c r="G117" t="b">
        <f>IF(B117=E117,TRUE,FALSE)</f>
        <v>1</v>
      </c>
      <c r="J117" s="24">
        <f>F117-C117</f>
        <v>-2</v>
      </c>
      <c r="K117" s="4">
        <f>F117/C117-1</f>
        <v>-2.5000000000000022E-2</v>
      </c>
      <c r="M117" s="5">
        <v>233.12</v>
      </c>
      <c r="N117" s="5">
        <v>765.11</v>
      </c>
      <c r="Q117" s="122">
        <v>1003.44</v>
      </c>
      <c r="U117" s="145">
        <f>N117-M117</f>
        <v>531.99</v>
      </c>
      <c r="V117" s="4">
        <f>IF(M117=0,0,N117/M117-1)</f>
        <v>2.2820435827041865</v>
      </c>
      <c r="W117" s="17">
        <v>1885.53</v>
      </c>
      <c r="X117" s="17">
        <v>1425.22</v>
      </c>
      <c r="Y117" s="4">
        <f>X117/W117-1</f>
        <v>-0.24412764580780999</v>
      </c>
      <c r="Z117" s="4"/>
      <c r="AA117">
        <v>780</v>
      </c>
      <c r="AB117">
        <v>599</v>
      </c>
      <c r="AD117" s="25">
        <v>0.1026</v>
      </c>
      <c r="AE117" s="25">
        <v>0.13019999999999998</v>
      </c>
    </row>
    <row r="118" spans="1:31">
      <c r="A118" t="s">
        <v>278</v>
      </c>
      <c r="B118" t="s">
        <v>279</v>
      </c>
      <c r="C118" s="27">
        <v>1171</v>
      </c>
      <c r="E118" t="s">
        <v>279</v>
      </c>
      <c r="F118" s="27">
        <v>1169</v>
      </c>
      <c r="G118" t="b">
        <f>IF(B118=E118,TRUE,FALSE)</f>
        <v>1</v>
      </c>
      <c r="J118" s="24">
        <f>F118-C118</f>
        <v>-2</v>
      </c>
      <c r="K118" s="4">
        <f>F118/C118-1</f>
        <v>-1.7079419299743659E-3</v>
      </c>
      <c r="M118" s="5">
        <v>2723.67</v>
      </c>
      <c r="N118" s="5">
        <v>1223.25</v>
      </c>
      <c r="Q118" s="122">
        <v>8145.42</v>
      </c>
      <c r="U118" s="145">
        <f>N118-M118</f>
        <v>-1500.42</v>
      </c>
      <c r="V118" s="4">
        <f>IF(M118=0,0,N118/M118-1)</f>
        <v>-0.55088171474517833</v>
      </c>
      <c r="W118" s="17">
        <v>35083.11</v>
      </c>
      <c r="X118" s="17">
        <v>35038.75</v>
      </c>
      <c r="Y118" s="4">
        <f>X118/W118-1</f>
        <v>-1.2644261013348146E-3</v>
      </c>
      <c r="Z118" s="4"/>
      <c r="AA118">
        <v>7160</v>
      </c>
      <c r="AB118">
        <v>6843</v>
      </c>
      <c r="AD118" s="25">
        <v>0.1384</v>
      </c>
      <c r="AE118" s="25">
        <v>0.14099999999999999</v>
      </c>
    </row>
    <row r="119" spans="1:31">
      <c r="A119" s="126" t="s">
        <v>280</v>
      </c>
      <c r="B119" s="36" t="s">
        <v>281</v>
      </c>
      <c r="C119" s="27">
        <v>1</v>
      </c>
      <c r="E119" s="36" t="s">
        <v>281</v>
      </c>
      <c r="F119" s="27">
        <v>0</v>
      </c>
      <c r="G119" t="b">
        <f>IF(B119=E119,TRUE,FALSE)</f>
        <v>1</v>
      </c>
      <c r="J119" s="24">
        <f>F119-C119</f>
        <v>-1</v>
      </c>
      <c r="K119" s="4">
        <f>F119/C119-1</f>
        <v>-1</v>
      </c>
      <c r="M119" s="5">
        <v>0</v>
      </c>
      <c r="N119" s="5">
        <v>0</v>
      </c>
      <c r="Q119" s="121">
        <v>0</v>
      </c>
      <c r="U119" s="145">
        <f>N119-M119</f>
        <v>0</v>
      </c>
      <c r="V119" s="4">
        <f>IF(M119=0,0,N119/M119-1)</f>
        <v>0</v>
      </c>
      <c r="W119" s="17">
        <v>23.99</v>
      </c>
      <c r="X119" s="17">
        <v>0</v>
      </c>
      <c r="Y119" s="4"/>
      <c r="Z119" s="4"/>
      <c r="AA119">
        <v>0</v>
      </c>
      <c r="AB119">
        <v>0</v>
      </c>
      <c r="AD119" s="25">
        <v>0</v>
      </c>
      <c r="AE119" s="25">
        <v>0</v>
      </c>
    </row>
    <row r="120" spans="1:31">
      <c r="A120" t="s">
        <v>282</v>
      </c>
      <c r="B120" t="s">
        <v>283</v>
      </c>
      <c r="C120" s="27">
        <v>311</v>
      </c>
      <c r="E120" t="s">
        <v>283</v>
      </c>
      <c r="F120" s="27">
        <v>310</v>
      </c>
      <c r="G120" t="b">
        <f>IF(B120=E120,TRUE,FALSE)</f>
        <v>1</v>
      </c>
      <c r="J120" s="24">
        <f>F120-C120</f>
        <v>-1</v>
      </c>
      <c r="K120" s="4">
        <f>F120/C120-1</f>
        <v>-3.215434083601254E-3</v>
      </c>
      <c r="M120" s="5">
        <v>298.07</v>
      </c>
      <c r="N120" s="5">
        <v>289.09000000000003</v>
      </c>
      <c r="Q120" s="122">
        <v>1558.6599999999999</v>
      </c>
      <c r="U120" s="145">
        <f>N120-M120</f>
        <v>-8.9799999999999613</v>
      </c>
      <c r="V120" s="4">
        <f>IF(M120=0,0,N120/M120-1)</f>
        <v>-3.0127151340289093E-2</v>
      </c>
      <c r="W120" s="17">
        <v>6825.1299999999992</v>
      </c>
      <c r="X120" s="17">
        <v>6808.96</v>
      </c>
      <c r="Y120" s="4">
        <f>X120/W120-1</f>
        <v>-2.369185641885041E-3</v>
      </c>
      <c r="Z120" s="4"/>
      <c r="AA120">
        <v>603</v>
      </c>
      <c r="AB120">
        <v>1576</v>
      </c>
      <c r="AD120" s="25">
        <v>0.16750000000000001</v>
      </c>
      <c r="AE120" s="25">
        <v>8.8200000000000001E-2</v>
      </c>
    </row>
    <row r="121" spans="1:31">
      <c r="A121" s="36" t="s">
        <v>284</v>
      </c>
      <c r="B121" s="36" t="s">
        <v>285</v>
      </c>
      <c r="C121" s="27">
        <v>1</v>
      </c>
      <c r="E121" s="36" t="s">
        <v>285</v>
      </c>
      <c r="F121" s="27">
        <v>1</v>
      </c>
      <c r="G121" t="b">
        <f>IF(B121=E121,TRUE,FALSE)</f>
        <v>1</v>
      </c>
      <c r="J121" s="24">
        <f>F121-C121</f>
        <v>0</v>
      </c>
      <c r="K121" s="4">
        <f>F121/C121-1</f>
        <v>0</v>
      </c>
      <c r="M121" s="5">
        <v>0</v>
      </c>
      <c r="N121" s="5">
        <v>0</v>
      </c>
      <c r="Q121" s="122">
        <v>0</v>
      </c>
      <c r="U121" s="145">
        <f>N121-M121</f>
        <v>0</v>
      </c>
      <c r="V121" s="4">
        <f>IF(M121=0,0,N121/M121-1)</f>
        <v>0</v>
      </c>
      <c r="W121" s="17">
        <v>16.989999999999998</v>
      </c>
      <c r="X121" s="17">
        <v>16.989999999999998</v>
      </c>
      <c r="Y121" s="4">
        <f>X121/W121-1</f>
        <v>0</v>
      </c>
      <c r="Z121" s="4"/>
      <c r="AA121">
        <v>7</v>
      </c>
      <c r="AB121">
        <v>0</v>
      </c>
      <c r="AD121" s="25">
        <v>0.1429</v>
      </c>
      <c r="AE121" s="25">
        <v>0</v>
      </c>
    </row>
    <row r="122" spans="1:31">
      <c r="A122" s="39" t="s">
        <v>286</v>
      </c>
      <c r="B122" s="36" t="s">
        <v>287</v>
      </c>
      <c r="C122" s="27">
        <v>0</v>
      </c>
      <c r="E122" s="36" t="s">
        <v>287</v>
      </c>
      <c r="F122" s="27">
        <v>0</v>
      </c>
      <c r="G122" t="b">
        <f>IF(B122=E122,TRUE,FALSE)</f>
        <v>1</v>
      </c>
      <c r="J122" s="24">
        <f>F122-C122</f>
        <v>0</v>
      </c>
      <c r="K122" s="4" t="e">
        <f>F122/C122-1</f>
        <v>#DIV/0!</v>
      </c>
      <c r="M122" s="5">
        <v>0</v>
      </c>
      <c r="N122" s="5">
        <v>0</v>
      </c>
      <c r="Q122" s="121">
        <v>0</v>
      </c>
      <c r="U122" s="145">
        <f>N122-M122</f>
        <v>0</v>
      </c>
      <c r="V122" s="4">
        <f>IF(M122=0,0,N122/M122-1)</f>
        <v>0</v>
      </c>
      <c r="W122" s="17">
        <v>0</v>
      </c>
      <c r="X122" s="17">
        <v>0</v>
      </c>
      <c r="Y122" s="4" t="e">
        <f>X122/W122-1</f>
        <v>#DIV/0!</v>
      </c>
      <c r="Z122" s="4"/>
      <c r="AA122">
        <v>0</v>
      </c>
      <c r="AB122" t="e">
        <v>#N/A</v>
      </c>
      <c r="AD122" s="25">
        <v>0</v>
      </c>
      <c r="AE122" s="25">
        <v>0</v>
      </c>
    </row>
    <row r="123" spans="1:31">
      <c r="A123" t="s">
        <v>288</v>
      </c>
      <c r="B123" t="s">
        <v>289</v>
      </c>
      <c r="C123" s="27">
        <v>0</v>
      </c>
      <c r="E123" t="s">
        <v>289</v>
      </c>
      <c r="F123" s="27">
        <v>0</v>
      </c>
      <c r="G123" t="b">
        <f>IF(B123=E123,TRUE,FALSE)</f>
        <v>1</v>
      </c>
      <c r="J123" s="24">
        <f>F123-C123</f>
        <v>0</v>
      </c>
      <c r="K123" s="4" t="e">
        <f>F123/C123-1</f>
        <v>#DIV/0!</v>
      </c>
      <c r="M123" s="5">
        <v>0</v>
      </c>
      <c r="N123" s="5">
        <v>0</v>
      </c>
      <c r="Q123" s="122">
        <v>0</v>
      </c>
      <c r="U123" s="145">
        <f>N123-M123</f>
        <v>0</v>
      </c>
      <c r="V123" s="4">
        <f>IF(M123=0,0,N123/M123-1)</f>
        <v>0</v>
      </c>
      <c r="W123" s="17">
        <v>0</v>
      </c>
      <c r="X123" s="17">
        <v>0</v>
      </c>
      <c r="Y123" s="4" t="e">
        <f>X123/W123-1</f>
        <v>#DIV/0!</v>
      </c>
      <c r="Z123" s="4"/>
      <c r="AA123">
        <v>0</v>
      </c>
      <c r="AB123">
        <v>30</v>
      </c>
      <c r="AD123" s="25">
        <v>0</v>
      </c>
      <c r="AE123" s="25">
        <v>0</v>
      </c>
    </row>
    <row r="124" spans="1:31">
      <c r="A124" s="39" t="s">
        <v>290</v>
      </c>
      <c r="B124" s="26" t="s">
        <v>291</v>
      </c>
      <c r="C124" s="27">
        <v>509</v>
      </c>
      <c r="E124" s="26" t="s">
        <v>291</v>
      </c>
      <c r="F124" s="27">
        <v>510</v>
      </c>
      <c r="G124" t="b">
        <f>IF(B124=E124,TRUE,FALSE)</f>
        <v>1</v>
      </c>
      <c r="J124" s="24">
        <f>F124-C124</f>
        <v>1</v>
      </c>
      <c r="K124" s="4">
        <f>F124/C124-1</f>
        <v>1.9646365422396617E-3</v>
      </c>
      <c r="M124" s="5">
        <v>1119.08</v>
      </c>
      <c r="N124" s="5">
        <v>1484.86</v>
      </c>
      <c r="Q124" s="121">
        <v>5198.5</v>
      </c>
      <c r="U124" s="145">
        <f>N124-M124</f>
        <v>365.78</v>
      </c>
      <c r="V124" s="4">
        <f>IF(M124=0,0,N124/M124-1)</f>
        <v>0.32685777603031063</v>
      </c>
      <c r="W124" s="17">
        <v>7723.1</v>
      </c>
      <c r="X124" s="17">
        <v>8677.24</v>
      </c>
      <c r="Y124" s="4">
        <f>X124/W124-1</f>
        <v>0.12354365475003548</v>
      </c>
      <c r="Z124" s="4"/>
      <c r="AA124">
        <v>1941</v>
      </c>
      <c r="AB124">
        <v>1897</v>
      </c>
      <c r="AD124" s="25">
        <v>0.26219999999999999</v>
      </c>
      <c r="AE124" s="25">
        <v>0.26780000000000004</v>
      </c>
    </row>
    <row r="125" spans="1:31">
      <c r="A125" t="s">
        <v>292</v>
      </c>
      <c r="B125" t="s">
        <v>293</v>
      </c>
      <c r="C125" s="27">
        <v>152</v>
      </c>
      <c r="E125" t="s">
        <v>293</v>
      </c>
      <c r="F125" s="27">
        <v>156</v>
      </c>
      <c r="G125" t="b">
        <f>IF(B125=E125,TRUE,FALSE)</f>
        <v>1</v>
      </c>
      <c r="J125" s="24">
        <f>F125-C125</f>
        <v>4</v>
      </c>
      <c r="K125" s="4">
        <f>F125/C125-1</f>
        <v>2.6315789473684292E-2</v>
      </c>
      <c r="M125" s="5">
        <v>521.35</v>
      </c>
      <c r="N125" s="5">
        <v>899.19</v>
      </c>
      <c r="Q125" s="122">
        <v>2582.1999999999998</v>
      </c>
      <c r="U125" s="145">
        <f>N125-M125</f>
        <v>377.84000000000003</v>
      </c>
      <c r="V125" s="4">
        <f>IF(M125=0,0,N125/M125-1)</f>
        <v>0.7247338640069052</v>
      </c>
      <c r="W125" s="17">
        <v>2115.6799999999998</v>
      </c>
      <c r="X125" s="17">
        <v>2326</v>
      </c>
      <c r="Y125" s="4">
        <f>X125/W125-1</f>
        <v>9.9410118732511599E-2</v>
      </c>
      <c r="Z125" s="4"/>
      <c r="AA125">
        <v>918</v>
      </c>
      <c r="AB125">
        <v>1112</v>
      </c>
      <c r="AD125" s="25">
        <v>0.1656</v>
      </c>
      <c r="AE125" s="25">
        <v>0.14029999999999998</v>
      </c>
    </row>
    <row r="126" spans="1:31">
      <c r="A126" t="s">
        <v>294</v>
      </c>
      <c r="B126" t="s">
        <v>295</v>
      </c>
      <c r="C126" s="27">
        <v>384</v>
      </c>
      <c r="E126" t="s">
        <v>295</v>
      </c>
      <c r="F126" s="27">
        <v>393</v>
      </c>
      <c r="G126" t="b">
        <f>IF(B126=E126,TRUE,FALSE)</f>
        <v>1</v>
      </c>
      <c r="J126" s="24">
        <f>F126-C126</f>
        <v>9</v>
      </c>
      <c r="K126" s="4">
        <f>F126/C126-1</f>
        <v>2.34375E-2</v>
      </c>
      <c r="M126" s="5">
        <v>220.71999999999997</v>
      </c>
      <c r="N126" s="5">
        <v>134.11000000000001</v>
      </c>
      <c r="Q126" s="122">
        <v>2102.9700000000003</v>
      </c>
      <c r="U126" s="145">
        <f>N126-M126</f>
        <v>-86.609999999999957</v>
      </c>
      <c r="V126" s="4">
        <f>IF(M126=0,0,N126/M126-1)</f>
        <v>-0.39239760782892341</v>
      </c>
      <c r="W126" s="17">
        <v>19181.72</v>
      </c>
      <c r="X126" s="17">
        <v>19635.370000000003</v>
      </c>
      <c r="Y126" s="4">
        <f>X126/W126-1</f>
        <v>2.3650121052752437E-2</v>
      </c>
      <c r="Z126" s="4"/>
      <c r="AA126">
        <v>1266</v>
      </c>
      <c r="AB126">
        <v>1245</v>
      </c>
      <c r="AD126" s="25">
        <v>0.19120000000000001</v>
      </c>
      <c r="AE126" s="25">
        <v>0.19120000000000001</v>
      </c>
    </row>
    <row r="127" spans="1:31">
      <c r="A127" s="39" t="s">
        <v>296</v>
      </c>
      <c r="B127" s="26" t="s">
        <v>297</v>
      </c>
      <c r="C127" s="27">
        <v>640</v>
      </c>
      <c r="E127" s="26" t="s">
        <v>297</v>
      </c>
      <c r="F127" s="27">
        <v>650</v>
      </c>
      <c r="G127" t="b">
        <f>IF(B127=E127,TRUE,FALSE)</f>
        <v>1</v>
      </c>
      <c r="J127" s="24">
        <f>F127-C127</f>
        <v>10</v>
      </c>
      <c r="K127" s="4">
        <f>F127/C127-1</f>
        <v>1.5625E-2</v>
      </c>
      <c r="M127" s="5">
        <v>1612.24</v>
      </c>
      <c r="N127" s="5">
        <v>1868.22</v>
      </c>
      <c r="Q127" s="121">
        <v>7545.98</v>
      </c>
      <c r="U127" s="145">
        <f>N127-M127</f>
        <v>255.98000000000002</v>
      </c>
      <c r="V127" s="4">
        <f>IF(M127=0,0,N127/M127-1)</f>
        <v>0.15877288741130346</v>
      </c>
      <c r="W127" s="17">
        <v>10996.2</v>
      </c>
      <c r="X127" s="17">
        <v>12111.7</v>
      </c>
      <c r="Y127" s="4"/>
      <c r="Z127" s="4"/>
      <c r="AA127">
        <v>8995</v>
      </c>
      <c r="AB127">
        <v>4536</v>
      </c>
      <c r="AD127" s="25">
        <v>7.1199999999999999E-2</v>
      </c>
      <c r="AE127" s="25">
        <v>0.14219999999999999</v>
      </c>
    </row>
    <row r="128" spans="1:31">
      <c r="A128" t="s">
        <v>298</v>
      </c>
      <c r="B128" t="s">
        <v>299</v>
      </c>
      <c r="C128" s="27">
        <v>787</v>
      </c>
      <c r="E128" t="s">
        <v>299</v>
      </c>
      <c r="F128" s="27">
        <v>800</v>
      </c>
      <c r="G128" t="b">
        <f>IF(B128=E128,TRUE,FALSE)</f>
        <v>1</v>
      </c>
      <c r="J128" s="24">
        <f>F128-C128</f>
        <v>13</v>
      </c>
      <c r="K128" s="4">
        <f>F128/C128-1</f>
        <v>1.6518424396442244E-2</v>
      </c>
      <c r="M128" s="5">
        <v>600.05999999999995</v>
      </c>
      <c r="N128" s="5">
        <v>592.58000000000004</v>
      </c>
      <c r="Q128" s="122">
        <v>6832.03</v>
      </c>
      <c r="U128" s="145">
        <f>N128-M128</f>
        <v>-7.4799999999999045</v>
      </c>
      <c r="V128" s="4">
        <f>IF(M128=0,0,N128/M128-1)</f>
        <v>-1.2465420124654014E-2</v>
      </c>
      <c r="W128" s="17">
        <v>23526.3</v>
      </c>
      <c r="X128" s="17">
        <v>23944.7</v>
      </c>
      <c r="Y128" s="4">
        <f>X128/W128-1</f>
        <v>1.7784351980549395E-2</v>
      </c>
      <c r="Z128" s="4"/>
      <c r="AA128">
        <v>3384</v>
      </c>
      <c r="AB128">
        <v>3595</v>
      </c>
      <c r="AD128" s="25">
        <v>0.23199999999999998</v>
      </c>
      <c r="AE128" s="25">
        <v>0.2223</v>
      </c>
    </row>
    <row r="129" spans="1:31">
      <c r="A129" s="39" t="s">
        <v>300</v>
      </c>
      <c r="B129" s="36" t="s">
        <v>301</v>
      </c>
      <c r="C129" s="27">
        <v>0</v>
      </c>
      <c r="E129" s="36" t="s">
        <v>301</v>
      </c>
      <c r="F129" s="27">
        <v>13</v>
      </c>
      <c r="G129" t="b">
        <f>IF(B129=E129,TRUE,FALSE)</f>
        <v>1</v>
      </c>
      <c r="J129" s="24">
        <f>F129-C129</f>
        <v>13</v>
      </c>
      <c r="K129" s="4" t="e">
        <f>F129/C129-1</f>
        <v>#DIV/0!</v>
      </c>
      <c r="M129" s="5">
        <v>0</v>
      </c>
      <c r="N129" s="5">
        <v>0</v>
      </c>
      <c r="Q129" s="121">
        <v>0</v>
      </c>
      <c r="U129" s="145">
        <f>N129-M129</f>
        <v>0</v>
      </c>
      <c r="V129" s="4">
        <f>IF(M129=0,0,N129/M129-1)</f>
        <v>0</v>
      </c>
      <c r="W129" s="17">
        <v>0</v>
      </c>
      <c r="X129" s="17">
        <v>126.11</v>
      </c>
      <c r="Y129" s="4" t="e">
        <f>X129/W129-1</f>
        <v>#DIV/0!</v>
      </c>
      <c r="Z129" s="4"/>
      <c r="AA129">
        <v>0</v>
      </c>
      <c r="AB129">
        <v>64</v>
      </c>
      <c r="AD129" s="25">
        <v>0</v>
      </c>
      <c r="AE129" s="25">
        <v>0.20309999999999997</v>
      </c>
    </row>
    <row r="130" spans="1:31">
      <c r="A130" t="s">
        <v>302</v>
      </c>
      <c r="B130" t="s">
        <v>303</v>
      </c>
      <c r="C130" s="27">
        <v>653</v>
      </c>
      <c r="E130" t="s">
        <v>303</v>
      </c>
      <c r="F130" s="27">
        <v>666</v>
      </c>
      <c r="G130" t="b">
        <f>IF(B130=E130,TRUE,FALSE)</f>
        <v>1</v>
      </c>
      <c r="J130" s="24">
        <f>F130-C130</f>
        <v>13</v>
      </c>
      <c r="K130" s="4">
        <f>F130/C130-1</f>
        <v>1.9908116385911168E-2</v>
      </c>
      <c r="M130" s="5">
        <v>1517.98</v>
      </c>
      <c r="N130" s="5">
        <v>1672.54</v>
      </c>
      <c r="Q130" s="122">
        <v>9284.68</v>
      </c>
      <c r="U130" s="145">
        <f>N130-M130</f>
        <v>154.55999999999995</v>
      </c>
      <c r="V130" s="4">
        <f>IF(M130=0,0,N130/M130-1)</f>
        <v>0.10181952331387767</v>
      </c>
      <c r="W130" s="17">
        <v>12541.89</v>
      </c>
      <c r="X130" s="17">
        <v>14641.82</v>
      </c>
      <c r="Y130" s="4">
        <f>X130/W130-1</f>
        <v>0.16743329753330638</v>
      </c>
      <c r="Z130" s="4"/>
      <c r="AA130">
        <v>5934</v>
      </c>
      <c r="AB130">
        <v>5210</v>
      </c>
      <c r="AD130" s="25">
        <v>0.1105</v>
      </c>
      <c r="AE130" s="25">
        <v>0.1278</v>
      </c>
    </row>
    <row r="131" spans="1:31">
      <c r="A131" s="39" t="s">
        <v>304</v>
      </c>
      <c r="B131" s="36" t="s">
        <v>305</v>
      </c>
      <c r="C131" s="27">
        <v>1686</v>
      </c>
      <c r="E131" s="36" t="s">
        <v>305</v>
      </c>
      <c r="F131" s="27">
        <v>1701</v>
      </c>
      <c r="G131" t="b">
        <f>IF(B131=E131,TRUE,FALSE)</f>
        <v>1</v>
      </c>
      <c r="J131" s="24">
        <f>F131-C131</f>
        <v>15</v>
      </c>
      <c r="K131" s="4">
        <f>F131/C131-1</f>
        <v>8.8967971530249379E-3</v>
      </c>
      <c r="M131" s="5">
        <v>3231.32</v>
      </c>
      <c r="N131" s="5">
        <v>3535.78</v>
      </c>
      <c r="Q131" s="121">
        <v>16280.4</v>
      </c>
      <c r="U131" s="145">
        <f>N131-M131</f>
        <v>304.46000000000004</v>
      </c>
      <c r="V131" s="4">
        <f>IF(M131=0,0,N131/M131-1)</f>
        <v>9.4221556515603488E-2</v>
      </c>
      <c r="W131" s="17">
        <v>34347.629999999997</v>
      </c>
      <c r="X131" s="17">
        <v>37719.57</v>
      </c>
      <c r="Y131" s="4">
        <f>X131/W131-1</f>
        <v>9.817096550766391E-2</v>
      </c>
      <c r="Z131" s="4"/>
      <c r="AA131">
        <v>14222</v>
      </c>
      <c r="AB131">
        <v>13599</v>
      </c>
      <c r="AD131" s="25">
        <v>0.1188</v>
      </c>
      <c r="AE131" s="25">
        <v>0.1245</v>
      </c>
    </row>
    <row r="132" spans="1:31">
      <c r="A132" t="s">
        <v>306</v>
      </c>
      <c r="B132" t="s">
        <v>307</v>
      </c>
      <c r="C132" s="27">
        <v>382</v>
      </c>
      <c r="E132" t="s">
        <v>307</v>
      </c>
      <c r="F132" s="27">
        <v>398</v>
      </c>
      <c r="G132" t="b">
        <f>IF(B132=E132,TRUE,FALSE)</f>
        <v>1</v>
      </c>
      <c r="J132" s="24">
        <f>F132-C132</f>
        <v>16</v>
      </c>
      <c r="K132" s="4">
        <f>F132/C132-1</f>
        <v>4.1884816753926746E-2</v>
      </c>
      <c r="M132" s="5">
        <v>1627.92</v>
      </c>
      <c r="N132" s="5">
        <v>1720.69</v>
      </c>
      <c r="Q132" s="122">
        <v>7878.05</v>
      </c>
      <c r="U132" s="145">
        <f>N132-M132</f>
        <v>92.769999999999982</v>
      </c>
      <c r="V132" s="4">
        <f>IF(M132=0,0,N132/M132-1)</f>
        <v>5.69868298196472E-2</v>
      </c>
      <c r="W132" s="17">
        <v>10258.950000000001</v>
      </c>
      <c r="X132" s="17">
        <v>10716.56</v>
      </c>
      <c r="Y132" s="4">
        <f>X132/W132-1</f>
        <v>4.4605929456718263E-2</v>
      </c>
      <c r="Z132" s="4"/>
      <c r="AA132">
        <v>5146</v>
      </c>
      <c r="AB132">
        <v>5615</v>
      </c>
      <c r="AD132" s="25">
        <v>7.400000000000001E-2</v>
      </c>
      <c r="AE132" s="25">
        <v>7.0000000000000007E-2</v>
      </c>
    </row>
    <row r="133" spans="1:31">
      <c r="A133" s="26" t="s">
        <v>308</v>
      </c>
      <c r="B133" s="26" t="s">
        <v>309</v>
      </c>
      <c r="C133" s="27">
        <v>0</v>
      </c>
      <c r="E133" s="26" t="s">
        <v>309</v>
      </c>
      <c r="F133" s="27">
        <v>19</v>
      </c>
      <c r="G133" t="b">
        <f>IF(B133=E133,TRUE,FALSE)</f>
        <v>1</v>
      </c>
      <c r="J133" s="24">
        <f>F133-C133</f>
        <v>19</v>
      </c>
      <c r="K133" s="4" t="e">
        <f>F133/C133-1</f>
        <v>#DIV/0!</v>
      </c>
      <c r="M133" s="5">
        <v>0</v>
      </c>
      <c r="N133" s="5">
        <v>6.27</v>
      </c>
      <c r="Q133" s="121">
        <v>24.99</v>
      </c>
      <c r="U133" s="145">
        <f>N133-M133</f>
        <v>6.27</v>
      </c>
      <c r="V133" s="4">
        <f>IF(M133=0,0,N133/M133-1)</f>
        <v>0</v>
      </c>
      <c r="W133" s="17">
        <v>0</v>
      </c>
      <c r="X133" s="17">
        <v>474.81</v>
      </c>
      <c r="Y133" s="4" t="e">
        <f>X133/W133-1</f>
        <v>#DIV/0!</v>
      </c>
      <c r="Z133" s="4"/>
      <c r="AB133">
        <v>104</v>
      </c>
      <c r="AD133" s="25"/>
      <c r="AE133" s="25">
        <v>0.1827</v>
      </c>
    </row>
    <row r="134" spans="1:31">
      <c r="A134" s="133" t="s">
        <v>310</v>
      </c>
      <c r="B134" s="132" t="s">
        <v>311</v>
      </c>
      <c r="C134" s="27">
        <v>639</v>
      </c>
      <c r="E134" s="132" t="s">
        <v>311</v>
      </c>
      <c r="F134" s="27">
        <v>659</v>
      </c>
      <c r="G134" t="b">
        <f>IF(B134=E134,TRUE,FALSE)</f>
        <v>1</v>
      </c>
      <c r="J134" s="24">
        <f>F134-C134</f>
        <v>20</v>
      </c>
      <c r="K134" s="4">
        <f>F134/C134-1</f>
        <v>3.1298904538341166E-2</v>
      </c>
      <c r="M134" s="5">
        <v>1788.66</v>
      </c>
      <c r="N134" s="5">
        <v>2014.14</v>
      </c>
      <c r="Q134" s="121">
        <v>9935.06</v>
      </c>
      <c r="U134" s="145">
        <f>N134-M134</f>
        <v>225.48000000000002</v>
      </c>
      <c r="V134" s="4">
        <f>IF(M134=0,0,N134/M134-1)</f>
        <v>0.12606085002180412</v>
      </c>
      <c r="W134" s="17">
        <v>11084.21</v>
      </c>
      <c r="X134" s="17">
        <v>12272.81</v>
      </c>
      <c r="Y134" s="4">
        <f>X134/W134-1</f>
        <v>0.10723362332543318</v>
      </c>
      <c r="Z134" s="4"/>
      <c r="AA134">
        <v>3873</v>
      </c>
      <c r="AB134">
        <v>3830</v>
      </c>
      <c r="AD134" s="25">
        <v>0.16579999999999998</v>
      </c>
      <c r="AE134" s="25">
        <v>0.17149999999999999</v>
      </c>
    </row>
    <row r="135" spans="1:31">
      <c r="A135" t="s">
        <v>312</v>
      </c>
      <c r="B135" t="s">
        <v>313</v>
      </c>
      <c r="C135" s="27">
        <v>457</v>
      </c>
      <c r="E135" t="s">
        <v>313</v>
      </c>
      <c r="F135" s="27">
        <v>482</v>
      </c>
      <c r="G135" t="b">
        <f>IF(B135=E135,TRUE,FALSE)</f>
        <v>1</v>
      </c>
      <c r="J135" s="24">
        <f>F135-C135</f>
        <v>25</v>
      </c>
      <c r="K135" s="4">
        <f>F135/C135-1</f>
        <v>5.4704595185995686E-2</v>
      </c>
      <c r="M135" s="5">
        <v>668.1400000000001</v>
      </c>
      <c r="N135" s="5">
        <v>604.58000000000004</v>
      </c>
      <c r="Q135" s="122">
        <v>5367.08</v>
      </c>
      <c r="U135" s="145">
        <f>N135-M135</f>
        <v>-63.560000000000059</v>
      </c>
      <c r="V135" s="4">
        <f>IF(M135=0,0,N135/M135-1)</f>
        <v>-9.5129763223276598E-2</v>
      </c>
      <c r="W135" s="17">
        <v>11860.77</v>
      </c>
      <c r="X135" s="17">
        <v>12516.84</v>
      </c>
      <c r="Y135" s="4">
        <f>X135/W135-1</f>
        <v>5.5314283979876588E-2</v>
      </c>
      <c r="Z135" s="4"/>
      <c r="AA135">
        <v>1982</v>
      </c>
      <c r="AB135">
        <v>2188</v>
      </c>
      <c r="AD135" s="25">
        <v>0.20180000000000001</v>
      </c>
      <c r="AE135" s="25">
        <v>0.1883</v>
      </c>
    </row>
    <row r="136" spans="1:31">
      <c r="A136" s="39" t="s">
        <v>314</v>
      </c>
      <c r="B136" s="36" t="s">
        <v>315</v>
      </c>
      <c r="C136" s="18">
        <v>591</v>
      </c>
      <c r="E136" s="36" t="s">
        <v>315</v>
      </c>
      <c r="F136" s="18">
        <v>617</v>
      </c>
      <c r="G136" t="b">
        <f>IF(B136=E136,TRUE,FALSE)</f>
        <v>1</v>
      </c>
      <c r="J136" s="24">
        <f>F136-C136</f>
        <v>26</v>
      </c>
      <c r="K136" s="4">
        <f>F136/C136-1</f>
        <v>4.3993231810490752E-2</v>
      </c>
      <c r="M136" s="5">
        <v>1010.12</v>
      </c>
      <c r="N136" s="5">
        <v>1050.45</v>
      </c>
      <c r="Q136" s="121">
        <v>6133.21</v>
      </c>
      <c r="U136" s="145">
        <f>N136-M136</f>
        <v>40.330000000000041</v>
      </c>
      <c r="V136" s="4">
        <f>IF(M136=0,0,N136/M136-1)</f>
        <v>3.992594939215155E-2</v>
      </c>
      <c r="W136">
        <v>8267.39</v>
      </c>
      <c r="X136">
        <v>8631.41</v>
      </c>
      <c r="Y136" s="4">
        <f>X136/W136-1</f>
        <v>4.4030824722191664E-2</v>
      </c>
      <c r="Z136" s="4"/>
      <c r="AA136">
        <v>1999</v>
      </c>
      <c r="AB136">
        <v>1678</v>
      </c>
      <c r="AD136" s="25">
        <v>0.29960000000000003</v>
      </c>
      <c r="AE136" s="25">
        <v>0.36709999999999998</v>
      </c>
    </row>
    <row r="137" spans="1:31">
      <c r="A137" t="s">
        <v>316</v>
      </c>
      <c r="B137" t="s">
        <v>317</v>
      </c>
      <c r="C137" s="27">
        <v>1828</v>
      </c>
      <c r="E137" t="s">
        <v>317</v>
      </c>
      <c r="F137" s="27">
        <v>1857</v>
      </c>
      <c r="G137" t="b">
        <f>IF(B137=E137,TRUE,FALSE)</f>
        <v>1</v>
      </c>
      <c r="J137" s="24">
        <f>F137-C137</f>
        <v>29</v>
      </c>
      <c r="K137" s="4">
        <f>F137/C137-1</f>
        <v>1.5864332603938713E-2</v>
      </c>
      <c r="M137" s="5">
        <v>3595.88</v>
      </c>
      <c r="N137" s="5">
        <v>3586.83</v>
      </c>
      <c r="Q137" s="122">
        <v>20440.009999999998</v>
      </c>
      <c r="U137" s="145">
        <f>N137-M137</f>
        <v>-9.0500000000001819</v>
      </c>
      <c r="V137" s="4">
        <f>IF(M137=0,0,N137/M137-1)</f>
        <v>-2.5167691914079748E-3</v>
      </c>
      <c r="W137" s="17">
        <v>47336.39</v>
      </c>
      <c r="X137" s="17">
        <v>48139.28</v>
      </c>
      <c r="Y137" s="4">
        <f>X137/W137-1</f>
        <v>1.6961369466492959E-2</v>
      </c>
      <c r="Z137" s="4"/>
      <c r="AA137">
        <v>8539</v>
      </c>
      <c r="AB137">
        <v>8516</v>
      </c>
      <c r="AD137" s="25">
        <v>0.21350000000000002</v>
      </c>
      <c r="AE137" s="25">
        <v>0.21679999999999999</v>
      </c>
    </row>
    <row r="138" spans="1:31">
      <c r="A138" s="39" t="s">
        <v>318</v>
      </c>
      <c r="B138" s="36" t="s">
        <v>319</v>
      </c>
      <c r="C138" s="27">
        <v>5772</v>
      </c>
      <c r="E138" s="36" t="s">
        <v>319</v>
      </c>
      <c r="F138" s="27">
        <v>5801</v>
      </c>
      <c r="G138" t="b">
        <f>IF(B138=E138,TRUE,FALSE)</f>
        <v>1</v>
      </c>
      <c r="J138" s="24">
        <f>F138-C138</f>
        <v>29</v>
      </c>
      <c r="K138" s="4">
        <f>F138/C138-1</f>
        <v>5.0242550242549644E-3</v>
      </c>
      <c r="M138" s="5">
        <v>8068.71</v>
      </c>
      <c r="N138" s="5">
        <v>10837.69</v>
      </c>
      <c r="Q138" s="122">
        <v>48677.84</v>
      </c>
      <c r="U138" s="145">
        <f>N138-M138</f>
        <v>2768.9800000000005</v>
      </c>
      <c r="V138" s="4">
        <f>IF(M138=0,0,N138/M138-1)</f>
        <v>0.34317505524427072</v>
      </c>
      <c r="W138" s="17">
        <v>155310.99</v>
      </c>
      <c r="X138" s="17">
        <v>147362.18</v>
      </c>
      <c r="Y138" s="4">
        <f>X138/W138-1</f>
        <v>-5.1179958353236965E-2</v>
      </c>
      <c r="Z138" s="4"/>
      <c r="AA138">
        <v>29354</v>
      </c>
      <c r="AB138">
        <v>29008</v>
      </c>
      <c r="AD138" s="25">
        <v>0.19670000000000001</v>
      </c>
      <c r="AE138" s="25">
        <v>0.1993</v>
      </c>
    </row>
    <row r="139" spans="1:31">
      <c r="A139" t="s">
        <v>320</v>
      </c>
      <c r="B139" t="s">
        <v>321</v>
      </c>
      <c r="C139" s="27">
        <v>401</v>
      </c>
      <c r="E139" t="s">
        <v>321</v>
      </c>
      <c r="F139" s="27">
        <v>430</v>
      </c>
      <c r="G139" t="b">
        <f>IF(B139=E139,TRUE,FALSE)</f>
        <v>1</v>
      </c>
      <c r="J139" s="24">
        <f>F139-C139</f>
        <v>29</v>
      </c>
      <c r="K139" s="4">
        <f>F139/C139-1</f>
        <v>7.2319201995012516E-2</v>
      </c>
      <c r="M139" s="5">
        <v>843.49</v>
      </c>
      <c r="N139" s="5">
        <v>1023.6</v>
      </c>
      <c r="Q139" s="122">
        <v>5957.68</v>
      </c>
      <c r="U139" s="145">
        <f>N139-M139</f>
        <v>180.11</v>
      </c>
      <c r="V139" s="4">
        <f>IF(M139=0,0,N139/M139-1)</f>
        <v>0.21352950242445079</v>
      </c>
      <c r="W139" s="17">
        <v>9607.07</v>
      </c>
      <c r="X139" s="17">
        <v>10310.02</v>
      </c>
      <c r="Y139" s="4">
        <f>X139/W139-1</f>
        <v>7.3170071624335087E-2</v>
      </c>
      <c r="Z139" s="4"/>
      <c r="AA139">
        <v>2713</v>
      </c>
      <c r="AB139">
        <v>2984</v>
      </c>
      <c r="AD139" s="25">
        <v>0.1283</v>
      </c>
      <c r="AE139" s="25">
        <v>0.1139</v>
      </c>
    </row>
    <row r="140" spans="1:31">
      <c r="A140" s="39" t="s">
        <v>322</v>
      </c>
      <c r="B140" s="36" t="s">
        <v>323</v>
      </c>
      <c r="C140" s="18">
        <v>367</v>
      </c>
      <c r="E140" s="36" t="s">
        <v>323</v>
      </c>
      <c r="F140" s="18">
        <v>396</v>
      </c>
      <c r="G140" t="b">
        <f>IF(B140=E140,TRUE,FALSE)</f>
        <v>1</v>
      </c>
      <c r="J140" s="24">
        <f>F140-C140</f>
        <v>29</v>
      </c>
      <c r="K140" s="4">
        <f>F140/C140-1</f>
        <v>7.9019073569482234E-2</v>
      </c>
      <c r="M140" s="5">
        <v>561.18999999999994</v>
      </c>
      <c r="N140" s="5">
        <v>751.14</v>
      </c>
      <c r="Q140" s="121">
        <v>3800.46</v>
      </c>
      <c r="U140" s="145">
        <f>N140-M140</f>
        <v>189.95000000000005</v>
      </c>
      <c r="V140" s="4">
        <f>IF(M140=0,0,N140/M140-1)</f>
        <v>0.33847716459666088</v>
      </c>
      <c r="W140">
        <v>6044.21</v>
      </c>
      <c r="X140">
        <v>6855.85</v>
      </c>
      <c r="Y140" s="4">
        <f>X140/W140-1</f>
        <v>0.13428388490803611</v>
      </c>
      <c r="Z140" s="4"/>
      <c r="AA140">
        <v>2117</v>
      </c>
      <c r="AB140">
        <v>2044</v>
      </c>
      <c r="AD140" s="25">
        <v>0.17190000000000003</v>
      </c>
      <c r="AE140" s="25">
        <v>0.19320000000000001</v>
      </c>
    </row>
    <row r="141" spans="1:31">
      <c r="A141" t="s">
        <v>324</v>
      </c>
      <c r="B141" t="s">
        <v>325</v>
      </c>
      <c r="C141" s="27">
        <v>939</v>
      </c>
      <c r="E141" t="s">
        <v>325</v>
      </c>
      <c r="F141" s="27">
        <v>969</v>
      </c>
      <c r="G141" t="b">
        <f>IF(B141=E141,TRUE,FALSE)</f>
        <v>1</v>
      </c>
      <c r="J141" s="24">
        <f>F141-C141</f>
        <v>30</v>
      </c>
      <c r="K141" s="4">
        <f>F141/C141-1</f>
        <v>3.1948881789137351E-2</v>
      </c>
      <c r="M141" s="5">
        <v>1176.29</v>
      </c>
      <c r="N141" s="5">
        <v>976.74</v>
      </c>
      <c r="Q141" s="122">
        <v>7850.93</v>
      </c>
      <c r="U141" s="145">
        <f>N141-M141</f>
        <v>-199.54999999999995</v>
      </c>
      <c r="V141" s="4">
        <f>IF(M141=0,0,N141/M141-1)</f>
        <v>-0.16964354028343342</v>
      </c>
      <c r="W141" s="17">
        <v>28116.449999999997</v>
      </c>
      <c r="X141" s="17">
        <v>29019.45</v>
      </c>
      <c r="Y141" s="4">
        <f>X141/W141-1</f>
        <v>3.211643006140541E-2</v>
      </c>
      <c r="Z141" s="4"/>
      <c r="AA141">
        <v>5985</v>
      </c>
      <c r="AB141">
        <v>5628</v>
      </c>
      <c r="AD141" s="25">
        <v>0.15720000000000001</v>
      </c>
      <c r="AE141" s="25">
        <v>0.17129999999999998</v>
      </c>
    </row>
    <row r="142" spans="1:31">
      <c r="A142" s="26" t="s">
        <v>326</v>
      </c>
      <c r="B142" s="26" t="s">
        <v>327</v>
      </c>
      <c r="C142" s="27">
        <v>0</v>
      </c>
      <c r="E142" s="26" t="s">
        <v>327</v>
      </c>
      <c r="F142" s="27">
        <v>30</v>
      </c>
      <c r="G142" t="b">
        <f>IF(B142=E142,TRUE,FALSE)</f>
        <v>1</v>
      </c>
      <c r="J142" s="24">
        <f>F142-C142</f>
        <v>30</v>
      </c>
      <c r="K142" s="4" t="e">
        <f>F142/C142-1</f>
        <v>#DIV/0!</v>
      </c>
      <c r="M142" s="5">
        <v>0</v>
      </c>
      <c r="N142" s="5">
        <v>25.04</v>
      </c>
      <c r="Q142" s="121">
        <v>124.34</v>
      </c>
      <c r="U142" s="145">
        <f>N142-M142</f>
        <v>25.04</v>
      </c>
      <c r="V142" s="4">
        <f>IF(M142=0,0,N142/M142-1)</f>
        <v>0</v>
      </c>
      <c r="W142" s="17">
        <v>0</v>
      </c>
      <c r="X142" s="17">
        <v>569.70000000000005</v>
      </c>
      <c r="Y142" s="4" t="e">
        <f>X142/W142-1</f>
        <v>#DIV/0!</v>
      </c>
      <c r="Z142" s="4"/>
      <c r="AB142">
        <v>128</v>
      </c>
      <c r="AD142" s="25"/>
      <c r="AE142" s="25">
        <v>0.23440000000000003</v>
      </c>
    </row>
    <row r="143" spans="1:31">
      <c r="A143" t="s">
        <v>328</v>
      </c>
      <c r="B143" t="s">
        <v>329</v>
      </c>
      <c r="C143" s="27">
        <v>373</v>
      </c>
      <c r="E143" t="s">
        <v>329</v>
      </c>
      <c r="F143" s="27">
        <v>405</v>
      </c>
      <c r="G143" t="b">
        <f>IF(B143=E143,TRUE,FALSE)</f>
        <v>1</v>
      </c>
      <c r="J143" s="24">
        <f>F143-C143</f>
        <v>32</v>
      </c>
      <c r="K143" s="4">
        <f>F143/C143-1</f>
        <v>8.5790884718498717E-2</v>
      </c>
      <c r="M143" s="5">
        <v>529.03</v>
      </c>
      <c r="N143" s="5">
        <v>567.21</v>
      </c>
      <c r="Q143" s="122">
        <v>3986.34</v>
      </c>
      <c r="U143" s="145">
        <f>N143-M143</f>
        <v>38.180000000000064</v>
      </c>
      <c r="V143" s="4">
        <f>IF(M143=0,0,N143/M143-1)</f>
        <v>7.2169820237037774E-2</v>
      </c>
      <c r="W143" s="17">
        <v>8192.9500000000007</v>
      </c>
      <c r="X143" s="17">
        <v>8902.2899999999991</v>
      </c>
      <c r="Y143" s="4">
        <f>X143/W143-1</f>
        <v>8.6579315142897073E-2</v>
      </c>
      <c r="Z143" s="4"/>
      <c r="AA143">
        <v>1638</v>
      </c>
      <c r="AB143">
        <v>1817</v>
      </c>
      <c r="AD143" s="25">
        <v>0.21489999999999998</v>
      </c>
      <c r="AE143" s="25">
        <v>0.21789999999999998</v>
      </c>
    </row>
    <row r="144" spans="1:31">
      <c r="A144" s="26" t="s">
        <v>330</v>
      </c>
      <c r="B144" s="26" t="s">
        <v>331</v>
      </c>
      <c r="C144" s="27">
        <v>0</v>
      </c>
      <c r="E144" s="26" t="s">
        <v>331</v>
      </c>
      <c r="F144" s="27">
        <v>33</v>
      </c>
      <c r="G144" t="b">
        <f>IF(B144=E144,TRUE,FALSE)</f>
        <v>1</v>
      </c>
      <c r="J144" s="24">
        <f>F144-C144</f>
        <v>33</v>
      </c>
      <c r="K144" s="4" t="e">
        <f>F144/C144-1</f>
        <v>#DIV/0!</v>
      </c>
      <c r="M144" s="5">
        <v>0</v>
      </c>
      <c r="N144" s="5">
        <v>12.64</v>
      </c>
      <c r="Q144" s="121">
        <v>66.94</v>
      </c>
      <c r="U144" s="145">
        <f>N144-M144</f>
        <v>12.64</v>
      </c>
      <c r="V144" s="4">
        <f>IF(M144=0,0,N144/M144-1)</f>
        <v>0</v>
      </c>
      <c r="W144" s="17">
        <v>0</v>
      </c>
      <c r="X144" s="17">
        <v>824.67</v>
      </c>
      <c r="Y144" s="4" t="e">
        <f>X144/W144-1</f>
        <v>#DIV/0!</v>
      </c>
      <c r="Z144" s="4"/>
      <c r="AB144">
        <v>131</v>
      </c>
      <c r="AE144">
        <v>0.25190000000000001</v>
      </c>
    </row>
    <row r="145" spans="1:36">
      <c r="A145" s="39" t="s">
        <v>332</v>
      </c>
      <c r="B145" s="36" t="s">
        <v>333</v>
      </c>
      <c r="C145" s="18">
        <v>144</v>
      </c>
      <c r="E145" s="36" t="s">
        <v>333</v>
      </c>
      <c r="F145" s="18">
        <v>180</v>
      </c>
      <c r="G145" t="b">
        <f>IF(B145=E145,TRUE,FALSE)</f>
        <v>1</v>
      </c>
      <c r="J145" s="24">
        <f>F145-C145</f>
        <v>36</v>
      </c>
      <c r="K145" s="4">
        <f>F145/C145-1</f>
        <v>0.25</v>
      </c>
      <c r="M145" s="5">
        <v>208.43</v>
      </c>
      <c r="N145" s="5">
        <v>198</v>
      </c>
      <c r="Q145" s="121">
        <v>1264.55</v>
      </c>
      <c r="U145" s="145">
        <f>N145-M145</f>
        <v>-10.430000000000007</v>
      </c>
      <c r="V145" s="4">
        <f>IF(M145=0,0,N145/M145-1)</f>
        <v>-5.0040781077580032E-2</v>
      </c>
      <c r="W145">
        <v>3596.56</v>
      </c>
      <c r="X145">
        <v>4497.45</v>
      </c>
      <c r="Y145" s="4">
        <f>X145/W145-1</f>
        <v>0.25048657606156999</v>
      </c>
      <c r="Z145" s="4"/>
      <c r="AA145">
        <v>1229</v>
      </c>
      <c r="AB145">
        <v>1225</v>
      </c>
      <c r="AD145" s="25">
        <v>0.1164</v>
      </c>
      <c r="AE145" s="25">
        <v>0.14610000000000001</v>
      </c>
    </row>
    <row r="146" spans="1:36">
      <c r="A146" t="s">
        <v>334</v>
      </c>
      <c r="B146" t="s">
        <v>335</v>
      </c>
      <c r="C146" s="27">
        <v>356</v>
      </c>
      <c r="E146" t="s">
        <v>335</v>
      </c>
      <c r="F146" s="27">
        <v>393</v>
      </c>
      <c r="G146" t="b">
        <f>IF(B146=E146,TRUE,FALSE)</f>
        <v>1</v>
      </c>
      <c r="J146" s="24">
        <f>F146-C146</f>
        <v>37</v>
      </c>
      <c r="K146" s="4">
        <f>F146/C146-1</f>
        <v>0.10393258426966301</v>
      </c>
      <c r="M146" s="5">
        <v>444.85</v>
      </c>
      <c r="N146" s="5">
        <v>495.45</v>
      </c>
      <c r="Q146" s="122">
        <v>3895.42</v>
      </c>
      <c r="U146" s="145">
        <f>N146-M146</f>
        <v>50.599999999999966</v>
      </c>
      <c r="V146" s="4">
        <f>IF(M146=0,0,N146/M146-1)</f>
        <v>0.11374620658648982</v>
      </c>
      <c r="W146" s="17">
        <v>7820.6399999999994</v>
      </c>
      <c r="X146" s="17">
        <v>8638.91</v>
      </c>
      <c r="Y146" s="4">
        <f>X146/W146-1</f>
        <v>0.1046295443851144</v>
      </c>
      <c r="Z146" s="4"/>
      <c r="AA146">
        <v>1361</v>
      </c>
      <c r="AB146">
        <v>1558</v>
      </c>
      <c r="AD146" s="25">
        <v>0.1183</v>
      </c>
      <c r="AE146" s="25">
        <v>0.20149999999999998</v>
      </c>
    </row>
    <row r="147" spans="1:36">
      <c r="A147" s="26" t="s">
        <v>336</v>
      </c>
      <c r="B147" s="26" t="s">
        <v>337</v>
      </c>
      <c r="C147" s="27">
        <v>0</v>
      </c>
      <c r="E147" s="26" t="s">
        <v>337</v>
      </c>
      <c r="F147" s="27">
        <v>37</v>
      </c>
      <c r="G147" t="b">
        <f>IF(B147=E147,TRUE,FALSE)</f>
        <v>1</v>
      </c>
      <c r="J147" s="24">
        <f>F147-C147</f>
        <v>37</v>
      </c>
      <c r="K147" s="4" t="e">
        <f>F147/C147-1</f>
        <v>#DIV/0!</v>
      </c>
      <c r="M147" s="5">
        <v>0</v>
      </c>
      <c r="N147" s="5">
        <v>23.85</v>
      </c>
      <c r="Q147" s="121">
        <v>23.99</v>
      </c>
      <c r="U147" s="145">
        <f>N147-M147</f>
        <v>23.85</v>
      </c>
      <c r="V147" s="4">
        <f>IF(M147=0,0,N147/M147-1)</f>
        <v>0</v>
      </c>
      <c r="W147" s="17">
        <v>0</v>
      </c>
      <c r="X147" s="17">
        <v>813.63</v>
      </c>
      <c r="Y147" s="4" t="e">
        <f>X147/W147-1</f>
        <v>#DIV/0!</v>
      </c>
      <c r="Z147" s="4"/>
      <c r="AB147">
        <v>157</v>
      </c>
      <c r="AD147" s="25"/>
      <c r="AE147" s="25">
        <v>0.23569999999999999</v>
      </c>
    </row>
    <row r="148" spans="1:36">
      <c r="A148" t="s">
        <v>338</v>
      </c>
      <c r="B148" t="s">
        <v>339</v>
      </c>
      <c r="C148" s="27">
        <v>660</v>
      </c>
      <c r="E148" t="s">
        <v>339</v>
      </c>
      <c r="F148" s="27">
        <v>698</v>
      </c>
      <c r="G148" t="b">
        <f>IF(B148=E148,TRUE,FALSE)</f>
        <v>1</v>
      </c>
      <c r="J148" s="24">
        <f>F148-C148</f>
        <v>38</v>
      </c>
      <c r="K148" s="4">
        <f>F148/C148-1</f>
        <v>5.7575757575757613E-2</v>
      </c>
      <c r="M148" s="5">
        <v>1082.5999999999999</v>
      </c>
      <c r="N148" s="5">
        <v>1062.0999999999999</v>
      </c>
      <c r="Q148" s="122">
        <v>8301.26</v>
      </c>
      <c r="U148" s="145">
        <f>N148-M148</f>
        <v>-20.5</v>
      </c>
      <c r="V148" s="4">
        <f>IF(M148=0,0,N148/M148-1)</f>
        <v>-1.8935895067430208E-2</v>
      </c>
      <c r="W148" s="17">
        <v>19291.080000000002</v>
      </c>
      <c r="X148" s="17">
        <v>20898.2</v>
      </c>
      <c r="Y148" s="4">
        <f>X148/W148-1</f>
        <v>8.3308969741455519E-2</v>
      </c>
      <c r="Z148" s="4"/>
      <c r="AA148">
        <v>3643</v>
      </c>
      <c r="AB148">
        <v>3686</v>
      </c>
      <c r="AD148" s="25">
        <v>0.18170000000000003</v>
      </c>
      <c r="AE148" s="25">
        <v>0.18859999999999999</v>
      </c>
    </row>
    <row r="149" spans="1:36">
      <c r="A149" t="s">
        <v>340</v>
      </c>
      <c r="B149" t="s">
        <v>341</v>
      </c>
      <c r="C149" s="27">
        <v>805</v>
      </c>
      <c r="E149" t="s">
        <v>341</v>
      </c>
      <c r="F149" s="27">
        <v>843</v>
      </c>
      <c r="G149" t="b">
        <f>IF(B149=E149,TRUE,FALSE)</f>
        <v>1</v>
      </c>
      <c r="J149" s="24">
        <f>F149-C149</f>
        <v>38</v>
      </c>
      <c r="K149" s="4">
        <f>F149/C149-1</f>
        <v>4.7204968944099424E-2</v>
      </c>
      <c r="M149" s="5">
        <v>1294.47</v>
      </c>
      <c r="N149" s="5">
        <v>1415.72</v>
      </c>
      <c r="Q149" s="122">
        <v>9621.2900000000009</v>
      </c>
      <c r="U149" s="145">
        <f>N149-M149</f>
        <v>121.25</v>
      </c>
      <c r="V149" s="4">
        <f>IF(M149=0,0,N149/M149-1)</f>
        <v>9.3667678663854614E-2</v>
      </c>
      <c r="W149" s="17">
        <v>23327.38</v>
      </c>
      <c r="X149" s="17">
        <v>24426.1</v>
      </c>
      <c r="Y149" s="4">
        <f>X149/W149-1</f>
        <v>4.7100017232968083E-2</v>
      </c>
      <c r="Z149" s="4"/>
      <c r="AA149">
        <v>5742</v>
      </c>
      <c r="AB149">
        <v>5623</v>
      </c>
      <c r="AD149" s="25">
        <v>0.14019999999999999</v>
      </c>
      <c r="AE149" s="25">
        <v>0.14940000000000001</v>
      </c>
    </row>
    <row r="150" spans="1:36">
      <c r="A150" t="s">
        <v>342</v>
      </c>
      <c r="B150" t="s">
        <v>343</v>
      </c>
      <c r="C150" s="27">
        <v>460</v>
      </c>
      <c r="E150" t="s">
        <v>343</v>
      </c>
      <c r="F150" s="27">
        <v>498</v>
      </c>
      <c r="G150" t="b">
        <f>IF(B150=E150,TRUE,FALSE)</f>
        <v>1</v>
      </c>
      <c r="J150" s="24">
        <f>F150-C150</f>
        <v>38</v>
      </c>
      <c r="K150" s="4">
        <f>F150/C150-1</f>
        <v>8.260869565217388E-2</v>
      </c>
      <c r="M150" s="5">
        <v>578.25</v>
      </c>
      <c r="N150" s="5">
        <v>712.16</v>
      </c>
      <c r="Q150" s="122">
        <v>5793.57</v>
      </c>
      <c r="U150" s="145">
        <f>N150-M150</f>
        <v>133.90999999999997</v>
      </c>
      <c r="V150" s="4">
        <f>IF(M150=0,0,N150/M150-1)</f>
        <v>0.23157803718115</v>
      </c>
      <c r="W150" s="17">
        <v>12357.83</v>
      </c>
      <c r="X150" s="17">
        <v>13439.13</v>
      </c>
      <c r="Y150" s="4">
        <f>X150/W150-1</f>
        <v>8.7499180681397837E-2</v>
      </c>
      <c r="Z150" s="4"/>
      <c r="AA150">
        <v>2839</v>
      </c>
      <c r="AB150">
        <v>3046</v>
      </c>
      <c r="AD150" s="25">
        <v>0.16309999999999999</v>
      </c>
      <c r="AE150" s="25">
        <v>0.16320000000000001</v>
      </c>
    </row>
    <row r="151" spans="1:36">
      <c r="A151" t="s">
        <v>344</v>
      </c>
      <c r="B151" t="s">
        <v>345</v>
      </c>
      <c r="C151" s="27">
        <v>652</v>
      </c>
      <c r="E151" t="s">
        <v>345</v>
      </c>
      <c r="F151" s="27">
        <v>691</v>
      </c>
      <c r="G151" t="b">
        <f>IF(B151=E151,TRUE,FALSE)</f>
        <v>1</v>
      </c>
      <c r="J151" s="24">
        <f>F151-C151</f>
        <v>39</v>
      </c>
      <c r="K151" s="4">
        <f>F151/C151-1</f>
        <v>5.9815950920245387E-2</v>
      </c>
      <c r="M151" s="5">
        <v>315.32</v>
      </c>
      <c r="N151" s="5">
        <v>303.64999999999998</v>
      </c>
      <c r="Q151" s="122">
        <v>2602.37</v>
      </c>
      <c r="U151" s="145">
        <f>N151-M151</f>
        <v>-11.670000000000016</v>
      </c>
      <c r="V151" s="4">
        <f>IF(M151=0,0,N151/M151-1)</f>
        <v>-3.7010021565393902E-2</v>
      </c>
      <c r="W151" s="17">
        <v>16190.3</v>
      </c>
      <c r="X151" s="17">
        <v>17235.45</v>
      </c>
      <c r="Y151" s="4">
        <f>X151/W151-1</f>
        <v>6.4554084853276406E-2</v>
      </c>
      <c r="Z151" s="4"/>
      <c r="AA151">
        <v>1912</v>
      </c>
      <c r="AB151">
        <v>1898</v>
      </c>
      <c r="AD151" s="25">
        <v>0.33840000000000003</v>
      </c>
      <c r="AE151" s="25">
        <v>0.35139999999999999</v>
      </c>
    </row>
    <row r="152" spans="1:36" ht="13.5" customHeight="1">
      <c r="A152" s="171" t="s">
        <v>346</v>
      </c>
      <c r="B152" s="26" t="s">
        <v>347</v>
      </c>
      <c r="C152" s="27">
        <v>38</v>
      </c>
      <c r="E152" s="26" t="s">
        <v>347</v>
      </c>
      <c r="F152" s="27">
        <v>77</v>
      </c>
      <c r="G152" t="b">
        <f>IF(B152=E152,TRUE,FALSE)</f>
        <v>1</v>
      </c>
      <c r="J152" s="24">
        <f>F152-C152</f>
        <v>39</v>
      </c>
      <c r="K152" s="4">
        <f>F152/C152-1</f>
        <v>1.0263157894736841</v>
      </c>
      <c r="M152" s="5">
        <v>156.30000000000001</v>
      </c>
      <c r="N152" s="5">
        <v>718.95</v>
      </c>
      <c r="Q152" s="122">
        <v>2214.4299999999998</v>
      </c>
      <c r="U152" s="145">
        <f>N152-M152</f>
        <v>562.65000000000009</v>
      </c>
      <c r="V152" s="4">
        <f>IF(M152=0,0,N152/M152-1)</f>
        <v>3.5998080614203456</v>
      </c>
      <c r="W152" s="17">
        <v>759.62</v>
      </c>
      <c r="X152" s="17">
        <v>1259.23</v>
      </c>
      <c r="Y152" s="4">
        <f>X152/W152-1</f>
        <v>0.65771043416445063</v>
      </c>
      <c r="Z152" s="4"/>
      <c r="AA152">
        <v>205</v>
      </c>
      <c r="AB152">
        <v>649</v>
      </c>
      <c r="AD152" s="25">
        <v>0.18539999999999998</v>
      </c>
      <c r="AE152" s="25">
        <v>0.1186</v>
      </c>
      <c r="AJ152" t="s">
        <v>348</v>
      </c>
    </row>
    <row r="153" spans="1:36">
      <c r="A153" s="22" t="s">
        <v>349</v>
      </c>
      <c r="B153" s="22" t="s">
        <v>350</v>
      </c>
      <c r="C153" s="27">
        <v>92</v>
      </c>
      <c r="E153" s="22" t="s">
        <v>350</v>
      </c>
      <c r="F153" s="27">
        <v>132</v>
      </c>
      <c r="G153" t="b">
        <f>IF(B153=E153,TRUE,FALSE)</f>
        <v>1</v>
      </c>
      <c r="J153" s="24">
        <f>F153-C153</f>
        <v>40</v>
      </c>
      <c r="K153" s="4">
        <f>F153/C153-1</f>
        <v>0.43478260869565211</v>
      </c>
      <c r="M153" s="5">
        <v>596.49</v>
      </c>
      <c r="N153" s="5">
        <v>864.65</v>
      </c>
      <c r="Q153" s="122">
        <v>2364.23</v>
      </c>
      <c r="U153" s="145">
        <f>N153-M153</f>
        <v>268.15999999999997</v>
      </c>
      <c r="V153" s="4">
        <f>IF(M153=0,0,N153/M153-1)</f>
        <v>0.44956327851263223</v>
      </c>
      <c r="W153" s="17">
        <v>1506.88</v>
      </c>
      <c r="X153" s="17">
        <v>2146.6799999999998</v>
      </c>
      <c r="Y153" s="4">
        <f>X153/W153-1</f>
        <v>0.424585899341686</v>
      </c>
      <c r="Z153" s="4"/>
      <c r="AA153">
        <v>1264</v>
      </c>
      <c r="AB153">
        <v>1669</v>
      </c>
      <c r="AD153" s="25">
        <v>7.2800000000000004E-2</v>
      </c>
      <c r="AE153" s="25">
        <v>7.9100000000000004E-2</v>
      </c>
    </row>
    <row r="154" spans="1:36">
      <c r="A154" s="26" t="s">
        <v>351</v>
      </c>
      <c r="B154" s="26" t="s">
        <v>352</v>
      </c>
      <c r="C154" s="27">
        <v>0</v>
      </c>
      <c r="E154" s="26" t="s">
        <v>352</v>
      </c>
      <c r="F154" s="27">
        <v>40</v>
      </c>
      <c r="G154" t="b">
        <f>IF(B154=E154,TRUE,FALSE)</f>
        <v>1</v>
      </c>
      <c r="J154" s="24">
        <f>F154-C154</f>
        <v>40</v>
      </c>
      <c r="K154" s="4" t="e">
        <f>F154/C154-1</f>
        <v>#DIV/0!</v>
      </c>
      <c r="M154" s="5">
        <v>0</v>
      </c>
      <c r="N154" s="5">
        <v>95.72</v>
      </c>
      <c r="Q154" s="121">
        <v>572</v>
      </c>
      <c r="U154" s="145">
        <f>N154-M154</f>
        <v>95.72</v>
      </c>
      <c r="V154" s="4">
        <f>IF(M154=0,0,N154/M154-1)</f>
        <v>0</v>
      </c>
      <c r="W154" s="17">
        <v>0</v>
      </c>
      <c r="X154" s="17">
        <v>809.6</v>
      </c>
      <c r="Y154" s="4" t="e">
        <f>X154/W154-1</f>
        <v>#DIV/0!</v>
      </c>
      <c r="Z154" s="4"/>
      <c r="AB154">
        <v>198</v>
      </c>
      <c r="AD154" s="25"/>
      <c r="AE154" s="25">
        <v>0.20199999999999999</v>
      </c>
    </row>
    <row r="155" spans="1:36">
      <c r="A155" t="s">
        <v>353</v>
      </c>
      <c r="B155" t="s">
        <v>354</v>
      </c>
      <c r="C155" s="27">
        <v>777</v>
      </c>
      <c r="E155" t="s">
        <v>354</v>
      </c>
      <c r="F155" s="27">
        <v>819</v>
      </c>
      <c r="G155" t="b">
        <f>IF(B155=E155,TRUE,FALSE)</f>
        <v>1</v>
      </c>
      <c r="J155" s="24">
        <f>F155-C155</f>
        <v>42</v>
      </c>
      <c r="K155" s="4">
        <f>F155/C155-1</f>
        <v>5.4054054054053946E-2</v>
      </c>
      <c r="M155" s="5">
        <v>431.02</v>
      </c>
      <c r="N155" s="5">
        <v>469.95</v>
      </c>
      <c r="Q155" s="122">
        <v>4311.87</v>
      </c>
      <c r="U155" s="145">
        <f>N155-M155</f>
        <v>38.930000000000007</v>
      </c>
      <c r="V155" s="4">
        <f>IF(M155=0,0,N155/M155-1)</f>
        <v>9.0320634773328301E-2</v>
      </c>
      <c r="W155" s="17">
        <v>30987.85</v>
      </c>
      <c r="X155" s="17">
        <v>32749.81</v>
      </c>
      <c r="Y155" s="4">
        <f>X155/W155-1</f>
        <v>5.6859704690709556E-2</v>
      </c>
      <c r="Z155" s="4"/>
      <c r="AA155">
        <v>2376</v>
      </c>
      <c r="AB155">
        <v>2641</v>
      </c>
      <c r="AD155" s="25">
        <v>0.32700000000000001</v>
      </c>
      <c r="AE155" s="25">
        <v>0.30940000000000001</v>
      </c>
    </row>
    <row r="156" spans="1:36" ht="15" customHeight="1">
      <c r="A156" t="s">
        <v>355</v>
      </c>
      <c r="B156" t="s">
        <v>356</v>
      </c>
      <c r="C156" s="27">
        <v>1248</v>
      </c>
      <c r="E156" t="s">
        <v>356</v>
      </c>
      <c r="F156" s="27">
        <v>1290</v>
      </c>
      <c r="G156" t="b">
        <f>IF(B156=E156,TRUE,FALSE)</f>
        <v>1</v>
      </c>
      <c r="J156" s="24">
        <f>F156-C156</f>
        <v>42</v>
      </c>
      <c r="K156" s="4">
        <f>F156/C156-1</f>
        <v>3.3653846153846256E-2</v>
      </c>
      <c r="M156" s="5">
        <v>2097.3000000000002</v>
      </c>
      <c r="N156" s="5">
        <v>2004.01</v>
      </c>
      <c r="Q156" s="122">
        <v>12266.61</v>
      </c>
      <c r="U156" s="145">
        <f>N156-M156</f>
        <v>-93.290000000000191</v>
      </c>
      <c r="V156" s="4">
        <f>IF(M156=0,0,N156/M156-1)</f>
        <v>-4.4480999380155484E-2</v>
      </c>
      <c r="W156" s="17">
        <v>27388.1</v>
      </c>
      <c r="X156" s="17">
        <v>28309.34</v>
      </c>
      <c r="Y156" s="4">
        <f>X156/W156-1</f>
        <v>3.3636506365903429E-2</v>
      </c>
      <c r="Z156" s="4"/>
      <c r="AA156">
        <v>5621</v>
      </c>
      <c r="AB156">
        <v>5989</v>
      </c>
      <c r="AD156" s="25">
        <v>0.22059999999999999</v>
      </c>
      <c r="AE156" s="25">
        <v>0.21390000000000001</v>
      </c>
    </row>
    <row r="157" spans="1:36" ht="15" customHeight="1">
      <c r="A157" t="s">
        <v>357</v>
      </c>
      <c r="B157" t="s">
        <v>358</v>
      </c>
      <c r="C157" s="27">
        <v>644</v>
      </c>
      <c r="E157" t="s">
        <v>358</v>
      </c>
      <c r="F157" s="27">
        <v>686</v>
      </c>
      <c r="G157" t="b">
        <f>IF(B157=E157,TRUE,FALSE)</f>
        <v>1</v>
      </c>
      <c r="J157" s="24">
        <f>F157-C157</f>
        <v>42</v>
      </c>
      <c r="K157" s="4">
        <f>F157/C157-1</f>
        <v>6.5217391304347894E-2</v>
      </c>
      <c r="M157" s="5">
        <v>805.67000000000007</v>
      </c>
      <c r="N157" s="5">
        <v>1158.02</v>
      </c>
      <c r="Q157" s="122">
        <v>6280.0599999999995</v>
      </c>
      <c r="U157" s="145">
        <f>N157-M157</f>
        <v>352.34999999999991</v>
      </c>
      <c r="V157" s="4">
        <f>IF(M157=0,0,N157/M157-1)</f>
        <v>0.43733786786153117</v>
      </c>
      <c r="W157" s="17">
        <v>12846.08</v>
      </c>
      <c r="X157" s="17">
        <v>13700.18</v>
      </c>
      <c r="Y157" s="4">
        <f>X157/W157-1</f>
        <v>6.6487208549222743E-2</v>
      </c>
      <c r="Z157" s="4"/>
      <c r="AA157">
        <v>2896</v>
      </c>
      <c r="AB157">
        <v>3367</v>
      </c>
      <c r="AD157" s="25">
        <v>0.1032</v>
      </c>
      <c r="AE157" s="25">
        <v>0.1268</v>
      </c>
    </row>
    <row r="158" spans="1:36" ht="15" customHeight="1">
      <c r="A158" s="23" t="s">
        <v>359</v>
      </c>
      <c r="B158" s="22" t="s">
        <v>360</v>
      </c>
      <c r="C158" s="27">
        <v>65</v>
      </c>
      <c r="E158" s="22" t="s">
        <v>360</v>
      </c>
      <c r="F158" s="27">
        <v>108</v>
      </c>
      <c r="G158" t="b">
        <f>IF(B158=E158,TRUE,FALSE)</f>
        <v>1</v>
      </c>
      <c r="J158" s="24">
        <f>F158-C158</f>
        <v>43</v>
      </c>
      <c r="K158" s="4">
        <f>F158/C158-1</f>
        <v>0.66153846153846163</v>
      </c>
      <c r="M158" s="5">
        <v>127.73</v>
      </c>
      <c r="N158" s="5">
        <v>723.75</v>
      </c>
      <c r="Q158" s="122">
        <v>2104.84</v>
      </c>
      <c r="U158" s="145">
        <f>N158-M158</f>
        <v>596.02</v>
      </c>
      <c r="V158" s="4">
        <f>IF(M158=0,0,N158/M158-1)</f>
        <v>4.6662491192358884</v>
      </c>
      <c r="W158" s="17">
        <v>1258.55</v>
      </c>
      <c r="X158" s="17">
        <v>1846.48</v>
      </c>
      <c r="Y158" s="4">
        <f>X158/W158-1</f>
        <v>0.46714870287235311</v>
      </c>
      <c r="Z158" s="4"/>
      <c r="AA158">
        <v>553</v>
      </c>
      <c r="AB158">
        <v>569</v>
      </c>
      <c r="AD158" s="25">
        <v>0.11749999999999999</v>
      </c>
      <c r="AE158" s="25">
        <v>0.1898</v>
      </c>
      <c r="AJ158" t="s">
        <v>361</v>
      </c>
    </row>
    <row r="159" spans="1:36" ht="15" customHeight="1">
      <c r="A159" t="s">
        <v>362</v>
      </c>
      <c r="B159" t="s">
        <v>363</v>
      </c>
      <c r="C159" s="27">
        <v>514</v>
      </c>
      <c r="E159" t="s">
        <v>363</v>
      </c>
      <c r="F159" s="27">
        <v>559</v>
      </c>
      <c r="G159" t="b">
        <f>IF(B159=E159,TRUE,FALSE)</f>
        <v>1</v>
      </c>
      <c r="J159" s="24">
        <f>F159-C159</f>
        <v>45</v>
      </c>
      <c r="K159" s="4">
        <f>F159/C159-1</f>
        <v>8.7548638132295631E-2</v>
      </c>
      <c r="M159" s="5">
        <v>427.27</v>
      </c>
      <c r="N159" s="5">
        <v>440.87</v>
      </c>
      <c r="Q159" s="122">
        <v>2745.07</v>
      </c>
      <c r="U159" s="145">
        <f>N159-M159</f>
        <v>13.600000000000023</v>
      </c>
      <c r="V159" s="4">
        <f>IF(M159=0,0,N159/M159-1)</f>
        <v>3.1829990404194097E-2</v>
      </c>
      <c r="W159" s="17">
        <v>13839.51</v>
      </c>
      <c r="X159" s="17">
        <v>15051.72</v>
      </c>
      <c r="Y159" s="4">
        <f>X159/W159-1</f>
        <v>8.7590528855429062E-2</v>
      </c>
      <c r="Z159" s="4"/>
      <c r="AA159">
        <v>2349</v>
      </c>
      <c r="AB159">
        <v>2798</v>
      </c>
      <c r="AD159" s="25">
        <v>0.21920000000000001</v>
      </c>
      <c r="AE159" s="25">
        <v>0.19800000000000001</v>
      </c>
    </row>
    <row r="160" spans="1:36" ht="15" customHeight="1">
      <c r="A160" t="s">
        <v>364</v>
      </c>
      <c r="B160" t="s">
        <v>365</v>
      </c>
      <c r="C160" s="27">
        <v>3291</v>
      </c>
      <c r="E160" t="s">
        <v>365</v>
      </c>
      <c r="F160" s="27">
        <v>3338</v>
      </c>
      <c r="G160" t="b">
        <f>IF(B160=E160,TRUE,FALSE)</f>
        <v>1</v>
      </c>
      <c r="J160" s="24">
        <f>F160-C160</f>
        <v>47</v>
      </c>
      <c r="K160" s="4">
        <f>F160/C160-1</f>
        <v>1.4281373442722511E-2</v>
      </c>
      <c r="M160" s="5">
        <v>4631.07</v>
      </c>
      <c r="N160" s="5">
        <v>4716.55</v>
      </c>
      <c r="Q160" s="122">
        <v>33482.160000000003</v>
      </c>
      <c r="U160" s="145">
        <f>N160-M160</f>
        <v>85.480000000000473</v>
      </c>
      <c r="V160" s="4">
        <f>IF(M160=0,0,N160/M160-1)</f>
        <v>1.8457937366526567E-2</v>
      </c>
      <c r="W160" s="17">
        <v>98481.5</v>
      </c>
      <c r="X160" s="17">
        <v>99930.35</v>
      </c>
      <c r="Y160" s="4">
        <f>X160/W160-1</f>
        <v>1.4711900204606998E-2</v>
      </c>
      <c r="Z160" s="4"/>
      <c r="AA160">
        <v>12541</v>
      </c>
      <c r="AB160">
        <v>12768</v>
      </c>
      <c r="AD160" s="25">
        <v>0.26289999999999997</v>
      </c>
      <c r="AE160" s="25">
        <v>0.2606</v>
      </c>
    </row>
    <row r="161" spans="1:31" ht="15" customHeight="1">
      <c r="A161" t="s">
        <v>366</v>
      </c>
      <c r="B161" t="s">
        <v>367</v>
      </c>
      <c r="C161" s="27">
        <v>760</v>
      </c>
      <c r="E161" t="s">
        <v>367</v>
      </c>
      <c r="F161" s="27">
        <v>807</v>
      </c>
      <c r="G161" t="b">
        <f>IF(B161=E161,TRUE,FALSE)</f>
        <v>1</v>
      </c>
      <c r="J161" s="24">
        <f>F161-C161</f>
        <v>47</v>
      </c>
      <c r="K161" s="4">
        <f>F161/C161-1</f>
        <v>6.184210526315792E-2</v>
      </c>
      <c r="M161" s="5">
        <v>1170.02</v>
      </c>
      <c r="N161" s="5">
        <v>1346.97</v>
      </c>
      <c r="Q161" s="122">
        <v>6396.46</v>
      </c>
      <c r="U161" s="145">
        <f>N161-M161</f>
        <v>176.95000000000005</v>
      </c>
      <c r="V161" s="4">
        <f>IF(M161=0,0,N161/M161-1)</f>
        <v>0.15123673099605139</v>
      </c>
      <c r="W161" s="17">
        <v>12136.48</v>
      </c>
      <c r="X161" s="17">
        <v>12899.49</v>
      </c>
      <c r="Y161" s="4">
        <f>X161/W161-1</f>
        <v>6.2869135037506796E-2</v>
      </c>
      <c r="Z161" s="4"/>
      <c r="AA161">
        <v>3101</v>
      </c>
      <c r="AB161">
        <v>3226</v>
      </c>
      <c r="AD161" s="25">
        <v>0.22829999999999998</v>
      </c>
      <c r="AE161" s="25">
        <v>0.2477</v>
      </c>
    </row>
    <row r="162" spans="1:31">
      <c r="A162" s="26" t="s">
        <v>368</v>
      </c>
      <c r="B162" s="26" t="s">
        <v>369</v>
      </c>
      <c r="C162" s="27">
        <v>0</v>
      </c>
      <c r="E162" s="26" t="s">
        <v>369</v>
      </c>
      <c r="F162" s="27">
        <v>54</v>
      </c>
      <c r="G162" t="b">
        <f>IF(B162=E162,TRUE,FALSE)</f>
        <v>1</v>
      </c>
      <c r="J162" s="24">
        <f>F162-C162</f>
        <v>54</v>
      </c>
      <c r="K162" s="4" t="e">
        <f>F162/C162-1</f>
        <v>#DIV/0!</v>
      </c>
      <c r="M162" s="5">
        <v>0</v>
      </c>
      <c r="N162" s="5">
        <v>498.52</v>
      </c>
      <c r="Q162" s="121">
        <v>3479.09</v>
      </c>
      <c r="U162" s="145">
        <f>N162-M162</f>
        <v>498.52</v>
      </c>
      <c r="V162" s="4">
        <f>IF(M162=0,0,N162/M162-1)</f>
        <v>0</v>
      </c>
      <c r="W162" s="17">
        <v>0</v>
      </c>
      <c r="X162" s="17">
        <v>1079.26</v>
      </c>
      <c r="Y162" s="4" t="e">
        <f>X162/W162-1</f>
        <v>#DIV/0!</v>
      </c>
      <c r="Z162" s="4"/>
      <c r="AB162">
        <v>863</v>
      </c>
      <c r="AD162" s="25"/>
      <c r="AE162" s="25">
        <v>6.2600000000000003E-2</v>
      </c>
    </row>
    <row r="163" spans="1:31" ht="15" customHeight="1">
      <c r="A163" s="26" t="s">
        <v>370</v>
      </c>
      <c r="B163" s="26" t="s">
        <v>371</v>
      </c>
      <c r="C163" s="27">
        <v>0</v>
      </c>
      <c r="E163" s="26" t="s">
        <v>371</v>
      </c>
      <c r="F163" s="27">
        <v>54</v>
      </c>
      <c r="G163" t="b">
        <f>IF(B163=E163,TRUE,FALSE)</f>
        <v>1</v>
      </c>
      <c r="J163" s="24">
        <f>F163-C163</f>
        <v>54</v>
      </c>
      <c r="K163" s="4" t="e">
        <f>F163/C163-1</f>
        <v>#DIV/0!</v>
      </c>
      <c r="M163" s="5">
        <v>0</v>
      </c>
      <c r="N163" s="5">
        <v>35.700000000000003</v>
      </c>
      <c r="Q163" s="121">
        <v>527.6</v>
      </c>
      <c r="U163" s="145">
        <f>N163-M163</f>
        <v>35.700000000000003</v>
      </c>
      <c r="V163" s="4">
        <f>IF(M163=0,0,N163/M163-1)</f>
        <v>0</v>
      </c>
      <c r="W163" s="17">
        <v>0</v>
      </c>
      <c r="X163" s="17">
        <v>1187.24</v>
      </c>
      <c r="Y163" s="4" t="e">
        <f>X163/W163-1</f>
        <v>#DIV/0!</v>
      </c>
      <c r="Z163" s="4"/>
      <c r="AB163">
        <v>211</v>
      </c>
      <c r="AD163" s="25"/>
      <c r="AE163" s="25">
        <v>0.25590000000000002</v>
      </c>
    </row>
    <row r="164" spans="1:31" ht="15" customHeight="1">
      <c r="A164" s="126" t="s">
        <v>372</v>
      </c>
      <c r="B164" s="126" t="s">
        <v>373</v>
      </c>
      <c r="C164" s="27">
        <v>713</v>
      </c>
      <c r="E164" s="126" t="s">
        <v>373</v>
      </c>
      <c r="F164" s="27">
        <v>768</v>
      </c>
      <c r="G164" t="b">
        <f>IF(B164=E164,TRUE,FALSE)</f>
        <v>1</v>
      </c>
      <c r="J164" s="24">
        <f>F164-C164</f>
        <v>55</v>
      </c>
      <c r="K164" s="4">
        <f>F164/C164-1</f>
        <v>7.7138849929873743E-2</v>
      </c>
      <c r="M164" s="5">
        <v>1688.2</v>
      </c>
      <c r="N164" s="5">
        <v>2347.66</v>
      </c>
      <c r="Q164" s="121">
        <v>14679.99</v>
      </c>
      <c r="U164" s="145">
        <f>N164-M164</f>
        <v>659.45999999999981</v>
      </c>
      <c r="V164" s="4">
        <f>IF(M164=0,0,N164/M164-1)</f>
        <v>0.3906290723847885</v>
      </c>
      <c r="W164" s="17">
        <v>14463.36</v>
      </c>
      <c r="X164" s="17">
        <v>16242.28</v>
      </c>
      <c r="Y164" s="4">
        <f>X164/W164-1</f>
        <v>0.12299493340413292</v>
      </c>
      <c r="Z164" s="4"/>
      <c r="AA164">
        <v>3808</v>
      </c>
      <c r="AB164">
        <v>4353</v>
      </c>
      <c r="AD164" s="25">
        <v>0.18719999999999998</v>
      </c>
      <c r="AE164" s="25">
        <v>0.1764</v>
      </c>
    </row>
    <row r="165" spans="1:31" ht="15" customHeight="1">
      <c r="A165" t="s">
        <v>374</v>
      </c>
      <c r="B165" t="s">
        <v>375</v>
      </c>
      <c r="C165" s="27">
        <v>260</v>
      </c>
      <c r="E165" t="s">
        <v>375</v>
      </c>
      <c r="F165" s="27">
        <v>316</v>
      </c>
      <c r="G165" t="b">
        <f>IF(B165=E165,TRUE,FALSE)</f>
        <v>1</v>
      </c>
      <c r="J165" s="24">
        <f>F165-C165</f>
        <v>56</v>
      </c>
      <c r="K165" s="4">
        <f>F165/C165-1</f>
        <v>0.21538461538461529</v>
      </c>
      <c r="M165" s="5">
        <v>314.45</v>
      </c>
      <c r="N165" s="5">
        <v>352.81</v>
      </c>
      <c r="Q165" s="122">
        <v>2287.0300000000002</v>
      </c>
      <c r="U165" s="145">
        <f>N165-M165</f>
        <v>38.360000000000014</v>
      </c>
      <c r="V165" s="4">
        <f>IF(M165=0,0,N165/M165-1)</f>
        <v>0.12199077754809995</v>
      </c>
      <c r="W165" s="17">
        <v>4916.3</v>
      </c>
      <c r="X165" s="17">
        <v>5925.69</v>
      </c>
      <c r="Y165" s="4">
        <f>X165/W165-1</f>
        <v>0.20531497264202736</v>
      </c>
      <c r="Z165" s="4"/>
      <c r="AA165">
        <v>1524</v>
      </c>
      <c r="AB165">
        <v>1330</v>
      </c>
      <c r="AD165" s="25">
        <v>0.17129999999999998</v>
      </c>
      <c r="AE165" s="25">
        <v>0.23680000000000001</v>
      </c>
    </row>
    <row r="166" spans="1:31" ht="15" customHeight="1">
      <c r="A166" s="39" t="s">
        <v>376</v>
      </c>
      <c r="B166" s="36" t="s">
        <v>377</v>
      </c>
      <c r="C166" s="27">
        <v>71</v>
      </c>
      <c r="E166" s="36" t="s">
        <v>377</v>
      </c>
      <c r="F166" s="27">
        <v>128</v>
      </c>
      <c r="G166" t="b">
        <f>IF(B166=E166,TRUE,FALSE)</f>
        <v>1</v>
      </c>
      <c r="J166" s="24">
        <f>F166-C166</f>
        <v>57</v>
      </c>
      <c r="K166" s="4">
        <f>F166/C166-1</f>
        <v>0.80281690140845074</v>
      </c>
      <c r="M166" s="5">
        <v>116.93</v>
      </c>
      <c r="N166" s="5">
        <v>783.49</v>
      </c>
      <c r="Q166" s="122">
        <v>3313.05</v>
      </c>
      <c r="U166" s="145">
        <f>N166-M166</f>
        <v>666.56</v>
      </c>
      <c r="V166" s="4">
        <f>IF(M166=0,0,N166/M166-1)</f>
        <v>5.700504575386983</v>
      </c>
      <c r="W166" s="17">
        <v>1482.09</v>
      </c>
      <c r="X166" s="17">
        <v>2510.9</v>
      </c>
      <c r="Y166" s="4">
        <f>X166/W166-1</f>
        <v>0.69416162311330631</v>
      </c>
      <c r="Z166" s="4"/>
      <c r="AA166">
        <v>1112</v>
      </c>
      <c r="AB166">
        <v>914</v>
      </c>
      <c r="AD166" s="25">
        <v>6.3799999999999996E-2</v>
      </c>
      <c r="AE166" s="25">
        <v>0.1389</v>
      </c>
    </row>
    <row r="167" spans="1:31" ht="15" customHeight="1">
      <c r="A167" s="26" t="s">
        <v>378</v>
      </c>
      <c r="B167" s="26" t="s">
        <v>379</v>
      </c>
      <c r="C167" s="27">
        <v>0</v>
      </c>
      <c r="E167" s="26" t="s">
        <v>379</v>
      </c>
      <c r="F167" s="27">
        <v>58</v>
      </c>
      <c r="G167" t="b">
        <f>IF(B167=E167,TRUE,FALSE)</f>
        <v>1</v>
      </c>
      <c r="J167" s="24">
        <f>F167-C167</f>
        <v>58</v>
      </c>
      <c r="K167" s="4" t="e">
        <f>F167/C167-1</f>
        <v>#DIV/0!</v>
      </c>
      <c r="M167" s="5">
        <v>0</v>
      </c>
      <c r="N167" s="5">
        <v>147.44</v>
      </c>
      <c r="Q167" s="121">
        <v>1153.54</v>
      </c>
      <c r="U167" s="145">
        <f>N167-M167</f>
        <v>147.44</v>
      </c>
      <c r="V167" s="4">
        <f>IF(M167=0,0,N167/M167-1)</f>
        <v>0</v>
      </c>
      <c r="W167" s="17">
        <v>0</v>
      </c>
      <c r="X167" s="17">
        <v>1159.02</v>
      </c>
      <c r="Y167" s="4" t="e">
        <f>X167/W167-1</f>
        <v>#DIV/0!</v>
      </c>
      <c r="Z167" s="4"/>
      <c r="AB167">
        <v>322</v>
      </c>
      <c r="AD167" s="25"/>
      <c r="AE167" s="25">
        <v>0.18010000000000001</v>
      </c>
    </row>
    <row r="168" spans="1:31" ht="15" customHeight="1">
      <c r="A168" t="s">
        <v>380</v>
      </c>
      <c r="B168" t="s">
        <v>381</v>
      </c>
      <c r="C168" s="27">
        <v>1638</v>
      </c>
      <c r="E168" t="s">
        <v>381</v>
      </c>
      <c r="F168" s="27">
        <v>1700</v>
      </c>
      <c r="G168" t="b">
        <f>IF(B168=E168,TRUE,FALSE)</f>
        <v>1</v>
      </c>
      <c r="J168" s="24">
        <f>F168-C168</f>
        <v>62</v>
      </c>
      <c r="K168" s="4">
        <f>F168/C168-1</f>
        <v>3.7851037851037939E-2</v>
      </c>
      <c r="M168" s="5">
        <v>2303.73</v>
      </c>
      <c r="N168" s="5">
        <v>1878.18</v>
      </c>
      <c r="Q168" s="122">
        <v>17251.810000000001</v>
      </c>
      <c r="U168" s="145">
        <f>N168-M168</f>
        <v>-425.54999999999995</v>
      </c>
      <c r="V168" s="4">
        <f>IF(M168=0,0,N168/M168-1)</f>
        <v>-0.18472216796239138</v>
      </c>
      <c r="W168" s="17">
        <v>48979.66</v>
      </c>
      <c r="X168" s="17">
        <v>50810.99</v>
      </c>
      <c r="Y168" s="4">
        <f>X168/W168-1</f>
        <v>3.7389602132803512E-2</v>
      </c>
      <c r="Z168" s="4"/>
      <c r="AA168">
        <v>9376</v>
      </c>
      <c r="AB168">
        <v>8865</v>
      </c>
      <c r="AD168" s="25">
        <v>0.1754</v>
      </c>
      <c r="AE168" s="25">
        <v>0.19</v>
      </c>
    </row>
    <row r="169" spans="1:31" ht="15" customHeight="1">
      <c r="A169" s="22" t="s">
        <v>382</v>
      </c>
      <c r="B169" s="22" t="s">
        <v>383</v>
      </c>
      <c r="C169" s="27">
        <v>256</v>
      </c>
      <c r="E169" s="22" t="s">
        <v>383</v>
      </c>
      <c r="F169" s="27">
        <v>318</v>
      </c>
      <c r="G169" t="b">
        <f>IF(B169=E169,TRUE,FALSE)</f>
        <v>1</v>
      </c>
      <c r="J169" s="24">
        <f>F169-C169</f>
        <v>62</v>
      </c>
      <c r="K169" s="4">
        <f>F169/C169-1</f>
        <v>0.2421875</v>
      </c>
      <c r="M169" s="5">
        <v>887.98</v>
      </c>
      <c r="N169" s="5">
        <v>1321.42</v>
      </c>
      <c r="Q169" s="122">
        <v>4751.3500000000004</v>
      </c>
      <c r="U169" s="145">
        <f>N169-M169</f>
        <v>433.44000000000005</v>
      </c>
      <c r="V169" s="4">
        <f>IF(M169=0,0,N169/M169-1)</f>
        <v>0.48811910178157181</v>
      </c>
      <c r="W169" s="17">
        <v>4121.4399999999996</v>
      </c>
      <c r="X169" s="17">
        <v>5312.42</v>
      </c>
      <c r="Y169" s="4">
        <f>X169/W169-1</f>
        <v>0.28897181567607455</v>
      </c>
      <c r="Z169" s="4"/>
      <c r="AA169">
        <v>1818</v>
      </c>
      <c r="AB169">
        <v>2337</v>
      </c>
      <c r="AD169" s="25">
        <v>0.14080000000000001</v>
      </c>
      <c r="AE169" s="25">
        <v>0.1361</v>
      </c>
    </row>
    <row r="170" spans="1:31" ht="15" customHeight="1">
      <c r="A170" s="26" t="s">
        <v>384</v>
      </c>
      <c r="B170" s="26" t="s">
        <v>385</v>
      </c>
      <c r="C170" s="27">
        <v>0</v>
      </c>
      <c r="E170" s="26" t="s">
        <v>385</v>
      </c>
      <c r="F170" s="27">
        <v>62</v>
      </c>
      <c r="G170" t="b">
        <f>IF(B170=E170,TRUE,FALSE)</f>
        <v>1</v>
      </c>
      <c r="J170" s="24">
        <f>F170-C170</f>
        <v>62</v>
      </c>
      <c r="K170" s="4" t="e">
        <f>F170/C170-1</f>
        <v>#DIV/0!</v>
      </c>
      <c r="M170" s="5">
        <v>0</v>
      </c>
      <c r="N170" s="5">
        <v>29.65</v>
      </c>
      <c r="Q170" s="121">
        <v>171.9</v>
      </c>
      <c r="U170" s="145">
        <f>N170-M170</f>
        <v>29.65</v>
      </c>
      <c r="V170" s="4">
        <f>IF(M170=0,0,N170/M170-1)</f>
        <v>0</v>
      </c>
      <c r="W170" s="17">
        <v>0</v>
      </c>
      <c r="X170" s="17">
        <v>1239.3800000000001</v>
      </c>
      <c r="Y170" s="4" t="e">
        <f>X170/W170-1</f>
        <v>#DIV/0!</v>
      </c>
      <c r="Z170" s="4"/>
      <c r="AB170">
        <v>318</v>
      </c>
      <c r="AD170" s="25"/>
      <c r="AE170" s="25">
        <v>0.19500000000000001</v>
      </c>
    </row>
    <row r="171" spans="1:31" ht="15" customHeight="1">
      <c r="A171" s="26" t="s">
        <v>386</v>
      </c>
      <c r="B171" s="26" t="s">
        <v>387</v>
      </c>
      <c r="C171" s="27">
        <v>0</v>
      </c>
      <c r="E171" s="26" t="s">
        <v>387</v>
      </c>
      <c r="F171" s="27">
        <v>63</v>
      </c>
      <c r="G171" t="b">
        <f>IF(B171=E171,TRUE,FALSE)</f>
        <v>1</v>
      </c>
      <c r="J171" s="24">
        <f>F171-C171</f>
        <v>63</v>
      </c>
      <c r="K171" s="4" t="e">
        <f>F171/C171-1</f>
        <v>#DIV/0!</v>
      </c>
      <c r="M171" s="5">
        <v>0</v>
      </c>
      <c r="N171" s="5">
        <v>92.59</v>
      </c>
      <c r="Q171" s="121">
        <v>327.97</v>
      </c>
      <c r="U171" s="145">
        <f>N171-M171</f>
        <v>92.59</v>
      </c>
      <c r="V171" s="4">
        <f>IF(M171=0,0,N171/M171-1)</f>
        <v>0</v>
      </c>
      <c r="W171" s="17">
        <v>0</v>
      </c>
      <c r="X171" s="17">
        <v>1259.17</v>
      </c>
      <c r="Y171" s="4" t="e">
        <f>X171/W171-1</f>
        <v>#DIV/0!</v>
      </c>
      <c r="Z171" s="4"/>
      <c r="AB171">
        <v>455</v>
      </c>
      <c r="AD171" s="25"/>
      <c r="AE171" s="25">
        <v>0.13849999999999998</v>
      </c>
    </row>
    <row r="172" spans="1:31" ht="15" customHeight="1">
      <c r="A172" t="s">
        <v>388</v>
      </c>
      <c r="B172" t="s">
        <v>389</v>
      </c>
      <c r="C172" s="27">
        <v>769</v>
      </c>
      <c r="E172" t="s">
        <v>389</v>
      </c>
      <c r="F172" s="27">
        <v>833</v>
      </c>
      <c r="G172" t="b">
        <f>IF(B172=E172,TRUE,FALSE)</f>
        <v>1</v>
      </c>
      <c r="J172" s="24">
        <f>F172-C172</f>
        <v>64</v>
      </c>
      <c r="K172" s="4">
        <f>F172/C172-1</f>
        <v>8.3224967490246993E-2</v>
      </c>
      <c r="M172" s="5">
        <v>1061.5500000000002</v>
      </c>
      <c r="N172" s="5">
        <v>913.98</v>
      </c>
      <c r="Q172" s="122">
        <v>4463.51</v>
      </c>
      <c r="U172" s="145">
        <f>N172-M172</f>
        <v>-147.57000000000016</v>
      </c>
      <c r="V172" s="4">
        <f>IF(M172=0,0,N172/M172-1)</f>
        <v>-0.1390137063727569</v>
      </c>
      <c r="W172" s="17">
        <v>23032.43</v>
      </c>
      <c r="X172" s="17">
        <v>24959.79</v>
      </c>
      <c r="Y172" s="4">
        <f>X172/W172-1</f>
        <v>8.3680271686487284E-2</v>
      </c>
      <c r="Z172" s="4"/>
      <c r="AA172">
        <v>2431</v>
      </c>
      <c r="AB172">
        <v>1694</v>
      </c>
      <c r="AD172" s="25">
        <v>0.11599999999999999</v>
      </c>
      <c r="AE172" s="25">
        <v>0.17710000000000001</v>
      </c>
    </row>
    <row r="173" spans="1:31" ht="15" customHeight="1">
      <c r="A173" s="171" t="s">
        <v>390</v>
      </c>
      <c r="B173" s="26" t="s">
        <v>391</v>
      </c>
      <c r="C173" s="27">
        <v>0</v>
      </c>
      <c r="E173" s="26" t="s">
        <v>391</v>
      </c>
      <c r="F173" s="27">
        <v>64</v>
      </c>
      <c r="G173" t="b">
        <f>IF(B173=E173,TRUE,FALSE)</f>
        <v>1</v>
      </c>
      <c r="J173" s="24">
        <f>F173-C173</f>
        <v>64</v>
      </c>
      <c r="K173" s="4" t="e">
        <f>F173/C173-1</f>
        <v>#DIV/0!</v>
      </c>
      <c r="M173" s="5">
        <v>0</v>
      </c>
      <c r="N173" s="5">
        <v>144.11000000000001</v>
      </c>
      <c r="Q173" s="121">
        <v>1570.06</v>
      </c>
      <c r="U173" s="145">
        <f>N173-M173</f>
        <v>144.11000000000001</v>
      </c>
      <c r="V173" s="4">
        <f>IF(M173=0,0,N173/M173-1)</f>
        <v>0</v>
      </c>
      <c r="W173" s="17">
        <v>0</v>
      </c>
      <c r="X173" s="17">
        <v>1727.36</v>
      </c>
      <c r="Y173" s="4" t="e">
        <f>X173/W173-1</f>
        <v>#DIV/0!</v>
      </c>
      <c r="Z173" s="4"/>
      <c r="AB173">
        <v>429</v>
      </c>
      <c r="AD173" s="25"/>
      <c r="AE173" s="25">
        <v>0.1492</v>
      </c>
    </row>
    <row r="174" spans="1:31" ht="15" customHeight="1">
      <c r="A174" t="s">
        <v>392</v>
      </c>
      <c r="B174" t="s">
        <v>393</v>
      </c>
      <c r="C174" s="27">
        <v>632</v>
      </c>
      <c r="E174" t="s">
        <v>393</v>
      </c>
      <c r="F174" s="27">
        <v>698</v>
      </c>
      <c r="G174" t="b">
        <f>IF(B174=E174,TRUE,FALSE)</f>
        <v>1</v>
      </c>
      <c r="J174" s="24">
        <f>F174-C174</f>
        <v>66</v>
      </c>
      <c r="K174" s="4">
        <f>F174/C174-1</f>
        <v>0.10443037974683533</v>
      </c>
      <c r="M174" s="5">
        <v>581.01</v>
      </c>
      <c r="N174" s="5">
        <v>657.25</v>
      </c>
      <c r="Q174" s="122">
        <v>4292.8999999999996</v>
      </c>
      <c r="U174" s="145">
        <f>N174-M174</f>
        <v>76.240000000000009</v>
      </c>
      <c r="V174" s="4">
        <f>IF(M174=0,0,N174/M174-1)</f>
        <v>0.13121977246519001</v>
      </c>
      <c r="W174" s="17">
        <v>15133.28</v>
      </c>
      <c r="X174" s="17">
        <v>16711.82</v>
      </c>
      <c r="Y174" s="4">
        <f>X174/W174-1</f>
        <v>0.10430917818212571</v>
      </c>
      <c r="Z174" s="4"/>
      <c r="AA174">
        <v>2523</v>
      </c>
      <c r="AB174">
        <v>2628</v>
      </c>
      <c r="AD174" s="25">
        <v>0.25009999999999999</v>
      </c>
      <c r="AE174" s="25">
        <v>0.26479999999999998</v>
      </c>
    </row>
    <row r="175" spans="1:31" ht="15" customHeight="1">
      <c r="A175" t="s">
        <v>394</v>
      </c>
      <c r="B175" t="s">
        <v>395</v>
      </c>
      <c r="C175" s="27">
        <v>271</v>
      </c>
      <c r="E175" t="s">
        <v>395</v>
      </c>
      <c r="F175" s="27">
        <v>341</v>
      </c>
      <c r="G175" t="b">
        <f>IF(B175=E175,TRUE,FALSE)</f>
        <v>1</v>
      </c>
      <c r="J175" s="24">
        <f>F175-C175</f>
        <v>70</v>
      </c>
      <c r="K175" s="4">
        <f>F175/C175-1</f>
        <v>0.25830258302583031</v>
      </c>
      <c r="M175" s="5">
        <v>299.17</v>
      </c>
      <c r="N175" s="5">
        <v>418.66999999999996</v>
      </c>
      <c r="Q175" s="122">
        <v>2727</v>
      </c>
      <c r="U175" s="145">
        <f>N175-M175</f>
        <v>119.49999999999994</v>
      </c>
      <c r="V175" s="4">
        <f>IF(M175=0,0,N175/M175-1)</f>
        <v>0.3994384463682854</v>
      </c>
      <c r="W175" s="17">
        <v>6492.33</v>
      </c>
      <c r="X175" s="17">
        <v>8166.9900000000007</v>
      </c>
      <c r="Y175" s="4">
        <f>X175/W175-1</f>
        <v>0.25794437436174689</v>
      </c>
      <c r="Z175" s="4"/>
      <c r="AA175">
        <v>1427</v>
      </c>
      <c r="AB175">
        <v>194</v>
      </c>
      <c r="AD175" s="25">
        <v>0.1142</v>
      </c>
      <c r="AE175" s="25">
        <v>6.7000000000000004E-2</v>
      </c>
    </row>
    <row r="176" spans="1:31" ht="15" customHeight="1">
      <c r="A176" t="s">
        <v>396</v>
      </c>
      <c r="B176" t="s">
        <v>397</v>
      </c>
      <c r="C176" s="27">
        <v>397</v>
      </c>
      <c r="E176" t="s">
        <v>397</v>
      </c>
      <c r="F176" s="27">
        <v>468</v>
      </c>
      <c r="G176" t="b">
        <f>IF(B176=E176,TRUE,FALSE)</f>
        <v>1</v>
      </c>
      <c r="J176" s="24">
        <f>F176-C176</f>
        <v>71</v>
      </c>
      <c r="K176" s="4">
        <f>F176/C176-1</f>
        <v>0.17884130982367763</v>
      </c>
      <c r="M176" s="5">
        <v>625.78</v>
      </c>
      <c r="N176" s="5">
        <v>437.98</v>
      </c>
      <c r="Q176" s="122">
        <v>2487.63</v>
      </c>
      <c r="U176" s="145">
        <f>N176-M176</f>
        <v>-187.79999999999995</v>
      </c>
      <c r="V176" s="4">
        <f>IF(M176=0,0,N176/M176-1)</f>
        <v>-0.30010546837546737</v>
      </c>
      <c r="W176" s="17">
        <v>7920.3899999999994</v>
      </c>
      <c r="X176" s="17">
        <v>9342.880000000001</v>
      </c>
      <c r="Y176" s="4">
        <f>X176/W176-1</f>
        <v>0.17959847936780915</v>
      </c>
      <c r="Z176" s="4"/>
      <c r="AA176">
        <v>2654</v>
      </c>
      <c r="AB176">
        <v>2602</v>
      </c>
      <c r="AD176" s="25">
        <v>8.0600000000000005E-2</v>
      </c>
      <c r="AE176" s="25">
        <v>8.0299999999999996E-2</v>
      </c>
    </row>
    <row r="177" spans="1:31" ht="15" customHeight="1">
      <c r="A177" t="s">
        <v>398</v>
      </c>
      <c r="B177" t="s">
        <v>399</v>
      </c>
      <c r="C177" s="27">
        <v>780</v>
      </c>
      <c r="E177" t="s">
        <v>399</v>
      </c>
      <c r="F177" s="27">
        <v>852</v>
      </c>
      <c r="G177" t="b">
        <f>IF(B177=E177,TRUE,FALSE)</f>
        <v>1</v>
      </c>
      <c r="J177" s="24">
        <f>F177-C177</f>
        <v>72</v>
      </c>
      <c r="K177" s="4">
        <f>F177/C177-1</f>
        <v>9.2307692307692202E-2</v>
      </c>
      <c r="M177" s="5">
        <v>432.08</v>
      </c>
      <c r="N177" s="5">
        <v>437.81</v>
      </c>
      <c r="Q177" s="122">
        <v>3284.48</v>
      </c>
      <c r="U177" s="145">
        <f>N177-M177</f>
        <v>5.7300000000000182</v>
      </c>
      <c r="V177" s="4">
        <f>IF(M177=0,0,N177/M177-1)</f>
        <v>1.3261433067950357E-2</v>
      </c>
      <c r="W177" s="17">
        <v>15561.36</v>
      </c>
      <c r="X177" s="17">
        <v>15728.32</v>
      </c>
      <c r="Y177" s="4">
        <f>X177/W177-1</f>
        <v>1.0729139355428963E-2</v>
      </c>
      <c r="Z177" s="4"/>
      <c r="AA177">
        <v>2134</v>
      </c>
      <c r="AB177">
        <v>2705</v>
      </c>
      <c r="AD177" s="25">
        <v>7.2599999999999998E-2</v>
      </c>
      <c r="AE177" s="25">
        <v>0.2218</v>
      </c>
    </row>
    <row r="178" spans="1:31" ht="15" customHeight="1">
      <c r="A178" s="39" t="s">
        <v>400</v>
      </c>
      <c r="B178" s="36" t="s">
        <v>401</v>
      </c>
      <c r="C178" s="27">
        <v>2147</v>
      </c>
      <c r="E178" s="36" t="s">
        <v>401</v>
      </c>
      <c r="F178" s="27">
        <v>2219</v>
      </c>
      <c r="G178" t="b">
        <f>IF(B178=E178,TRUE,FALSE)</f>
        <v>1</v>
      </c>
      <c r="J178" s="24">
        <f>F178-C178</f>
        <v>72</v>
      </c>
      <c r="K178" s="4">
        <f>F178/C178-1</f>
        <v>3.3535165346995743E-2</v>
      </c>
      <c r="M178" s="5">
        <v>2521.7800000000002</v>
      </c>
      <c r="N178" s="5">
        <v>3532.8</v>
      </c>
      <c r="Q178" s="121">
        <v>27503.119999999999</v>
      </c>
      <c r="U178" s="145">
        <f>N178-M178</f>
        <v>1011.02</v>
      </c>
      <c r="V178" s="4">
        <f>IF(M178=0,0,N178/M178-1)</f>
        <v>0.40091522654632827</v>
      </c>
      <c r="W178" s="17">
        <v>55252.33</v>
      </c>
      <c r="X178" s="17">
        <v>62356.82</v>
      </c>
      <c r="Y178" s="4">
        <f>X178/W178-1</f>
        <v>0.1285826317188794</v>
      </c>
      <c r="Z178" s="4"/>
      <c r="AA178">
        <v>10192</v>
      </c>
      <c r="AB178">
        <v>10298</v>
      </c>
      <c r="AD178" s="25">
        <v>0.2109</v>
      </c>
      <c r="AE178" s="25">
        <v>0.2152</v>
      </c>
    </row>
    <row r="179" spans="1:31" ht="15" customHeight="1">
      <c r="A179" s="39" t="s">
        <v>402</v>
      </c>
      <c r="B179" s="36" t="s">
        <v>403</v>
      </c>
      <c r="C179" s="27">
        <v>924</v>
      </c>
      <c r="E179" s="36" t="s">
        <v>403</v>
      </c>
      <c r="F179" s="27">
        <v>997</v>
      </c>
      <c r="G179" t="b">
        <f>IF(B179=E179,TRUE,FALSE)</f>
        <v>1</v>
      </c>
      <c r="J179" s="24">
        <f>F179-C179</f>
        <v>73</v>
      </c>
      <c r="K179" s="4">
        <f>F179/C179-1</f>
        <v>7.9004329004328966E-2</v>
      </c>
      <c r="M179" s="5">
        <v>1654.58</v>
      </c>
      <c r="N179" s="5">
        <v>1870.04</v>
      </c>
      <c r="Q179" s="121">
        <v>10324.36</v>
      </c>
      <c r="U179" s="145">
        <f>N179-M179</f>
        <v>215.46000000000004</v>
      </c>
      <c r="V179" s="4">
        <f>IF(M179=0,0,N179/M179-1)</f>
        <v>0.13022035803648069</v>
      </c>
      <c r="W179" s="17">
        <v>12924.94</v>
      </c>
      <c r="X179" s="17">
        <v>13946.77</v>
      </c>
      <c r="Y179" s="4">
        <f>X179/W179-1</f>
        <v>7.9058780930510997E-2</v>
      </c>
      <c r="Z179" s="4"/>
      <c r="AA179">
        <v>7161</v>
      </c>
      <c r="AB179">
        <v>7101</v>
      </c>
      <c r="AD179" s="25">
        <v>0.129</v>
      </c>
      <c r="AE179" s="25">
        <v>0.13970000000000002</v>
      </c>
    </row>
    <row r="180" spans="1:31" ht="15" customHeight="1">
      <c r="A180" s="171" t="s">
        <v>404</v>
      </c>
      <c r="B180" s="170" t="s">
        <v>405</v>
      </c>
      <c r="C180" s="27">
        <v>8</v>
      </c>
      <c r="E180" s="170" t="s">
        <v>405</v>
      </c>
      <c r="F180" s="27">
        <v>81</v>
      </c>
      <c r="G180" t="b">
        <f>IF(B180=E180,TRUE,FALSE)</f>
        <v>1</v>
      </c>
      <c r="J180" s="24">
        <f>F180-C180</f>
        <v>73</v>
      </c>
      <c r="K180" s="4">
        <f>F180/C180-1</f>
        <v>9.125</v>
      </c>
      <c r="M180" s="5">
        <v>49.47</v>
      </c>
      <c r="N180" s="5">
        <v>172.48</v>
      </c>
      <c r="Q180" s="122">
        <v>1218.08</v>
      </c>
      <c r="U180" s="145">
        <f>N180-M180</f>
        <v>123.00999999999999</v>
      </c>
      <c r="V180" s="4">
        <f>IF(M180=0,0,N180/M180-1)</f>
        <v>2.4865575096017789</v>
      </c>
      <c r="W180" s="17">
        <v>159.52000000000001</v>
      </c>
      <c r="X180" s="17">
        <v>1463.19</v>
      </c>
      <c r="Y180" s="4">
        <f>X180/W180-1</f>
        <v>8.1724548645937816</v>
      </c>
      <c r="Z180" s="4"/>
      <c r="AA180">
        <v>133</v>
      </c>
      <c r="AB180">
        <v>451</v>
      </c>
      <c r="AD180" s="25">
        <v>6.0199999999999997E-2</v>
      </c>
      <c r="AE180" s="25">
        <v>0.17960000000000001</v>
      </c>
    </row>
    <row r="181" spans="1:31" ht="15" customHeight="1">
      <c r="A181" t="s">
        <v>406</v>
      </c>
      <c r="B181" t="s">
        <v>407</v>
      </c>
      <c r="C181" s="27">
        <v>1377</v>
      </c>
      <c r="E181" t="s">
        <v>407</v>
      </c>
      <c r="F181" s="27">
        <v>1452</v>
      </c>
      <c r="G181" t="b">
        <f>IF(B181=E181,TRUE,FALSE)</f>
        <v>1</v>
      </c>
      <c r="J181" s="24">
        <f>F181-C181</f>
        <v>75</v>
      </c>
      <c r="K181" s="4">
        <f>F181/C181-1</f>
        <v>5.4466230936819127E-2</v>
      </c>
      <c r="M181" s="5">
        <v>2467.8200000000002</v>
      </c>
      <c r="N181" s="5">
        <v>2512.25</v>
      </c>
      <c r="Q181" s="122">
        <v>18968.52</v>
      </c>
      <c r="U181" s="145">
        <f>N181-M181</f>
        <v>44.429999999999836</v>
      </c>
      <c r="V181" s="4">
        <f>IF(M181=0,0,N181/M181-1)</f>
        <v>1.8003744195281612E-2</v>
      </c>
      <c r="W181" s="17">
        <v>34335.9</v>
      </c>
      <c r="X181" s="17">
        <v>36212.15</v>
      </c>
      <c r="Y181" s="4">
        <f>X181/W181-1</f>
        <v>5.4643973217536113E-2</v>
      </c>
      <c r="Z181" s="4"/>
      <c r="AA181">
        <v>3550</v>
      </c>
      <c r="AB181">
        <v>3562</v>
      </c>
      <c r="AD181" s="25">
        <v>0.38650000000000001</v>
      </c>
      <c r="AE181" s="25">
        <v>0.40479999999999999</v>
      </c>
    </row>
    <row r="182" spans="1:31" ht="15" customHeight="1">
      <c r="A182" t="s">
        <v>408</v>
      </c>
      <c r="B182" t="s">
        <v>409</v>
      </c>
      <c r="C182" s="27">
        <v>3111</v>
      </c>
      <c r="E182" t="s">
        <v>409</v>
      </c>
      <c r="F182" s="27">
        <v>3186</v>
      </c>
      <c r="G182" t="b">
        <f>IF(B182=E182,TRUE,FALSE)</f>
        <v>1</v>
      </c>
      <c r="J182" s="24">
        <f>F182-C182</f>
        <v>75</v>
      </c>
      <c r="K182" s="4">
        <f>F182/C182-1</f>
        <v>2.4108003857280513E-2</v>
      </c>
      <c r="M182" s="5">
        <v>9007.1299999999992</v>
      </c>
      <c r="N182" s="5">
        <v>5220.87</v>
      </c>
      <c r="Q182" s="122">
        <v>50016.85</v>
      </c>
      <c r="U182" s="145">
        <f>N182-M182</f>
        <v>-3786.2599999999993</v>
      </c>
      <c r="V182" s="4">
        <f>IF(M182=0,0,N182/M182-1)</f>
        <v>-0.42036253501392784</v>
      </c>
      <c r="W182" s="17">
        <v>83947.8</v>
      </c>
      <c r="X182" s="17">
        <v>85974.21</v>
      </c>
      <c r="Y182" s="4">
        <f>X182/W182-1</f>
        <v>2.4138929191712011E-2</v>
      </c>
      <c r="Z182" s="4"/>
      <c r="AA182">
        <v>8074</v>
      </c>
      <c r="AB182">
        <v>8180</v>
      </c>
      <c r="AD182" s="25">
        <v>0.38539999999999996</v>
      </c>
      <c r="AE182" s="25">
        <v>0.38909999999999995</v>
      </c>
    </row>
    <row r="183" spans="1:31" ht="14.25" customHeight="1">
      <c r="A183" s="36" t="s">
        <v>410</v>
      </c>
      <c r="B183" s="36" t="s">
        <v>411</v>
      </c>
      <c r="C183" s="27">
        <v>769</v>
      </c>
      <c r="E183" s="36" t="s">
        <v>411</v>
      </c>
      <c r="F183" s="27">
        <v>845</v>
      </c>
      <c r="G183" t="b">
        <f>IF(B183=E183,TRUE,FALSE)</f>
        <v>1</v>
      </c>
      <c r="J183" s="24">
        <f>F183-C183</f>
        <v>76</v>
      </c>
      <c r="K183" s="4">
        <f>F183/C183-1</f>
        <v>9.8829648894668498E-2</v>
      </c>
      <c r="M183" s="5">
        <v>1623.67</v>
      </c>
      <c r="N183" s="5">
        <v>1447</v>
      </c>
      <c r="Q183" s="122">
        <v>7987.56</v>
      </c>
      <c r="U183" s="145">
        <f>N183-M183</f>
        <v>-176.67000000000007</v>
      </c>
      <c r="V183" s="4">
        <f>IF(M183=0,0,N183/M183-1)</f>
        <v>-0.10880905602739477</v>
      </c>
      <c r="W183" s="17">
        <v>15371.51</v>
      </c>
      <c r="X183" s="17">
        <v>16888.75</v>
      </c>
      <c r="Y183" s="4">
        <f>X183/W183-1</f>
        <v>9.8704681583006382E-2</v>
      </c>
      <c r="Z183" s="4"/>
      <c r="AA183">
        <v>3876</v>
      </c>
      <c r="AB183">
        <v>3817</v>
      </c>
      <c r="AD183" s="25">
        <v>0.19839999999999999</v>
      </c>
      <c r="AE183" s="25">
        <v>0.22010000000000002</v>
      </c>
    </row>
    <row r="184" spans="1:31" ht="15" customHeight="1">
      <c r="A184" s="171" t="s">
        <v>412</v>
      </c>
      <c r="B184" s="26" t="s">
        <v>413</v>
      </c>
      <c r="C184" s="27">
        <v>0</v>
      </c>
      <c r="E184" s="26" t="s">
        <v>413</v>
      </c>
      <c r="F184" s="27">
        <v>76</v>
      </c>
      <c r="G184" t="b">
        <f>IF(B184=E184,TRUE,FALSE)</f>
        <v>1</v>
      </c>
      <c r="J184" s="24">
        <f>F184-C184</f>
        <v>76</v>
      </c>
      <c r="K184" s="4" t="e">
        <f>F184/C184-1</f>
        <v>#DIV/0!</v>
      </c>
      <c r="M184" s="5">
        <v>0</v>
      </c>
      <c r="N184" s="5">
        <v>43.52</v>
      </c>
      <c r="Q184" s="121">
        <v>100.93</v>
      </c>
      <c r="U184" s="145">
        <f>N184-M184</f>
        <v>43.52</v>
      </c>
      <c r="V184" s="4">
        <f>IF(M184=0,0,N184/M184-1)</f>
        <v>0</v>
      </c>
      <c r="W184" s="17">
        <v>0</v>
      </c>
      <c r="X184" s="17">
        <v>3722.26</v>
      </c>
      <c r="Y184" s="4" t="e">
        <f>X184/W184-1</f>
        <v>#DIV/0!</v>
      </c>
      <c r="Z184" s="4"/>
      <c r="AB184">
        <v>1039</v>
      </c>
      <c r="AD184" s="25"/>
      <c r="AE184" s="25">
        <v>7.22E-2</v>
      </c>
    </row>
    <row r="185" spans="1:31" ht="15" customHeight="1">
      <c r="A185" t="s">
        <v>414</v>
      </c>
      <c r="B185" t="s">
        <v>415</v>
      </c>
      <c r="C185" s="27">
        <v>955</v>
      </c>
      <c r="E185" t="s">
        <v>415</v>
      </c>
      <c r="F185" s="27">
        <v>1032</v>
      </c>
      <c r="G185" t="b">
        <f>IF(B185=E185,TRUE,FALSE)</f>
        <v>1</v>
      </c>
      <c r="J185" s="24">
        <f>F185-C185</f>
        <v>77</v>
      </c>
      <c r="K185" s="4">
        <f>F185/C185-1</f>
        <v>8.0628272251308974E-2</v>
      </c>
      <c r="M185" s="5">
        <v>676.5</v>
      </c>
      <c r="N185" s="5">
        <v>720.72</v>
      </c>
      <c r="Q185" s="122">
        <v>5967.37</v>
      </c>
      <c r="U185" s="145">
        <f>N185-M185</f>
        <v>44.220000000000027</v>
      </c>
      <c r="V185" s="4">
        <f>IF(M185=0,0,N185/M185-1)</f>
        <v>6.5365853658536643E-2</v>
      </c>
      <c r="W185" s="17">
        <v>44862.76</v>
      </c>
      <c r="X185" s="17">
        <v>48385.13</v>
      </c>
      <c r="Y185" s="4">
        <f>X185/W185-1</f>
        <v>7.8514340178802877E-2</v>
      </c>
      <c r="Z185" s="4"/>
      <c r="AA185">
        <v>3541</v>
      </c>
      <c r="AB185">
        <v>3931</v>
      </c>
      <c r="AD185" s="25">
        <v>0.26690000000000003</v>
      </c>
      <c r="AE185" s="25">
        <v>0.26129999999999998</v>
      </c>
    </row>
    <row r="186" spans="1:31" ht="15" customHeight="1">
      <c r="A186" s="39" t="s">
        <v>416</v>
      </c>
      <c r="B186" s="36" t="s">
        <v>417</v>
      </c>
      <c r="C186" s="27">
        <v>771</v>
      </c>
      <c r="E186" s="36" t="s">
        <v>417</v>
      </c>
      <c r="F186" s="27">
        <v>849</v>
      </c>
      <c r="G186" t="b">
        <f>IF(B186=E186,TRUE,FALSE)</f>
        <v>1</v>
      </c>
      <c r="J186" s="24">
        <f>F186-C186</f>
        <v>78</v>
      </c>
      <c r="K186" s="4">
        <f>F186/C186-1</f>
        <v>0.10116731517509736</v>
      </c>
      <c r="M186" s="5">
        <v>1965.88</v>
      </c>
      <c r="N186" s="5">
        <v>2166.31</v>
      </c>
      <c r="Q186" s="121">
        <v>10042.990000000002</v>
      </c>
      <c r="U186" s="145">
        <f>N186-M186</f>
        <v>200.42999999999984</v>
      </c>
      <c r="V186" s="4">
        <f>IF(M186=0,0,N186/M186-1)</f>
        <v>0.10195434105845713</v>
      </c>
      <c r="W186" s="17">
        <v>20729.650000000001</v>
      </c>
      <c r="X186" s="17">
        <v>24556.69</v>
      </c>
      <c r="Y186" s="4">
        <f>X186/W186-1</f>
        <v>0.18461672049455724</v>
      </c>
      <c r="Z186" s="4"/>
      <c r="AA186">
        <v>5703</v>
      </c>
      <c r="AB186">
        <v>5879</v>
      </c>
      <c r="AD186" s="25">
        <v>0.1348</v>
      </c>
      <c r="AE186" s="25">
        <v>0.14360000000000001</v>
      </c>
    </row>
    <row r="187" spans="1:31" ht="15" customHeight="1">
      <c r="A187" s="171" t="s">
        <v>418</v>
      </c>
      <c r="B187" s="170" t="s">
        <v>419</v>
      </c>
      <c r="C187" s="27">
        <v>36</v>
      </c>
      <c r="E187" s="170" t="s">
        <v>419</v>
      </c>
      <c r="F187" s="27">
        <v>114</v>
      </c>
      <c r="G187" t="b">
        <f>IF(B187=E187,TRUE,FALSE)</f>
        <v>1</v>
      </c>
      <c r="J187" s="24">
        <f>F187-C187</f>
        <v>78</v>
      </c>
      <c r="K187" s="4">
        <f>F187/C187-1</f>
        <v>2.1666666666666665</v>
      </c>
      <c r="M187" s="5">
        <v>43.88</v>
      </c>
      <c r="N187" s="5">
        <v>1063.18</v>
      </c>
      <c r="Q187" s="122">
        <v>2969.06</v>
      </c>
      <c r="U187" s="145">
        <f>N187-M187</f>
        <v>1019.3000000000001</v>
      </c>
      <c r="V187" s="4">
        <f>IF(M187=0,0,N187/M187-1)</f>
        <v>23.229261622607112</v>
      </c>
      <c r="W187" s="17">
        <v>1079.6400000000001</v>
      </c>
      <c r="X187" s="17">
        <v>2616.56</v>
      </c>
      <c r="Y187" s="4">
        <f>X187/W187-1</f>
        <v>1.4235485902708307</v>
      </c>
      <c r="Z187" s="4"/>
      <c r="AA187">
        <v>309</v>
      </c>
      <c r="AB187">
        <v>1078</v>
      </c>
      <c r="AD187" s="25">
        <v>0.11650000000000001</v>
      </c>
      <c r="AE187" s="25">
        <v>0.10580000000000001</v>
      </c>
    </row>
    <row r="188" spans="1:31" ht="15" customHeight="1">
      <c r="A188" t="s">
        <v>420</v>
      </c>
      <c r="B188" t="s">
        <v>421</v>
      </c>
      <c r="C188" s="27">
        <v>559</v>
      </c>
      <c r="E188" t="s">
        <v>421</v>
      </c>
      <c r="F188" s="27">
        <v>637</v>
      </c>
      <c r="G188" t="b">
        <f>IF(B188=E188,TRUE,FALSE)</f>
        <v>1</v>
      </c>
      <c r="J188" s="24">
        <f>F188-C188</f>
        <v>78</v>
      </c>
      <c r="K188" s="4">
        <f>F188/C188-1</f>
        <v>0.13953488372093026</v>
      </c>
      <c r="M188" s="5">
        <v>1310.78</v>
      </c>
      <c r="N188" s="5">
        <v>1193.6300000000001</v>
      </c>
      <c r="Q188" s="122">
        <v>7623.64</v>
      </c>
      <c r="U188" s="145">
        <f>N188-M188</f>
        <v>-117.14999999999986</v>
      </c>
      <c r="V188" s="4">
        <f>IF(M188=0,0,N188/M188-1)</f>
        <v>-8.9374265704389666E-2</v>
      </c>
      <c r="W188" s="17">
        <v>9343.81</v>
      </c>
      <c r="X188" s="17">
        <v>10908.63</v>
      </c>
      <c r="Y188" s="4">
        <f>X188/W188-1</f>
        <v>0.16747129918095505</v>
      </c>
      <c r="Z188" s="4"/>
      <c r="AA188">
        <v>4867</v>
      </c>
      <c r="AB188">
        <v>4128</v>
      </c>
      <c r="AD188" s="25">
        <v>0.11460000000000001</v>
      </c>
      <c r="AE188" s="25">
        <v>0.15380000000000002</v>
      </c>
    </row>
    <row r="189" spans="1:31" ht="15" customHeight="1">
      <c r="A189" s="171" t="s">
        <v>422</v>
      </c>
      <c r="B189" s="26" t="s">
        <v>423</v>
      </c>
      <c r="C189" s="27">
        <v>0</v>
      </c>
      <c r="E189" s="26" t="s">
        <v>423</v>
      </c>
      <c r="F189" s="27">
        <v>79</v>
      </c>
      <c r="G189" t="b">
        <f>IF(B189=E189,TRUE,FALSE)</f>
        <v>1</v>
      </c>
      <c r="J189" s="24">
        <f>F189-C189</f>
        <v>79</v>
      </c>
      <c r="K189" s="4" t="e">
        <f>F189/C189-1</f>
        <v>#DIV/0!</v>
      </c>
      <c r="M189" s="5">
        <v>0</v>
      </c>
      <c r="N189" s="5">
        <v>422.71</v>
      </c>
      <c r="Q189" s="122">
        <v>3241.5</v>
      </c>
      <c r="U189" s="145">
        <f>N189-M189</f>
        <v>422.71</v>
      </c>
      <c r="V189" s="4">
        <f>IF(M189=0,0,N189/M189-1)</f>
        <v>0</v>
      </c>
      <c r="W189" s="17">
        <v>0</v>
      </c>
      <c r="X189" s="17">
        <v>1973.96</v>
      </c>
      <c r="Y189" s="4" t="e">
        <f>X189/W189-1</f>
        <v>#DIV/0!</v>
      </c>
      <c r="Z189" s="4"/>
      <c r="AA189">
        <v>16</v>
      </c>
      <c r="AB189">
        <v>1014</v>
      </c>
      <c r="AD189" s="25">
        <v>0</v>
      </c>
      <c r="AE189" s="25">
        <v>7.7899999999999997E-2</v>
      </c>
    </row>
    <row r="190" spans="1:31" ht="12" customHeight="1">
      <c r="A190" t="s">
        <v>424</v>
      </c>
      <c r="B190" t="s">
        <v>425</v>
      </c>
      <c r="C190" s="27">
        <v>794</v>
      </c>
      <c r="E190" t="s">
        <v>425</v>
      </c>
      <c r="F190" s="27">
        <v>874</v>
      </c>
      <c r="G190" t="b">
        <f>IF(B190=E190,TRUE,FALSE)</f>
        <v>1</v>
      </c>
      <c r="J190" s="24">
        <f>F190-C190</f>
        <v>80</v>
      </c>
      <c r="K190" s="4">
        <f>F190/C190-1</f>
        <v>0.10075566750629728</v>
      </c>
      <c r="M190" s="5">
        <v>1122.0300000000002</v>
      </c>
      <c r="N190" s="5">
        <v>976.71</v>
      </c>
      <c r="Q190" s="122">
        <v>5750.1</v>
      </c>
      <c r="U190" s="145">
        <f>N190-M190</f>
        <v>-145.32000000000016</v>
      </c>
      <c r="V190" s="4">
        <f>IF(M190=0,0,N190/M190-1)</f>
        <v>-0.12951525360284499</v>
      </c>
      <c r="W190" s="17">
        <v>23804.22</v>
      </c>
      <c r="X190" s="17">
        <v>26207.32</v>
      </c>
      <c r="Y190" s="4">
        <f>X190/W190-1</f>
        <v>0.10095268822082804</v>
      </c>
      <c r="Z190" s="4"/>
      <c r="AA190">
        <v>2953</v>
      </c>
      <c r="AB190">
        <v>2788</v>
      </c>
      <c r="AD190" s="25">
        <v>0.26919999999999999</v>
      </c>
      <c r="AE190" s="25">
        <v>0.30920000000000003</v>
      </c>
    </row>
    <row r="191" spans="1:31" ht="15" customHeight="1">
      <c r="A191" s="126" t="s">
        <v>426</v>
      </c>
      <c r="B191" s="126" t="s">
        <v>427</v>
      </c>
      <c r="C191" s="27">
        <v>552</v>
      </c>
      <c r="E191" s="126" t="s">
        <v>427</v>
      </c>
      <c r="F191" s="27">
        <v>632</v>
      </c>
      <c r="G191" t="b">
        <f>IF(B191=E191,TRUE,FALSE)</f>
        <v>1</v>
      </c>
      <c r="J191" s="24">
        <f>F191-C191</f>
        <v>80</v>
      </c>
      <c r="K191" s="4">
        <f>F191/C191-1</f>
        <v>0.14492753623188404</v>
      </c>
      <c r="M191" s="5">
        <v>1825.8</v>
      </c>
      <c r="N191" s="5">
        <v>2307.11</v>
      </c>
      <c r="Q191" s="121">
        <v>10910.29</v>
      </c>
      <c r="U191" s="145">
        <f>N191-M191</f>
        <v>481.31000000000017</v>
      </c>
      <c r="V191" s="4">
        <f>IF(M191=0,0,N191/M191-1)</f>
        <v>0.26361594917296527</v>
      </c>
      <c r="W191" s="17">
        <v>12619.44</v>
      </c>
      <c r="X191" s="17">
        <v>14056</v>
      </c>
      <c r="Y191" s="4">
        <f>X191/W191-1</f>
        <v>0.11383706408525263</v>
      </c>
      <c r="Z191" s="4"/>
      <c r="AA191">
        <v>4503</v>
      </c>
      <c r="AB191">
        <v>4709</v>
      </c>
      <c r="AD191" s="25">
        <v>0.12279999999999999</v>
      </c>
      <c r="AE191" s="25">
        <v>0.1336</v>
      </c>
    </row>
    <row r="192" spans="1:31" ht="15" customHeight="1">
      <c r="A192" t="s">
        <v>428</v>
      </c>
      <c r="B192" t="s">
        <v>429</v>
      </c>
      <c r="C192" s="27">
        <v>928</v>
      </c>
      <c r="E192" t="s">
        <v>429</v>
      </c>
      <c r="F192" s="27">
        <v>1009</v>
      </c>
      <c r="G192" t="b">
        <f>IF(B192=E192,TRUE,FALSE)</f>
        <v>1</v>
      </c>
      <c r="J192" s="24">
        <f>F192-C192</f>
        <v>81</v>
      </c>
      <c r="K192" s="4">
        <f>F192/C192-1</f>
        <v>8.7284482758620774E-2</v>
      </c>
      <c r="M192" s="5">
        <v>1734.62</v>
      </c>
      <c r="N192" s="5">
        <v>1577.02</v>
      </c>
      <c r="Q192" s="122">
        <v>11337.81</v>
      </c>
      <c r="U192" s="145">
        <f>N192-M192</f>
        <v>-157.59999999999991</v>
      </c>
      <c r="V192" s="4">
        <f>IF(M192=0,0,N192/M192-1)</f>
        <v>-9.0855634087004589E-2</v>
      </c>
      <c r="W192" s="17">
        <v>24076.400000000001</v>
      </c>
      <c r="X192" s="17">
        <v>26176.79</v>
      </c>
      <c r="Y192" s="4">
        <f>X192/W192-1</f>
        <v>8.723854064561154E-2</v>
      </c>
      <c r="Z192" s="4"/>
      <c r="AA192">
        <v>4459</v>
      </c>
      <c r="AB192">
        <v>4432</v>
      </c>
      <c r="AD192" s="25">
        <v>0.20829999999999999</v>
      </c>
      <c r="AE192" s="25">
        <v>0.22559999999999999</v>
      </c>
    </row>
    <row r="193" spans="1:31" ht="15" customHeight="1">
      <c r="A193" t="s">
        <v>430</v>
      </c>
      <c r="B193" t="s">
        <v>431</v>
      </c>
      <c r="C193" s="27">
        <v>48</v>
      </c>
      <c r="E193" t="s">
        <v>431</v>
      </c>
      <c r="F193" s="27">
        <v>132</v>
      </c>
      <c r="G193" t="b">
        <f>IF(B193=E193,TRUE,FALSE)</f>
        <v>1</v>
      </c>
      <c r="J193" s="24">
        <f>F193-C193</f>
        <v>84</v>
      </c>
      <c r="K193" s="4">
        <f>F193/C193-1</f>
        <v>1.75</v>
      </c>
      <c r="M193" s="5">
        <v>324.24</v>
      </c>
      <c r="N193" s="5">
        <v>774.92</v>
      </c>
      <c r="Q193" s="122">
        <v>2820.96</v>
      </c>
      <c r="U193" s="145">
        <f>N193-M193</f>
        <v>450.67999999999995</v>
      </c>
      <c r="V193" s="4">
        <f>IF(M193=0,0,N193/M193-1)</f>
        <v>1.3899580557611642</v>
      </c>
      <c r="W193" s="17">
        <v>991.27</v>
      </c>
      <c r="X193" s="17">
        <v>2538.6799999999998</v>
      </c>
      <c r="Y193" s="4">
        <f>X193/W193-1</f>
        <v>1.5610378605223603</v>
      </c>
      <c r="Z193" s="4"/>
      <c r="AA193">
        <v>632</v>
      </c>
      <c r="AB193">
        <v>921</v>
      </c>
      <c r="AD193" s="25">
        <v>7.5899999999999995E-2</v>
      </c>
      <c r="AE193" s="25">
        <v>0.14219999999999999</v>
      </c>
    </row>
    <row r="194" spans="1:31" ht="15" customHeight="1">
      <c r="A194" t="s">
        <v>432</v>
      </c>
      <c r="B194" t="s">
        <v>433</v>
      </c>
      <c r="C194" s="27">
        <v>1611</v>
      </c>
      <c r="E194" t="s">
        <v>433</v>
      </c>
      <c r="F194" s="27">
        <v>1695</v>
      </c>
      <c r="G194" t="b">
        <f>IF(B194=E194,TRUE,FALSE)</f>
        <v>1</v>
      </c>
      <c r="J194" s="24">
        <f>F194-C194</f>
        <v>84</v>
      </c>
      <c r="K194" s="4">
        <f>F194/C194-1</f>
        <v>5.2141527001862142E-2</v>
      </c>
      <c r="M194" s="5">
        <v>1993.67</v>
      </c>
      <c r="N194" s="5">
        <v>3721.8</v>
      </c>
      <c r="Q194" s="122">
        <v>21240.47</v>
      </c>
      <c r="U194" s="145">
        <f>N194-M194</f>
        <v>1728.13</v>
      </c>
      <c r="V194" s="4">
        <f>IF(M194=0,0,N194/M194-1)</f>
        <v>0.86680844874026297</v>
      </c>
      <c r="W194" s="17">
        <v>43391.07</v>
      </c>
      <c r="X194" s="17">
        <v>45660.04</v>
      </c>
      <c r="Y194" s="4">
        <f>X194/W194-1</f>
        <v>5.2291174197824697E-2</v>
      </c>
      <c r="Z194" s="4"/>
      <c r="AA194">
        <v>5388</v>
      </c>
      <c r="AB194">
        <v>6809</v>
      </c>
      <c r="AD194" s="25">
        <v>0.2984</v>
      </c>
      <c r="AE194" s="25">
        <v>0.24829999999999999</v>
      </c>
    </row>
    <row r="195" spans="1:31" ht="15" customHeight="1">
      <c r="A195" s="26" t="s">
        <v>434</v>
      </c>
      <c r="B195" s="26" t="s">
        <v>435</v>
      </c>
      <c r="C195" s="27">
        <v>0</v>
      </c>
      <c r="E195" s="26" t="s">
        <v>435</v>
      </c>
      <c r="F195" s="27">
        <v>84</v>
      </c>
      <c r="G195" t="b">
        <f>IF(B195=E195,TRUE,FALSE)</f>
        <v>1</v>
      </c>
      <c r="J195" s="24">
        <f>F195-C195</f>
        <v>84</v>
      </c>
      <c r="K195" s="4" t="e">
        <f>F195/C195-1</f>
        <v>#DIV/0!</v>
      </c>
      <c r="M195" s="5">
        <v>0</v>
      </c>
      <c r="N195" s="5">
        <v>503.21</v>
      </c>
      <c r="Q195" s="121">
        <v>1638.55</v>
      </c>
      <c r="U195" s="145">
        <f>N195-M195</f>
        <v>503.21</v>
      </c>
      <c r="V195" s="4">
        <f>IF(M195=0,0,N195/M195-1)</f>
        <v>0</v>
      </c>
      <c r="W195" s="17">
        <v>0</v>
      </c>
      <c r="X195" s="17">
        <v>1679.16</v>
      </c>
      <c r="Y195" s="4" t="e">
        <f>X195/W195-1</f>
        <v>#DIV/0!</v>
      </c>
      <c r="Z195" s="4"/>
      <c r="AB195">
        <v>790</v>
      </c>
      <c r="AD195" s="25"/>
      <c r="AE195" s="25">
        <v>0.10630000000000001</v>
      </c>
    </row>
    <row r="196" spans="1:31" ht="15" customHeight="1">
      <c r="A196" t="s">
        <v>436</v>
      </c>
      <c r="B196" t="s">
        <v>437</v>
      </c>
      <c r="C196" s="27">
        <v>528</v>
      </c>
      <c r="E196" t="s">
        <v>437</v>
      </c>
      <c r="F196" s="27">
        <v>613</v>
      </c>
      <c r="G196" t="b">
        <f>IF(B196=E196,TRUE,FALSE)</f>
        <v>1</v>
      </c>
      <c r="J196" s="24">
        <f>F196-C196</f>
        <v>85</v>
      </c>
      <c r="K196" s="4">
        <f>F196/C196-1</f>
        <v>0.1609848484848484</v>
      </c>
      <c r="M196" s="5">
        <v>51.76</v>
      </c>
      <c r="N196" s="5">
        <v>484.01</v>
      </c>
      <c r="Q196" s="122">
        <v>3283.69</v>
      </c>
      <c r="U196" s="145">
        <f>N196-M196</f>
        <v>432.25</v>
      </c>
      <c r="V196" s="4">
        <f>IF(M196=0,0,N196/M196-1)</f>
        <v>8.3510432766615157</v>
      </c>
      <c r="W196" s="17">
        <v>10548.44</v>
      </c>
      <c r="X196" s="17">
        <v>12180.32</v>
      </c>
      <c r="Y196" s="4">
        <f>X196/W196-1</f>
        <v>0.15470344430076866</v>
      </c>
      <c r="Z196" s="4"/>
      <c r="AA196">
        <v>2813</v>
      </c>
      <c r="AB196">
        <v>3426</v>
      </c>
      <c r="AD196" s="25">
        <v>0.18659999999999999</v>
      </c>
      <c r="AE196" s="25">
        <v>0.17809999999999998</v>
      </c>
    </row>
    <row r="197" spans="1:31" ht="15" customHeight="1">
      <c r="A197" t="s">
        <v>438</v>
      </c>
      <c r="B197" t="s">
        <v>439</v>
      </c>
      <c r="C197" s="27">
        <v>1162</v>
      </c>
      <c r="E197" t="s">
        <v>439</v>
      </c>
      <c r="F197" s="27">
        <v>1248</v>
      </c>
      <c r="G197" t="b">
        <f>IF(B197=E197,TRUE,FALSE)</f>
        <v>1</v>
      </c>
      <c r="J197" s="24">
        <f>F197-C197</f>
        <v>86</v>
      </c>
      <c r="K197" s="4">
        <f>F197/C197-1</f>
        <v>7.4010327022375311E-2</v>
      </c>
      <c r="M197" s="5">
        <v>3539.98</v>
      </c>
      <c r="N197" s="5">
        <v>3513.61</v>
      </c>
      <c r="Q197" s="122">
        <v>15693.73</v>
      </c>
      <c r="U197" s="145">
        <f>N197-M197</f>
        <v>-26.369999999999891</v>
      </c>
      <c r="V197" s="4">
        <f>IF(M197=0,0,N197/M197-1)</f>
        <v>-7.4491946282182475E-3</v>
      </c>
      <c r="W197" s="17">
        <v>27872.54</v>
      </c>
      <c r="X197" s="17">
        <v>29935.919999999998</v>
      </c>
      <c r="Y197" s="4">
        <f>X197/W197-1</f>
        <v>7.4029134050933143E-2</v>
      </c>
      <c r="Z197" s="4"/>
      <c r="AA197">
        <v>5177</v>
      </c>
      <c r="AB197">
        <v>5095</v>
      </c>
      <c r="AD197" s="25">
        <v>0.22409999999999999</v>
      </c>
      <c r="AE197" s="25">
        <v>0.2422</v>
      </c>
    </row>
    <row r="198" spans="1:31" ht="15" customHeight="1">
      <c r="A198" t="s">
        <v>440</v>
      </c>
      <c r="B198" t="s">
        <v>441</v>
      </c>
      <c r="C198" s="27">
        <v>759</v>
      </c>
      <c r="E198" t="s">
        <v>441</v>
      </c>
      <c r="F198" s="27">
        <v>845</v>
      </c>
      <c r="G198" t="b">
        <f>IF(B198=E198,TRUE,FALSE)</f>
        <v>1</v>
      </c>
      <c r="J198" s="24">
        <f>F198-C198</f>
        <v>86</v>
      </c>
      <c r="K198" s="4">
        <f>F198/C198-1</f>
        <v>0.1133069828722002</v>
      </c>
      <c r="M198" s="5">
        <v>917.78</v>
      </c>
      <c r="N198" s="5">
        <v>1076.95</v>
      </c>
      <c r="Q198" s="122">
        <v>9430.36</v>
      </c>
      <c r="U198" s="145">
        <f>N198-M198</f>
        <v>159.17000000000007</v>
      </c>
      <c r="V198" s="4">
        <f>IF(M198=0,0,N198/M198-1)</f>
        <v>0.17342936215650817</v>
      </c>
      <c r="W198" s="17">
        <v>21996.74</v>
      </c>
      <c r="X198" s="17">
        <v>24488.14</v>
      </c>
      <c r="Y198" s="4">
        <f>X198/W198-1</f>
        <v>0.11326223794980517</v>
      </c>
      <c r="Z198" s="4"/>
      <c r="AA198">
        <v>1794</v>
      </c>
      <c r="AB198">
        <v>2014</v>
      </c>
      <c r="AD198" s="25">
        <v>0.42310000000000003</v>
      </c>
      <c r="AE198" s="25">
        <v>0.41659999999999997</v>
      </c>
    </row>
    <row r="199" spans="1:31" ht="15" customHeight="1">
      <c r="A199" t="s">
        <v>442</v>
      </c>
      <c r="B199" t="s">
        <v>443</v>
      </c>
      <c r="C199" s="27">
        <v>1640</v>
      </c>
      <c r="E199" t="s">
        <v>443</v>
      </c>
      <c r="F199" s="27">
        <v>1726</v>
      </c>
      <c r="G199" t="b">
        <f>IF(B199=E199,TRUE,FALSE)</f>
        <v>1</v>
      </c>
      <c r="J199" s="24">
        <f>F199-C199</f>
        <v>86</v>
      </c>
      <c r="K199" s="4">
        <f>F199/C199-1</f>
        <v>5.2439024390243949E-2</v>
      </c>
      <c r="M199" s="5">
        <v>603.29999999999995</v>
      </c>
      <c r="N199" s="5">
        <v>976.56</v>
      </c>
      <c r="Q199" s="122">
        <v>5228.3500000000004</v>
      </c>
      <c r="U199" s="145">
        <f>N199-M199</f>
        <v>373.26</v>
      </c>
      <c r="V199" s="4">
        <f>IF(M199=0,0,N199/M199-1)</f>
        <v>0.61869716558925902</v>
      </c>
      <c r="W199" s="17">
        <v>32779.599999999999</v>
      </c>
      <c r="X199" s="17">
        <v>32546.58</v>
      </c>
      <c r="Y199" s="4">
        <f>X199/W199-1</f>
        <v>-7.1086895508181147E-3</v>
      </c>
      <c r="Z199" s="4"/>
      <c r="AA199">
        <v>4925</v>
      </c>
      <c r="AB199">
        <v>5278</v>
      </c>
      <c r="AD199" s="25">
        <v>0.33340000000000003</v>
      </c>
      <c r="AE199" s="25">
        <v>0.32549999999999996</v>
      </c>
    </row>
    <row r="200" spans="1:31" ht="15" customHeight="1">
      <c r="A200" s="36" t="s">
        <v>444</v>
      </c>
      <c r="B200" s="36" t="s">
        <v>445</v>
      </c>
      <c r="C200" s="27">
        <v>998</v>
      </c>
      <c r="E200" s="36" t="s">
        <v>445</v>
      </c>
      <c r="F200" s="27">
        <v>1086</v>
      </c>
      <c r="G200" t="b">
        <f>IF(B200=E200,TRUE,FALSE)</f>
        <v>1</v>
      </c>
      <c r="J200" s="24">
        <f>F200-C200</f>
        <v>88</v>
      </c>
      <c r="K200" s="4">
        <f>F200/C200-1</f>
        <v>8.817635270541091E-2</v>
      </c>
      <c r="M200" s="5">
        <v>2475.0700000000002</v>
      </c>
      <c r="N200" s="5">
        <v>2556.4899999999998</v>
      </c>
      <c r="Q200" s="122">
        <v>9832.2199999999993</v>
      </c>
      <c r="U200" s="145">
        <f>N200-M200</f>
        <v>81.419999999999618</v>
      </c>
      <c r="V200" s="4">
        <f>IF(M200=0,0,N200/M200-1)</f>
        <v>3.2896039303938807E-2</v>
      </c>
      <c r="W200" s="17">
        <v>9969.42</v>
      </c>
      <c r="X200" s="17">
        <v>10847.84</v>
      </c>
      <c r="Y200" s="4">
        <f>X200/W200-1</f>
        <v>8.8111444798192773E-2</v>
      </c>
      <c r="Z200" s="4"/>
      <c r="AA200">
        <v>4790</v>
      </c>
      <c r="AB200">
        <v>5145</v>
      </c>
      <c r="AD200" s="25">
        <v>0.20960000000000001</v>
      </c>
      <c r="AE200" s="25">
        <v>0.2107</v>
      </c>
    </row>
    <row r="201" spans="1:31" ht="15" customHeight="1">
      <c r="A201" s="125" t="s">
        <v>446</v>
      </c>
      <c r="B201" s="36" t="s">
        <v>447</v>
      </c>
      <c r="C201" s="27">
        <v>556</v>
      </c>
      <c r="E201" s="36" t="s">
        <v>447</v>
      </c>
      <c r="F201" s="27">
        <v>644</v>
      </c>
      <c r="G201" t="b">
        <f>IF(B201=E201,TRUE,FALSE)</f>
        <v>1</v>
      </c>
      <c r="J201" s="24">
        <f>F201-C201</f>
        <v>88</v>
      </c>
      <c r="K201" s="4">
        <f>F201/C201-1</f>
        <v>0.15827338129496393</v>
      </c>
      <c r="M201" s="5">
        <v>802.77</v>
      </c>
      <c r="N201" s="5">
        <v>981.22</v>
      </c>
      <c r="Q201" s="121">
        <v>4041.37</v>
      </c>
      <c r="U201" s="145">
        <f>N201-M201</f>
        <v>178.45000000000005</v>
      </c>
      <c r="V201" s="4">
        <f>IF(M201=0,0,N201/M201-1)</f>
        <v>0.22229281114142285</v>
      </c>
      <c r="W201" s="17">
        <v>11381.94</v>
      </c>
      <c r="X201" s="17">
        <v>13324.06</v>
      </c>
      <c r="Y201" s="4"/>
      <c r="Z201" s="4"/>
      <c r="AA201">
        <v>3562</v>
      </c>
      <c r="AB201">
        <v>3890</v>
      </c>
      <c r="AD201" s="25">
        <v>0.15609999999999999</v>
      </c>
      <c r="AE201" s="25">
        <v>0.1653</v>
      </c>
    </row>
    <row r="202" spans="1:31" ht="15" customHeight="1">
      <c r="A202" t="s">
        <v>448</v>
      </c>
      <c r="B202" t="s">
        <v>449</v>
      </c>
      <c r="C202" s="27">
        <v>1002</v>
      </c>
      <c r="E202" t="s">
        <v>449</v>
      </c>
      <c r="F202" s="27">
        <v>1092</v>
      </c>
      <c r="G202" t="b">
        <f>IF(B202=E202,TRUE,FALSE)</f>
        <v>1</v>
      </c>
      <c r="J202" s="24">
        <f>F202-C202</f>
        <v>90</v>
      </c>
      <c r="K202" s="4">
        <f>F202/C202-1</f>
        <v>8.9820359281437057E-2</v>
      </c>
      <c r="M202" s="5">
        <v>2103.2399999999998</v>
      </c>
      <c r="N202" s="5">
        <v>2234.5500000000002</v>
      </c>
      <c r="Q202" s="122">
        <v>15148.38</v>
      </c>
      <c r="U202" s="145">
        <f>N202-M202</f>
        <v>131.3100000000004</v>
      </c>
      <c r="V202" s="4">
        <f>IF(M202=0,0,N202/M202-1)</f>
        <v>6.2432247389741846E-2</v>
      </c>
      <c r="W202" s="17">
        <v>30045.18</v>
      </c>
      <c r="X202" s="17">
        <v>32742.48</v>
      </c>
      <c r="Y202" s="4">
        <f>X202/W202-1</f>
        <v>8.9774799152476437E-2</v>
      </c>
      <c r="Z202" s="4"/>
      <c r="AA202">
        <v>5838</v>
      </c>
      <c r="AB202">
        <v>5599</v>
      </c>
      <c r="AD202" s="25">
        <v>0.1709</v>
      </c>
      <c r="AE202" s="25">
        <v>0.1938</v>
      </c>
    </row>
    <row r="203" spans="1:31" ht="15" customHeight="1">
      <c r="A203" s="39" t="s">
        <v>450</v>
      </c>
      <c r="B203" s="36" t="s">
        <v>451</v>
      </c>
      <c r="C203" s="18">
        <v>870</v>
      </c>
      <c r="E203" s="36" t="s">
        <v>451</v>
      </c>
      <c r="F203" s="18">
        <v>960</v>
      </c>
      <c r="G203" t="b">
        <f>IF(B203=E203,TRUE,FALSE)</f>
        <v>1</v>
      </c>
      <c r="J203" s="24">
        <f>F203-C203</f>
        <v>90</v>
      </c>
      <c r="K203" s="4">
        <f>F203/C203-1</f>
        <v>0.10344827586206895</v>
      </c>
      <c r="M203" s="5">
        <v>1039.76</v>
      </c>
      <c r="N203" s="5">
        <v>1247.01</v>
      </c>
      <c r="Q203" s="121">
        <v>6719.33</v>
      </c>
      <c r="U203" s="145">
        <f>N203-M203</f>
        <v>207.25</v>
      </c>
      <c r="V203" s="4">
        <f>IF(M203=0,0,N203/M203-1)</f>
        <v>0.19932484419481411</v>
      </c>
      <c r="W203">
        <v>17388.900000000001</v>
      </c>
      <c r="X203">
        <v>18057.2</v>
      </c>
      <c r="Y203" s="4">
        <f>X203/W203-1</f>
        <v>3.8432563301876499E-2</v>
      </c>
      <c r="Z203" s="4"/>
      <c r="AA203">
        <v>3826</v>
      </c>
      <c r="AB203">
        <v>4368</v>
      </c>
      <c r="AD203" s="25">
        <v>0.22739999999999999</v>
      </c>
      <c r="AE203" s="25">
        <v>0.21960000000000002</v>
      </c>
    </row>
    <row r="204" spans="1:31" ht="15" customHeight="1">
      <c r="A204" t="s">
        <v>452</v>
      </c>
      <c r="B204" t="s">
        <v>453</v>
      </c>
      <c r="C204" s="27">
        <v>488</v>
      </c>
      <c r="E204" t="s">
        <v>453</v>
      </c>
      <c r="F204" s="27">
        <v>578</v>
      </c>
      <c r="G204" t="b">
        <f>IF(B204=E204,TRUE,FALSE)</f>
        <v>1</v>
      </c>
      <c r="J204" s="24">
        <f>F204-C204</f>
        <v>90</v>
      </c>
      <c r="K204" s="4">
        <f>F204/C204-1</f>
        <v>0.18442622950819665</v>
      </c>
      <c r="M204" s="5">
        <v>759.41000000000008</v>
      </c>
      <c r="N204" s="5">
        <v>926.53</v>
      </c>
      <c r="Q204" s="122">
        <v>5703.35</v>
      </c>
      <c r="U204" s="145">
        <f>N204-M204</f>
        <v>167.11999999999989</v>
      </c>
      <c r="V204" s="4">
        <f>IF(M204=0,0,N204/M204-1)</f>
        <v>0.22006557722442399</v>
      </c>
      <c r="W204" s="17">
        <v>14618.82</v>
      </c>
      <c r="X204" s="17">
        <v>17311.140000000003</v>
      </c>
      <c r="Y204" s="4">
        <f>X204/W204-1</f>
        <v>0.18416807922937717</v>
      </c>
      <c r="Z204" s="4"/>
      <c r="AA204">
        <v>1653</v>
      </c>
      <c r="AB204">
        <v>91</v>
      </c>
      <c r="AD204" s="25">
        <v>0.20449999999999999</v>
      </c>
      <c r="AE204" s="25">
        <v>1.1000000000000001E-2</v>
      </c>
    </row>
    <row r="205" spans="1:31" ht="15" customHeight="1">
      <c r="A205" s="126" t="s">
        <v>454</v>
      </c>
      <c r="B205" s="126" t="s">
        <v>455</v>
      </c>
      <c r="C205" s="27">
        <v>178</v>
      </c>
      <c r="E205" s="126" t="s">
        <v>455</v>
      </c>
      <c r="F205" s="27">
        <v>271</v>
      </c>
      <c r="G205" t="b">
        <f>IF(B205=E205,TRUE,FALSE)</f>
        <v>1</v>
      </c>
      <c r="J205" s="24">
        <f>F205-C205</f>
        <v>93</v>
      </c>
      <c r="K205" s="4">
        <f>F205/C205-1</f>
        <v>0.52247191011235961</v>
      </c>
      <c r="M205" s="5">
        <v>1620.25</v>
      </c>
      <c r="N205" s="5">
        <v>2023.46</v>
      </c>
      <c r="Q205" s="121">
        <v>11766.83</v>
      </c>
      <c r="U205" s="145">
        <f>N205-M205</f>
        <v>403.21000000000004</v>
      </c>
      <c r="V205" s="4">
        <f>IF(M205=0,0,N205/M205-1)</f>
        <v>0.24885665792315992</v>
      </c>
      <c r="W205" s="17">
        <v>6940.22</v>
      </c>
      <c r="X205" s="17">
        <v>10564.73</v>
      </c>
      <c r="Y205" s="4">
        <f>X205/W205-1</f>
        <v>0.52224713337617534</v>
      </c>
      <c r="Z205" s="4"/>
      <c r="AA205">
        <v>3272</v>
      </c>
      <c r="AB205">
        <v>3245</v>
      </c>
      <c r="AD205" s="25">
        <v>5.4400000000000004E-2</v>
      </c>
      <c r="AE205" s="25">
        <v>8.3499999999999991E-2</v>
      </c>
    </row>
    <row r="206" spans="1:31" ht="15" customHeight="1">
      <c r="A206" s="171" t="s">
        <v>456</v>
      </c>
      <c r="B206" s="26" t="s">
        <v>457</v>
      </c>
      <c r="C206" s="27">
        <v>1</v>
      </c>
      <c r="E206" s="26" t="s">
        <v>457</v>
      </c>
      <c r="F206" s="27">
        <v>94</v>
      </c>
      <c r="G206" t="b">
        <f>IF(B206=E206,TRUE,FALSE)</f>
        <v>1</v>
      </c>
      <c r="J206" s="24">
        <f>F206-C206</f>
        <v>93</v>
      </c>
      <c r="K206" s="4">
        <f>F206/C206-1</f>
        <v>93</v>
      </c>
      <c r="M206" s="5">
        <v>0.96</v>
      </c>
      <c r="N206" s="5">
        <v>669.33</v>
      </c>
      <c r="Q206" s="122">
        <v>2102.87</v>
      </c>
      <c r="U206" s="145">
        <f>N206-M206</f>
        <v>668.37</v>
      </c>
      <c r="V206" s="4">
        <f>IF(M206=0,0,N206/M206-1)</f>
        <v>696.21875000000011</v>
      </c>
      <c r="W206" s="17">
        <v>29.99</v>
      </c>
      <c r="X206" s="17">
        <v>1766.86</v>
      </c>
      <c r="Y206" s="4">
        <f>X206/W206-1</f>
        <v>57.91497165721907</v>
      </c>
      <c r="Z206" s="4"/>
      <c r="AA206">
        <v>23</v>
      </c>
      <c r="AB206">
        <v>942</v>
      </c>
      <c r="AD206" s="25">
        <v>4.3499999999999997E-2</v>
      </c>
      <c r="AE206" s="25">
        <v>9.98E-2</v>
      </c>
    </row>
    <row r="207" spans="1:31" ht="15" customHeight="1">
      <c r="A207" t="s">
        <v>458</v>
      </c>
      <c r="B207" t="s">
        <v>459</v>
      </c>
      <c r="C207" s="27">
        <v>562</v>
      </c>
      <c r="E207" t="s">
        <v>459</v>
      </c>
      <c r="F207" s="27">
        <v>657</v>
      </c>
      <c r="G207" t="b">
        <f>IF(B207=E207,TRUE,FALSE)</f>
        <v>1</v>
      </c>
      <c r="J207" s="24">
        <f>F207-C207</f>
        <v>95</v>
      </c>
      <c r="K207" s="4">
        <f>F207/C207-1</f>
        <v>0.16903914590747338</v>
      </c>
      <c r="M207" s="5">
        <v>355.56</v>
      </c>
      <c r="N207" s="5">
        <v>305.10000000000002</v>
      </c>
      <c r="Q207" s="122">
        <v>4362.9399999999996</v>
      </c>
      <c r="U207" s="145">
        <f>N207-M207</f>
        <v>-50.45999999999998</v>
      </c>
      <c r="V207" s="4">
        <f>IF(M207=0,0,N207/M207-1)</f>
        <v>-0.14191697603779951</v>
      </c>
      <c r="W207" s="17">
        <v>21877.81</v>
      </c>
      <c r="X207" s="17">
        <v>25582.74</v>
      </c>
      <c r="Y207" s="4">
        <f>X207/W207-1</f>
        <v>0.16934647480712184</v>
      </c>
      <c r="Z207" s="4"/>
      <c r="AA207">
        <v>1833</v>
      </c>
      <c r="AB207">
        <v>1876</v>
      </c>
      <c r="AD207" s="25">
        <v>0.30769999999999997</v>
      </c>
      <c r="AE207" s="25">
        <v>0.34860000000000002</v>
      </c>
    </row>
    <row r="208" spans="1:31" ht="15" customHeight="1">
      <c r="A208" s="125" t="s">
        <v>460</v>
      </c>
      <c r="B208" s="36" t="s">
        <v>461</v>
      </c>
      <c r="C208" s="27">
        <v>514</v>
      </c>
      <c r="E208" s="36" t="s">
        <v>461</v>
      </c>
      <c r="F208" s="27">
        <v>609</v>
      </c>
      <c r="G208" t="b">
        <f>IF(B208=E208,TRUE,FALSE)</f>
        <v>1</v>
      </c>
      <c r="J208" s="24">
        <f>F208-C208</f>
        <v>95</v>
      </c>
      <c r="K208" s="4">
        <f>F208/C208-1</f>
        <v>0.18482490272373542</v>
      </c>
      <c r="M208" s="5">
        <v>827.23</v>
      </c>
      <c r="N208" s="5">
        <v>1072.18</v>
      </c>
      <c r="Q208" s="121">
        <v>3368.05</v>
      </c>
      <c r="U208" s="145">
        <f>N208-M208</f>
        <v>244.95000000000005</v>
      </c>
      <c r="V208" s="4">
        <f>IF(M208=0,0,N208/M208-1)</f>
        <v>0.29610870011967649</v>
      </c>
      <c r="W208" s="17">
        <v>7157.87</v>
      </c>
      <c r="X208" s="17">
        <v>8499.02</v>
      </c>
      <c r="Y208" s="4"/>
      <c r="Z208" s="4"/>
      <c r="AA208">
        <v>1573</v>
      </c>
      <c r="AB208">
        <v>1379</v>
      </c>
      <c r="AD208" s="25">
        <v>0.3261</v>
      </c>
      <c r="AE208" s="25">
        <v>0.44020000000000004</v>
      </c>
    </row>
    <row r="209" spans="1:31" ht="15" customHeight="1">
      <c r="A209" s="39" t="s">
        <v>462</v>
      </c>
      <c r="B209" s="36" t="s">
        <v>463</v>
      </c>
      <c r="C209" s="18">
        <v>326</v>
      </c>
      <c r="E209" s="36" t="s">
        <v>463</v>
      </c>
      <c r="F209" s="18">
        <v>422</v>
      </c>
      <c r="G209" t="b">
        <f>IF(B209=E209,TRUE,FALSE)</f>
        <v>1</v>
      </c>
      <c r="J209" s="24">
        <f>F209-C209</f>
        <v>96</v>
      </c>
      <c r="K209" s="4">
        <f>F209/C209-1</f>
        <v>0.29447852760736204</v>
      </c>
      <c r="M209" s="5">
        <v>865.64</v>
      </c>
      <c r="N209" s="5">
        <v>1336.57</v>
      </c>
      <c r="Q209" s="121">
        <v>5887.55</v>
      </c>
      <c r="U209" s="145">
        <f>N209-M209</f>
        <v>470.92999999999995</v>
      </c>
      <c r="V209" s="4">
        <f>IF(M209=0,0,N209/M209-1)</f>
        <v>0.54402522988771307</v>
      </c>
      <c r="W209">
        <v>6514.14</v>
      </c>
      <c r="X209">
        <v>7743.18</v>
      </c>
      <c r="Y209" s="4">
        <f>X209/W209-1</f>
        <v>0.18867264136171458</v>
      </c>
      <c r="Z209" s="4"/>
      <c r="AA209">
        <v>1826</v>
      </c>
      <c r="AB209">
        <v>2542</v>
      </c>
      <c r="AD209" s="25">
        <v>0.17739999999999997</v>
      </c>
      <c r="AE209" s="25">
        <v>0.16600000000000001</v>
      </c>
    </row>
    <row r="210" spans="1:31" ht="15" customHeight="1">
      <c r="A210" s="36" t="s">
        <v>464</v>
      </c>
      <c r="B210" s="36" t="s">
        <v>465</v>
      </c>
      <c r="C210" s="27">
        <v>1355</v>
      </c>
      <c r="E210" s="36" t="s">
        <v>465</v>
      </c>
      <c r="F210" s="27">
        <v>1453</v>
      </c>
      <c r="G210" t="b">
        <f>IF(B210=E210,TRUE,FALSE)</f>
        <v>1</v>
      </c>
      <c r="J210" s="24">
        <f>F210-C210</f>
        <v>98</v>
      </c>
      <c r="K210" s="4">
        <f>F210/C210-1</f>
        <v>7.2324723247232381E-2</v>
      </c>
      <c r="M210" s="5">
        <v>3138.26</v>
      </c>
      <c r="N210" s="5">
        <v>3482.72</v>
      </c>
      <c r="Q210" s="122">
        <v>19894.68</v>
      </c>
      <c r="U210" s="145">
        <f>N210-M210</f>
        <v>344.45999999999958</v>
      </c>
      <c r="V210" s="4">
        <f>IF(M210=0,0,N210/M210-1)</f>
        <v>0.10976146017219723</v>
      </c>
      <c r="W210" s="17">
        <v>33526.11</v>
      </c>
      <c r="X210" s="17">
        <v>36037.9</v>
      </c>
      <c r="Y210" s="4">
        <f>X210/W210-1</f>
        <v>7.4920412776787959E-2</v>
      </c>
      <c r="Z210" s="4"/>
      <c r="AA210">
        <v>4786</v>
      </c>
      <c r="AB210">
        <v>4735</v>
      </c>
      <c r="AD210" s="25">
        <v>0.28350000000000003</v>
      </c>
      <c r="AE210" s="25">
        <v>0.30579999999999996</v>
      </c>
    </row>
    <row r="211" spans="1:31" ht="15" customHeight="1">
      <c r="A211" t="s">
        <v>466</v>
      </c>
      <c r="B211" t="s">
        <v>467</v>
      </c>
      <c r="C211" s="27">
        <v>1912</v>
      </c>
      <c r="E211" t="s">
        <v>467</v>
      </c>
      <c r="F211" s="27">
        <v>2011</v>
      </c>
      <c r="G211" t="b">
        <f>IF(B211=E211,TRUE,FALSE)</f>
        <v>1</v>
      </c>
      <c r="J211" s="24">
        <f>F211-C211</f>
        <v>99</v>
      </c>
      <c r="K211" s="4">
        <f>F211/C211-1</f>
        <v>5.177824267782416E-2</v>
      </c>
      <c r="M211" s="5">
        <v>2017.74</v>
      </c>
      <c r="N211" s="5">
        <v>2265.25</v>
      </c>
      <c r="Q211" s="122">
        <v>11578.97</v>
      </c>
      <c r="U211" s="145">
        <f>N211-M211</f>
        <v>247.51</v>
      </c>
      <c r="V211" s="4">
        <f>IF(M211=0,0,N211/M211-1)</f>
        <v>0.12266694420490243</v>
      </c>
      <c r="W211" s="17">
        <v>38138.400000000001</v>
      </c>
      <c r="X211" s="17">
        <v>40111.65</v>
      </c>
      <c r="Y211" s="4">
        <f>X211/W211-1</f>
        <v>5.1739191995469058E-2</v>
      </c>
      <c r="Z211" s="4"/>
      <c r="AA211">
        <v>4306</v>
      </c>
      <c r="AB211">
        <v>4032</v>
      </c>
      <c r="AD211" s="25">
        <v>0.44450000000000001</v>
      </c>
      <c r="AE211" s="25">
        <v>0.49700000000000005</v>
      </c>
    </row>
    <row r="212" spans="1:31" ht="15" customHeight="1">
      <c r="A212" t="s">
        <v>468</v>
      </c>
      <c r="B212" t="s">
        <v>469</v>
      </c>
      <c r="C212" s="27">
        <v>434</v>
      </c>
      <c r="E212" t="s">
        <v>469</v>
      </c>
      <c r="F212" s="27">
        <v>533</v>
      </c>
      <c r="G212" t="b">
        <f>IF(B212=E212,TRUE,FALSE)</f>
        <v>1</v>
      </c>
      <c r="J212" s="24">
        <f>F212-C212</f>
        <v>99</v>
      </c>
      <c r="K212" s="4">
        <f>F212/C212-1</f>
        <v>0.22811059907834097</v>
      </c>
      <c r="M212" s="5">
        <v>334.39</v>
      </c>
      <c r="N212" s="5">
        <v>227.94</v>
      </c>
      <c r="Q212" s="122">
        <v>2144.0499999999997</v>
      </c>
      <c r="U212" s="145">
        <f>N212-M212</f>
        <v>-106.44999999999999</v>
      </c>
      <c r="V212" s="4">
        <f>IF(M212=0,0,N212/M212-1)</f>
        <v>-0.31834085947546276</v>
      </c>
      <c r="W212" s="17">
        <v>13001.1</v>
      </c>
      <c r="X212" s="17">
        <v>15971.130000000001</v>
      </c>
      <c r="Y212" s="4">
        <f>X212/W212-1</f>
        <v>0.2284445162332418</v>
      </c>
      <c r="Z212" s="4"/>
      <c r="AA212">
        <v>2124</v>
      </c>
      <c r="AB212">
        <v>2190</v>
      </c>
      <c r="AD212" s="25">
        <v>0.13369999999999999</v>
      </c>
      <c r="AE212" s="25">
        <v>0.126</v>
      </c>
    </row>
    <row r="213" spans="1:31" ht="15" customHeight="1">
      <c r="A213" t="s">
        <v>470</v>
      </c>
      <c r="B213" t="s">
        <v>471</v>
      </c>
      <c r="C213" s="27">
        <v>800</v>
      </c>
      <c r="E213" t="s">
        <v>471</v>
      </c>
      <c r="F213" s="27">
        <v>900</v>
      </c>
      <c r="G213" t="b">
        <f>IF(B213=E213,TRUE,FALSE)</f>
        <v>1</v>
      </c>
      <c r="J213" s="24">
        <f>F213-C213</f>
        <v>100</v>
      </c>
      <c r="K213" s="4">
        <f>F213/C213-1</f>
        <v>0.125</v>
      </c>
      <c r="M213" s="5">
        <v>515.07000000000005</v>
      </c>
      <c r="N213" s="5">
        <v>597.36</v>
      </c>
      <c r="Q213" s="122">
        <v>4667.6899999999996</v>
      </c>
      <c r="U213" s="145">
        <f>N213-M213</f>
        <v>82.289999999999964</v>
      </c>
      <c r="V213" s="4">
        <f>IF(M213=0,0,N213/M213-1)</f>
        <v>0.15976469217776224</v>
      </c>
      <c r="W213" s="17">
        <v>21551.9</v>
      </c>
      <c r="X213" s="17">
        <v>24247.98</v>
      </c>
      <c r="Y213" s="4">
        <f>X213/W213-1</f>
        <v>0.1250970912077356</v>
      </c>
      <c r="Z213" s="4"/>
      <c r="AA213">
        <v>2303</v>
      </c>
      <c r="AB213">
        <v>2594</v>
      </c>
      <c r="AD213" s="25">
        <v>0.34689999999999999</v>
      </c>
      <c r="AE213" s="25">
        <v>0.34539999999999998</v>
      </c>
    </row>
    <row r="214" spans="1:31" ht="15" customHeight="1">
      <c r="A214" s="39" t="s">
        <v>472</v>
      </c>
      <c r="B214" s="36" t="s">
        <v>473</v>
      </c>
      <c r="C214" s="27">
        <v>518</v>
      </c>
      <c r="E214" s="36" t="s">
        <v>473</v>
      </c>
      <c r="F214" s="27">
        <v>620</v>
      </c>
      <c r="G214" t="b">
        <f>IF(B214=E214,TRUE,FALSE)</f>
        <v>1</v>
      </c>
      <c r="J214" s="24">
        <f>F214-C214</f>
        <v>102</v>
      </c>
      <c r="K214" s="4">
        <f>F214/C214-1</f>
        <v>0.19691119691119696</v>
      </c>
      <c r="M214" s="5">
        <v>774.35</v>
      </c>
      <c r="N214" s="5">
        <v>915.06</v>
      </c>
      <c r="Q214" s="121">
        <v>5556.53</v>
      </c>
      <c r="U214" s="145">
        <f>N214-M214</f>
        <v>140.70999999999992</v>
      </c>
      <c r="V214" s="4">
        <f>IF(M214=0,0,N214/M214-1)</f>
        <v>0.18171369535739634</v>
      </c>
      <c r="W214" s="17">
        <v>22781.98</v>
      </c>
      <c r="X214" s="17">
        <v>27959.46</v>
      </c>
      <c r="Y214" s="4">
        <f>X214/W214-1</f>
        <v>0.22726207291903511</v>
      </c>
      <c r="Z214" s="4"/>
      <c r="AA214">
        <v>3740</v>
      </c>
      <c r="AB214">
        <v>4659</v>
      </c>
      <c r="AD214" s="25">
        <v>0.13819999999999999</v>
      </c>
      <c r="AE214" s="25">
        <v>0.13289999999999999</v>
      </c>
    </row>
    <row r="215" spans="1:31" ht="15" customHeight="1">
      <c r="A215" t="s">
        <v>474</v>
      </c>
      <c r="B215" t="s">
        <v>475</v>
      </c>
      <c r="C215" s="27">
        <v>312</v>
      </c>
      <c r="E215" t="s">
        <v>475</v>
      </c>
      <c r="F215" s="27">
        <v>415</v>
      </c>
      <c r="G215" t="b">
        <f>IF(B215=E215,TRUE,FALSE)</f>
        <v>1</v>
      </c>
      <c r="J215" s="24">
        <f>F215-C215</f>
        <v>103</v>
      </c>
      <c r="K215" s="4">
        <f>F215/C215-1</f>
        <v>0.33012820512820507</v>
      </c>
      <c r="M215" s="5">
        <v>448.49</v>
      </c>
      <c r="N215" s="5">
        <v>715.34999999999991</v>
      </c>
      <c r="Q215" s="122">
        <v>3662.1499999999996</v>
      </c>
      <c r="U215" s="145">
        <f>N215-M215</f>
        <v>266.8599999999999</v>
      </c>
      <c r="V215" s="4">
        <f>IF(M215=0,0,N215/M215-1)</f>
        <v>0.59501884099979918</v>
      </c>
      <c r="W215" s="17">
        <v>7784.43</v>
      </c>
      <c r="X215" s="17">
        <v>10357.280000000001</v>
      </c>
      <c r="Y215" s="4">
        <f>X215/W215-1</f>
        <v>0.33051231753641575</v>
      </c>
      <c r="Z215" s="4"/>
      <c r="AA215">
        <v>1490</v>
      </c>
      <c r="AB215">
        <v>2488</v>
      </c>
      <c r="AD215" s="25">
        <v>1.41E-2</v>
      </c>
      <c r="AE215" s="25">
        <v>4.2599999999999999E-2</v>
      </c>
    </row>
    <row r="216" spans="1:31" ht="15" customHeight="1">
      <c r="A216" t="s">
        <v>476</v>
      </c>
      <c r="B216" t="s">
        <v>477</v>
      </c>
      <c r="C216" s="27">
        <v>1022</v>
      </c>
      <c r="E216" t="s">
        <v>477</v>
      </c>
      <c r="F216" s="27">
        <v>1125</v>
      </c>
      <c r="G216" t="b">
        <f>IF(B216=E216,TRUE,FALSE)</f>
        <v>1</v>
      </c>
      <c r="J216" s="24">
        <f>F216-C216</f>
        <v>103</v>
      </c>
      <c r="K216" s="4">
        <f>F216/C216-1</f>
        <v>0.10078277886497067</v>
      </c>
      <c r="M216" s="5">
        <v>1724.45</v>
      </c>
      <c r="N216" s="5">
        <v>1899.21</v>
      </c>
      <c r="Q216" s="122">
        <v>16549.59</v>
      </c>
      <c r="U216" s="145">
        <f>N216-M216</f>
        <v>174.76</v>
      </c>
      <c r="V216" s="4">
        <f>IF(M216=0,0,N216/M216-1)</f>
        <v>0.10134245701528033</v>
      </c>
      <c r="W216" s="17">
        <v>30594.65</v>
      </c>
      <c r="X216" s="17">
        <v>33672</v>
      </c>
      <c r="Y216" s="4">
        <f>X216/W216-1</f>
        <v>0.10058457933004616</v>
      </c>
      <c r="Z216" s="4"/>
      <c r="AA216">
        <v>5481</v>
      </c>
      <c r="AB216">
        <v>6446</v>
      </c>
      <c r="AD216" s="25">
        <v>0.18559999999999999</v>
      </c>
      <c r="AE216" s="25">
        <v>0.17379999999999998</v>
      </c>
    </row>
    <row r="217" spans="1:31" ht="15" customHeight="1">
      <c r="A217" s="36" t="s">
        <v>478</v>
      </c>
      <c r="B217" s="36" t="s">
        <v>479</v>
      </c>
      <c r="C217" s="27">
        <v>7540</v>
      </c>
      <c r="E217" s="36" t="s">
        <v>479</v>
      </c>
      <c r="F217" s="27">
        <v>7645</v>
      </c>
      <c r="G217" t="b">
        <f>IF(B217=E217,TRUE,FALSE)</f>
        <v>1</v>
      </c>
      <c r="J217" s="24">
        <f>F217-C217</f>
        <v>105</v>
      </c>
      <c r="K217" s="4">
        <f>F217/C217-1</f>
        <v>1.392572944297088E-2</v>
      </c>
      <c r="M217" s="5">
        <v>12233.72</v>
      </c>
      <c r="N217" s="5">
        <v>15466.17</v>
      </c>
      <c r="Q217" s="122">
        <v>77042.539999999994</v>
      </c>
      <c r="U217" s="145">
        <f>N217-M217</f>
        <v>3232.4500000000007</v>
      </c>
      <c r="V217" s="4">
        <f>IF(M217=0,0,N217/M217-1)</f>
        <v>0.26422461851342027</v>
      </c>
      <c r="W217" s="17">
        <v>177635.97</v>
      </c>
      <c r="X217" s="17">
        <v>193185.68</v>
      </c>
      <c r="Y217" s="4">
        <f>X217/W217-1</f>
        <v>8.753694423488656E-2</v>
      </c>
      <c r="Z217" s="4"/>
      <c r="AA217">
        <v>34100</v>
      </c>
      <c r="AB217">
        <v>33080</v>
      </c>
      <c r="AD217" s="25">
        <v>0.22140000000000001</v>
      </c>
      <c r="AE217" s="25">
        <v>0.2306</v>
      </c>
    </row>
    <row r="218" spans="1:31" ht="15" customHeight="1">
      <c r="A218" t="s">
        <v>480</v>
      </c>
      <c r="B218" t="s">
        <v>481</v>
      </c>
      <c r="C218" s="27">
        <v>381</v>
      </c>
      <c r="E218" t="s">
        <v>481</v>
      </c>
      <c r="F218" s="27">
        <v>494</v>
      </c>
      <c r="G218" t="b">
        <f>IF(B218=E218,TRUE,FALSE)</f>
        <v>1</v>
      </c>
      <c r="J218" s="24">
        <f>F218-C218</f>
        <v>113</v>
      </c>
      <c r="K218" s="4">
        <f>F218/C218-1</f>
        <v>0.29658792650918642</v>
      </c>
      <c r="M218" s="5">
        <v>841.01</v>
      </c>
      <c r="N218" s="5">
        <v>937.15</v>
      </c>
      <c r="Q218" s="122">
        <v>3884.34</v>
      </c>
      <c r="U218" s="145">
        <f>N218-M218</f>
        <v>96.139999999999986</v>
      </c>
      <c r="V218" s="4">
        <f>IF(M218=0,0,N218/M218-1)</f>
        <v>0.11431493085694577</v>
      </c>
      <c r="W218" s="17">
        <v>7615.19</v>
      </c>
      <c r="X218" s="17">
        <v>9872.06</v>
      </c>
      <c r="Y218" s="4">
        <f>X218/W218-1</f>
        <v>0.29636424041947729</v>
      </c>
      <c r="Z218" s="4"/>
      <c r="AA218">
        <v>1670</v>
      </c>
      <c r="AB218">
        <v>2263</v>
      </c>
      <c r="AD218" s="25">
        <v>0.22750000000000001</v>
      </c>
      <c r="AE218" s="25">
        <v>0.21739999999999998</v>
      </c>
    </row>
    <row r="219" spans="1:31" ht="15" customHeight="1">
      <c r="A219" t="s">
        <v>482</v>
      </c>
      <c r="B219" t="s">
        <v>483</v>
      </c>
      <c r="C219" s="27">
        <v>618</v>
      </c>
      <c r="E219" t="s">
        <v>483</v>
      </c>
      <c r="F219" s="27">
        <v>732</v>
      </c>
      <c r="G219" t="b">
        <f>IF(B219=E219,TRUE,FALSE)</f>
        <v>1</v>
      </c>
      <c r="J219" s="24">
        <f>F219-C219</f>
        <v>114</v>
      </c>
      <c r="K219" s="4">
        <f>F219/C219-1</f>
        <v>0.18446601941747565</v>
      </c>
      <c r="M219" s="5">
        <v>559.75</v>
      </c>
      <c r="N219" s="5">
        <v>629.16999999999996</v>
      </c>
      <c r="Q219" s="122">
        <v>3729.1499999999996</v>
      </c>
      <c r="U219" s="145">
        <f>N219-M219</f>
        <v>69.419999999999959</v>
      </c>
      <c r="V219" s="4">
        <f>IF(M219=0,0,N219/M219-1)</f>
        <v>0.12401965163019191</v>
      </c>
      <c r="W219" s="17">
        <v>11714.310000000001</v>
      </c>
      <c r="X219" s="17">
        <v>12347.45</v>
      </c>
      <c r="Y219" s="4">
        <f>X219/W219-1</f>
        <v>5.4048424533754025E-2</v>
      </c>
      <c r="Z219" s="4"/>
      <c r="AA219">
        <v>3550</v>
      </c>
      <c r="AB219">
        <v>4048</v>
      </c>
      <c r="AD219" s="25">
        <v>0.10369999999999999</v>
      </c>
      <c r="AE219" s="25">
        <v>0.12770000000000001</v>
      </c>
    </row>
    <row r="220" spans="1:31" ht="15" customHeight="1">
      <c r="A220" s="126" t="s">
        <v>484</v>
      </c>
      <c r="B220" s="36" t="s">
        <v>485</v>
      </c>
      <c r="C220" s="27">
        <v>162</v>
      </c>
      <c r="E220" s="36" t="s">
        <v>485</v>
      </c>
      <c r="F220" s="27">
        <v>278</v>
      </c>
      <c r="G220" t="b">
        <f>IF(B220=E220,TRUE,FALSE)</f>
        <v>1</v>
      </c>
      <c r="J220" s="24">
        <f>F220-C220</f>
        <v>116</v>
      </c>
      <c r="K220" s="4">
        <f>F220/C220-1</f>
        <v>0.71604938271604945</v>
      </c>
      <c r="M220" s="5">
        <v>1007.71</v>
      </c>
      <c r="N220" s="5">
        <v>1479.93</v>
      </c>
      <c r="Q220" s="121">
        <v>7740.04</v>
      </c>
      <c r="U220" s="145">
        <f>N220-M220</f>
        <v>472.22</v>
      </c>
      <c r="V220" s="4">
        <f>IF(M220=0,0,N220/M220-1)</f>
        <v>0.46860703972373008</v>
      </c>
      <c r="W220" s="17">
        <v>3232.32</v>
      </c>
      <c r="X220" s="17">
        <v>6316.22</v>
      </c>
      <c r="Y220" s="4"/>
      <c r="Z220" s="4"/>
      <c r="AA220">
        <v>1998</v>
      </c>
      <c r="AB220">
        <v>2647</v>
      </c>
      <c r="AD220" s="25">
        <v>8.1099999999999992E-2</v>
      </c>
      <c r="AE220" s="25">
        <v>0.105</v>
      </c>
    </row>
    <row r="221" spans="1:31" ht="15" customHeight="1">
      <c r="A221" s="39" t="s">
        <v>486</v>
      </c>
      <c r="B221" s="36" t="s">
        <v>487</v>
      </c>
      <c r="C221" s="27">
        <v>895</v>
      </c>
      <c r="E221" s="36" t="s">
        <v>487</v>
      </c>
      <c r="F221" s="27">
        <v>1013</v>
      </c>
      <c r="G221" t="b">
        <f>IF(B221=E221,TRUE,FALSE)</f>
        <v>1</v>
      </c>
      <c r="J221" s="24">
        <f>F221-C221</f>
        <v>118</v>
      </c>
      <c r="K221" s="4">
        <f>F221/C221-1</f>
        <v>0.13184357541899439</v>
      </c>
      <c r="M221" s="5">
        <v>2182.29</v>
      </c>
      <c r="N221" s="5">
        <v>2422</v>
      </c>
      <c r="Q221" s="122">
        <v>13049.92</v>
      </c>
      <c r="U221" s="145">
        <f>N221-M221</f>
        <v>239.71000000000004</v>
      </c>
      <c r="V221" s="4">
        <f>IF(M221=0,0,N221/M221-1)</f>
        <v>0.10984332971328281</v>
      </c>
      <c r="W221" s="17">
        <v>17887.25</v>
      </c>
      <c r="X221" s="17">
        <v>20243.87</v>
      </c>
      <c r="Y221" s="4">
        <f>X221/W221-1</f>
        <v>0.13174859187410015</v>
      </c>
      <c r="Z221" s="4"/>
      <c r="AA221">
        <v>5764</v>
      </c>
      <c r="AB221">
        <v>6388</v>
      </c>
      <c r="AD221" s="25">
        <v>0.15560000000000002</v>
      </c>
      <c r="AE221" s="25">
        <v>0.1578</v>
      </c>
    </row>
    <row r="222" spans="1:31" ht="15" customHeight="1">
      <c r="A222" s="39" t="s">
        <v>488</v>
      </c>
      <c r="B222" s="36" t="s">
        <v>489</v>
      </c>
      <c r="C222" s="18">
        <v>406</v>
      </c>
      <c r="E222" s="36" t="s">
        <v>489</v>
      </c>
      <c r="F222" s="18">
        <v>525</v>
      </c>
      <c r="G222" t="b">
        <f>IF(B222=E222,TRUE,FALSE)</f>
        <v>1</v>
      </c>
      <c r="J222" s="24">
        <f>F222-C222</f>
        <v>119</v>
      </c>
      <c r="K222" s="4">
        <f>F222/C222-1</f>
        <v>0.2931034482758621</v>
      </c>
      <c r="M222" s="5">
        <v>173.93</v>
      </c>
      <c r="N222" s="5">
        <v>253.81</v>
      </c>
      <c r="Q222" s="121">
        <v>2540.0700000000002</v>
      </c>
      <c r="U222" s="145">
        <f>N222-M222</f>
        <v>79.88</v>
      </c>
      <c r="V222" s="4">
        <f>IF(M222=0,0,N222/M222-1)</f>
        <v>0.4592652216408899</v>
      </c>
      <c r="W222">
        <v>8114.94</v>
      </c>
      <c r="X222">
        <v>9649.35</v>
      </c>
      <c r="Y222" s="4">
        <f>X222/W222-1</f>
        <v>0.1890845773351375</v>
      </c>
      <c r="Z222" s="4"/>
      <c r="AA222">
        <v>2147</v>
      </c>
      <c r="AB222">
        <v>2573</v>
      </c>
      <c r="AD222" s="25">
        <v>0.18909999999999999</v>
      </c>
      <c r="AE222" s="25">
        <v>0.20329999999999998</v>
      </c>
    </row>
    <row r="223" spans="1:31" ht="15" customHeight="1">
      <c r="A223" t="s">
        <v>490</v>
      </c>
      <c r="B223" t="s">
        <v>491</v>
      </c>
      <c r="C223" s="27">
        <v>268</v>
      </c>
      <c r="E223" t="s">
        <v>491</v>
      </c>
      <c r="F223" s="27">
        <v>388</v>
      </c>
      <c r="G223" t="b">
        <f>IF(B223=E223,TRUE,FALSE)</f>
        <v>1</v>
      </c>
      <c r="J223" s="24">
        <f>F223-C223</f>
        <v>120</v>
      </c>
      <c r="K223" s="4">
        <f>F223/C223-1</f>
        <v>0.44776119402985071</v>
      </c>
      <c r="M223" s="5">
        <v>0</v>
      </c>
      <c r="N223" s="5">
        <v>0</v>
      </c>
      <c r="Q223" s="122">
        <v>0</v>
      </c>
      <c r="U223" s="145">
        <f>N223-M223</f>
        <v>0</v>
      </c>
      <c r="V223" s="4">
        <f>IF(M223=0,0,N223/M223-1)</f>
        <v>0</v>
      </c>
      <c r="W223" s="17">
        <v>7724.38</v>
      </c>
      <c r="X223" s="17">
        <v>11223.47</v>
      </c>
      <c r="Y223" s="4">
        <f>X223/W223-1</f>
        <v>0.45299299102322754</v>
      </c>
      <c r="Z223" s="4"/>
      <c r="AA223">
        <v>809</v>
      </c>
      <c r="AB223">
        <v>1048</v>
      </c>
      <c r="AD223" s="25">
        <v>0.33250000000000002</v>
      </c>
      <c r="AE223" s="25">
        <v>0.36930000000000002</v>
      </c>
    </row>
    <row r="224" spans="1:31" ht="15" customHeight="1">
      <c r="A224" t="s">
        <v>492</v>
      </c>
      <c r="B224" t="s">
        <v>493</v>
      </c>
      <c r="C224" s="27">
        <v>1384</v>
      </c>
      <c r="E224" t="s">
        <v>493</v>
      </c>
      <c r="F224" s="27">
        <v>1506</v>
      </c>
      <c r="G224" t="b">
        <f>IF(B224=E224,TRUE,FALSE)</f>
        <v>1</v>
      </c>
      <c r="J224" s="24">
        <f>F224-C224</f>
        <v>122</v>
      </c>
      <c r="K224" s="4">
        <f>F224/C224-1</f>
        <v>8.8150289017341121E-2</v>
      </c>
      <c r="M224" s="5">
        <v>3173.37</v>
      </c>
      <c r="N224" s="5">
        <v>3532.57</v>
      </c>
      <c r="Q224" s="122">
        <v>17765.21</v>
      </c>
      <c r="U224" s="145">
        <f>N224-M224</f>
        <v>359.20000000000027</v>
      </c>
      <c r="V224" s="4">
        <f>IF(M224=0,0,N224/M224-1)</f>
        <v>0.11319196942052145</v>
      </c>
      <c r="W224" s="17">
        <v>55329.760000000002</v>
      </c>
      <c r="X224" s="17">
        <v>60205.74</v>
      </c>
      <c r="Y224" s="4">
        <f>X224/W224-1</f>
        <v>8.8125811498188211E-2</v>
      </c>
      <c r="Z224" s="4"/>
      <c r="AA224">
        <v>5298</v>
      </c>
      <c r="AB224">
        <v>5560</v>
      </c>
      <c r="AD224" s="25">
        <v>0.26239999999999997</v>
      </c>
      <c r="AE224" s="25">
        <v>0.26979999999999998</v>
      </c>
    </row>
    <row r="225" spans="1:31" ht="15" customHeight="1">
      <c r="A225" s="171" t="s">
        <v>494</v>
      </c>
      <c r="B225" s="170" t="s">
        <v>495</v>
      </c>
      <c r="C225" s="27">
        <v>44</v>
      </c>
      <c r="E225" s="170" t="s">
        <v>495</v>
      </c>
      <c r="F225" s="27">
        <v>170</v>
      </c>
      <c r="G225" t="b">
        <f>IF(B225=E225,TRUE,FALSE)</f>
        <v>1</v>
      </c>
      <c r="J225" s="24">
        <f>F225-C225</f>
        <v>126</v>
      </c>
      <c r="K225" s="4">
        <f>F225/C225-1</f>
        <v>2.8636363636363638</v>
      </c>
      <c r="M225" s="5">
        <v>116.34</v>
      </c>
      <c r="N225" s="5">
        <v>1379.06</v>
      </c>
      <c r="Q225" s="122">
        <v>2898.55</v>
      </c>
      <c r="U225" s="145">
        <f>N225-M225</f>
        <v>1262.72</v>
      </c>
      <c r="V225" s="4">
        <f>IF(M225=0,0,N225/M225-1)</f>
        <v>10.85370465875881</v>
      </c>
      <c r="W225" s="17">
        <v>1319.56</v>
      </c>
      <c r="X225" s="17">
        <v>4059.7</v>
      </c>
      <c r="Y225" s="4">
        <f>X225/W225-1</f>
        <v>2.0765558216375157</v>
      </c>
      <c r="Z225" s="4"/>
      <c r="AA225">
        <v>311</v>
      </c>
      <c r="AB225">
        <v>1430</v>
      </c>
      <c r="AD225" s="25">
        <v>0.14150000000000001</v>
      </c>
      <c r="AE225" s="25">
        <v>0.11890000000000001</v>
      </c>
    </row>
    <row r="226" spans="1:31" ht="15" customHeight="1">
      <c r="A226" t="s">
        <v>496</v>
      </c>
      <c r="B226" t="s">
        <v>497</v>
      </c>
      <c r="C226" s="27">
        <v>483</v>
      </c>
      <c r="E226" t="s">
        <v>497</v>
      </c>
      <c r="F226" s="27">
        <v>618</v>
      </c>
      <c r="G226" t="b">
        <f>IF(B226=E226,TRUE,FALSE)</f>
        <v>1</v>
      </c>
      <c r="J226" s="24">
        <f>F226-C226</f>
        <v>135</v>
      </c>
      <c r="K226" s="4">
        <f>F226/C226-1</f>
        <v>0.27950310559006208</v>
      </c>
      <c r="M226" s="5">
        <v>356.09</v>
      </c>
      <c r="N226" s="5">
        <v>508.61</v>
      </c>
      <c r="Q226" s="122">
        <v>5239.03</v>
      </c>
      <c r="U226" s="145">
        <f>N226-M226</f>
        <v>152.52000000000004</v>
      </c>
      <c r="V226" s="4">
        <f>IF(M226=0,0,N226/M226-1)</f>
        <v>0.4283186834788959</v>
      </c>
      <c r="W226" s="17">
        <v>17859.379999999997</v>
      </c>
      <c r="X226" s="17">
        <v>22773.96</v>
      </c>
      <c r="Y226" s="4">
        <f>X226/W226-1</f>
        <v>0.27518200519838887</v>
      </c>
      <c r="Z226" s="4"/>
      <c r="AA226">
        <v>1482</v>
      </c>
      <c r="AB226">
        <v>1835</v>
      </c>
      <c r="AD226" s="25">
        <v>0.25509999999999999</v>
      </c>
      <c r="AE226" s="25">
        <v>0.2757</v>
      </c>
    </row>
    <row r="227" spans="1:31" ht="15" customHeight="1">
      <c r="A227" t="s">
        <v>498</v>
      </c>
      <c r="B227" t="s">
        <v>499</v>
      </c>
      <c r="C227" s="27">
        <v>1176</v>
      </c>
      <c r="E227" t="s">
        <v>499</v>
      </c>
      <c r="F227" s="27">
        <v>1312</v>
      </c>
      <c r="G227" t="b">
        <f>IF(B227=E227,TRUE,FALSE)</f>
        <v>1</v>
      </c>
      <c r="J227" s="24">
        <f>F227-C227</f>
        <v>136</v>
      </c>
      <c r="K227" s="4">
        <f>F227/C227-1</f>
        <v>0.11564625850340127</v>
      </c>
      <c r="M227" s="5">
        <v>1494.59</v>
      </c>
      <c r="N227" s="5">
        <v>1186.0899999999999</v>
      </c>
      <c r="Q227" s="122">
        <v>10570.37</v>
      </c>
      <c r="U227" s="145">
        <f>N227-M227</f>
        <v>-308.5</v>
      </c>
      <c r="V227" s="4">
        <f>IF(M227=0,0,N227/M227-1)</f>
        <v>-0.2064111227828368</v>
      </c>
      <c r="W227" s="17">
        <v>45839.37</v>
      </c>
      <c r="X227" s="17">
        <v>51102.63</v>
      </c>
      <c r="Y227" s="4">
        <f>X227/W227-1</f>
        <v>0.11481964084584928</v>
      </c>
      <c r="Z227" s="4"/>
      <c r="AA227">
        <v>6596</v>
      </c>
      <c r="AB227">
        <v>6425</v>
      </c>
      <c r="AD227" s="25">
        <v>0.17829999999999999</v>
      </c>
      <c r="AE227" s="25">
        <v>0.20309999999999997</v>
      </c>
    </row>
    <row r="228" spans="1:31" ht="15" customHeight="1">
      <c r="A228" s="171" t="s">
        <v>500</v>
      </c>
      <c r="B228" s="26" t="s">
        <v>501</v>
      </c>
      <c r="C228" s="27">
        <v>0</v>
      </c>
      <c r="E228" s="26" t="s">
        <v>501</v>
      </c>
      <c r="F228" s="27">
        <v>136</v>
      </c>
      <c r="G228" t="b">
        <f>IF(B228=E228,TRUE,FALSE)</f>
        <v>1</v>
      </c>
      <c r="J228" s="24">
        <f>F228-C228</f>
        <v>136</v>
      </c>
      <c r="K228" s="4" t="e">
        <f>F228/C228-1</f>
        <v>#DIV/0!</v>
      </c>
      <c r="M228" s="5">
        <v>0</v>
      </c>
      <c r="N228" s="5">
        <v>200.15</v>
      </c>
      <c r="Q228" s="121">
        <v>1372.61</v>
      </c>
      <c r="U228" s="145">
        <f>N228-M228</f>
        <v>200.15</v>
      </c>
      <c r="V228" s="4">
        <f>IF(M228=0,0,N228/M228-1)</f>
        <v>0</v>
      </c>
      <c r="W228" s="17">
        <v>0</v>
      </c>
      <c r="X228" s="17">
        <v>2718.44</v>
      </c>
      <c r="Y228" s="4" t="e">
        <f>X228/W228-1</f>
        <v>#DIV/0!</v>
      </c>
      <c r="Z228" s="4"/>
      <c r="AB228">
        <v>719</v>
      </c>
      <c r="AD228" s="25"/>
      <c r="AE228" s="25">
        <v>0.18920000000000001</v>
      </c>
    </row>
    <row r="229" spans="1:31" ht="15" customHeight="1">
      <c r="A229" t="s">
        <v>502</v>
      </c>
      <c r="B229" t="s">
        <v>503</v>
      </c>
      <c r="C229" s="27">
        <v>3736</v>
      </c>
      <c r="E229" t="s">
        <v>503</v>
      </c>
      <c r="F229" s="27">
        <v>3874</v>
      </c>
      <c r="G229" t="b">
        <f>IF(B229=E229,TRUE,FALSE)</f>
        <v>1</v>
      </c>
      <c r="J229" s="24">
        <f>F229-C229</f>
        <v>138</v>
      </c>
      <c r="K229" s="4">
        <f>F229/C229-1</f>
        <v>3.6937901498929282E-2</v>
      </c>
      <c r="M229" s="5">
        <v>6022.99</v>
      </c>
      <c r="N229" s="5">
        <v>6376.34</v>
      </c>
      <c r="Q229" s="122">
        <v>38086.76</v>
      </c>
      <c r="U229" s="145">
        <f>N229-M229</f>
        <v>353.35000000000036</v>
      </c>
      <c r="V229" s="4">
        <f>IF(M229=0,0,N229/M229-1)</f>
        <v>5.866687475821819E-2</v>
      </c>
      <c r="W229" s="17">
        <v>100674.67</v>
      </c>
      <c r="X229" s="17">
        <v>104389.78</v>
      </c>
      <c r="Y229" s="4">
        <f>X229/W229-1</f>
        <v>3.6902132383448638E-2</v>
      </c>
      <c r="Z229" s="4"/>
      <c r="AA229">
        <v>21322</v>
      </c>
      <c r="AB229">
        <v>21661</v>
      </c>
      <c r="AD229" s="25">
        <v>0.17530000000000001</v>
      </c>
      <c r="AE229" s="25">
        <v>0.17829999999999999</v>
      </c>
    </row>
    <row r="230" spans="1:31" ht="15" customHeight="1">
      <c r="A230" t="s">
        <v>504</v>
      </c>
      <c r="B230" t="s">
        <v>505</v>
      </c>
      <c r="C230" s="27">
        <v>23</v>
      </c>
      <c r="E230" t="s">
        <v>505</v>
      </c>
      <c r="F230" s="27">
        <v>161</v>
      </c>
      <c r="G230" t="b">
        <f>IF(B230=E230,TRUE,FALSE)</f>
        <v>1</v>
      </c>
      <c r="J230" s="24">
        <f>F230-C230</f>
        <v>138</v>
      </c>
      <c r="K230" s="4">
        <f>F230/C230-1</f>
        <v>6</v>
      </c>
      <c r="M230" s="5">
        <v>2.57</v>
      </c>
      <c r="N230" s="5">
        <v>481.14</v>
      </c>
      <c r="Q230" s="122">
        <v>2608.6</v>
      </c>
      <c r="U230" s="145">
        <f>N230-M230</f>
        <v>478.57</v>
      </c>
      <c r="V230" s="4">
        <f>IF(M230=0,0,N230/M230-1)</f>
        <v>186.21400778210116</v>
      </c>
      <c r="W230" s="17">
        <v>918.85</v>
      </c>
      <c r="X230" s="17">
        <v>6431.95</v>
      </c>
      <c r="Y230" s="4">
        <f>X230/W230-1</f>
        <v>6</v>
      </c>
      <c r="Z230" s="4"/>
      <c r="AA230">
        <v>0</v>
      </c>
      <c r="AB230" t="e">
        <v>#N/A</v>
      </c>
      <c r="AD230" s="25">
        <v>0</v>
      </c>
      <c r="AE230" s="25">
        <v>0</v>
      </c>
    </row>
    <row r="231" spans="1:31" ht="15" customHeight="1">
      <c r="A231" t="s">
        <v>506</v>
      </c>
      <c r="B231" t="s">
        <v>507</v>
      </c>
      <c r="C231" s="27">
        <v>1662</v>
      </c>
      <c r="E231" t="s">
        <v>507</v>
      </c>
      <c r="F231" s="27">
        <v>1803</v>
      </c>
      <c r="G231" t="b">
        <f>IF(B231=E231,TRUE,FALSE)</f>
        <v>1</v>
      </c>
      <c r="J231" s="24">
        <f>F231-C231</f>
        <v>141</v>
      </c>
      <c r="K231" s="4">
        <f>F231/C231-1</f>
        <v>8.4837545126353886E-2</v>
      </c>
      <c r="M231" s="5">
        <v>4067.99</v>
      </c>
      <c r="N231" s="5">
        <v>4553.46</v>
      </c>
      <c r="Q231" s="122">
        <v>26034.6</v>
      </c>
      <c r="U231" s="145">
        <f>N231-M231</f>
        <v>485.47000000000025</v>
      </c>
      <c r="V231" s="4">
        <f>IF(M231=0,0,N231/M231-1)</f>
        <v>0.1193390347567227</v>
      </c>
      <c r="W231" s="17">
        <v>33202.19</v>
      </c>
      <c r="X231" s="17">
        <v>34552.370000000003</v>
      </c>
      <c r="Y231" s="4">
        <f>X231/W231-1</f>
        <v>4.0665389843260291E-2</v>
      </c>
      <c r="Z231" s="4"/>
      <c r="AA231">
        <v>7495</v>
      </c>
      <c r="AB231">
        <v>8514</v>
      </c>
      <c r="AD231" s="25">
        <v>0.22190000000000001</v>
      </c>
      <c r="AE231" s="25">
        <v>0.21059999999999998</v>
      </c>
    </row>
    <row r="232" spans="1:31" ht="15" customHeight="1">
      <c r="A232" t="s">
        <v>508</v>
      </c>
      <c r="B232" t="s">
        <v>509</v>
      </c>
      <c r="C232" s="27">
        <v>7354</v>
      </c>
      <c r="E232" t="s">
        <v>509</v>
      </c>
      <c r="F232" s="27">
        <v>7499</v>
      </c>
      <c r="G232" t="b">
        <f>IF(B232=E232,TRUE,FALSE)</f>
        <v>1</v>
      </c>
      <c r="J232" s="24">
        <f>F232-C232</f>
        <v>145</v>
      </c>
      <c r="K232" s="4">
        <f>F232/C232-1</f>
        <v>1.9717160728855099E-2</v>
      </c>
      <c r="M232" s="5">
        <v>7930.3</v>
      </c>
      <c r="N232" s="5">
        <v>12207.65</v>
      </c>
      <c r="Q232" s="122">
        <v>68684.820000000007</v>
      </c>
      <c r="U232" s="145">
        <f>N232-M232</f>
        <v>4277.3499999999995</v>
      </c>
      <c r="V232" s="4">
        <f>IF(M232=0,0,N232/M232-1)</f>
        <v>0.53936799364462873</v>
      </c>
      <c r="W232" s="17">
        <v>211142.87</v>
      </c>
      <c r="X232" s="17">
        <v>211651.23</v>
      </c>
      <c r="Y232" s="4">
        <f>X232/W232-1</f>
        <v>2.4076588520369757E-3</v>
      </c>
      <c r="Z232" s="4"/>
      <c r="AA232">
        <v>26576</v>
      </c>
      <c r="AB232">
        <v>27692</v>
      </c>
      <c r="AD232" s="25">
        <v>0.27690000000000003</v>
      </c>
      <c r="AE232" s="25">
        <v>0.26919999999999999</v>
      </c>
    </row>
    <row r="233" spans="1:31" ht="15" customHeight="1">
      <c r="A233" s="36" t="s">
        <v>510</v>
      </c>
      <c r="B233" s="36" t="s">
        <v>511</v>
      </c>
      <c r="C233" s="27">
        <v>3</v>
      </c>
      <c r="E233" s="36" t="s">
        <v>511</v>
      </c>
      <c r="F233" s="27">
        <v>149</v>
      </c>
      <c r="G233" t="b">
        <f>IF(B233=E233,TRUE,FALSE)</f>
        <v>1</v>
      </c>
      <c r="J233" s="24">
        <f>F233-C233</f>
        <v>146</v>
      </c>
      <c r="K233" s="4">
        <f>F233/C233-1</f>
        <v>48.666666666666664</v>
      </c>
      <c r="M233" s="5">
        <v>0</v>
      </c>
      <c r="N233" s="5">
        <v>0</v>
      </c>
      <c r="Q233" s="121">
        <v>0</v>
      </c>
      <c r="U233" s="145">
        <f>N233-M233</f>
        <v>0</v>
      </c>
      <c r="V233" s="4">
        <f>IF(M233=0,0,N233/M233-1)</f>
        <v>0</v>
      </c>
      <c r="W233" s="17">
        <v>29.97</v>
      </c>
      <c r="X233" s="17">
        <v>1478.22</v>
      </c>
      <c r="Y233" s="4">
        <f>X233/W233-1</f>
        <v>48.323323323323329</v>
      </c>
      <c r="Z233" s="4"/>
      <c r="AA233">
        <v>44</v>
      </c>
      <c r="AB233">
        <v>634</v>
      </c>
      <c r="AD233" s="25">
        <v>6.8199999999999997E-2</v>
      </c>
      <c r="AE233" s="25">
        <v>0.23190000000000002</v>
      </c>
    </row>
    <row r="234" spans="1:31" ht="15" customHeight="1">
      <c r="A234" t="s">
        <v>512</v>
      </c>
      <c r="B234" t="s">
        <v>513</v>
      </c>
      <c r="C234" s="27">
        <v>821</v>
      </c>
      <c r="E234" t="s">
        <v>513</v>
      </c>
      <c r="F234" s="27">
        <v>968</v>
      </c>
      <c r="G234" t="b">
        <f>IF(B234=E234,TRUE,FALSE)</f>
        <v>1</v>
      </c>
      <c r="J234" s="24">
        <f>F234-C234</f>
        <v>147</v>
      </c>
      <c r="K234" s="4">
        <f>F234/C234-1</f>
        <v>0.17904993909866018</v>
      </c>
      <c r="M234" s="5">
        <v>716.54</v>
      </c>
      <c r="N234" s="5">
        <v>762.31</v>
      </c>
      <c r="Q234" s="122">
        <v>7248.28</v>
      </c>
      <c r="U234" s="145">
        <f>N234-M234</f>
        <v>45.769999999999982</v>
      </c>
      <c r="V234" s="4">
        <f>IF(M234=0,0,N234/M234-1)</f>
        <v>6.3876406062466806E-2</v>
      </c>
      <c r="W234" s="17">
        <v>24611.89</v>
      </c>
      <c r="X234" s="17">
        <v>29021.32</v>
      </c>
      <c r="Y234" s="4">
        <f>X234/W234-1</f>
        <v>0.17915852866236603</v>
      </c>
      <c r="Z234" s="4"/>
      <c r="AA234">
        <v>2740</v>
      </c>
      <c r="AB234">
        <v>2988</v>
      </c>
      <c r="AD234" s="25">
        <v>0.29930000000000001</v>
      </c>
      <c r="AE234" s="25">
        <v>0.32159999999999994</v>
      </c>
    </row>
    <row r="235" spans="1:31" ht="15" customHeight="1">
      <c r="A235" s="40" t="s">
        <v>514</v>
      </c>
      <c r="B235" s="36" t="s">
        <v>515</v>
      </c>
      <c r="C235" s="27">
        <v>1124</v>
      </c>
      <c r="E235" s="36" t="s">
        <v>515</v>
      </c>
      <c r="F235" s="27">
        <v>1275</v>
      </c>
      <c r="G235" t="b">
        <f>IF(B235=E235,TRUE,FALSE)</f>
        <v>1</v>
      </c>
      <c r="J235" s="24">
        <f>F235-C235</f>
        <v>151</v>
      </c>
      <c r="K235" s="4">
        <f>F235/C235-1</f>
        <v>0.13434163701067625</v>
      </c>
      <c r="M235" s="5">
        <v>2335.86</v>
      </c>
      <c r="N235" s="5">
        <v>2636.45</v>
      </c>
      <c r="Q235" s="122">
        <v>23759.39</v>
      </c>
      <c r="U235" s="145">
        <f>N235-M235</f>
        <v>300.58999999999969</v>
      </c>
      <c r="V235" s="4">
        <f>IF(M235=0,0,N235/M235-1)</f>
        <v>0.12868493830965888</v>
      </c>
      <c r="W235" s="17">
        <v>32575.19</v>
      </c>
      <c r="X235" s="17">
        <v>36945.72</v>
      </c>
      <c r="Y235" s="4">
        <f>X235/W235-1</f>
        <v>0.13416744461045371</v>
      </c>
      <c r="Z235" s="4"/>
      <c r="AA235">
        <v>5543</v>
      </c>
      <c r="AB235">
        <v>6624</v>
      </c>
      <c r="AD235" s="25">
        <v>0.20309999999999997</v>
      </c>
      <c r="AE235" s="25">
        <v>0.19219999999999998</v>
      </c>
    </row>
    <row r="236" spans="1:31" ht="15" customHeight="1">
      <c r="A236" t="s">
        <v>516</v>
      </c>
      <c r="B236" t="s">
        <v>517</v>
      </c>
      <c r="C236" s="27">
        <v>1666</v>
      </c>
      <c r="E236" t="s">
        <v>517</v>
      </c>
      <c r="F236" s="27">
        <v>1819</v>
      </c>
      <c r="G236" t="b">
        <f>IF(B236=E236,TRUE,FALSE)</f>
        <v>1</v>
      </c>
      <c r="J236" s="24">
        <f>F236-C236</f>
        <v>153</v>
      </c>
      <c r="K236" s="4">
        <f>F236/C236-1</f>
        <v>9.1836734693877542E-2</v>
      </c>
      <c r="M236" s="5">
        <v>2652.52</v>
      </c>
      <c r="N236" s="5">
        <v>3417.95</v>
      </c>
      <c r="Q236" s="122">
        <v>24889.88</v>
      </c>
      <c r="U236" s="145">
        <f>N236-M236</f>
        <v>765.42999999999984</v>
      </c>
      <c r="V236" s="4">
        <f>IF(M236=0,0,N236/M236-1)</f>
        <v>0.2885670984573161</v>
      </c>
      <c r="W236" s="17">
        <v>29968.46</v>
      </c>
      <c r="X236" s="17">
        <v>32718.23</v>
      </c>
      <c r="Y236" s="4">
        <f>X236/W236-1</f>
        <v>9.1755465579479223E-2</v>
      </c>
      <c r="Z236" s="4"/>
      <c r="AA236">
        <v>6826</v>
      </c>
      <c r="AB236">
        <v>8861</v>
      </c>
      <c r="AD236" s="25">
        <v>0.24440000000000001</v>
      </c>
      <c r="AE236" s="25">
        <v>0.2046</v>
      </c>
    </row>
    <row r="237" spans="1:31" ht="15" customHeight="1">
      <c r="A237" s="39" t="s">
        <v>518</v>
      </c>
      <c r="B237" s="36" t="s">
        <v>519</v>
      </c>
      <c r="C237" s="27">
        <v>1379</v>
      </c>
      <c r="E237" s="36" t="s">
        <v>519</v>
      </c>
      <c r="F237" s="27">
        <v>1532</v>
      </c>
      <c r="G237" t="b">
        <f>IF(B237=E237,TRUE,FALSE)</f>
        <v>1</v>
      </c>
      <c r="J237" s="24">
        <f>F237-C237</f>
        <v>153</v>
      </c>
      <c r="K237" s="4">
        <f>F237/C237-1</f>
        <v>0.11094996374184185</v>
      </c>
      <c r="M237" s="5">
        <v>2634.8</v>
      </c>
      <c r="N237" s="5">
        <v>3447.19</v>
      </c>
      <c r="Q237" s="122">
        <v>13833.66</v>
      </c>
      <c r="U237" s="145">
        <f>N237-M237</f>
        <v>812.38999999999987</v>
      </c>
      <c r="V237" s="4">
        <f>IF(M237=0,0,N237/M237-1)</f>
        <v>0.30833080309700911</v>
      </c>
      <c r="W237" s="17">
        <v>22488.63</v>
      </c>
      <c r="X237" s="17">
        <v>26944.1</v>
      </c>
      <c r="Y237" s="4">
        <f>X237/W237-1</f>
        <v>0.1981210060372729</v>
      </c>
      <c r="Z237" s="4"/>
      <c r="AA237">
        <v>3975</v>
      </c>
      <c r="AB237">
        <v>3927</v>
      </c>
      <c r="AD237" s="25">
        <v>0.34720000000000001</v>
      </c>
      <c r="AE237" s="25">
        <v>0.38990000000000002</v>
      </c>
    </row>
    <row r="238" spans="1:31" ht="15" customHeight="1">
      <c r="A238" t="s">
        <v>520</v>
      </c>
      <c r="B238" t="s">
        <v>521</v>
      </c>
      <c r="C238" s="27">
        <v>808</v>
      </c>
      <c r="E238" t="s">
        <v>521</v>
      </c>
      <c r="F238" s="27">
        <v>962</v>
      </c>
      <c r="G238" t="b">
        <f>IF(B238=E238,TRUE,FALSE)</f>
        <v>1</v>
      </c>
      <c r="J238" s="24">
        <f>F238-C238</f>
        <v>154</v>
      </c>
      <c r="K238" s="4">
        <f>F238/C238-1</f>
        <v>0.19059405940594054</v>
      </c>
      <c r="M238" s="5">
        <v>1677.94</v>
      </c>
      <c r="N238" s="5">
        <v>1861.91</v>
      </c>
      <c r="Q238" s="122">
        <v>12557.55</v>
      </c>
      <c r="U238" s="145">
        <f>N238-M238</f>
        <v>183.97000000000003</v>
      </c>
      <c r="V238" s="4">
        <f>IF(M238=0,0,N238/M238-1)</f>
        <v>0.10964039238590173</v>
      </c>
      <c r="W238" s="17">
        <v>20176.169999999998</v>
      </c>
      <c r="X238" s="17">
        <v>24028.13</v>
      </c>
      <c r="Y238" s="4">
        <f>X238/W238-1</f>
        <v>0.19091631365120354</v>
      </c>
      <c r="Z238" s="4"/>
      <c r="AA238">
        <v>2590</v>
      </c>
      <c r="AB238">
        <v>2899</v>
      </c>
      <c r="AD238" s="25">
        <v>0.31079999999999997</v>
      </c>
      <c r="AE238" s="25">
        <v>0.33149999999999996</v>
      </c>
    </row>
    <row r="239" spans="1:31" ht="15" customHeight="1">
      <c r="A239" t="s">
        <v>522</v>
      </c>
      <c r="B239" t="s">
        <v>523</v>
      </c>
      <c r="C239" s="27">
        <v>611</v>
      </c>
      <c r="E239" t="s">
        <v>523</v>
      </c>
      <c r="F239" s="27">
        <v>765</v>
      </c>
      <c r="G239" t="b">
        <f>IF(B239=E239,TRUE,FALSE)</f>
        <v>1</v>
      </c>
      <c r="J239" s="24">
        <f>F239-C239</f>
        <v>154</v>
      </c>
      <c r="K239" s="4">
        <f>F239/C239-1</f>
        <v>0.25204582651391161</v>
      </c>
      <c r="M239" s="5">
        <v>1329.1699999999998</v>
      </c>
      <c r="N239" s="5">
        <v>2426.0500000000002</v>
      </c>
      <c r="Q239" s="122">
        <v>9878.33</v>
      </c>
      <c r="U239" s="145">
        <f>N239-M239</f>
        <v>1096.8800000000003</v>
      </c>
      <c r="V239" s="4">
        <f>IF(M239=0,0,N239/M239-1)</f>
        <v>0.82523680191397664</v>
      </c>
      <c r="W239" s="17">
        <v>18292.41</v>
      </c>
      <c r="X239" s="17">
        <v>22880.28</v>
      </c>
      <c r="Y239" s="4">
        <f>X239/W239-1</f>
        <v>0.25080730204494639</v>
      </c>
      <c r="Z239" s="4"/>
      <c r="AA239">
        <v>2921</v>
      </c>
      <c r="AB239">
        <v>3733</v>
      </c>
      <c r="AD239" s="25">
        <v>0.15820000000000001</v>
      </c>
      <c r="AE239" s="25">
        <v>0.17760000000000001</v>
      </c>
    </row>
    <row r="240" spans="1:31" ht="15" customHeight="1">
      <c r="A240" t="s">
        <v>524</v>
      </c>
      <c r="B240" t="s">
        <v>525</v>
      </c>
      <c r="C240" s="27">
        <v>289</v>
      </c>
      <c r="E240" t="s">
        <v>525</v>
      </c>
      <c r="F240" s="27">
        <v>443</v>
      </c>
      <c r="G240" t="b">
        <f>IF(B240=E240,TRUE,FALSE)</f>
        <v>1</v>
      </c>
      <c r="J240" s="24">
        <f>F240-C240</f>
        <v>154</v>
      </c>
      <c r="K240" s="4">
        <f>F240/C240-1</f>
        <v>0.53287197231833905</v>
      </c>
      <c r="M240" s="5">
        <v>163.15</v>
      </c>
      <c r="N240" s="5">
        <v>1.62</v>
      </c>
      <c r="Q240" s="122">
        <v>117.36</v>
      </c>
      <c r="U240" s="145">
        <f>N240-M240</f>
        <v>-161.53</v>
      </c>
      <c r="V240" s="4">
        <f>IF(M240=0,0,N240/M240-1)</f>
        <v>-0.99007048728164271</v>
      </c>
      <c r="W240" s="17">
        <v>5188.41</v>
      </c>
      <c r="X240" s="17">
        <v>7951.97</v>
      </c>
      <c r="Y240" s="4">
        <f>X240/W240-1</f>
        <v>0.53264102104498301</v>
      </c>
      <c r="Z240" s="4"/>
      <c r="AA240">
        <v>796</v>
      </c>
      <c r="AB240">
        <v>787</v>
      </c>
      <c r="AD240" s="25">
        <v>5.6500000000000002E-2</v>
      </c>
      <c r="AE240" s="25">
        <v>3.8E-3</v>
      </c>
    </row>
    <row r="241" spans="1:31" ht="13.5" customHeight="1">
      <c r="A241" s="39" t="s">
        <v>526</v>
      </c>
      <c r="B241" s="36" t="s">
        <v>527</v>
      </c>
      <c r="C241" s="27">
        <v>1584</v>
      </c>
      <c r="E241" s="36" t="s">
        <v>527</v>
      </c>
      <c r="F241" s="27">
        <v>1742</v>
      </c>
      <c r="G241" t="b">
        <f>IF(B241=E241,TRUE,FALSE)</f>
        <v>1</v>
      </c>
      <c r="J241" s="24">
        <f>F241-C241</f>
        <v>158</v>
      </c>
      <c r="K241" s="4">
        <f>F241/C241-1</f>
        <v>9.9747474747474696E-2</v>
      </c>
      <c r="M241" s="5">
        <v>2799.48</v>
      </c>
      <c r="N241" s="5">
        <v>3013.72</v>
      </c>
      <c r="Q241" s="121">
        <v>27591.59</v>
      </c>
      <c r="U241" s="145">
        <f>N241-M241</f>
        <v>214.23999999999978</v>
      </c>
      <c r="V241" s="4">
        <f>IF(M241=0,0,N241/M241-1)</f>
        <v>7.6528498149656343E-2</v>
      </c>
      <c r="W241" s="17">
        <v>45910.01</v>
      </c>
      <c r="X241" s="17">
        <v>50484.05</v>
      </c>
      <c r="Y241" s="4">
        <f>X241/W241-1</f>
        <v>9.963055987136582E-2</v>
      </c>
      <c r="Z241" s="4"/>
      <c r="AA241">
        <v>4847</v>
      </c>
      <c r="AB241">
        <v>5236</v>
      </c>
      <c r="AD241" s="25">
        <v>0.3276</v>
      </c>
      <c r="AE241" s="25">
        <v>0.33229999999999998</v>
      </c>
    </row>
    <row r="242" spans="1:31" ht="17.25" customHeight="1">
      <c r="A242" t="s">
        <v>528</v>
      </c>
      <c r="B242" t="s">
        <v>529</v>
      </c>
      <c r="C242" s="27">
        <v>1592</v>
      </c>
      <c r="E242" t="s">
        <v>529</v>
      </c>
      <c r="F242" s="27">
        <v>1751</v>
      </c>
      <c r="G242" t="b">
        <f>IF(B242=E242,TRUE,FALSE)</f>
        <v>1</v>
      </c>
      <c r="J242" s="24">
        <f>F242-C242</f>
        <v>159</v>
      </c>
      <c r="K242" s="4">
        <f>F242/C242-1</f>
        <v>9.9874371859296485E-2</v>
      </c>
      <c r="M242" s="5">
        <v>2469.5</v>
      </c>
      <c r="N242" s="5">
        <v>2707.69</v>
      </c>
      <c r="Q242" s="122">
        <v>24396.3</v>
      </c>
      <c r="U242" s="145">
        <f>N242-M242</f>
        <v>238.19000000000005</v>
      </c>
      <c r="V242" s="4">
        <f>IF(M242=0,0,N242/M242-1)</f>
        <v>9.6452723223324544E-2</v>
      </c>
      <c r="W242" s="17">
        <v>42954.04</v>
      </c>
      <c r="X242" s="17">
        <v>47247.61</v>
      </c>
      <c r="Y242" s="4">
        <f>X242/W242-1</f>
        <v>9.9957303201282155E-2</v>
      </c>
      <c r="Z242" s="4"/>
      <c r="AA242">
        <v>4052</v>
      </c>
      <c r="AB242">
        <v>4186</v>
      </c>
      <c r="AD242" s="25">
        <v>0.39340000000000003</v>
      </c>
      <c r="AE242" s="25">
        <v>0.41729999999999995</v>
      </c>
    </row>
    <row r="243" spans="1:31" ht="17.25" customHeight="1">
      <c r="A243" s="171" t="s">
        <v>530</v>
      </c>
      <c r="B243" s="26" t="s">
        <v>531</v>
      </c>
      <c r="C243" s="27">
        <v>0</v>
      </c>
      <c r="E243" s="26" t="s">
        <v>531</v>
      </c>
      <c r="F243" s="27">
        <v>160</v>
      </c>
      <c r="G243" t="b">
        <f>IF(B243=E243,TRUE,FALSE)</f>
        <v>1</v>
      </c>
      <c r="J243" s="24">
        <f>F243-C243</f>
        <v>160</v>
      </c>
      <c r="K243" s="4" t="e">
        <f>F243/C243-1</f>
        <v>#DIV/0!</v>
      </c>
      <c r="M243" s="5">
        <v>0</v>
      </c>
      <c r="N243" s="5">
        <v>414.29</v>
      </c>
      <c r="Q243" s="122">
        <v>2537.44</v>
      </c>
      <c r="U243" s="145">
        <f>N243-M243</f>
        <v>414.29</v>
      </c>
      <c r="V243" s="4">
        <f>IF(M243=0,0,N243/M243-1)</f>
        <v>0</v>
      </c>
      <c r="W243" s="17">
        <v>0</v>
      </c>
      <c r="X243" s="17">
        <v>4528.3999999999996</v>
      </c>
      <c r="Y243" s="4" t="e">
        <f>X243/W243-1</f>
        <v>#DIV/0!</v>
      </c>
      <c r="Z243" s="4"/>
      <c r="AA243">
        <v>0</v>
      </c>
      <c r="AB243">
        <v>1040</v>
      </c>
      <c r="AD243" s="25">
        <v>0</v>
      </c>
      <c r="AE243" s="25">
        <v>0.15380000000000002</v>
      </c>
    </row>
    <row r="244" spans="1:31" ht="17.25" customHeight="1">
      <c r="A244" s="39" t="s">
        <v>532</v>
      </c>
      <c r="B244" s="36" t="s">
        <v>533</v>
      </c>
      <c r="C244" s="27">
        <v>1322</v>
      </c>
      <c r="E244" s="36" t="s">
        <v>533</v>
      </c>
      <c r="F244" s="27">
        <v>1488</v>
      </c>
      <c r="G244" t="b">
        <f>IF(B244=E244,TRUE,FALSE)</f>
        <v>1</v>
      </c>
      <c r="J244" s="24">
        <f>F244-C244</f>
        <v>166</v>
      </c>
      <c r="K244" s="4">
        <f>F244/C244-1</f>
        <v>0.12556732223903166</v>
      </c>
      <c r="M244" s="5">
        <v>3078.92</v>
      </c>
      <c r="N244" s="5">
        <v>3477.29</v>
      </c>
      <c r="Q244" s="122">
        <v>16754.849999999999</v>
      </c>
      <c r="U244" s="145">
        <f>N244-M244</f>
        <v>398.36999999999989</v>
      </c>
      <c r="V244" s="4">
        <f>IF(M244=0,0,N244/M244-1)</f>
        <v>0.12938627830537985</v>
      </c>
      <c r="W244" s="17">
        <v>29063.08</v>
      </c>
      <c r="X244" s="17">
        <v>34168.199999999997</v>
      </c>
      <c r="Y244" s="4">
        <f>X244/W244-1</f>
        <v>0.17565653743512377</v>
      </c>
      <c r="Z244" s="4"/>
      <c r="AA244">
        <v>6192</v>
      </c>
      <c r="AB244">
        <v>6553</v>
      </c>
      <c r="AD244" s="25">
        <v>0.21429999999999999</v>
      </c>
      <c r="AE244" s="25">
        <v>0.22589999999999999</v>
      </c>
    </row>
    <row r="245" spans="1:31" ht="17.25" customHeight="1">
      <c r="A245" t="s">
        <v>534</v>
      </c>
      <c r="B245" t="s">
        <v>535</v>
      </c>
      <c r="C245" s="27">
        <v>194</v>
      </c>
      <c r="E245" t="s">
        <v>535</v>
      </c>
      <c r="F245" s="27">
        <v>360</v>
      </c>
      <c r="G245" t="b">
        <f>IF(B245=E245,TRUE,FALSE)</f>
        <v>1</v>
      </c>
      <c r="J245" s="24">
        <f>F245-C245</f>
        <v>166</v>
      </c>
      <c r="K245" s="4">
        <f>F245/C245-1</f>
        <v>0.85567010309278357</v>
      </c>
      <c r="M245" s="5">
        <v>1177.42</v>
      </c>
      <c r="N245" s="5">
        <v>874.4</v>
      </c>
      <c r="Q245" s="122">
        <v>2965.45</v>
      </c>
      <c r="U245" s="145">
        <f>N245-M245</f>
        <v>-303.0200000000001</v>
      </c>
      <c r="V245" s="4">
        <f>IF(M245=0,0,N245/M245-1)</f>
        <v>-0.25735931103599397</v>
      </c>
      <c r="W245" s="17">
        <v>2630.28</v>
      </c>
      <c r="X245" s="17">
        <v>3480.41</v>
      </c>
      <c r="Y245" s="4">
        <f>X245/W245-1</f>
        <v>0.32320893593077527</v>
      </c>
      <c r="Z245" s="4"/>
      <c r="AA245">
        <v>1085</v>
      </c>
      <c r="AB245">
        <v>1203</v>
      </c>
      <c r="AD245" s="25">
        <v>0.17879999999999999</v>
      </c>
      <c r="AE245" s="25">
        <v>0.29930000000000001</v>
      </c>
    </row>
    <row r="246" spans="1:31" ht="17.25" customHeight="1">
      <c r="A246" s="171" t="s">
        <v>536</v>
      </c>
      <c r="B246" s="26" t="s">
        <v>537</v>
      </c>
      <c r="C246" s="27">
        <v>0</v>
      </c>
      <c r="E246" s="26" t="s">
        <v>537</v>
      </c>
      <c r="F246" s="27">
        <v>167</v>
      </c>
      <c r="G246" t="b">
        <f>IF(B246=E246,TRUE,FALSE)</f>
        <v>1</v>
      </c>
      <c r="J246" s="24">
        <f>F246-C246</f>
        <v>167</v>
      </c>
      <c r="K246" s="4" t="e">
        <f>F246/C246-1</f>
        <v>#DIV/0!</v>
      </c>
      <c r="M246" s="5">
        <v>0</v>
      </c>
      <c r="N246" s="5">
        <v>639.70000000000005</v>
      </c>
      <c r="Q246" s="121">
        <v>3501.38</v>
      </c>
      <c r="U246" s="145">
        <f>N246-M246</f>
        <v>639.70000000000005</v>
      </c>
      <c r="V246" s="4">
        <f>IF(M246=0,0,N246/M246-1)</f>
        <v>0</v>
      </c>
      <c r="W246" s="17">
        <v>0</v>
      </c>
      <c r="X246" s="17">
        <v>3337.13</v>
      </c>
      <c r="Y246" s="4" t="e">
        <f>X246/W246-1</f>
        <v>#DIV/0!</v>
      </c>
      <c r="Z246" s="4"/>
      <c r="AB246">
        <v>1039</v>
      </c>
      <c r="AD246" s="25"/>
      <c r="AE246" s="25">
        <v>0.1598</v>
      </c>
    </row>
    <row r="247" spans="1:31" ht="17.25" customHeight="1">
      <c r="A247" t="s">
        <v>538</v>
      </c>
      <c r="B247" t="s">
        <v>539</v>
      </c>
      <c r="C247" s="27">
        <v>636</v>
      </c>
      <c r="E247" t="s">
        <v>539</v>
      </c>
      <c r="F247" s="27">
        <v>804</v>
      </c>
      <c r="G247" t="b">
        <f>IF(B247=E247,TRUE,FALSE)</f>
        <v>1</v>
      </c>
      <c r="J247" s="24">
        <f>F247-C247</f>
        <v>168</v>
      </c>
      <c r="K247" s="4">
        <f>F247/C247-1</f>
        <v>0.26415094339622636</v>
      </c>
      <c r="M247" s="5">
        <v>1424.16</v>
      </c>
      <c r="N247" s="5">
        <v>2168.46</v>
      </c>
      <c r="Q247" s="122">
        <v>9223.2199999999993</v>
      </c>
      <c r="U247" s="145">
        <f>N247-M247</f>
        <v>744.3</v>
      </c>
      <c r="V247" s="4">
        <f>IF(M247=0,0,N247/M247-1)</f>
        <v>0.52262386248736092</v>
      </c>
      <c r="W247" s="17">
        <v>12711.64</v>
      </c>
      <c r="X247" s="17">
        <v>16070.16</v>
      </c>
      <c r="Y247" s="4">
        <f>X247/W247-1</f>
        <v>0.26420823748941924</v>
      </c>
      <c r="Z247" s="4"/>
      <c r="AA247">
        <v>3106</v>
      </c>
      <c r="AB247">
        <v>3474</v>
      </c>
      <c r="AD247" s="25">
        <v>0.20379999999999998</v>
      </c>
      <c r="AE247" s="25">
        <v>0.2311</v>
      </c>
    </row>
    <row r="248" spans="1:31" ht="13.5" customHeight="1">
      <c r="A248" t="s">
        <v>540</v>
      </c>
      <c r="B248" t="s">
        <v>541</v>
      </c>
      <c r="C248" s="27">
        <v>463</v>
      </c>
      <c r="E248" t="s">
        <v>541</v>
      </c>
      <c r="F248" s="27">
        <v>631</v>
      </c>
      <c r="G248" t="b">
        <f>IF(B248=E248,TRUE,FALSE)</f>
        <v>1</v>
      </c>
      <c r="J248" s="24">
        <f>F248-C248</f>
        <v>168</v>
      </c>
      <c r="K248" s="4">
        <f>F248/C248-1</f>
        <v>0.36285097192224613</v>
      </c>
      <c r="M248" s="5">
        <v>375.99</v>
      </c>
      <c r="N248" s="5">
        <v>5.99</v>
      </c>
      <c r="Q248" s="122">
        <v>39.9</v>
      </c>
      <c r="U248" s="145">
        <f>N248-M248</f>
        <v>-370</v>
      </c>
      <c r="V248" s="4">
        <f>IF(M248=0,0,N248/M248-1)</f>
        <v>-0.98406872523205402</v>
      </c>
      <c r="W248" s="17">
        <v>9211.5</v>
      </c>
      <c r="X248" s="17">
        <v>12581.25</v>
      </c>
      <c r="Y248" s="4">
        <f>X248/W248-1</f>
        <v>0.3658198990392445</v>
      </c>
      <c r="Z248" s="4"/>
      <c r="AA248">
        <v>652</v>
      </c>
      <c r="AB248">
        <v>1984</v>
      </c>
      <c r="AD248" s="25">
        <v>0.27760000000000001</v>
      </c>
      <c r="AE248" s="25">
        <v>0.2747</v>
      </c>
    </row>
    <row r="249" spans="1:31" ht="15" customHeight="1">
      <c r="A249" s="22" t="s">
        <v>542</v>
      </c>
      <c r="B249" s="22" t="s">
        <v>543</v>
      </c>
      <c r="C249" s="27">
        <v>174</v>
      </c>
      <c r="E249" s="22" t="s">
        <v>543</v>
      </c>
      <c r="F249" s="27">
        <v>343</v>
      </c>
      <c r="G249" t="b">
        <f>IF(B249=E249,TRUE,FALSE)</f>
        <v>1</v>
      </c>
      <c r="J249" s="24">
        <f>F249-C249</f>
        <v>169</v>
      </c>
      <c r="K249" s="4">
        <f>F249/C249-1</f>
        <v>0.97126436781609193</v>
      </c>
      <c r="M249" s="5">
        <v>1258.3399999999999</v>
      </c>
      <c r="N249" s="5">
        <v>1668.78</v>
      </c>
      <c r="Q249" s="122">
        <v>5421.28</v>
      </c>
      <c r="U249" s="145">
        <f>N249-M249</f>
        <v>410.44000000000005</v>
      </c>
      <c r="V249" s="4">
        <f>IF(M249=0,0,N249/M249-1)</f>
        <v>0.32617575536023646</v>
      </c>
      <c r="W249" s="17">
        <v>3609.26</v>
      </c>
      <c r="X249" s="17">
        <v>7090.04</v>
      </c>
      <c r="Y249" s="4">
        <f>X249/W249-1</f>
        <v>0.96440267534065138</v>
      </c>
      <c r="Z249" s="4"/>
      <c r="AA249">
        <v>1970</v>
      </c>
      <c r="AB249">
        <v>2364</v>
      </c>
      <c r="AD249" s="25">
        <v>8.8300000000000003E-2</v>
      </c>
      <c r="AE249" s="25">
        <v>0.14510000000000001</v>
      </c>
    </row>
    <row r="250" spans="1:31" ht="15" customHeight="1">
      <c r="A250" t="s">
        <v>544</v>
      </c>
      <c r="B250" t="s">
        <v>545</v>
      </c>
      <c r="C250" s="27">
        <v>968</v>
      </c>
      <c r="E250" t="s">
        <v>545</v>
      </c>
      <c r="F250" s="27">
        <v>1139</v>
      </c>
      <c r="G250" t="b">
        <f>IF(B250=E250,TRUE,FALSE)</f>
        <v>1</v>
      </c>
      <c r="J250" s="24">
        <f>F250-C250</f>
        <v>171</v>
      </c>
      <c r="K250" s="4">
        <f>F250/C250-1</f>
        <v>0.17665289256198347</v>
      </c>
      <c r="M250" s="5">
        <v>2710.65</v>
      </c>
      <c r="N250" s="5">
        <v>2828.31</v>
      </c>
      <c r="Q250" s="122">
        <v>19890.919999999998</v>
      </c>
      <c r="U250" s="145">
        <f>N250-M250</f>
        <v>117.65999999999985</v>
      </c>
      <c r="V250" s="4">
        <f>IF(M250=0,0,N250/M250-1)</f>
        <v>4.3406563001494147E-2</v>
      </c>
      <c r="W250" s="17">
        <v>24186.07</v>
      </c>
      <c r="X250" s="17">
        <v>28458.61</v>
      </c>
      <c r="Y250" s="4">
        <f>X250/W250-1</f>
        <v>0.17665292459667903</v>
      </c>
      <c r="Z250" s="4"/>
      <c r="AA250">
        <v>2783</v>
      </c>
      <c r="AB250">
        <v>3410</v>
      </c>
      <c r="AD250" s="25">
        <v>0.34710000000000002</v>
      </c>
      <c r="AE250" s="25">
        <v>0.3337</v>
      </c>
    </row>
    <row r="251" spans="1:31" ht="15" customHeight="1">
      <c r="A251" s="39" t="s">
        <v>546</v>
      </c>
      <c r="B251" s="36" t="s">
        <v>547</v>
      </c>
      <c r="C251" s="27">
        <v>945</v>
      </c>
      <c r="E251" s="36" t="s">
        <v>547</v>
      </c>
      <c r="F251" s="27">
        <v>1119</v>
      </c>
      <c r="G251" t="b">
        <f>IF(B251=E251,TRUE,FALSE)</f>
        <v>1</v>
      </c>
      <c r="J251" s="24">
        <f>F251-C251</f>
        <v>174</v>
      </c>
      <c r="K251" s="4">
        <f>F251/C251-1</f>
        <v>0.18412698412698414</v>
      </c>
      <c r="M251" s="5">
        <v>1706.12</v>
      </c>
      <c r="N251" s="5">
        <v>1569.37</v>
      </c>
      <c r="Q251" s="121">
        <v>8529.33</v>
      </c>
      <c r="U251" s="145">
        <f>N251-M251</f>
        <v>-136.75</v>
      </c>
      <c r="V251" s="4">
        <f>IF(M251=0,0,N251/M251-1)</f>
        <v>-8.015262701334025E-2</v>
      </c>
      <c r="W251" s="17">
        <v>20747.13</v>
      </c>
      <c r="X251" s="17">
        <v>24559.41</v>
      </c>
      <c r="Y251" s="4">
        <f>X251/W251-1</f>
        <v>0.18374975237538882</v>
      </c>
      <c r="Z251" s="4"/>
      <c r="AA251">
        <v>4037</v>
      </c>
      <c r="AB251">
        <v>4339</v>
      </c>
      <c r="AD251" s="25">
        <v>0.23280000000000001</v>
      </c>
      <c r="AE251" s="25">
        <v>0.25670000000000004</v>
      </c>
    </row>
    <row r="252" spans="1:31" ht="15" customHeight="1">
      <c r="A252" s="126" t="s">
        <v>546</v>
      </c>
      <c r="B252" s="126" t="s">
        <v>547</v>
      </c>
      <c r="C252" s="27">
        <v>945</v>
      </c>
      <c r="E252" s="126" t="s">
        <v>547</v>
      </c>
      <c r="F252" s="27">
        <v>1119</v>
      </c>
      <c r="G252" t="b">
        <f>IF(B252=E252,TRUE,FALSE)</f>
        <v>1</v>
      </c>
      <c r="J252" s="24">
        <f>F252-C252</f>
        <v>174</v>
      </c>
      <c r="K252" s="4">
        <f>F252/C252-1</f>
        <v>0.18412698412698414</v>
      </c>
      <c r="M252" s="5">
        <v>1706.12</v>
      </c>
      <c r="N252" s="5">
        <v>1569.37</v>
      </c>
      <c r="Q252" s="121">
        <v>8529.33</v>
      </c>
      <c r="U252" s="145">
        <f>N252-M252</f>
        <v>-136.75</v>
      </c>
      <c r="V252" s="4">
        <f>IF(M252=0,0,N252/M252-1)</f>
        <v>-8.015262701334025E-2</v>
      </c>
      <c r="W252" s="17">
        <v>20747.13</v>
      </c>
      <c r="X252" s="17">
        <v>24559.41</v>
      </c>
      <c r="Y252" s="4">
        <f>X252/W252-1</f>
        <v>0.18374975237538882</v>
      </c>
      <c r="Z252" s="4"/>
      <c r="AA252">
        <v>4037</v>
      </c>
      <c r="AB252">
        <v>4339</v>
      </c>
      <c r="AD252" s="25">
        <v>0.23280000000000001</v>
      </c>
      <c r="AE252" s="25">
        <v>0.25670000000000004</v>
      </c>
    </row>
    <row r="253" spans="1:31" ht="15" customHeight="1">
      <c r="A253" s="39" t="s">
        <v>548</v>
      </c>
      <c r="B253" s="36" t="s">
        <v>549</v>
      </c>
      <c r="C253" s="18">
        <v>596</v>
      </c>
      <c r="E253" s="36" t="s">
        <v>549</v>
      </c>
      <c r="F253" s="18">
        <v>771</v>
      </c>
      <c r="G253" t="b">
        <f>IF(B253=E253,TRUE,FALSE)</f>
        <v>1</v>
      </c>
      <c r="J253" s="24">
        <f>F253-C253</f>
        <v>175</v>
      </c>
      <c r="K253" s="4">
        <f>F253/C253-1</f>
        <v>0.2936241610738255</v>
      </c>
      <c r="M253" s="5">
        <v>1224.83</v>
      </c>
      <c r="N253" s="5">
        <v>1566.41</v>
      </c>
      <c r="Q253" s="121">
        <v>12530.44</v>
      </c>
      <c r="U253" s="145">
        <f>N253-M253</f>
        <v>341.58000000000015</v>
      </c>
      <c r="V253" s="4">
        <f>IF(M253=0,0,N253/M253-1)</f>
        <v>0.27887951797392296</v>
      </c>
      <c r="W253">
        <v>14295.4</v>
      </c>
      <c r="X253">
        <v>17366.37</v>
      </c>
      <c r="Y253" s="4">
        <f>X253/W253-1</f>
        <v>0.21482225051415127</v>
      </c>
      <c r="Z253" s="4"/>
      <c r="AA253">
        <v>3122</v>
      </c>
      <c r="AB253">
        <v>3729</v>
      </c>
      <c r="AD253" s="25">
        <v>0.19089999999999999</v>
      </c>
      <c r="AE253" s="25">
        <v>0.20649999999999999</v>
      </c>
    </row>
    <row r="254" spans="1:31" ht="15" customHeight="1">
      <c r="A254" t="s">
        <v>550</v>
      </c>
      <c r="B254" t="s">
        <v>551</v>
      </c>
      <c r="C254" s="27">
        <v>217</v>
      </c>
      <c r="E254" t="s">
        <v>551</v>
      </c>
      <c r="F254" s="27">
        <v>392</v>
      </c>
      <c r="G254" t="b">
        <f>IF(B254=E254,TRUE,FALSE)</f>
        <v>1</v>
      </c>
      <c r="J254" s="24">
        <f>F254-C254</f>
        <v>175</v>
      </c>
      <c r="K254" s="4">
        <f>F254/C254-1</f>
        <v>0.80645161290322576</v>
      </c>
      <c r="M254" s="5">
        <v>687.61</v>
      </c>
      <c r="N254" s="5">
        <v>917.27</v>
      </c>
      <c r="Q254" s="122">
        <v>6053.28</v>
      </c>
      <c r="U254" s="145">
        <f>N254-M254</f>
        <v>229.65999999999997</v>
      </c>
      <c r="V254" s="4">
        <f>IF(M254=0,0,N254/M254-1)</f>
        <v>0.33399746949578968</v>
      </c>
      <c r="W254" s="17">
        <v>5199.3500000000004</v>
      </c>
      <c r="X254" s="17">
        <v>9384.8799999999992</v>
      </c>
      <c r="Y254" s="4">
        <f>X254/W254-1</f>
        <v>0.80501024166482327</v>
      </c>
      <c r="Z254" s="4"/>
      <c r="AA254">
        <v>1133</v>
      </c>
      <c r="AB254">
        <v>1494</v>
      </c>
      <c r="AD254" s="25">
        <v>0.19239999999999999</v>
      </c>
      <c r="AE254" s="25">
        <v>0.26239999999999997</v>
      </c>
    </row>
    <row r="255" spans="1:31" ht="15" customHeight="1">
      <c r="A255" s="171" t="s">
        <v>552</v>
      </c>
      <c r="B255" s="170" t="s">
        <v>553</v>
      </c>
      <c r="C255" s="27">
        <v>34</v>
      </c>
      <c r="E255" s="170" t="s">
        <v>553</v>
      </c>
      <c r="F255" s="27">
        <v>210</v>
      </c>
      <c r="G255" t="b">
        <f>IF(B255=E255,TRUE,FALSE)</f>
        <v>1</v>
      </c>
      <c r="J255" s="24">
        <f>F255-C255</f>
        <v>176</v>
      </c>
      <c r="K255" s="4">
        <f>F255/C255-1</f>
        <v>5.1764705882352944</v>
      </c>
      <c r="M255" s="5">
        <v>120.05</v>
      </c>
      <c r="N255" s="5">
        <v>903.5</v>
      </c>
      <c r="Q255" s="122">
        <v>4203.7700000000004</v>
      </c>
      <c r="U255" s="145">
        <f>N255-M255</f>
        <v>783.45</v>
      </c>
      <c r="V255" s="4">
        <f>IF(M255=0,0,N255/M255-1)</f>
        <v>6.5260308204914619</v>
      </c>
      <c r="W255" s="17">
        <v>577.32000000000005</v>
      </c>
      <c r="X255" s="17">
        <v>3237.76</v>
      </c>
      <c r="Y255" s="4">
        <f>X255/W255-1</f>
        <v>4.6082588512436775</v>
      </c>
      <c r="Z255" s="4"/>
      <c r="AA255">
        <v>246</v>
      </c>
      <c r="AB255">
        <v>975</v>
      </c>
      <c r="AD255" s="25">
        <v>0.13819999999999999</v>
      </c>
      <c r="AE255" s="25">
        <v>0.21539999999999998</v>
      </c>
    </row>
    <row r="256" spans="1:31" ht="15" customHeight="1">
      <c r="A256" s="39" t="s">
        <v>554</v>
      </c>
      <c r="B256" s="36" t="s">
        <v>555</v>
      </c>
      <c r="C256" s="27">
        <v>521</v>
      </c>
      <c r="E256" s="36" t="s">
        <v>555</v>
      </c>
      <c r="F256" s="27">
        <v>698</v>
      </c>
      <c r="G256" t="b">
        <f>IF(B256=E256,TRUE,FALSE)</f>
        <v>1</v>
      </c>
      <c r="J256" s="24">
        <f>F256-C256</f>
        <v>177</v>
      </c>
      <c r="K256" s="4">
        <f>F256/C256-1</f>
        <v>0.33973128598848379</v>
      </c>
      <c r="M256" s="5">
        <v>1148.32</v>
      </c>
      <c r="N256" s="5">
        <v>1648.56</v>
      </c>
      <c r="Q256" s="121">
        <v>6795.41</v>
      </c>
      <c r="U256" s="145">
        <f>N256-M256</f>
        <v>500.24</v>
      </c>
      <c r="V256" s="4">
        <f>IF(M256=0,0,N256/M256-1)</f>
        <v>0.43562769959593139</v>
      </c>
      <c r="W256" s="17">
        <v>5203.49</v>
      </c>
      <c r="X256" s="17">
        <v>6971.82</v>
      </c>
      <c r="Y256" s="4">
        <f>X256/W256-1</f>
        <v>0.33983537971630584</v>
      </c>
      <c r="Z256" s="4"/>
      <c r="AA256">
        <v>2169</v>
      </c>
      <c r="AB256">
        <v>2786</v>
      </c>
      <c r="AD256" s="25">
        <v>0.2402</v>
      </c>
      <c r="AE256" s="25">
        <v>0.2505</v>
      </c>
    </row>
    <row r="257" spans="1:36" ht="15" customHeight="1">
      <c r="A257" s="171" t="s">
        <v>556</v>
      </c>
      <c r="B257" s="36" t="s">
        <v>557</v>
      </c>
      <c r="C257" s="27">
        <v>38</v>
      </c>
      <c r="E257" s="36" t="s">
        <v>557</v>
      </c>
      <c r="F257" s="27">
        <v>217</v>
      </c>
      <c r="G257" t="b">
        <f>IF(B257=E257,TRUE,FALSE)</f>
        <v>1</v>
      </c>
      <c r="J257" s="24">
        <f>F257-C257</f>
        <v>179</v>
      </c>
      <c r="K257" s="4">
        <f>F257/C257-1</f>
        <v>4.7105263157894735</v>
      </c>
      <c r="M257" s="5">
        <v>25.74</v>
      </c>
      <c r="N257" s="5">
        <v>1025.54</v>
      </c>
      <c r="Q257" s="122">
        <v>3530.56</v>
      </c>
      <c r="U257" s="145">
        <f>N257-M257</f>
        <v>999.8</v>
      </c>
      <c r="V257" s="4">
        <f>IF(M257=0,0,N257/M257-1)</f>
        <v>38.842268842268844</v>
      </c>
      <c r="W257" s="17">
        <v>911.62</v>
      </c>
      <c r="X257" s="17">
        <v>3875.99</v>
      </c>
      <c r="Y257" s="4">
        <f>X257/W257-1</f>
        <v>3.2517606020052217</v>
      </c>
      <c r="Z257" s="4"/>
      <c r="AA257">
        <v>252</v>
      </c>
      <c r="AB257">
        <v>1221</v>
      </c>
      <c r="AD257" s="25">
        <v>0.15079999999999999</v>
      </c>
      <c r="AE257" s="25">
        <v>0.1777</v>
      </c>
    </row>
    <row r="258" spans="1:36" ht="15" customHeight="1">
      <c r="A258" t="s">
        <v>558</v>
      </c>
      <c r="B258" t="s">
        <v>559</v>
      </c>
      <c r="C258" s="27">
        <v>1228</v>
      </c>
      <c r="E258" t="s">
        <v>559</v>
      </c>
      <c r="F258" s="27">
        <v>1409</v>
      </c>
      <c r="G258" t="b">
        <f>IF(B258=E258,TRUE,FALSE)</f>
        <v>1</v>
      </c>
      <c r="J258" s="24">
        <f>F258-C258</f>
        <v>181</v>
      </c>
      <c r="K258" s="4">
        <f>F258/C258-1</f>
        <v>0.14739413680781754</v>
      </c>
      <c r="M258" s="5">
        <v>2024.46</v>
      </c>
      <c r="N258" s="5">
        <v>2330.21</v>
      </c>
      <c r="Q258" s="122">
        <v>14466.32</v>
      </c>
      <c r="U258" s="145">
        <f>N258-M258</f>
        <v>305.75</v>
      </c>
      <c r="V258" s="4">
        <f>IF(M258=0,0,N258/M258-1)</f>
        <v>0.15102792843523716</v>
      </c>
      <c r="W258" s="17">
        <v>32295.91</v>
      </c>
      <c r="X258" s="17">
        <v>39492.61</v>
      </c>
      <c r="Y258" s="4">
        <f>X258/W258-1</f>
        <v>0.22283626626405639</v>
      </c>
      <c r="Z258" s="4"/>
      <c r="AA258">
        <v>7211</v>
      </c>
      <c r="AB258">
        <v>9254</v>
      </c>
      <c r="AD258" s="25">
        <v>0.17</v>
      </c>
      <c r="AE258" s="25">
        <v>0.15190000000000001</v>
      </c>
    </row>
    <row r="259" spans="1:36" ht="15" customHeight="1">
      <c r="A259" s="171" t="s">
        <v>560</v>
      </c>
      <c r="B259" s="170" t="s">
        <v>561</v>
      </c>
      <c r="C259" s="27">
        <v>66</v>
      </c>
      <c r="E259" s="170" t="s">
        <v>561</v>
      </c>
      <c r="F259" s="27">
        <v>248</v>
      </c>
      <c r="G259" t="b">
        <f>IF(B259=E259,TRUE,FALSE)</f>
        <v>1</v>
      </c>
      <c r="J259" s="24">
        <f>F259-C259</f>
        <v>182</v>
      </c>
      <c r="K259" s="4">
        <f>F259/C259-1</f>
        <v>2.7575757575757578</v>
      </c>
      <c r="M259" s="5">
        <v>470.83</v>
      </c>
      <c r="N259" s="5">
        <v>1191.1099999999999</v>
      </c>
      <c r="Q259" s="122">
        <v>5909.68</v>
      </c>
      <c r="U259" s="145">
        <f>N259-M259</f>
        <v>720.28</v>
      </c>
      <c r="V259" s="4">
        <f>IF(M259=0,0,N259/M259-1)</f>
        <v>1.5298090605951193</v>
      </c>
      <c r="W259" s="17">
        <v>1319.14</v>
      </c>
      <c r="X259" s="17">
        <v>3939.52</v>
      </c>
      <c r="Y259" s="4">
        <f>X259/W259-1</f>
        <v>1.9864305532392312</v>
      </c>
      <c r="Z259" s="4"/>
      <c r="AA259">
        <v>769</v>
      </c>
      <c r="AB259">
        <v>2008</v>
      </c>
      <c r="AD259" s="25">
        <v>8.5800000000000001E-2</v>
      </c>
      <c r="AE259" s="25">
        <v>0.12300000000000001</v>
      </c>
    </row>
    <row r="260" spans="1:36" ht="15" customHeight="1">
      <c r="A260" s="171" t="s">
        <v>562</v>
      </c>
      <c r="B260" s="26" t="s">
        <v>563</v>
      </c>
      <c r="C260" s="27">
        <v>0</v>
      </c>
      <c r="E260" s="26" t="s">
        <v>563</v>
      </c>
      <c r="F260" s="27">
        <v>182</v>
      </c>
      <c r="G260" t="b">
        <f>IF(B260=E260,TRUE,FALSE)</f>
        <v>1</v>
      </c>
      <c r="J260" s="24">
        <f>F260-C260</f>
        <v>182</v>
      </c>
      <c r="K260" s="4" t="e">
        <f>F260/C260-1</f>
        <v>#DIV/0!</v>
      </c>
      <c r="M260" s="5">
        <v>0</v>
      </c>
      <c r="N260" s="5">
        <v>31.66</v>
      </c>
      <c r="Q260" s="121">
        <v>218.83</v>
      </c>
      <c r="U260" s="145">
        <f>N260-M260</f>
        <v>31.66</v>
      </c>
      <c r="V260" s="4">
        <f>IF(M260=0,0,N260/M260-1)</f>
        <v>0</v>
      </c>
      <c r="W260" s="17">
        <v>0</v>
      </c>
      <c r="X260" s="17">
        <v>2728.03</v>
      </c>
      <c r="Y260" s="4" t="e">
        <f>X260/W260-1</f>
        <v>#DIV/0!</v>
      </c>
      <c r="Z260" s="4"/>
      <c r="AB260">
        <v>1052</v>
      </c>
      <c r="AD260" s="25"/>
      <c r="AE260" s="25">
        <v>0.17300000000000001</v>
      </c>
    </row>
    <row r="261" spans="1:36" ht="15" customHeight="1">
      <c r="A261" t="s">
        <v>564</v>
      </c>
      <c r="B261" t="s">
        <v>565</v>
      </c>
      <c r="C261" s="27">
        <v>1701</v>
      </c>
      <c r="E261" t="s">
        <v>565</v>
      </c>
      <c r="F261" s="27">
        <v>1884</v>
      </c>
      <c r="G261" t="b">
        <f>IF(B261=E261,TRUE,FALSE)</f>
        <v>1</v>
      </c>
      <c r="J261" s="24">
        <f>F261-C261</f>
        <v>183</v>
      </c>
      <c r="K261" s="4">
        <f>F261/C261-1</f>
        <v>0.10758377425044086</v>
      </c>
      <c r="M261" s="5">
        <v>3314.88</v>
      </c>
      <c r="N261" s="5">
        <v>3285.21</v>
      </c>
      <c r="Q261" s="122">
        <v>17120.21</v>
      </c>
      <c r="U261" s="145">
        <f>N261-M261</f>
        <v>-29.670000000000073</v>
      </c>
      <c r="V261" s="4">
        <f>IF(M261=0,0,N261/M261-1)</f>
        <v>-8.9505502461627584E-3</v>
      </c>
      <c r="W261" s="17">
        <v>50931.45</v>
      </c>
      <c r="X261" s="17">
        <v>56382.35</v>
      </c>
      <c r="Y261" s="4">
        <f>X261/W261-1</f>
        <v>0.10702424533367894</v>
      </c>
      <c r="Z261" s="4"/>
      <c r="AA261">
        <v>8654</v>
      </c>
      <c r="AB261">
        <v>9313</v>
      </c>
      <c r="AD261" s="25">
        <v>0.1966</v>
      </c>
      <c r="AE261" s="25">
        <v>0.20100000000000001</v>
      </c>
    </row>
    <row r="262" spans="1:36" ht="15" customHeight="1">
      <c r="A262" t="s">
        <v>566</v>
      </c>
      <c r="B262" t="s">
        <v>567</v>
      </c>
      <c r="C262" s="27">
        <v>1342</v>
      </c>
      <c r="E262" t="s">
        <v>567</v>
      </c>
      <c r="F262" s="27">
        <v>1528</v>
      </c>
      <c r="G262" t="b">
        <f>IF(B262=E262,TRUE,FALSE)</f>
        <v>1</v>
      </c>
      <c r="J262" s="24">
        <f>F262-C262</f>
        <v>186</v>
      </c>
      <c r="K262" s="4">
        <f>F262/C262-1</f>
        <v>0.13859910581222046</v>
      </c>
      <c r="M262" s="5">
        <v>2402.75</v>
      </c>
      <c r="N262" s="5">
        <v>2698.6</v>
      </c>
      <c r="Q262" s="122">
        <v>20190.5</v>
      </c>
      <c r="U262" s="145">
        <f>N262-M262</f>
        <v>295.84999999999991</v>
      </c>
      <c r="V262" s="4">
        <f>IF(M262=0,0,N262/M262-1)</f>
        <v>0.12312974716470704</v>
      </c>
      <c r="W262" s="17">
        <v>33487.08</v>
      </c>
      <c r="X262" s="17">
        <v>38130.720000000001</v>
      </c>
      <c r="Y262" s="4">
        <f>X262/W262-1</f>
        <v>0.13866960033541287</v>
      </c>
      <c r="Z262" s="4"/>
      <c r="AA262">
        <v>4860</v>
      </c>
      <c r="AB262">
        <v>5062</v>
      </c>
      <c r="AD262" s="25">
        <v>0.2757</v>
      </c>
      <c r="AE262" s="25">
        <v>0.3019</v>
      </c>
    </row>
    <row r="263" spans="1:36" ht="15" customHeight="1">
      <c r="A263" s="23" t="s">
        <v>568</v>
      </c>
      <c r="B263" s="22" t="s">
        <v>569</v>
      </c>
      <c r="C263" s="27">
        <v>1694</v>
      </c>
      <c r="E263" s="22" t="s">
        <v>569</v>
      </c>
      <c r="F263" s="27">
        <v>1880</v>
      </c>
      <c r="G263" t="b">
        <f>IF(B263=E263,TRUE,FALSE)</f>
        <v>1</v>
      </c>
      <c r="J263" s="24">
        <f>F263-C263</f>
        <v>186</v>
      </c>
      <c r="K263" s="4">
        <f>F263/C263-1</f>
        <v>0.10979929161747348</v>
      </c>
      <c r="M263" s="5">
        <v>3021.28</v>
      </c>
      <c r="N263" s="5">
        <v>1868.61</v>
      </c>
      <c r="Q263" s="122">
        <v>16301.8</v>
      </c>
      <c r="U263" s="145">
        <f>N263-M263</f>
        <v>-1152.6700000000003</v>
      </c>
      <c r="V263" s="4">
        <f>IF(M263=0,0,N263/M263-1)</f>
        <v>-0.38151710533283911</v>
      </c>
      <c r="W263" s="17">
        <v>36639.919999999998</v>
      </c>
      <c r="X263" s="17">
        <v>41334.379999999997</v>
      </c>
      <c r="Y263" s="4">
        <f>X263/W263-1</f>
        <v>0.12812418804407866</v>
      </c>
      <c r="Z263" s="4"/>
      <c r="AA263">
        <v>8299</v>
      </c>
      <c r="AB263">
        <v>8334</v>
      </c>
      <c r="AD263" s="25">
        <v>0.20399999999999999</v>
      </c>
      <c r="AE263" s="25">
        <v>0.22550000000000001</v>
      </c>
      <c r="AJ263" t="s">
        <v>570</v>
      </c>
    </row>
    <row r="264" spans="1:36" ht="15" customHeight="1">
      <c r="A264" t="s">
        <v>571</v>
      </c>
      <c r="B264" t="s">
        <v>572</v>
      </c>
      <c r="C264" s="27">
        <v>1167</v>
      </c>
      <c r="E264" t="s">
        <v>572</v>
      </c>
      <c r="F264" s="27">
        <v>1355</v>
      </c>
      <c r="G264" t="b">
        <f>IF(B264=E264,TRUE,FALSE)</f>
        <v>1</v>
      </c>
      <c r="J264" s="24">
        <f>F264-C264</f>
        <v>188</v>
      </c>
      <c r="K264" s="4">
        <f>F264/C264-1</f>
        <v>0.16109682947729209</v>
      </c>
      <c r="M264" s="5">
        <v>1199.3800000000001</v>
      </c>
      <c r="N264" s="5">
        <v>1649.33</v>
      </c>
      <c r="Q264" s="122">
        <v>10830</v>
      </c>
      <c r="U264" s="145">
        <f>N264-M264</f>
        <v>449.94999999999982</v>
      </c>
      <c r="V264" s="4">
        <f>IF(M264=0,0,N264/M264-1)</f>
        <v>0.37515216195034085</v>
      </c>
      <c r="W264" s="17">
        <v>19476.830000000002</v>
      </c>
      <c r="X264" s="17">
        <v>21604.05</v>
      </c>
      <c r="Y264" s="4">
        <f>X264/W264-1</f>
        <v>0.10921797849033932</v>
      </c>
      <c r="Z264" s="4"/>
      <c r="AA264">
        <v>4304</v>
      </c>
      <c r="AB264">
        <v>4739</v>
      </c>
      <c r="AD264" s="25">
        <v>0.27250000000000002</v>
      </c>
      <c r="AE264" s="25">
        <v>0.28570000000000001</v>
      </c>
    </row>
    <row r="265" spans="1:36" ht="15" customHeight="1">
      <c r="A265" s="39" t="s">
        <v>573</v>
      </c>
      <c r="B265" s="36" t="s">
        <v>574</v>
      </c>
      <c r="C265" s="27">
        <v>969</v>
      </c>
      <c r="E265" s="36" t="s">
        <v>574</v>
      </c>
      <c r="F265" s="27">
        <v>1157</v>
      </c>
      <c r="G265" t="b">
        <f>IF(B265=E265,TRUE,FALSE)</f>
        <v>1</v>
      </c>
      <c r="J265" s="24">
        <f>F265-C265</f>
        <v>188</v>
      </c>
      <c r="K265" s="4">
        <f>F265/C265-1</f>
        <v>0.19401444788441702</v>
      </c>
      <c r="M265" s="5">
        <v>1893.1</v>
      </c>
      <c r="N265" s="5">
        <v>2458.41</v>
      </c>
      <c r="Q265" s="122">
        <v>15254.880000000001</v>
      </c>
      <c r="U265" s="145">
        <f>N265-M265</f>
        <v>565.30999999999995</v>
      </c>
      <c r="V265" s="4">
        <f>IF(M265=0,0,N265/M265-1)</f>
        <v>0.29861602662299935</v>
      </c>
      <c r="W265" s="17">
        <v>16463.310000000001</v>
      </c>
      <c r="X265" s="17">
        <v>19660.43</v>
      </c>
      <c r="Y265" s="4">
        <f>X265/W265-1</f>
        <v>0.1941966712647698</v>
      </c>
      <c r="Z265" s="4"/>
      <c r="AA265">
        <v>5105</v>
      </c>
      <c r="AB265">
        <v>5453</v>
      </c>
      <c r="AD265" s="25">
        <v>0.1898</v>
      </c>
      <c r="AE265" s="25">
        <v>0.2122</v>
      </c>
    </row>
    <row r="266" spans="1:36" ht="15" customHeight="1">
      <c r="A266" t="s">
        <v>575</v>
      </c>
      <c r="B266" t="s">
        <v>576</v>
      </c>
      <c r="C266" s="27">
        <v>748</v>
      </c>
      <c r="E266" t="s">
        <v>576</v>
      </c>
      <c r="F266" s="27">
        <v>939</v>
      </c>
      <c r="G266" t="b">
        <f>IF(B266=E266,TRUE,FALSE)</f>
        <v>1</v>
      </c>
      <c r="J266" s="24">
        <f>F266-C266</f>
        <v>191</v>
      </c>
      <c r="K266" s="4">
        <f>F266/C266-1</f>
        <v>0.25534759358288772</v>
      </c>
      <c r="M266" s="5">
        <v>1574.06</v>
      </c>
      <c r="N266" s="5">
        <v>1542.11</v>
      </c>
      <c r="Q266" s="122">
        <v>12395.95</v>
      </c>
      <c r="U266" s="145">
        <f>N266-M266</f>
        <v>-31.950000000000045</v>
      </c>
      <c r="V266" s="4">
        <f>IF(M266=0,0,N266/M266-1)</f>
        <v>-2.0297828545290497E-2</v>
      </c>
      <c r="W266" s="17">
        <v>18683.02</v>
      </c>
      <c r="X266" s="17">
        <v>23447.360000000001</v>
      </c>
      <c r="Y266" s="4">
        <f>X266/W266-1</f>
        <v>0.25500909381887937</v>
      </c>
      <c r="Z266" s="4"/>
      <c r="AA266">
        <v>2520</v>
      </c>
      <c r="AB266">
        <v>2641</v>
      </c>
      <c r="AD266" s="25">
        <v>0.29480000000000001</v>
      </c>
      <c r="AE266" s="25">
        <v>0.35399999999999998</v>
      </c>
    </row>
    <row r="267" spans="1:36" ht="15" customHeight="1">
      <c r="A267" s="39" t="s">
        <v>577</v>
      </c>
      <c r="B267" s="36" t="s">
        <v>578</v>
      </c>
      <c r="C267" s="18">
        <v>3670</v>
      </c>
      <c r="E267" s="36" t="s">
        <v>578</v>
      </c>
      <c r="F267" s="18">
        <v>3865</v>
      </c>
      <c r="G267" t="b">
        <f>IF(B267=E267,TRUE,FALSE)</f>
        <v>1</v>
      </c>
      <c r="J267" s="24">
        <f>F267-C267</f>
        <v>195</v>
      </c>
      <c r="K267" s="4">
        <f>F267/C267-1</f>
        <v>5.3133514986376085E-2</v>
      </c>
      <c r="M267" s="5">
        <v>1871.57</v>
      </c>
      <c r="N267" s="5">
        <v>1777.01</v>
      </c>
      <c r="Q267" s="121">
        <v>13840.8</v>
      </c>
      <c r="U267" s="145">
        <f>N267-M267</f>
        <v>-94.559999999999945</v>
      </c>
      <c r="V267" s="4">
        <f>IF(M267=0,0,N267/M267-1)</f>
        <v>-5.052442601665974E-2</v>
      </c>
      <c r="W267">
        <v>146426.18</v>
      </c>
      <c r="X267">
        <v>154495.31</v>
      </c>
      <c r="Y267" s="4">
        <f>X267/W267-1</f>
        <v>5.5107153652441232E-2</v>
      </c>
      <c r="Z267" s="4"/>
      <c r="AA267">
        <v>15697</v>
      </c>
      <c r="AB267">
        <v>14546</v>
      </c>
      <c r="AD267" s="25">
        <v>0.2339</v>
      </c>
      <c r="AE267" s="25">
        <v>0.26519999999999999</v>
      </c>
    </row>
    <row r="268" spans="1:36" ht="15" customHeight="1">
      <c r="A268" t="s">
        <v>579</v>
      </c>
      <c r="B268" t="s">
        <v>580</v>
      </c>
      <c r="C268" s="27">
        <v>1654</v>
      </c>
      <c r="E268" t="s">
        <v>580</v>
      </c>
      <c r="F268" s="27">
        <v>1852</v>
      </c>
      <c r="G268" t="b">
        <f>IF(B268=E268,TRUE,FALSE)</f>
        <v>1</v>
      </c>
      <c r="J268" s="24">
        <f>F268-C268</f>
        <v>198</v>
      </c>
      <c r="K268" s="4">
        <f>F268/C268-1</f>
        <v>0.11970979443772678</v>
      </c>
      <c r="M268" s="5">
        <v>788.76</v>
      </c>
      <c r="N268" s="5">
        <v>805.5</v>
      </c>
      <c r="Q268" s="122">
        <v>7361.76</v>
      </c>
      <c r="U268" s="145">
        <f>N268-M268</f>
        <v>16.740000000000009</v>
      </c>
      <c r="V268" s="4">
        <f>IF(M268=0,0,N268/M268-1)</f>
        <v>2.1223185759926988E-2</v>
      </c>
      <c r="W268" s="17">
        <v>49595.06</v>
      </c>
      <c r="X268" s="17">
        <v>55471.9</v>
      </c>
      <c r="Y268" s="4">
        <f>X268/W268-1</f>
        <v>0.11849647928644513</v>
      </c>
      <c r="Z268" s="4"/>
      <c r="AA268">
        <v>5197</v>
      </c>
      <c r="AB268">
        <v>5746</v>
      </c>
      <c r="AD268" s="25">
        <v>0.31879999999999997</v>
      </c>
      <c r="AE268" s="25">
        <v>0.32040000000000002</v>
      </c>
    </row>
    <row r="269" spans="1:36" ht="15" customHeight="1">
      <c r="A269" s="39" t="s">
        <v>581</v>
      </c>
      <c r="B269" s="36" t="s">
        <v>582</v>
      </c>
      <c r="C269" s="18">
        <v>2034</v>
      </c>
      <c r="E269" s="36" t="s">
        <v>582</v>
      </c>
      <c r="F269" s="18">
        <v>2232</v>
      </c>
      <c r="G269" t="b">
        <f>IF(B269=E269,TRUE,FALSE)</f>
        <v>1</v>
      </c>
      <c r="J269" s="24">
        <f>F269-C269</f>
        <v>198</v>
      </c>
      <c r="K269" s="4">
        <f>F269/C269-1</f>
        <v>9.7345132743362761E-2</v>
      </c>
      <c r="M269" s="5">
        <v>4273.0599999999995</v>
      </c>
      <c r="N269" s="5">
        <v>4504.1900000000005</v>
      </c>
      <c r="Q269" s="121">
        <v>30514.39</v>
      </c>
      <c r="U269" s="145">
        <f>N269-M269</f>
        <v>231.13000000000102</v>
      </c>
      <c r="V269" s="4">
        <f>IF(M269=0,0,N269/M269-1)</f>
        <v>5.4090043200891502E-2</v>
      </c>
      <c r="W269">
        <v>54798.879999999997</v>
      </c>
      <c r="X269">
        <v>60132.97</v>
      </c>
      <c r="Y269" s="4">
        <f>X269/W269-1</f>
        <v>9.7339398177481051E-2</v>
      </c>
      <c r="Z269" s="4"/>
      <c r="AA269">
        <v>11361</v>
      </c>
      <c r="AB269">
        <v>12653</v>
      </c>
      <c r="AD269" s="25">
        <v>0.17929999999999999</v>
      </c>
      <c r="AE269" s="25">
        <v>0.17620000000000002</v>
      </c>
    </row>
    <row r="270" spans="1:36" ht="15" customHeight="1">
      <c r="A270" t="s">
        <v>583</v>
      </c>
      <c r="B270" t="s">
        <v>584</v>
      </c>
      <c r="C270" s="27">
        <v>2763</v>
      </c>
      <c r="E270" t="s">
        <v>584</v>
      </c>
      <c r="F270" s="27">
        <v>2963</v>
      </c>
      <c r="G270" t="b">
        <f>IF(B270=E270,TRUE,FALSE)</f>
        <v>1</v>
      </c>
      <c r="J270" s="24">
        <f>F270-C270</f>
        <v>200</v>
      </c>
      <c r="K270" s="4">
        <f>F270/C270-1</f>
        <v>7.2385088671733655E-2</v>
      </c>
      <c r="M270" s="5">
        <v>2666.9</v>
      </c>
      <c r="N270" s="5">
        <v>2326.54</v>
      </c>
      <c r="Q270" s="122">
        <v>13209.02</v>
      </c>
      <c r="U270" s="145">
        <f>N270-M270</f>
        <v>-340.36000000000013</v>
      </c>
      <c r="V270" s="4">
        <f>IF(M270=0,0,N270/M270-1)</f>
        <v>-0.12762383291461998</v>
      </c>
      <c r="W270" s="17">
        <v>82774.759999999995</v>
      </c>
      <c r="X270" s="17">
        <v>88811.17</v>
      </c>
      <c r="Y270" s="4">
        <f>X270/W270-1</f>
        <v>7.2925732433413382E-2</v>
      </c>
      <c r="Z270" s="4"/>
      <c r="AA270">
        <v>10571</v>
      </c>
      <c r="AB270">
        <v>10668</v>
      </c>
      <c r="AD270" s="25">
        <v>0.26190000000000002</v>
      </c>
      <c r="AE270" s="25">
        <v>0.2752</v>
      </c>
    </row>
    <row r="271" spans="1:36" ht="15" customHeight="1">
      <c r="A271" t="s">
        <v>585</v>
      </c>
      <c r="B271" t="s">
        <v>586</v>
      </c>
      <c r="C271" s="27">
        <v>4247</v>
      </c>
      <c r="E271" t="s">
        <v>586</v>
      </c>
      <c r="F271" s="27">
        <v>4447</v>
      </c>
      <c r="G271" t="b">
        <f>IF(B271=E271,TRUE,FALSE)</f>
        <v>1</v>
      </c>
      <c r="J271" s="24">
        <f>F271-C271</f>
        <v>200</v>
      </c>
      <c r="K271" s="4">
        <f>F271/C271-1</f>
        <v>4.7092064987049653E-2</v>
      </c>
      <c r="M271" s="5">
        <v>6186.53</v>
      </c>
      <c r="N271" s="5">
        <v>7152.86</v>
      </c>
      <c r="Q271" s="122">
        <v>46671.12</v>
      </c>
      <c r="U271" s="145">
        <f>N271-M271</f>
        <v>966.32999999999993</v>
      </c>
      <c r="V271" s="4">
        <f>IF(M271=0,0,N271/M271-1)</f>
        <v>0.15619903241397037</v>
      </c>
      <c r="W271" s="17">
        <v>114609.25</v>
      </c>
      <c r="X271" s="17">
        <v>120006.44</v>
      </c>
      <c r="Y271" s="4">
        <f>X271/W271-1</f>
        <v>4.709209771462608E-2</v>
      </c>
      <c r="Z271" s="4"/>
      <c r="AA271">
        <v>15230</v>
      </c>
      <c r="AB271">
        <v>15688</v>
      </c>
      <c r="AD271" s="25">
        <v>0.27929999999999999</v>
      </c>
      <c r="AE271" s="25">
        <v>0.28210000000000002</v>
      </c>
    </row>
    <row r="272" spans="1:36" ht="15" customHeight="1">
      <c r="A272" s="126" t="s">
        <v>587</v>
      </c>
      <c r="B272" s="36" t="s">
        <v>588</v>
      </c>
      <c r="C272" s="27">
        <v>1191</v>
      </c>
      <c r="E272" s="36" t="s">
        <v>588</v>
      </c>
      <c r="F272" s="27">
        <v>1392</v>
      </c>
      <c r="G272" t="b">
        <f>IF(B272=E272,TRUE,FALSE)</f>
        <v>1</v>
      </c>
      <c r="J272" s="24">
        <f>F272-C272</f>
        <v>201</v>
      </c>
      <c r="K272" s="4">
        <f>F272/C272-1</f>
        <v>0.16876574307304781</v>
      </c>
      <c r="M272" s="5">
        <v>2339.27</v>
      </c>
      <c r="N272" s="5">
        <v>2475.12</v>
      </c>
      <c r="Q272" s="121">
        <v>11377.4</v>
      </c>
      <c r="U272" s="145">
        <f>N272-M272</f>
        <v>135.84999999999991</v>
      </c>
      <c r="V272" s="4">
        <f>IF(M272=0,0,N272/M272-1)</f>
        <v>5.8073672555968292E-2</v>
      </c>
      <c r="W272" s="17">
        <v>25825.59</v>
      </c>
      <c r="X272" s="17">
        <v>31809.98</v>
      </c>
      <c r="Y272" s="4"/>
      <c r="Z272" s="4"/>
      <c r="AA272">
        <v>7313</v>
      </c>
      <c r="AB272">
        <v>7939</v>
      </c>
      <c r="AD272" s="25">
        <v>0.16269999999999998</v>
      </c>
      <c r="AE272" s="25">
        <v>0.17510000000000001</v>
      </c>
    </row>
    <row r="273" spans="1:31" ht="15" customHeight="1">
      <c r="A273" t="s">
        <v>589</v>
      </c>
      <c r="B273" t="s">
        <v>590</v>
      </c>
      <c r="C273" s="27">
        <v>3602</v>
      </c>
      <c r="E273" t="s">
        <v>590</v>
      </c>
      <c r="F273" s="27">
        <v>3804</v>
      </c>
      <c r="G273" t="b">
        <f>IF(B273=E273,TRUE,FALSE)</f>
        <v>1</v>
      </c>
      <c r="J273" s="24">
        <f>F273-C273</f>
        <v>202</v>
      </c>
      <c r="K273" s="4">
        <f>F273/C273-1</f>
        <v>5.6079955580233154E-2</v>
      </c>
      <c r="M273" s="5">
        <v>8565.2000000000007</v>
      </c>
      <c r="N273" s="5">
        <v>9387.0499999999993</v>
      </c>
      <c r="Q273" s="122">
        <v>33737.21</v>
      </c>
      <c r="U273" s="145">
        <f>N273-M273</f>
        <v>821.84999999999854</v>
      </c>
      <c r="V273" s="4">
        <f>IF(M273=0,0,N273/M273-1)</f>
        <v>9.595222528370595E-2</v>
      </c>
      <c r="W273" s="17">
        <v>97082.49</v>
      </c>
      <c r="X273" s="17">
        <v>102493.5</v>
      </c>
      <c r="Y273" s="4">
        <f>X273/W273-1</f>
        <v>5.5736209485356181E-2</v>
      </c>
      <c r="Z273" s="4"/>
      <c r="AA273">
        <v>10748</v>
      </c>
      <c r="AB273">
        <v>11939</v>
      </c>
      <c r="AD273" s="25">
        <v>0.33610000000000001</v>
      </c>
      <c r="AE273" s="25">
        <v>0.317</v>
      </c>
    </row>
    <row r="274" spans="1:31" ht="15" customHeight="1">
      <c r="A274" s="171" t="s">
        <v>591</v>
      </c>
      <c r="B274" s="26" t="s">
        <v>592</v>
      </c>
      <c r="C274" s="27">
        <v>1</v>
      </c>
      <c r="E274" s="26" t="s">
        <v>592</v>
      </c>
      <c r="F274" s="27">
        <v>207</v>
      </c>
      <c r="G274" t="b">
        <f>IF(B274=E274,TRUE,FALSE)</f>
        <v>1</v>
      </c>
      <c r="J274" s="24">
        <f>F274-C274</f>
        <v>206</v>
      </c>
      <c r="K274" s="4">
        <f>F274/C274-1</f>
        <v>206</v>
      </c>
      <c r="M274" s="5">
        <v>0</v>
      </c>
      <c r="N274" s="5">
        <v>1335.57</v>
      </c>
      <c r="Q274" s="122">
        <v>4631.8100000000004</v>
      </c>
      <c r="U274" s="145">
        <f>N274-M274</f>
        <v>1335.57</v>
      </c>
      <c r="V274" s="4">
        <f>IF(M274=0,0,N274/M274-1)</f>
        <v>0</v>
      </c>
      <c r="W274" s="17">
        <v>19.989999999999998</v>
      </c>
      <c r="X274" s="17">
        <v>3741.33</v>
      </c>
      <c r="Y274" s="4">
        <f>X274/W274-1</f>
        <v>186.16008004002003</v>
      </c>
      <c r="Z274" s="4"/>
      <c r="AA274">
        <v>5</v>
      </c>
      <c r="AB274">
        <v>1992</v>
      </c>
      <c r="AD274" s="25">
        <v>0.2</v>
      </c>
      <c r="AE274" s="25">
        <v>0.10339999999999999</v>
      </c>
    </row>
    <row r="275" spans="1:31" ht="15" customHeight="1">
      <c r="A275" t="s">
        <v>593</v>
      </c>
      <c r="B275" t="s">
        <v>594</v>
      </c>
      <c r="C275" s="27">
        <v>550</v>
      </c>
      <c r="E275" t="s">
        <v>594</v>
      </c>
      <c r="F275" s="27">
        <v>760</v>
      </c>
      <c r="G275" t="b">
        <f>IF(B275=E275,TRUE,FALSE)</f>
        <v>1</v>
      </c>
      <c r="J275" s="24">
        <f>F275-C275</f>
        <v>210</v>
      </c>
      <c r="K275" s="4">
        <f>F275/C275-1</f>
        <v>0.38181818181818183</v>
      </c>
      <c r="M275" s="5">
        <v>920.74</v>
      </c>
      <c r="N275" s="5">
        <v>1318.45</v>
      </c>
      <c r="Q275" s="122">
        <v>3816.53</v>
      </c>
      <c r="U275" s="145">
        <f>N275-M275</f>
        <v>397.71000000000004</v>
      </c>
      <c r="V275" s="4">
        <f>IF(M275=0,0,N275/M275-1)</f>
        <v>0.43194604339987408</v>
      </c>
      <c r="W275" s="17">
        <v>10891.1</v>
      </c>
      <c r="X275" s="17">
        <v>13015.36</v>
      </c>
      <c r="Y275" s="4">
        <f>X275/W275-1</f>
        <v>0.19504549586359499</v>
      </c>
      <c r="Z275" s="4"/>
      <c r="AA275">
        <v>3955</v>
      </c>
      <c r="AB275">
        <v>5245</v>
      </c>
      <c r="AD275" s="25">
        <v>0.1391</v>
      </c>
      <c r="AE275" s="25">
        <v>0.14449999999999999</v>
      </c>
    </row>
    <row r="276" spans="1:31" ht="15" customHeight="1">
      <c r="A276" s="39" t="s">
        <v>595</v>
      </c>
      <c r="B276" s="36" t="s">
        <v>596</v>
      </c>
      <c r="C276" s="27">
        <v>70</v>
      </c>
      <c r="E276" s="36" t="s">
        <v>596</v>
      </c>
      <c r="F276" s="27">
        <v>280</v>
      </c>
      <c r="G276" t="b">
        <f>IF(B276=E276,TRUE,FALSE)</f>
        <v>1</v>
      </c>
      <c r="J276" s="24">
        <f>F276-C276</f>
        <v>210</v>
      </c>
      <c r="K276" s="4">
        <f>F276/C276-1</f>
        <v>3</v>
      </c>
      <c r="M276" s="5">
        <v>110.17</v>
      </c>
      <c r="N276" s="5">
        <v>946.57</v>
      </c>
      <c r="Q276" s="122">
        <v>3807.94</v>
      </c>
      <c r="U276" s="145">
        <f>N276-M276</f>
        <v>836.40000000000009</v>
      </c>
      <c r="V276" s="4">
        <f>IF(M276=0,0,N276/M276-1)</f>
        <v>7.5919034219842061</v>
      </c>
      <c r="W276" s="17">
        <v>1398.3</v>
      </c>
      <c r="X276" s="17">
        <v>4569</v>
      </c>
      <c r="Y276" s="4">
        <f>X276/W276-1</f>
        <v>2.2675391546878352</v>
      </c>
      <c r="Z276" s="4"/>
      <c r="AA276">
        <v>493</v>
      </c>
      <c r="AB276">
        <v>1740</v>
      </c>
      <c r="AD276" s="25">
        <v>0.14199999999999999</v>
      </c>
      <c r="AE276" s="25">
        <v>0.16089999999999999</v>
      </c>
    </row>
    <row r="277" spans="1:31" ht="15" customHeight="1">
      <c r="A277" s="126" t="s">
        <v>597</v>
      </c>
      <c r="B277" s="36" t="s">
        <v>598</v>
      </c>
      <c r="C277" s="27">
        <v>431</v>
      </c>
      <c r="E277" s="36" t="s">
        <v>598</v>
      </c>
      <c r="F277" s="27">
        <v>641</v>
      </c>
      <c r="G277" t="b">
        <f>IF(B277=E277,TRUE,FALSE)</f>
        <v>1</v>
      </c>
      <c r="J277" s="24">
        <f>F277-C277</f>
        <v>210</v>
      </c>
      <c r="K277" s="4">
        <f>F277/C277-1</f>
        <v>0.48723897911832936</v>
      </c>
      <c r="M277" s="5">
        <v>901.83</v>
      </c>
      <c r="N277" s="5">
        <v>1295.6500000000001</v>
      </c>
      <c r="Q277" s="121">
        <v>4194.99</v>
      </c>
      <c r="U277" s="145">
        <f>N277-M277</f>
        <v>393.82000000000005</v>
      </c>
      <c r="V277" s="4">
        <f>IF(M277=0,0,N277/M277-1)</f>
        <v>0.43668984176618664</v>
      </c>
      <c r="W277" s="17">
        <v>7113.49</v>
      </c>
      <c r="X277" s="17">
        <v>10161.19</v>
      </c>
      <c r="Y277" s="4">
        <f>X277/W277-1</f>
        <v>0.42843948610316462</v>
      </c>
      <c r="Z277" s="4"/>
      <c r="AA277">
        <v>2694</v>
      </c>
      <c r="AB277">
        <v>3724</v>
      </c>
      <c r="AD277" s="25">
        <v>0.16</v>
      </c>
      <c r="AE277" s="25">
        <v>0.1721</v>
      </c>
    </row>
    <row r="278" spans="1:31" ht="15" customHeight="1">
      <c r="A278" t="s">
        <v>599</v>
      </c>
      <c r="B278" t="s">
        <v>600</v>
      </c>
      <c r="C278" s="27">
        <v>427</v>
      </c>
      <c r="E278" t="s">
        <v>600</v>
      </c>
      <c r="F278" s="27">
        <v>638</v>
      </c>
      <c r="G278" t="b">
        <f>IF(B278=E278,TRUE,FALSE)</f>
        <v>1</v>
      </c>
      <c r="J278" s="24">
        <f>F278-C278</f>
        <v>211</v>
      </c>
      <c r="K278" s="4">
        <f>F278/C278-1</f>
        <v>0.49414519906323195</v>
      </c>
      <c r="M278" s="5">
        <v>325.85000000000002</v>
      </c>
      <c r="N278" s="5">
        <v>480.91</v>
      </c>
      <c r="Q278" s="122">
        <v>5110.6099999999997</v>
      </c>
      <c r="U278" s="145">
        <f>N278-M278</f>
        <v>155.06</v>
      </c>
      <c r="V278" s="4">
        <f>IF(M278=0,0,N278/M278-1)</f>
        <v>0.4758631272057694</v>
      </c>
      <c r="W278" s="17">
        <v>8516.85</v>
      </c>
      <c r="X278" s="17">
        <v>12724.9</v>
      </c>
      <c r="Y278" s="4">
        <f>X278/W278-1</f>
        <v>0.49408525452485352</v>
      </c>
      <c r="Z278" s="4"/>
      <c r="AA278">
        <v>2151</v>
      </c>
      <c r="AB278">
        <v>2991</v>
      </c>
      <c r="AD278" s="25">
        <v>0.19850000000000001</v>
      </c>
      <c r="AE278" s="25">
        <v>0.21260000000000001</v>
      </c>
    </row>
    <row r="279" spans="1:31" ht="15" customHeight="1">
      <c r="A279" t="s">
        <v>601</v>
      </c>
      <c r="B279" t="s">
        <v>602</v>
      </c>
      <c r="C279" s="27">
        <v>375</v>
      </c>
      <c r="E279" t="s">
        <v>602</v>
      </c>
      <c r="F279" s="27">
        <v>587</v>
      </c>
      <c r="G279" t="b">
        <f>IF(B279=E279,TRUE,FALSE)</f>
        <v>1</v>
      </c>
      <c r="J279" s="24">
        <f>F279-C279</f>
        <v>212</v>
      </c>
      <c r="K279" s="4">
        <f>F279/C279-1</f>
        <v>0.56533333333333324</v>
      </c>
      <c r="M279" s="5">
        <v>951.11</v>
      </c>
      <c r="N279" s="5">
        <v>1153.29</v>
      </c>
      <c r="Q279" s="122">
        <v>7703.6</v>
      </c>
      <c r="U279" s="145">
        <f>N279-M279</f>
        <v>202.17999999999995</v>
      </c>
      <c r="V279" s="4">
        <f>IF(M279=0,0,N279/M279-1)</f>
        <v>0.21257267823910997</v>
      </c>
      <c r="W279" s="17">
        <v>8991.2099999999991</v>
      </c>
      <c r="X279" s="17">
        <v>14068.69</v>
      </c>
      <c r="Y279" s="4">
        <f>X279/W279-1</f>
        <v>0.56471598372187959</v>
      </c>
      <c r="Z279" s="4"/>
      <c r="AA279">
        <v>1413</v>
      </c>
      <c r="AB279">
        <v>1649</v>
      </c>
      <c r="AD279" s="25">
        <v>0.2661</v>
      </c>
      <c r="AE279" s="25">
        <v>0.35289999999999999</v>
      </c>
    </row>
    <row r="280" spans="1:31" ht="15" customHeight="1">
      <c r="A280" t="s">
        <v>603</v>
      </c>
      <c r="B280" t="s">
        <v>604</v>
      </c>
      <c r="C280" s="27">
        <v>2359</v>
      </c>
      <c r="E280" t="s">
        <v>604</v>
      </c>
      <c r="F280" s="27">
        <v>2580</v>
      </c>
      <c r="G280" t="b">
        <f>IF(B280=E280,TRUE,FALSE)</f>
        <v>1</v>
      </c>
      <c r="J280" s="24">
        <f>F280-C280</f>
        <v>221</v>
      </c>
      <c r="K280" s="4">
        <f>F280/C280-1</f>
        <v>9.3683764306909723E-2</v>
      </c>
      <c r="M280" s="5">
        <v>2451.65</v>
      </c>
      <c r="N280" s="5">
        <v>2753.53</v>
      </c>
      <c r="Q280" s="122">
        <v>14864.83</v>
      </c>
      <c r="U280" s="145">
        <f>N280-M280</f>
        <v>301.88000000000011</v>
      </c>
      <c r="V280" s="4">
        <f>IF(M280=0,0,N280/M280-1)</f>
        <v>0.12313339995513228</v>
      </c>
      <c r="W280" s="17">
        <v>70645.75</v>
      </c>
      <c r="X280" s="17">
        <v>72645.509999999995</v>
      </c>
      <c r="Y280" s="4">
        <f>X280/W280-1</f>
        <v>2.8306869132254775E-2</v>
      </c>
      <c r="Z280" s="4"/>
      <c r="AA280">
        <v>8661</v>
      </c>
      <c r="AB280">
        <v>8914</v>
      </c>
      <c r="AD280" s="25">
        <v>0.27429999999999999</v>
      </c>
      <c r="AE280" s="25">
        <v>0.2883</v>
      </c>
    </row>
    <row r="281" spans="1:31" ht="15" customHeight="1">
      <c r="A281" t="s">
        <v>605</v>
      </c>
      <c r="B281" t="s">
        <v>606</v>
      </c>
      <c r="C281" s="27">
        <v>3803</v>
      </c>
      <c r="E281" t="s">
        <v>606</v>
      </c>
      <c r="F281" s="27">
        <v>4026</v>
      </c>
      <c r="G281" t="b">
        <f>IF(B281=E281,TRUE,FALSE)</f>
        <v>1</v>
      </c>
      <c r="J281" s="24">
        <f>F281-C281</f>
        <v>223</v>
      </c>
      <c r="K281" s="4">
        <f>F281/C281-1</f>
        <v>5.8637917433605136E-2</v>
      </c>
      <c r="M281" s="5">
        <v>4367.2700000000004</v>
      </c>
      <c r="N281" s="5">
        <v>5289.49</v>
      </c>
      <c r="Q281" s="122">
        <v>24249.13</v>
      </c>
      <c r="U281" s="145">
        <f>N281-M281</f>
        <v>922.21999999999935</v>
      </c>
      <c r="V281" s="4">
        <f>IF(M281=0,0,N281/M281-1)</f>
        <v>0.21116624344269974</v>
      </c>
      <c r="W281" s="17">
        <v>114011.78</v>
      </c>
      <c r="X281" s="17">
        <v>120726.54</v>
      </c>
      <c r="Y281" s="4">
        <f>X281/W281-1</f>
        <v>5.8895317659280355E-2</v>
      </c>
      <c r="Z281" s="4"/>
      <c r="AA281">
        <v>15552</v>
      </c>
      <c r="AB281">
        <v>15514</v>
      </c>
      <c r="AD281" s="25">
        <v>0.24530000000000002</v>
      </c>
      <c r="AE281" s="25">
        <v>0.25790000000000002</v>
      </c>
    </row>
    <row r="282" spans="1:31" ht="15" customHeight="1">
      <c r="A282" s="171" t="s">
        <v>607</v>
      </c>
      <c r="B282" s="26" t="s">
        <v>608</v>
      </c>
      <c r="C282" s="27">
        <v>0</v>
      </c>
      <c r="E282" s="26" t="s">
        <v>608</v>
      </c>
      <c r="F282" s="27">
        <v>224</v>
      </c>
      <c r="G282" t="b">
        <f>IF(B282=E282,TRUE,FALSE)</f>
        <v>1</v>
      </c>
      <c r="J282" s="24">
        <f>F282-C282</f>
        <v>224</v>
      </c>
      <c r="K282" s="4" t="e">
        <f>F282/C282-1</f>
        <v>#DIV/0!</v>
      </c>
      <c r="M282" s="5">
        <v>0</v>
      </c>
      <c r="N282" s="5">
        <v>57.35</v>
      </c>
      <c r="Q282" s="121">
        <v>236.53</v>
      </c>
      <c r="U282" s="145">
        <f>N282-M282</f>
        <v>57.35</v>
      </c>
      <c r="V282" s="4">
        <f>IF(M282=0,0,N282/M282-1)</f>
        <v>0</v>
      </c>
      <c r="W282" s="17">
        <v>0</v>
      </c>
      <c r="X282" s="17">
        <v>3805.5899999999997</v>
      </c>
      <c r="Y282" s="4" t="e">
        <f>X282/W282-1</f>
        <v>#DIV/0!</v>
      </c>
      <c r="Z282" s="4"/>
      <c r="AB282">
        <v>1658</v>
      </c>
      <c r="AD282" s="25"/>
      <c r="AE282" s="25">
        <v>0.1351</v>
      </c>
    </row>
    <row r="283" spans="1:31" ht="15" customHeight="1">
      <c r="A283" t="s">
        <v>609</v>
      </c>
      <c r="B283" t="s">
        <v>610</v>
      </c>
      <c r="C283" s="27">
        <v>747</v>
      </c>
      <c r="E283" t="s">
        <v>610</v>
      </c>
      <c r="F283" s="27">
        <v>972</v>
      </c>
      <c r="G283" t="b">
        <f>IF(B283=E283,TRUE,FALSE)</f>
        <v>1</v>
      </c>
      <c r="J283" s="24">
        <f>F283-C283</f>
        <v>225</v>
      </c>
      <c r="K283" s="4">
        <f>F283/C283-1</f>
        <v>0.3012048192771084</v>
      </c>
      <c r="M283" s="5">
        <v>1214.8800000000001</v>
      </c>
      <c r="N283" s="5">
        <v>1335.81</v>
      </c>
      <c r="Q283" s="122">
        <v>9823.7899999999991</v>
      </c>
      <c r="U283" s="145">
        <f>N283-M283</f>
        <v>120.92999999999984</v>
      </c>
      <c r="V283" s="4">
        <f>IF(M283=0,0,N283/M283-1)</f>
        <v>9.954069537732102E-2</v>
      </c>
      <c r="W283" s="17">
        <v>22380.27</v>
      </c>
      <c r="X283" s="17">
        <v>29131.279999999999</v>
      </c>
      <c r="Y283" s="4">
        <f>X283/W283-1</f>
        <v>0.3016500694585007</v>
      </c>
      <c r="Z283" s="4"/>
      <c r="AA283">
        <v>4734</v>
      </c>
      <c r="AB283">
        <v>5294</v>
      </c>
      <c r="AD283" s="25">
        <v>0.128</v>
      </c>
      <c r="AE283" s="25">
        <v>0.15620000000000001</v>
      </c>
    </row>
    <row r="284" spans="1:31" ht="15" customHeight="1">
      <c r="A284" s="40" t="s">
        <v>611</v>
      </c>
      <c r="B284" s="36" t="s">
        <v>612</v>
      </c>
      <c r="C284" s="27">
        <v>148</v>
      </c>
      <c r="E284" s="36" t="s">
        <v>612</v>
      </c>
      <c r="F284" s="27">
        <v>374</v>
      </c>
      <c r="G284" t="b">
        <f>IF(B284=E284,TRUE,FALSE)</f>
        <v>1</v>
      </c>
      <c r="J284" s="24">
        <f>F284-C284</f>
        <v>226</v>
      </c>
      <c r="K284" s="4">
        <f>F284/C284-1</f>
        <v>1.5270270270270272</v>
      </c>
      <c r="M284" s="5">
        <v>244.89</v>
      </c>
      <c r="N284" s="5">
        <v>1497.18</v>
      </c>
      <c r="Q284" s="122">
        <v>13342.54</v>
      </c>
      <c r="U284" s="145">
        <f>N284-M284</f>
        <v>1252.29</v>
      </c>
      <c r="V284" s="4">
        <f>IF(M284=0,0,N284/M284-1)</f>
        <v>5.1136836947200788</v>
      </c>
      <c r="W284" s="17">
        <v>2956.12</v>
      </c>
      <c r="X284" s="17">
        <v>6599.26</v>
      </c>
      <c r="Y284" s="4">
        <f>X284/W284-1</f>
        <v>1.2324059916376875</v>
      </c>
      <c r="Z284" s="4"/>
      <c r="AA284">
        <v>669</v>
      </c>
      <c r="AB284">
        <v>1757</v>
      </c>
      <c r="AD284" s="25">
        <v>0.22120000000000001</v>
      </c>
      <c r="AE284" s="25">
        <v>0.21289999999999998</v>
      </c>
    </row>
    <row r="285" spans="1:31" ht="15" customHeight="1">
      <c r="A285" s="39" t="s">
        <v>613</v>
      </c>
      <c r="B285" s="36" t="s">
        <v>614</v>
      </c>
      <c r="C285" s="27">
        <v>634</v>
      </c>
      <c r="E285" s="36" t="s">
        <v>614</v>
      </c>
      <c r="F285" s="27">
        <v>860</v>
      </c>
      <c r="G285" t="b">
        <f>IF(B285=E285,TRUE,FALSE)</f>
        <v>1</v>
      </c>
      <c r="J285" s="24">
        <f>F285-C285</f>
        <v>226</v>
      </c>
      <c r="K285" s="4">
        <f>F285/C285-1</f>
        <v>0.35646687697160884</v>
      </c>
      <c r="M285" s="5">
        <v>1395.36</v>
      </c>
      <c r="N285" s="5">
        <v>2610.91</v>
      </c>
      <c r="Q285" s="121">
        <v>10311.370000000001</v>
      </c>
      <c r="U285" s="145">
        <f>N285-M285</f>
        <v>1215.55</v>
      </c>
      <c r="V285" s="4">
        <f>IF(M285=0,0,N285/M285-1)</f>
        <v>0.87113719756908625</v>
      </c>
      <c r="W285" s="17">
        <v>10607.86</v>
      </c>
      <c r="X285" s="17">
        <v>14950.01</v>
      </c>
      <c r="Y285" s="4"/>
      <c r="Z285" s="4"/>
      <c r="AA285">
        <v>3133</v>
      </c>
      <c r="AB285">
        <v>3839</v>
      </c>
      <c r="AD285" s="25">
        <v>0.2024</v>
      </c>
      <c r="AE285" s="25">
        <v>0.2238</v>
      </c>
    </row>
    <row r="286" spans="1:31" ht="15" customHeight="1">
      <c r="A286" s="39" t="s">
        <v>615</v>
      </c>
      <c r="B286" s="36" t="s">
        <v>616</v>
      </c>
      <c r="C286" s="18">
        <v>695</v>
      </c>
      <c r="E286" s="36" t="s">
        <v>616</v>
      </c>
      <c r="F286" s="18">
        <v>922</v>
      </c>
      <c r="G286" t="b">
        <f>IF(B286=E286,TRUE,FALSE)</f>
        <v>1</v>
      </c>
      <c r="J286" s="24">
        <f>F286-C286</f>
        <v>227</v>
      </c>
      <c r="K286" s="4">
        <f>F286/C286-1</f>
        <v>0.32661870503597124</v>
      </c>
      <c r="M286" s="5">
        <v>1710.18</v>
      </c>
      <c r="N286" s="5">
        <v>1991.43</v>
      </c>
      <c r="Q286" s="121">
        <v>9062.15</v>
      </c>
      <c r="U286" s="145">
        <f>N286-M286</f>
        <v>281.25</v>
      </c>
      <c r="V286" s="4">
        <f>IF(M286=0,0,N286/M286-1)</f>
        <v>0.16445637301336702</v>
      </c>
      <c r="W286">
        <v>17361.05</v>
      </c>
      <c r="X286">
        <v>21200.02</v>
      </c>
      <c r="Y286" s="4">
        <f>X286/W286-1</f>
        <v>0.22112545036158537</v>
      </c>
      <c r="Z286" s="4"/>
      <c r="AA286">
        <v>4118</v>
      </c>
      <c r="AB286">
        <v>5313</v>
      </c>
      <c r="AD286" s="25">
        <v>0.16800000000000001</v>
      </c>
      <c r="AE286" s="25">
        <v>0.17319999999999999</v>
      </c>
    </row>
    <row r="287" spans="1:31" ht="15" customHeight="1">
      <c r="A287" t="s">
        <v>617</v>
      </c>
      <c r="B287" t="s">
        <v>618</v>
      </c>
      <c r="C287" s="27">
        <v>405</v>
      </c>
      <c r="E287" t="s">
        <v>618</v>
      </c>
      <c r="F287" s="27">
        <v>634</v>
      </c>
      <c r="G287" t="b">
        <f>IF(B287=E287,TRUE,FALSE)</f>
        <v>1</v>
      </c>
      <c r="J287" s="24">
        <f>F287-C287</f>
        <v>229</v>
      </c>
      <c r="K287" s="4">
        <f>F287/C287-1</f>
        <v>0.56543209876543199</v>
      </c>
      <c r="M287" s="5">
        <v>1468.73</v>
      </c>
      <c r="N287" s="5">
        <v>1879.27</v>
      </c>
      <c r="Q287" s="122">
        <v>6008.1</v>
      </c>
      <c r="U287" s="145">
        <f>N287-M287</f>
        <v>410.53999999999996</v>
      </c>
      <c r="V287" s="4">
        <f>IF(M287=0,0,N287/M287-1)</f>
        <v>0.27952040197994177</v>
      </c>
      <c r="W287" s="17">
        <v>5765.57</v>
      </c>
      <c r="X287" s="17">
        <v>8405.57</v>
      </c>
      <c r="Y287" s="4">
        <f>X287/W287-1</f>
        <v>0.45789054681497232</v>
      </c>
      <c r="Z287" s="4"/>
      <c r="AA287">
        <v>1942</v>
      </c>
      <c r="AB287">
        <v>2528</v>
      </c>
      <c r="AD287" s="25">
        <v>0.20850000000000002</v>
      </c>
      <c r="AE287" s="25">
        <v>0.25040000000000001</v>
      </c>
    </row>
    <row r="288" spans="1:31" ht="15" customHeight="1">
      <c r="A288" t="s">
        <v>619</v>
      </c>
      <c r="B288" t="s">
        <v>620</v>
      </c>
      <c r="C288" s="27">
        <v>1147</v>
      </c>
      <c r="E288" t="s">
        <v>620</v>
      </c>
      <c r="F288" s="27">
        <v>1377</v>
      </c>
      <c r="G288" t="b">
        <f>IF(B288=E288,TRUE,FALSE)</f>
        <v>1</v>
      </c>
      <c r="J288" s="24">
        <f>F288-C288</f>
        <v>230</v>
      </c>
      <c r="K288" s="4">
        <f>F288/C288-1</f>
        <v>0.20052310374891014</v>
      </c>
      <c r="M288" s="5">
        <v>1228.02</v>
      </c>
      <c r="N288" s="5">
        <v>1267.44</v>
      </c>
      <c r="Q288" s="122">
        <v>13710.92</v>
      </c>
      <c r="U288" s="145">
        <f>N288-M288</f>
        <v>39.420000000000073</v>
      </c>
      <c r="V288" s="4">
        <f>IF(M288=0,0,N288/M288-1)</f>
        <v>3.2100454389993649E-2</v>
      </c>
      <c r="W288" s="17">
        <v>36661.17</v>
      </c>
      <c r="X288" s="17">
        <v>44010.87</v>
      </c>
      <c r="Y288" s="4">
        <f>X288/W288-1</f>
        <v>0.20047641687376605</v>
      </c>
      <c r="Z288" s="4"/>
      <c r="AA288">
        <v>3701</v>
      </c>
      <c r="AB288">
        <v>4047</v>
      </c>
      <c r="AD288" s="25">
        <v>0.30959999999999999</v>
      </c>
      <c r="AE288" s="25">
        <v>0.33799999999999997</v>
      </c>
    </row>
    <row r="289" spans="1:31" ht="15" customHeight="1">
      <c r="A289" t="s">
        <v>621</v>
      </c>
      <c r="B289" t="s">
        <v>622</v>
      </c>
      <c r="C289" s="27">
        <v>2175</v>
      </c>
      <c r="E289" t="s">
        <v>622</v>
      </c>
      <c r="F289" s="27">
        <v>2408</v>
      </c>
      <c r="G289" t="b">
        <f>IF(B289=E289,TRUE,FALSE)</f>
        <v>1</v>
      </c>
      <c r="J289" s="24">
        <f>F289-C289</f>
        <v>233</v>
      </c>
      <c r="K289" s="4">
        <f>F289/C289-1</f>
        <v>0.10712643678160916</v>
      </c>
      <c r="M289" s="5">
        <v>2632.23</v>
      </c>
      <c r="N289" s="5">
        <v>2678.55</v>
      </c>
      <c r="Q289" s="122">
        <v>20172.7</v>
      </c>
      <c r="U289" s="145">
        <f>N289-M289</f>
        <v>46.320000000000164</v>
      </c>
      <c r="V289" s="4">
        <f>IF(M289=0,0,N289/M289-1)</f>
        <v>1.7597246441230396E-2</v>
      </c>
      <c r="W289" s="17">
        <v>49796.65</v>
      </c>
      <c r="X289" s="17">
        <v>55194.55</v>
      </c>
      <c r="Y289" s="4">
        <f>X289/W289-1</f>
        <v>0.10839885815612105</v>
      </c>
      <c r="Z289" s="4"/>
      <c r="AA289">
        <v>9131</v>
      </c>
      <c r="AB289">
        <v>9797</v>
      </c>
      <c r="AD289" s="25">
        <v>0.23829999999999998</v>
      </c>
      <c r="AE289" s="25">
        <v>0.24429999999999999</v>
      </c>
    </row>
    <row r="290" spans="1:31" ht="15" customHeight="1">
      <c r="A290" t="s">
        <v>623</v>
      </c>
      <c r="B290" t="s">
        <v>624</v>
      </c>
      <c r="C290" s="27">
        <v>1475</v>
      </c>
      <c r="E290" t="s">
        <v>624</v>
      </c>
      <c r="F290" s="27">
        <v>1717</v>
      </c>
      <c r="G290" t="b">
        <f>IF(B290=E290,TRUE,FALSE)</f>
        <v>1</v>
      </c>
      <c r="J290" s="24">
        <f>F290-C290</f>
        <v>242</v>
      </c>
      <c r="K290" s="4">
        <f>F290/C290-1</f>
        <v>0.16406779661016957</v>
      </c>
      <c r="M290" s="5">
        <v>2384.0300000000002</v>
      </c>
      <c r="N290" s="5">
        <v>2637.66</v>
      </c>
      <c r="Q290" s="122">
        <v>23652</v>
      </c>
      <c r="U290" s="145">
        <f>N290-M290</f>
        <v>253.62999999999965</v>
      </c>
      <c r="V290" s="4">
        <f>IF(M290=0,0,N290/M290-1)</f>
        <v>0.10638708405515018</v>
      </c>
      <c r="W290" s="17">
        <v>36787.25</v>
      </c>
      <c r="X290" s="17">
        <v>42823.4</v>
      </c>
      <c r="Y290" s="4">
        <f>X290/W290-1</f>
        <v>0.16408266451012232</v>
      </c>
      <c r="Z290" s="4"/>
      <c r="AA290">
        <v>3844</v>
      </c>
      <c r="AB290">
        <v>4236</v>
      </c>
      <c r="AD290" s="25">
        <v>0.38189999999999996</v>
      </c>
      <c r="AE290" s="25">
        <v>0.40229999999999999</v>
      </c>
    </row>
    <row r="291" spans="1:31" ht="15" customHeight="1">
      <c r="A291" t="s">
        <v>625</v>
      </c>
      <c r="B291" t="s">
        <v>626</v>
      </c>
      <c r="C291" s="27">
        <v>662</v>
      </c>
      <c r="E291" t="s">
        <v>626</v>
      </c>
      <c r="F291" s="27">
        <v>905</v>
      </c>
      <c r="G291" t="b">
        <f>IF(B291=E291,TRUE,FALSE)</f>
        <v>1</v>
      </c>
      <c r="J291" s="24">
        <f>F291-C291</f>
        <v>243</v>
      </c>
      <c r="K291" s="4">
        <f>F291/C291-1</f>
        <v>0.36706948640483383</v>
      </c>
      <c r="M291" s="5">
        <v>1564.54</v>
      </c>
      <c r="N291" s="5">
        <v>2351.9299999999998</v>
      </c>
      <c r="Q291" s="122">
        <v>11655.67</v>
      </c>
      <c r="U291" s="145">
        <f>N291-M291</f>
        <v>787.38999999999987</v>
      </c>
      <c r="V291" s="4">
        <f>IF(M291=0,0,N291/M291-1)</f>
        <v>0.50327252738824191</v>
      </c>
      <c r="W291" s="17">
        <v>13230.18</v>
      </c>
      <c r="X291" s="17">
        <v>18089.39</v>
      </c>
      <c r="Y291" s="4">
        <f>X291/W291-1</f>
        <v>0.3672822289643829</v>
      </c>
      <c r="Z291" s="4"/>
      <c r="AA291">
        <v>2837</v>
      </c>
      <c r="AB291">
        <v>3430</v>
      </c>
      <c r="AD291" s="25">
        <v>0.23260000000000003</v>
      </c>
      <c r="AE291" s="25">
        <v>0.26329999999999998</v>
      </c>
    </row>
    <row r="292" spans="1:31" ht="15" customHeight="1">
      <c r="A292" s="171" t="s">
        <v>627</v>
      </c>
      <c r="B292" s="170" t="s">
        <v>628</v>
      </c>
      <c r="C292" s="27">
        <v>34</v>
      </c>
      <c r="E292" s="170" t="s">
        <v>628</v>
      </c>
      <c r="F292" s="27">
        <v>283</v>
      </c>
      <c r="G292" t="b">
        <f>IF(B292=E292,TRUE,FALSE)</f>
        <v>1</v>
      </c>
      <c r="J292" s="24">
        <f>F292-C292</f>
        <v>249</v>
      </c>
      <c r="K292" s="4">
        <f>F292/C292-1</f>
        <v>7.3235294117647065</v>
      </c>
      <c r="M292" s="5">
        <v>66.73</v>
      </c>
      <c r="N292" s="5">
        <v>1001.38</v>
      </c>
      <c r="Q292" s="122">
        <v>3411.52</v>
      </c>
      <c r="U292" s="145">
        <f>N292-M292</f>
        <v>934.65</v>
      </c>
      <c r="V292" s="4">
        <f>IF(M292=0,0,N292/M292-1)</f>
        <v>14.006443878315599</v>
      </c>
      <c r="W292" s="17">
        <v>849.66</v>
      </c>
      <c r="X292" s="17">
        <v>5350.18</v>
      </c>
      <c r="Y292" s="4">
        <f>X292/W292-1</f>
        <v>5.2968481510251166</v>
      </c>
      <c r="Z292" s="4"/>
      <c r="AA292">
        <v>148</v>
      </c>
      <c r="AB292">
        <v>1877</v>
      </c>
      <c r="AD292" s="25">
        <v>0.22969999999999999</v>
      </c>
      <c r="AE292" s="25">
        <v>0.15079999999999999</v>
      </c>
    </row>
    <row r="293" spans="1:31" ht="15" customHeight="1">
      <c r="A293" t="s">
        <v>629</v>
      </c>
      <c r="B293" t="s">
        <v>630</v>
      </c>
      <c r="C293" s="27">
        <v>1078</v>
      </c>
      <c r="E293" t="s">
        <v>630</v>
      </c>
      <c r="F293" s="27">
        <v>1327</v>
      </c>
      <c r="G293" t="b">
        <f>IF(B293=E293,TRUE,FALSE)</f>
        <v>1</v>
      </c>
      <c r="J293" s="24">
        <f>F293-C293</f>
        <v>249</v>
      </c>
      <c r="K293" s="4">
        <f>F293/C293-1</f>
        <v>0.23098330241187393</v>
      </c>
      <c r="M293" s="5">
        <v>1375.53</v>
      </c>
      <c r="N293" s="5">
        <v>1267.07</v>
      </c>
      <c r="Q293" s="122">
        <v>14642.05</v>
      </c>
      <c r="U293" s="145">
        <f>N293-M293</f>
        <v>-108.46000000000004</v>
      </c>
      <c r="V293" s="4">
        <f>IF(M293=0,0,N293/M293-1)</f>
        <v>-7.8849607060551219E-2</v>
      </c>
      <c r="W293" s="17">
        <v>29024.02</v>
      </c>
      <c r="X293" s="17">
        <v>35708.92</v>
      </c>
      <c r="Y293" s="4">
        <f>X293/W293-1</f>
        <v>0.23032302210376088</v>
      </c>
      <c r="Z293" s="4"/>
      <c r="AA293">
        <v>3596</v>
      </c>
      <c r="AB293">
        <v>3909</v>
      </c>
      <c r="AD293" s="25">
        <v>0.30010000000000003</v>
      </c>
      <c r="AE293" s="25">
        <v>0.33789999999999998</v>
      </c>
    </row>
    <row r="294" spans="1:31" ht="15" customHeight="1">
      <c r="A294" s="39" t="s">
        <v>631</v>
      </c>
      <c r="B294" s="36" t="s">
        <v>632</v>
      </c>
      <c r="C294" s="27">
        <v>675</v>
      </c>
      <c r="E294" s="36" t="s">
        <v>632</v>
      </c>
      <c r="F294" s="27">
        <v>926</v>
      </c>
      <c r="G294" t="b">
        <f>IF(B294=E294,TRUE,FALSE)</f>
        <v>1</v>
      </c>
      <c r="J294" s="24">
        <f>F294-C294</f>
        <v>251</v>
      </c>
      <c r="K294" s="4">
        <f>F294/C294-1</f>
        <v>0.37185185185185188</v>
      </c>
      <c r="M294" s="5">
        <v>2059.75</v>
      </c>
      <c r="N294" s="5">
        <v>3408.97</v>
      </c>
      <c r="Q294" s="121">
        <v>18385.61</v>
      </c>
      <c r="U294" s="145">
        <f>N294-M294</f>
        <v>1349.2199999999998</v>
      </c>
      <c r="V294" s="4">
        <f>IF(M294=0,0,N294/M294-1)</f>
        <v>0.65504066027430508</v>
      </c>
      <c r="W294" s="17">
        <v>20212.349999999999</v>
      </c>
      <c r="X294" s="17">
        <v>27724.7</v>
      </c>
      <c r="Y294" s="4"/>
      <c r="Z294" s="4"/>
      <c r="AA294">
        <v>5718</v>
      </c>
      <c r="AB294">
        <v>7210</v>
      </c>
      <c r="AD294" s="25">
        <v>0.11800000000000001</v>
      </c>
      <c r="AE294" s="25">
        <v>0.12789999999999999</v>
      </c>
    </row>
    <row r="295" spans="1:31" ht="15" customHeight="1">
      <c r="A295" s="171" t="s">
        <v>633</v>
      </c>
      <c r="B295" s="26" t="s">
        <v>634</v>
      </c>
      <c r="C295" s="27">
        <v>0</v>
      </c>
      <c r="E295" s="26" t="s">
        <v>634</v>
      </c>
      <c r="F295" s="27">
        <v>276</v>
      </c>
      <c r="G295" t="b">
        <f>IF(B295=E295,TRUE,FALSE)</f>
        <v>1</v>
      </c>
      <c r="J295" s="24">
        <f>F295-C295</f>
        <v>276</v>
      </c>
      <c r="K295" s="4" t="e">
        <f>F295/C295-1</f>
        <v>#DIV/0!</v>
      </c>
      <c r="M295" s="5">
        <v>0</v>
      </c>
      <c r="N295" s="5">
        <v>314.20999999999998</v>
      </c>
      <c r="Q295" s="121">
        <v>2883.39</v>
      </c>
      <c r="U295" s="145">
        <f>N295-M295</f>
        <v>314.20999999999998</v>
      </c>
      <c r="V295" s="4">
        <f>IF(M295=0,0,N295/M295-1)</f>
        <v>0</v>
      </c>
      <c r="W295" s="17">
        <v>0</v>
      </c>
      <c r="X295" s="17">
        <v>12964.539999999999</v>
      </c>
      <c r="Y295" s="4" t="e">
        <f>X295/W295-1</f>
        <v>#DIV/0!</v>
      </c>
      <c r="Z295" s="4"/>
      <c r="AB295">
        <v>1264</v>
      </c>
      <c r="AD295" s="25"/>
      <c r="AE295" s="25">
        <v>0.21840000000000001</v>
      </c>
    </row>
    <row r="296" spans="1:31" ht="15" customHeight="1">
      <c r="A296" t="s">
        <v>635</v>
      </c>
      <c r="B296" t="s">
        <v>636</v>
      </c>
      <c r="C296" s="27">
        <v>473</v>
      </c>
      <c r="E296" t="s">
        <v>636</v>
      </c>
      <c r="F296" s="27">
        <v>751</v>
      </c>
      <c r="G296" t="b">
        <f>IF(B296=E296,TRUE,FALSE)</f>
        <v>1</v>
      </c>
      <c r="J296" s="24">
        <f>F296-C296</f>
        <v>278</v>
      </c>
      <c r="K296" s="4">
        <f>F296/C296-1</f>
        <v>0.58773784355179703</v>
      </c>
      <c r="M296" s="5">
        <v>11.3</v>
      </c>
      <c r="N296" s="5">
        <v>1332.27</v>
      </c>
      <c r="Q296" s="122">
        <v>5381.8499999999995</v>
      </c>
      <c r="U296" s="145">
        <f>N296-M296</f>
        <v>1320.97</v>
      </c>
      <c r="V296" s="4">
        <f>IF(M296=0,0,N296/M296-1)</f>
        <v>116.89999999999999</v>
      </c>
      <c r="W296" s="17">
        <v>9441.23</v>
      </c>
      <c r="X296" s="17">
        <v>15005.050000000001</v>
      </c>
      <c r="Y296" s="4">
        <f>X296/W296-1</f>
        <v>0.58931092664832896</v>
      </c>
      <c r="Z296" s="4"/>
      <c r="AA296">
        <v>3198</v>
      </c>
      <c r="AB296">
        <v>5568</v>
      </c>
      <c r="AD296" s="25">
        <v>0.10349999999999999</v>
      </c>
      <c r="AE296" s="25">
        <v>0.12029999999999999</v>
      </c>
    </row>
    <row r="297" spans="1:31" ht="15" customHeight="1">
      <c r="A297" t="s">
        <v>637</v>
      </c>
      <c r="B297" t="s">
        <v>638</v>
      </c>
      <c r="C297" s="27">
        <v>3174</v>
      </c>
      <c r="E297" t="s">
        <v>638</v>
      </c>
      <c r="F297" s="27">
        <v>3461</v>
      </c>
      <c r="G297" t="b">
        <f>IF(B297=E297,TRUE,FALSE)</f>
        <v>1</v>
      </c>
      <c r="J297" s="24">
        <f>F297-C297</f>
        <v>287</v>
      </c>
      <c r="K297" s="4">
        <f>F297/C297-1</f>
        <v>9.0422180214240644E-2</v>
      </c>
      <c r="M297" s="5">
        <v>5169.6000000000004</v>
      </c>
      <c r="N297" s="5">
        <v>5059.01</v>
      </c>
      <c r="Q297" s="122">
        <v>20014.71</v>
      </c>
      <c r="U297" s="145">
        <f>N297-M297</f>
        <v>-110.59000000000015</v>
      </c>
      <c r="V297" s="4">
        <f>IF(M297=0,0,N297/M297-1)</f>
        <v>-2.1392370783039349E-2</v>
      </c>
      <c r="W297" s="17">
        <v>82302.2</v>
      </c>
      <c r="X297" s="17">
        <v>91993.78</v>
      </c>
      <c r="Y297" s="4">
        <f>X297/W297-1</f>
        <v>0.11775602596285406</v>
      </c>
      <c r="Z297" s="4"/>
      <c r="AA297">
        <v>12788</v>
      </c>
      <c r="AB297">
        <v>13294</v>
      </c>
      <c r="AD297" s="25">
        <v>0.24829999999999999</v>
      </c>
      <c r="AE297" s="25">
        <v>0.25929999999999997</v>
      </c>
    </row>
    <row r="298" spans="1:31" ht="15" customHeight="1">
      <c r="A298" t="s">
        <v>639</v>
      </c>
      <c r="B298" t="s">
        <v>640</v>
      </c>
      <c r="C298" s="27">
        <v>1599</v>
      </c>
      <c r="E298" t="s">
        <v>640</v>
      </c>
      <c r="F298" s="27">
        <v>1888</v>
      </c>
      <c r="G298" t="b">
        <f>IF(B298=E298,TRUE,FALSE)</f>
        <v>1</v>
      </c>
      <c r="J298" s="24">
        <f>F298-C298</f>
        <v>289</v>
      </c>
      <c r="K298" s="4">
        <f>F298/C298-1</f>
        <v>0.18073796122576602</v>
      </c>
      <c r="M298" s="5">
        <v>3816.8</v>
      </c>
      <c r="N298" s="5">
        <v>3485.97</v>
      </c>
      <c r="Q298" s="122">
        <v>20050.419999999998</v>
      </c>
      <c r="U298" s="145">
        <f>N298-M298</f>
        <v>-330.83000000000038</v>
      </c>
      <c r="V298" s="4">
        <f>IF(M298=0,0,N298/M298-1)</f>
        <v>-8.6677321316286027E-2</v>
      </c>
      <c r="W298" s="17">
        <v>31936.82</v>
      </c>
      <c r="X298" s="17">
        <v>37733.919999999998</v>
      </c>
      <c r="Y298" s="4">
        <f>X298/W298-1</f>
        <v>0.18151775912567381</v>
      </c>
      <c r="Z298" s="4"/>
      <c r="AA298">
        <v>10436</v>
      </c>
      <c r="AB298">
        <v>11841</v>
      </c>
      <c r="AD298" s="25">
        <v>0.1532</v>
      </c>
      <c r="AE298" s="25">
        <v>0.15939999999999999</v>
      </c>
    </row>
    <row r="299" spans="1:31" ht="15" customHeight="1">
      <c r="A299" s="126" t="s">
        <v>641</v>
      </c>
      <c r="B299" s="36" t="s">
        <v>642</v>
      </c>
      <c r="C299" s="27">
        <v>1229</v>
      </c>
      <c r="E299" s="36" t="s">
        <v>642</v>
      </c>
      <c r="F299" s="27">
        <v>1521</v>
      </c>
      <c r="G299" t="b">
        <f>IF(B299=E299,TRUE,FALSE)</f>
        <v>1</v>
      </c>
      <c r="J299" s="24">
        <f>F299-C299</f>
        <v>292</v>
      </c>
      <c r="K299" s="4">
        <f>F299/C299-1</f>
        <v>0.2375915378356388</v>
      </c>
      <c r="M299" s="5">
        <v>3120.16</v>
      </c>
      <c r="N299" s="5">
        <v>3940.81</v>
      </c>
      <c r="Q299" s="121">
        <v>26308.5</v>
      </c>
      <c r="U299" s="145">
        <f>N299-M299</f>
        <v>820.65000000000009</v>
      </c>
      <c r="V299" s="4">
        <f>IF(M299=0,0,N299/M299-1)</f>
        <v>0.26301535818675958</v>
      </c>
      <c r="W299" s="17">
        <v>33116.15</v>
      </c>
      <c r="X299" s="17">
        <v>40984.199999999997</v>
      </c>
      <c r="Y299" s="4">
        <f>X299/W299-1</f>
        <v>0.2375895144816047</v>
      </c>
      <c r="Z299" s="4"/>
      <c r="AA299">
        <v>6536</v>
      </c>
      <c r="AB299">
        <v>6880</v>
      </c>
      <c r="AD299" s="25">
        <v>0.18789999999999998</v>
      </c>
      <c r="AE299" s="25">
        <v>0.22089999999999999</v>
      </c>
    </row>
    <row r="300" spans="1:31" ht="15" customHeight="1">
      <c r="A300" s="171" t="s">
        <v>643</v>
      </c>
      <c r="B300" s="26" t="s">
        <v>644</v>
      </c>
      <c r="C300" s="27">
        <v>0</v>
      </c>
      <c r="E300" s="26" t="s">
        <v>644</v>
      </c>
      <c r="F300" s="27">
        <v>292</v>
      </c>
      <c r="G300" t="b">
        <f>IF(B300=E300,TRUE,FALSE)</f>
        <v>1</v>
      </c>
      <c r="J300" s="24">
        <f>F300-C300</f>
        <v>292</v>
      </c>
      <c r="K300" s="4" t="e">
        <f>F300/C300-1</f>
        <v>#DIV/0!</v>
      </c>
      <c r="M300" s="5">
        <v>0</v>
      </c>
      <c r="N300" s="5">
        <v>868.36</v>
      </c>
      <c r="Q300" s="121">
        <v>5253.58</v>
      </c>
      <c r="U300" s="145">
        <f>N300-M300</f>
        <v>868.36</v>
      </c>
      <c r="V300" s="4">
        <f>IF(M300=0,0,N300/M300-1)</f>
        <v>0</v>
      </c>
      <c r="W300" s="17">
        <v>0</v>
      </c>
      <c r="X300" s="17">
        <v>7335.08</v>
      </c>
      <c r="Y300" s="4" t="e">
        <f>X300/W300-1</f>
        <v>#DIV/0!</v>
      </c>
      <c r="Z300" s="4"/>
      <c r="AB300">
        <v>1444</v>
      </c>
      <c r="AD300" s="25"/>
      <c r="AE300" s="25">
        <v>0.20079999999999998</v>
      </c>
    </row>
    <row r="301" spans="1:31" ht="15" customHeight="1">
      <c r="A301" s="171" t="s">
        <v>645</v>
      </c>
      <c r="B301" s="36" t="s">
        <v>646</v>
      </c>
      <c r="C301" s="27">
        <v>326</v>
      </c>
      <c r="E301" s="36" t="s">
        <v>646</v>
      </c>
      <c r="F301" s="27">
        <v>619</v>
      </c>
      <c r="G301" t="b">
        <f>IF(B301=E301,TRUE,FALSE)</f>
        <v>1</v>
      </c>
      <c r="J301" s="24">
        <f>F301-C301</f>
        <v>293</v>
      </c>
      <c r="K301" s="4">
        <f>F301/C301-1</f>
        <v>0.89877300613496924</v>
      </c>
      <c r="M301" s="5">
        <v>885.69</v>
      </c>
      <c r="N301" s="5">
        <v>1529.69</v>
      </c>
      <c r="Q301" s="122">
        <v>8091.91</v>
      </c>
      <c r="U301" s="145">
        <f>N301-M301</f>
        <v>644</v>
      </c>
      <c r="V301" s="4">
        <f>IF(M301=0,0,N301/M301-1)</f>
        <v>0.72711671126466371</v>
      </c>
      <c r="W301" s="17">
        <v>5312.54</v>
      </c>
      <c r="X301" s="17">
        <v>10716.21</v>
      </c>
      <c r="Y301" s="4">
        <f>X301/W301-1</f>
        <v>1.0171537531952701</v>
      </c>
      <c r="Z301" s="4"/>
      <c r="AA301">
        <v>2320</v>
      </c>
      <c r="AB301">
        <v>3242</v>
      </c>
      <c r="AD301" s="25">
        <v>0.14050000000000001</v>
      </c>
      <c r="AE301" s="25">
        <v>0.19089999999999999</v>
      </c>
    </row>
    <row r="302" spans="1:31" ht="15" customHeight="1">
      <c r="A302" t="s">
        <v>647</v>
      </c>
      <c r="B302" t="s">
        <v>648</v>
      </c>
      <c r="C302" s="27">
        <v>1072</v>
      </c>
      <c r="E302" t="s">
        <v>648</v>
      </c>
      <c r="F302" s="27">
        <v>1375</v>
      </c>
      <c r="G302" t="b">
        <f>IF(B302=E302,TRUE,FALSE)</f>
        <v>1</v>
      </c>
      <c r="J302" s="24">
        <f>F302-C302</f>
        <v>303</v>
      </c>
      <c r="K302" s="4">
        <f>F302/C302-1</f>
        <v>0.2826492537313432</v>
      </c>
      <c r="M302" s="5">
        <v>1401.91</v>
      </c>
      <c r="N302" s="5">
        <v>1516.3</v>
      </c>
      <c r="Q302" s="122">
        <v>14491.85</v>
      </c>
      <c r="U302" s="145">
        <f>N302-M302</f>
        <v>114.38999999999987</v>
      </c>
      <c r="V302" s="4">
        <f>IF(M302=0,0,N302/M302-1)</f>
        <v>8.1595822841694421E-2</v>
      </c>
      <c r="W302" s="17">
        <v>32093.200000000001</v>
      </c>
      <c r="X302" s="17">
        <v>41164.75</v>
      </c>
      <c r="Y302" s="4">
        <f>X302/W302-1</f>
        <v>0.282662682437401</v>
      </c>
      <c r="Z302" s="4"/>
      <c r="AA302">
        <v>5307</v>
      </c>
      <c r="AB302">
        <v>6070</v>
      </c>
      <c r="AD302" s="25">
        <v>0.20199999999999999</v>
      </c>
      <c r="AE302" s="25">
        <v>0.22600000000000001</v>
      </c>
    </row>
    <row r="303" spans="1:31" ht="15" customHeight="1">
      <c r="A303" s="171" t="s">
        <v>649</v>
      </c>
      <c r="B303" s="26" t="s">
        <v>650</v>
      </c>
      <c r="C303" s="27">
        <v>0</v>
      </c>
      <c r="E303" s="26" t="s">
        <v>650</v>
      </c>
      <c r="F303" s="27">
        <v>304</v>
      </c>
      <c r="G303" t="b">
        <f>IF(B303=E303,TRUE,FALSE)</f>
        <v>1</v>
      </c>
      <c r="J303" s="24">
        <f>F303-C303</f>
        <v>304</v>
      </c>
      <c r="K303" s="4" t="e">
        <f>F303/C303-1</f>
        <v>#DIV/0!</v>
      </c>
      <c r="M303" s="5">
        <v>0</v>
      </c>
      <c r="N303" s="5">
        <v>1424.07</v>
      </c>
      <c r="Q303" s="121">
        <v>10211.69</v>
      </c>
      <c r="U303" s="145">
        <f>N303-M303</f>
        <v>1424.07</v>
      </c>
      <c r="V303" s="4">
        <f>IF(M303=0,0,N303/M303-1)</f>
        <v>0</v>
      </c>
      <c r="W303" s="17">
        <v>0</v>
      </c>
      <c r="X303" s="17">
        <v>6336.96</v>
      </c>
      <c r="Y303" s="4" t="e">
        <f>X303/W303-1</f>
        <v>#DIV/0!</v>
      </c>
      <c r="Z303" s="4"/>
      <c r="AB303">
        <v>2229</v>
      </c>
      <c r="AD303" s="25"/>
      <c r="AE303" s="25">
        <v>0.13639999999999999</v>
      </c>
    </row>
    <row r="304" spans="1:31" ht="15" customHeight="1">
      <c r="A304" s="171" t="s">
        <v>651</v>
      </c>
      <c r="B304" s="26" t="s">
        <v>652</v>
      </c>
      <c r="C304" s="27">
        <v>0</v>
      </c>
      <c r="E304" s="26" t="s">
        <v>652</v>
      </c>
      <c r="F304" s="27">
        <v>313</v>
      </c>
      <c r="G304" t="b">
        <f>IF(B304=E304,TRUE,FALSE)</f>
        <v>1</v>
      </c>
      <c r="J304" s="24">
        <f>F304-C304</f>
        <v>313</v>
      </c>
      <c r="K304" s="4" t="e">
        <f>F304/C304-1</f>
        <v>#DIV/0!</v>
      </c>
      <c r="M304" s="5">
        <v>0</v>
      </c>
      <c r="N304" s="5">
        <v>1195.26</v>
      </c>
      <c r="Q304" s="121">
        <v>11878.91</v>
      </c>
      <c r="U304" s="145">
        <f>N304-M304</f>
        <v>1195.26</v>
      </c>
      <c r="V304" s="4">
        <f>IF(M304=0,0,N304/M304-1)</f>
        <v>0</v>
      </c>
      <c r="W304" s="17">
        <v>0</v>
      </c>
      <c r="X304" s="17">
        <v>6561.62</v>
      </c>
      <c r="Y304" s="4" t="e">
        <f>X304/W304-1</f>
        <v>#DIV/0!</v>
      </c>
      <c r="Z304" s="4"/>
      <c r="AB304">
        <v>2578</v>
      </c>
      <c r="AD304" s="25"/>
      <c r="AE304" s="25">
        <v>0.12140000000000001</v>
      </c>
    </row>
    <row r="305" spans="1:31" ht="15" customHeight="1">
      <c r="A305" s="171" t="s">
        <v>653</v>
      </c>
      <c r="B305" s="26" t="s">
        <v>654</v>
      </c>
      <c r="C305" s="27">
        <v>0</v>
      </c>
      <c r="E305" s="26" t="s">
        <v>654</v>
      </c>
      <c r="F305" s="27">
        <v>313</v>
      </c>
      <c r="G305" t="b">
        <f>IF(B305=E305,TRUE,FALSE)</f>
        <v>1</v>
      </c>
      <c r="J305" s="24">
        <f>F305-C305</f>
        <v>313</v>
      </c>
      <c r="K305" s="4" t="e">
        <f>F305/C305-1</f>
        <v>#DIV/0!</v>
      </c>
      <c r="M305" s="5">
        <v>0</v>
      </c>
      <c r="N305" s="5">
        <v>562.08000000000004</v>
      </c>
      <c r="Q305" s="121">
        <v>4658.28</v>
      </c>
      <c r="U305" s="145">
        <f>N305-M305</f>
        <v>562.08000000000004</v>
      </c>
      <c r="V305" s="4">
        <f>IF(M305=0,0,N305/M305-1)</f>
        <v>0</v>
      </c>
      <c r="W305" s="17">
        <v>0</v>
      </c>
      <c r="X305" s="17">
        <v>5317.87</v>
      </c>
      <c r="Y305" s="4" t="e">
        <f>X305/W305-1</f>
        <v>#DIV/0!</v>
      </c>
      <c r="Z305" s="4"/>
      <c r="AB305">
        <v>1890</v>
      </c>
      <c r="AD305" s="25"/>
      <c r="AE305" s="25">
        <v>0.1656</v>
      </c>
    </row>
    <row r="306" spans="1:31" ht="15" customHeight="1">
      <c r="A306" t="s">
        <v>655</v>
      </c>
      <c r="B306" t="s">
        <v>656</v>
      </c>
      <c r="C306" s="27">
        <v>1579</v>
      </c>
      <c r="E306" t="s">
        <v>656</v>
      </c>
      <c r="F306" s="27">
        <v>1895</v>
      </c>
      <c r="G306" t="b">
        <f>IF(B306=E306,TRUE,FALSE)</f>
        <v>1</v>
      </c>
      <c r="J306" s="24">
        <f>F306-C306</f>
        <v>316</v>
      </c>
      <c r="K306" s="4">
        <f>F306/C306-1</f>
        <v>0.20012666244458521</v>
      </c>
      <c r="M306" s="5">
        <v>3937.55</v>
      </c>
      <c r="N306" s="5">
        <v>4798.93</v>
      </c>
      <c r="Q306" s="122">
        <v>21920.63</v>
      </c>
      <c r="U306" s="145">
        <f>N306-M306</f>
        <v>861.38000000000011</v>
      </c>
      <c r="V306" s="4">
        <f>IF(M306=0,0,N306/M306-1)</f>
        <v>0.21876039669337533</v>
      </c>
      <c r="W306" s="17">
        <v>45745.2</v>
      </c>
      <c r="X306" s="17">
        <v>54917.42</v>
      </c>
      <c r="Y306" s="4">
        <f>X306/W306-1</f>
        <v>0.20050671983071444</v>
      </c>
      <c r="Z306" s="4"/>
      <c r="AA306">
        <v>6925</v>
      </c>
      <c r="AB306">
        <v>7476</v>
      </c>
      <c r="AD306" s="25">
        <v>0.22789999999999999</v>
      </c>
      <c r="AE306" s="25">
        <v>0.252</v>
      </c>
    </row>
    <row r="307" spans="1:31" ht="15" customHeight="1">
      <c r="A307" s="36" t="s">
        <v>657</v>
      </c>
      <c r="B307" s="36" t="s">
        <v>658</v>
      </c>
      <c r="C307" s="27">
        <v>3054</v>
      </c>
      <c r="E307" s="36" t="s">
        <v>658</v>
      </c>
      <c r="F307" s="27">
        <v>3373</v>
      </c>
      <c r="G307" t="b">
        <f>IF(B307=E307,TRUE,FALSE)</f>
        <v>1</v>
      </c>
      <c r="J307" s="24">
        <f>F307-C307</f>
        <v>319</v>
      </c>
      <c r="K307" s="4">
        <f>F307/C307-1</f>
        <v>0.1044531761624099</v>
      </c>
      <c r="M307" s="5">
        <v>6804.67</v>
      </c>
      <c r="N307" s="5">
        <v>8460.57</v>
      </c>
      <c r="Q307" s="122">
        <v>45615.26</v>
      </c>
      <c r="U307" s="145">
        <f>N307-M307</f>
        <v>1655.8999999999996</v>
      </c>
      <c r="V307" s="4">
        <f>IF(M307=0,0,N307/M307-1)</f>
        <v>0.24334758335084583</v>
      </c>
      <c r="W307" s="17">
        <v>75870.240000000005</v>
      </c>
      <c r="X307" s="17">
        <v>83815.05</v>
      </c>
      <c r="Y307" s="4">
        <f>X307/W307-1</f>
        <v>0.10471576206955446</v>
      </c>
      <c r="Z307" s="4"/>
      <c r="AA307">
        <v>17322</v>
      </c>
      <c r="AB307">
        <v>18939</v>
      </c>
      <c r="AD307" s="25">
        <v>0.17610000000000001</v>
      </c>
      <c r="AE307" s="25">
        <v>0.17730000000000001</v>
      </c>
    </row>
    <row r="308" spans="1:31" ht="15" customHeight="1">
      <c r="A308" t="s">
        <v>659</v>
      </c>
      <c r="B308" t="s">
        <v>660</v>
      </c>
      <c r="C308" s="27">
        <v>1084</v>
      </c>
      <c r="E308" t="s">
        <v>660</v>
      </c>
      <c r="F308" s="27">
        <v>1403</v>
      </c>
      <c r="G308" t="b">
        <f>IF(B308=E308,TRUE,FALSE)</f>
        <v>1</v>
      </c>
      <c r="J308" s="24">
        <f>F308-C308</f>
        <v>319</v>
      </c>
      <c r="K308" s="4">
        <f>F308/C308-1</f>
        <v>0.29428044280442811</v>
      </c>
      <c r="M308" s="5">
        <v>1767.36</v>
      </c>
      <c r="N308" s="5">
        <v>2141.2399999999998</v>
      </c>
      <c r="Q308" s="122">
        <v>11161.68</v>
      </c>
      <c r="U308" s="145">
        <f>N308-M308</f>
        <v>373.87999999999988</v>
      </c>
      <c r="V308" s="4">
        <f>IF(M308=0,0,N308/M308-1)</f>
        <v>0.21154716639507498</v>
      </c>
      <c r="W308" s="17">
        <v>27043.8</v>
      </c>
      <c r="X308" s="17">
        <v>31146.83</v>
      </c>
      <c r="Y308" s="4">
        <f>X308/W308-1</f>
        <v>0.15171795383784836</v>
      </c>
      <c r="Z308" s="4"/>
      <c r="AA308">
        <v>4966</v>
      </c>
      <c r="AB308">
        <v>8062</v>
      </c>
      <c r="AD308" s="25">
        <v>0.21890000000000001</v>
      </c>
      <c r="AE308" s="25">
        <v>0.17280000000000001</v>
      </c>
    </row>
    <row r="309" spans="1:31" ht="15" customHeight="1">
      <c r="A309" s="39" t="s">
        <v>661</v>
      </c>
      <c r="B309" s="36" t="s">
        <v>662</v>
      </c>
      <c r="C309" s="27">
        <v>1066</v>
      </c>
      <c r="E309" s="36" t="s">
        <v>662</v>
      </c>
      <c r="F309" s="27">
        <v>1385</v>
      </c>
      <c r="G309" t="b">
        <f>IF(B309=E309,TRUE,FALSE)</f>
        <v>1</v>
      </c>
      <c r="J309" s="24">
        <f>F309-C309</f>
        <v>319</v>
      </c>
      <c r="K309" s="4">
        <f>F309/C309-1</f>
        <v>0.29924953095684792</v>
      </c>
      <c r="M309" s="5">
        <v>1210.71</v>
      </c>
      <c r="N309" s="5">
        <v>2486.12</v>
      </c>
      <c r="Q309" s="121">
        <v>5305.46</v>
      </c>
      <c r="U309" s="145">
        <f>N309-M309</f>
        <v>1275.4099999999999</v>
      </c>
      <c r="V309" s="4">
        <f>IF(M309=0,0,N309/M309-1)</f>
        <v>1.0534397171907393</v>
      </c>
      <c r="W309" s="17">
        <v>10648.54</v>
      </c>
      <c r="X309" s="17">
        <v>13835.35</v>
      </c>
      <c r="Y309" s="4">
        <f>X309/W309-1</f>
        <v>0.29927201287688265</v>
      </c>
      <c r="Z309" s="4"/>
      <c r="AA309">
        <v>4725</v>
      </c>
      <c r="AB309">
        <v>6475</v>
      </c>
      <c r="AD309" s="25">
        <v>0.22519999999999998</v>
      </c>
      <c r="AE309" s="25">
        <v>0.2137</v>
      </c>
    </row>
    <row r="310" spans="1:31" ht="15" customHeight="1">
      <c r="A310" s="126" t="s">
        <v>663</v>
      </c>
      <c r="B310" s="126" t="s">
        <v>664</v>
      </c>
      <c r="C310" s="27">
        <v>243</v>
      </c>
      <c r="E310" s="126" t="s">
        <v>664</v>
      </c>
      <c r="F310" s="27">
        <v>563</v>
      </c>
      <c r="G310" t="b">
        <f>IF(B310=E310,TRUE,FALSE)</f>
        <v>1</v>
      </c>
      <c r="J310" s="24">
        <f>F310-C310</f>
        <v>320</v>
      </c>
      <c r="K310" s="4">
        <f>F310/C310-1</f>
        <v>1.3168724279835389</v>
      </c>
      <c r="M310" s="5">
        <v>1357.54</v>
      </c>
      <c r="N310" s="5">
        <v>1991.27</v>
      </c>
      <c r="Q310" s="121">
        <v>13664.05</v>
      </c>
      <c r="U310" s="145">
        <f>N310-M310</f>
        <v>633.73</v>
      </c>
      <c r="V310" s="4">
        <f>IF(M310=0,0,N310/M310-1)</f>
        <v>0.46682234040985904</v>
      </c>
      <c r="W310" s="17">
        <v>9473.4</v>
      </c>
      <c r="X310" s="17">
        <v>19694.830000000002</v>
      </c>
      <c r="Y310" s="4">
        <f>X310/W310-1</f>
        <v>1.0789610910549543</v>
      </c>
      <c r="Z310" s="4"/>
      <c r="AA310">
        <v>2794</v>
      </c>
      <c r="AB310">
        <v>4485</v>
      </c>
      <c r="AD310" s="25">
        <v>8.7300000000000003E-2</v>
      </c>
      <c r="AE310" s="25">
        <v>0.12529999999999999</v>
      </c>
    </row>
    <row r="311" spans="1:31" ht="15" customHeight="1">
      <c r="A311" t="s">
        <v>665</v>
      </c>
      <c r="B311" t="s">
        <v>666</v>
      </c>
      <c r="C311" s="27">
        <v>881</v>
      </c>
      <c r="E311" t="s">
        <v>666</v>
      </c>
      <c r="F311" s="27">
        <v>1207</v>
      </c>
      <c r="G311" t="b">
        <f>IF(B311=E311,TRUE,FALSE)</f>
        <v>1</v>
      </c>
      <c r="J311" s="24">
        <f>F311-C311</f>
        <v>326</v>
      </c>
      <c r="K311" s="4">
        <f>F311/C311-1</f>
        <v>0.3700340522133938</v>
      </c>
      <c r="M311" s="5">
        <v>487.41999999999996</v>
      </c>
      <c r="N311" s="5">
        <v>894.02</v>
      </c>
      <c r="Q311" s="122">
        <v>7917.28</v>
      </c>
      <c r="U311" s="145">
        <f>N311-M311</f>
        <v>406.6</v>
      </c>
      <c r="V311" s="4">
        <f>IF(M311=0,0,N311/M311-1)</f>
        <v>0.83418817446965665</v>
      </c>
      <c r="W311" s="17">
        <v>19342.43</v>
      </c>
      <c r="X311" s="17">
        <v>23369.5</v>
      </c>
      <c r="Y311" s="4">
        <f>X311/W311-1</f>
        <v>0.2081987630302915</v>
      </c>
      <c r="Z311" s="4"/>
      <c r="AA311">
        <v>2538</v>
      </c>
      <c r="AB311">
        <v>3768</v>
      </c>
      <c r="AD311" s="25">
        <v>0.2041</v>
      </c>
      <c r="AE311" s="25">
        <v>0.30309999999999998</v>
      </c>
    </row>
    <row r="312" spans="1:31" ht="15" customHeight="1">
      <c r="A312" t="s">
        <v>667</v>
      </c>
      <c r="B312" t="s">
        <v>668</v>
      </c>
      <c r="C312" s="27">
        <v>2081</v>
      </c>
      <c r="E312" t="s">
        <v>668</v>
      </c>
      <c r="F312" s="27">
        <v>2409</v>
      </c>
      <c r="G312" t="b">
        <f>IF(B312=E312,TRUE,FALSE)</f>
        <v>1</v>
      </c>
      <c r="J312" s="24">
        <f>F312-C312</f>
        <v>328</v>
      </c>
      <c r="K312" s="4">
        <f>F312/C312-1</f>
        <v>0.1576165305141759</v>
      </c>
      <c r="M312" s="5">
        <v>4349.0600000000004</v>
      </c>
      <c r="N312" s="5">
        <v>4259.87</v>
      </c>
      <c r="Q312" s="122">
        <v>30262.77</v>
      </c>
      <c r="U312" s="145">
        <f>N312-M312</f>
        <v>-89.190000000000509</v>
      </c>
      <c r="V312" s="4">
        <f>IF(M312=0,0,N312/M312-1)</f>
        <v>-2.0507879863694845E-2</v>
      </c>
      <c r="W312" s="17">
        <v>62310.95</v>
      </c>
      <c r="X312" s="17">
        <v>72135.45</v>
      </c>
      <c r="Y312" s="4">
        <f>X312/W312-1</f>
        <v>0.1576689169399601</v>
      </c>
      <c r="Z312" s="4"/>
      <c r="AA312">
        <v>6069</v>
      </c>
      <c r="AB312">
        <v>6920</v>
      </c>
      <c r="AD312" s="25">
        <v>0.34399999999999997</v>
      </c>
      <c r="AE312" s="25">
        <v>0.3458</v>
      </c>
    </row>
    <row r="313" spans="1:31" ht="15" customHeight="1">
      <c r="A313" s="39" t="s">
        <v>669</v>
      </c>
      <c r="B313" s="36" t="s">
        <v>670</v>
      </c>
      <c r="C313" s="27">
        <v>987</v>
      </c>
      <c r="E313" s="36" t="s">
        <v>670</v>
      </c>
      <c r="F313" s="27">
        <v>1317</v>
      </c>
      <c r="G313" t="b">
        <f>IF(B313=E313,TRUE,FALSE)</f>
        <v>1</v>
      </c>
      <c r="J313" s="24">
        <f>F313-C313</f>
        <v>330</v>
      </c>
      <c r="K313" s="4">
        <f>F313/C313-1</f>
        <v>0.33434650455927062</v>
      </c>
      <c r="M313" s="5">
        <v>1154.1099999999999</v>
      </c>
      <c r="N313" s="5">
        <v>1301.67</v>
      </c>
      <c r="Q313" s="121">
        <v>8875.98</v>
      </c>
      <c r="U313" s="145">
        <f>N313-M313</f>
        <v>147.56000000000017</v>
      </c>
      <c r="V313" s="4">
        <f>IF(M313=0,0,N313/M313-1)</f>
        <v>0.1278560969058411</v>
      </c>
      <c r="W313" s="17">
        <v>39460.93</v>
      </c>
      <c r="X313" s="17">
        <v>48771.63</v>
      </c>
      <c r="Y313" s="4"/>
      <c r="Z313" s="4"/>
      <c r="AA313">
        <v>4290</v>
      </c>
      <c r="AB313">
        <v>4726</v>
      </c>
      <c r="AD313" s="25">
        <v>0.2298</v>
      </c>
      <c r="AE313" s="25">
        <v>0.2782</v>
      </c>
    </row>
    <row r="314" spans="1:31" ht="15" customHeight="1">
      <c r="A314" t="s">
        <v>671</v>
      </c>
      <c r="B314" t="s">
        <v>672</v>
      </c>
      <c r="C314" s="27">
        <v>941</v>
      </c>
      <c r="E314" t="s">
        <v>672</v>
      </c>
      <c r="F314" s="27">
        <v>1273</v>
      </c>
      <c r="G314" t="b">
        <f>IF(B314=E314,TRUE,FALSE)</f>
        <v>1</v>
      </c>
      <c r="J314" s="24">
        <f>F314-C314</f>
        <v>332</v>
      </c>
      <c r="K314" s="4">
        <f>F314/C314-1</f>
        <v>0.35281615302869285</v>
      </c>
      <c r="M314" s="5">
        <v>1854.7</v>
      </c>
      <c r="N314" s="5">
        <v>2174.0100000000002</v>
      </c>
      <c r="Q314" s="122">
        <v>12721.87</v>
      </c>
      <c r="U314" s="145">
        <f>N314-M314</f>
        <v>319.31000000000017</v>
      </c>
      <c r="V314" s="4">
        <f>IF(M314=0,0,N314/M314-1)</f>
        <v>0.17216261389982224</v>
      </c>
      <c r="W314" s="17">
        <v>23446.2</v>
      </c>
      <c r="X314" s="17">
        <v>28042.04</v>
      </c>
      <c r="Y314" s="4">
        <f>X314/W314-1</f>
        <v>0.19601641204118359</v>
      </c>
      <c r="Z314" s="4"/>
      <c r="AA314">
        <v>4434</v>
      </c>
      <c r="AB314">
        <v>6634</v>
      </c>
      <c r="AD314" s="25">
        <v>0.21149999999999999</v>
      </c>
      <c r="AE314" s="25">
        <v>0.19109999999999999</v>
      </c>
    </row>
    <row r="315" spans="1:31" ht="15" customHeight="1">
      <c r="A315" s="39" t="s">
        <v>673</v>
      </c>
      <c r="B315" s="36" t="s">
        <v>674</v>
      </c>
      <c r="C315" s="18">
        <v>1298</v>
      </c>
      <c r="E315" s="36" t="s">
        <v>674</v>
      </c>
      <c r="F315" s="18">
        <v>1638</v>
      </c>
      <c r="G315" t="b">
        <f>IF(B315=E315,TRUE,FALSE)</f>
        <v>1</v>
      </c>
      <c r="J315" s="24">
        <f>F315-C315</f>
        <v>340</v>
      </c>
      <c r="K315" s="4">
        <f>F315/C315-1</f>
        <v>0.2619414483821263</v>
      </c>
      <c r="M315" s="5">
        <v>2353.41</v>
      </c>
      <c r="N315" s="5">
        <v>2801.36</v>
      </c>
      <c r="Q315" s="121">
        <v>16670.22</v>
      </c>
      <c r="U315" s="145">
        <f>N315-M315</f>
        <v>447.95000000000027</v>
      </c>
      <c r="V315" s="4">
        <f>IF(M315=0,0,N315/M315-1)</f>
        <v>0.19034082459070034</v>
      </c>
      <c r="W315">
        <v>32378.1</v>
      </c>
      <c r="X315">
        <v>37610.61</v>
      </c>
      <c r="Y315" s="4">
        <f>X315/W315-1</f>
        <v>0.16160645621577552</v>
      </c>
      <c r="Z315" s="4"/>
      <c r="AA315">
        <v>8565</v>
      </c>
      <c r="AB315">
        <v>9313</v>
      </c>
      <c r="AD315" s="25">
        <v>0.1517</v>
      </c>
      <c r="AE315" s="25">
        <v>0.1757</v>
      </c>
    </row>
    <row r="316" spans="1:31" ht="15" customHeight="1">
      <c r="A316" t="s">
        <v>675</v>
      </c>
      <c r="B316" t="s">
        <v>676</v>
      </c>
      <c r="C316" s="27">
        <v>5282</v>
      </c>
      <c r="E316" t="s">
        <v>676</v>
      </c>
      <c r="F316" s="27">
        <v>5623</v>
      </c>
      <c r="G316" t="b">
        <f>IF(B316=E316,TRUE,FALSE)</f>
        <v>1</v>
      </c>
      <c r="J316" s="24">
        <f>F316-C316</f>
        <v>341</v>
      </c>
      <c r="K316" s="4">
        <f>F316/C316-1</f>
        <v>6.4558879212419429E-2</v>
      </c>
      <c r="M316" s="5">
        <v>5194.76</v>
      </c>
      <c r="N316" s="5">
        <v>5182.83</v>
      </c>
      <c r="Q316" s="122">
        <v>45861.91</v>
      </c>
      <c r="U316" s="145">
        <f>N316-M316</f>
        <v>-11.930000000000291</v>
      </c>
      <c r="V316" s="4">
        <f>IF(M316=0,0,N316/M316-1)</f>
        <v>-2.2965449799413618E-3</v>
      </c>
      <c r="W316" s="17">
        <v>195136.23</v>
      </c>
      <c r="X316" s="17">
        <v>207740.99</v>
      </c>
      <c r="Y316" s="4">
        <f>X316/W316-1</f>
        <v>6.4594668042935899E-2</v>
      </c>
      <c r="Z316" s="4"/>
      <c r="AA316">
        <v>12325</v>
      </c>
      <c r="AB316">
        <v>13183</v>
      </c>
      <c r="AD316" s="25">
        <v>0.4299</v>
      </c>
      <c r="AE316" s="25">
        <v>0.42330000000000001</v>
      </c>
    </row>
    <row r="317" spans="1:31" ht="15" customHeight="1">
      <c r="A317" t="s">
        <v>677</v>
      </c>
      <c r="B317" t="s">
        <v>678</v>
      </c>
      <c r="C317" s="27">
        <v>1648</v>
      </c>
      <c r="E317" t="s">
        <v>678</v>
      </c>
      <c r="F317" s="27">
        <v>1995</v>
      </c>
      <c r="G317" t="b">
        <f>IF(B317=E317,TRUE,FALSE)</f>
        <v>1</v>
      </c>
      <c r="J317" s="24">
        <f>F317-C317</f>
        <v>347</v>
      </c>
      <c r="K317" s="4">
        <f>F317/C317-1</f>
        <v>0.21055825242718451</v>
      </c>
      <c r="M317" s="5">
        <v>1468.17</v>
      </c>
      <c r="N317" s="5">
        <v>1991.18</v>
      </c>
      <c r="Q317" s="122">
        <v>18911.68</v>
      </c>
      <c r="U317" s="145">
        <f>N317-M317</f>
        <v>523.01</v>
      </c>
      <c r="V317" s="4">
        <f>IF(M317=0,0,N317/M317-1)</f>
        <v>0.35623258886913645</v>
      </c>
      <c r="W317" s="17">
        <v>49345.9</v>
      </c>
      <c r="X317" s="17">
        <v>59675.35</v>
      </c>
      <c r="Y317" s="4">
        <f>X317/W317-1</f>
        <v>0.20932742132578386</v>
      </c>
      <c r="Z317" s="4"/>
      <c r="AA317">
        <v>4829</v>
      </c>
      <c r="AB317">
        <v>5724</v>
      </c>
      <c r="AD317" s="25">
        <v>0.34110000000000001</v>
      </c>
      <c r="AE317" s="25">
        <v>0.34639999999999999</v>
      </c>
    </row>
    <row r="318" spans="1:31" ht="15" customHeight="1">
      <c r="A318" s="39" t="s">
        <v>679</v>
      </c>
      <c r="B318" s="36" t="s">
        <v>680</v>
      </c>
      <c r="C318" s="27">
        <v>719</v>
      </c>
      <c r="E318" s="36" t="s">
        <v>680</v>
      </c>
      <c r="F318" s="27">
        <v>1071</v>
      </c>
      <c r="G318" t="b">
        <f>IF(B318=E318,TRUE,FALSE)</f>
        <v>1</v>
      </c>
      <c r="J318" s="24">
        <f>F318-C318</f>
        <v>352</v>
      </c>
      <c r="K318" s="4">
        <f>F318/C318-1</f>
        <v>0.48956884561891512</v>
      </c>
      <c r="M318" s="5">
        <v>1221.3</v>
      </c>
      <c r="N318" s="5">
        <v>1780.23</v>
      </c>
      <c r="Q318" s="122">
        <v>8645.9900000000016</v>
      </c>
      <c r="U318" s="145">
        <f>N318-M318</f>
        <v>558.93000000000006</v>
      </c>
      <c r="V318" s="4">
        <f>IF(M318=0,0,N318/M318-1)</f>
        <v>0.45765168263325973</v>
      </c>
      <c r="W318" s="17">
        <v>13652.67</v>
      </c>
      <c r="X318" s="17">
        <v>18844.900000000001</v>
      </c>
      <c r="Y318" s="4">
        <f>X318/W318-1</f>
        <v>0.38030876011798442</v>
      </c>
      <c r="Z318" s="4"/>
      <c r="AA318">
        <v>3862</v>
      </c>
      <c r="AB318">
        <v>5924</v>
      </c>
      <c r="AD318" s="25">
        <v>0.1862</v>
      </c>
      <c r="AE318" s="25">
        <v>0.18010000000000001</v>
      </c>
    </row>
    <row r="319" spans="1:31" ht="15" customHeight="1">
      <c r="A319" t="s">
        <v>681</v>
      </c>
      <c r="B319" t="s">
        <v>682</v>
      </c>
      <c r="C319" s="27">
        <v>2647</v>
      </c>
      <c r="E319" t="s">
        <v>682</v>
      </c>
      <c r="F319" s="27">
        <v>3001</v>
      </c>
      <c r="G319" t="b">
        <f>IF(B319=E319,TRUE,FALSE)</f>
        <v>1</v>
      </c>
      <c r="J319" s="24">
        <f>F319-C319</f>
        <v>354</v>
      </c>
      <c r="K319" s="4">
        <f>F319/C319-1</f>
        <v>0.13373630525122771</v>
      </c>
      <c r="M319" s="5">
        <v>2487.38</v>
      </c>
      <c r="N319" s="5">
        <v>2786.22</v>
      </c>
      <c r="Q319" s="122">
        <v>14391.08</v>
      </c>
      <c r="U319" s="145">
        <f>N319-M319</f>
        <v>298.83999999999969</v>
      </c>
      <c r="V319" s="4">
        <f>IF(M319=0,0,N319/M319-1)</f>
        <v>0.12014247923517907</v>
      </c>
      <c r="W319" s="17">
        <v>63382.45</v>
      </c>
      <c r="X319" s="17">
        <v>66440.87</v>
      </c>
      <c r="Y319" s="4">
        <f>X319/W319-1</f>
        <v>4.8253420307987405E-2</v>
      </c>
      <c r="Z319" s="4"/>
      <c r="AA319">
        <v>11088</v>
      </c>
      <c r="AB319">
        <v>12562</v>
      </c>
      <c r="AD319" s="25">
        <v>0.2394</v>
      </c>
      <c r="AE319" s="25">
        <v>0.23829999999999998</v>
      </c>
    </row>
    <row r="320" spans="1:31" ht="15" customHeight="1">
      <c r="A320" s="171" t="s">
        <v>683</v>
      </c>
      <c r="B320" s="26" t="s">
        <v>684</v>
      </c>
      <c r="C320" s="27">
        <v>8</v>
      </c>
      <c r="E320" s="26" t="s">
        <v>684</v>
      </c>
      <c r="F320" s="27">
        <v>364</v>
      </c>
      <c r="G320" t="b">
        <f>IF(B320=E320,TRUE,FALSE)</f>
        <v>1</v>
      </c>
      <c r="J320" s="24">
        <f>F320-C320</f>
        <v>356</v>
      </c>
      <c r="K320" s="4">
        <f>F320/C320-1</f>
        <v>44.5</v>
      </c>
      <c r="M320" s="5">
        <v>15.3</v>
      </c>
      <c r="N320" s="5">
        <v>1989.59</v>
      </c>
      <c r="Q320" s="122">
        <v>9615.8700000000008</v>
      </c>
      <c r="U320" s="145">
        <f>N320-M320</f>
        <v>1974.29</v>
      </c>
      <c r="V320" s="4">
        <f>IF(M320=0,0,N320/M320-1)</f>
        <v>129.03856209150325</v>
      </c>
      <c r="W320" s="17">
        <v>239.92</v>
      </c>
      <c r="X320" s="17">
        <v>10013.959999999999</v>
      </c>
      <c r="Y320" s="4">
        <f>X320/W320-1</f>
        <v>40.738746248749585</v>
      </c>
      <c r="Z320" s="4"/>
      <c r="AA320">
        <v>71</v>
      </c>
      <c r="AB320">
        <v>4047</v>
      </c>
      <c r="AD320" s="25">
        <v>0.11269999999999999</v>
      </c>
      <c r="AE320" s="25">
        <v>8.9900000000000008E-2</v>
      </c>
    </row>
    <row r="321" spans="1:36" ht="15" customHeight="1">
      <c r="A321" t="s">
        <v>685</v>
      </c>
      <c r="B321" t="s">
        <v>686</v>
      </c>
      <c r="C321" s="27">
        <v>2678</v>
      </c>
      <c r="E321" t="s">
        <v>686</v>
      </c>
      <c r="F321" s="27">
        <v>3039</v>
      </c>
      <c r="G321" t="b">
        <f>IF(B321=E321,TRUE,FALSE)</f>
        <v>1</v>
      </c>
      <c r="J321" s="24">
        <f>F321-C321</f>
        <v>361</v>
      </c>
      <c r="K321" s="4">
        <f>F321/C321-1</f>
        <v>0.13480209111277075</v>
      </c>
      <c r="M321" s="5">
        <v>5068.21</v>
      </c>
      <c r="N321" s="5">
        <v>6765.4</v>
      </c>
      <c r="Q321" s="122">
        <v>39084.129999999997</v>
      </c>
      <c r="U321" s="145">
        <f>N321-M321</f>
        <v>1697.1899999999996</v>
      </c>
      <c r="V321" s="4">
        <f>IF(M321=0,0,N321/M321-1)</f>
        <v>0.3348697074509539</v>
      </c>
      <c r="W321" s="17">
        <v>77109.509999999995</v>
      </c>
      <c r="X321" s="17">
        <v>88081.76</v>
      </c>
      <c r="Y321" s="4">
        <f>X321/W321-1</f>
        <v>0.14229438106920922</v>
      </c>
      <c r="Z321" s="4"/>
      <c r="AA321">
        <v>8629</v>
      </c>
      <c r="AB321">
        <v>9439</v>
      </c>
      <c r="AD321" s="25">
        <v>0.31010000000000004</v>
      </c>
      <c r="AE321" s="25">
        <v>0.3206</v>
      </c>
      <c r="AJ321" t="s">
        <v>687</v>
      </c>
    </row>
    <row r="322" spans="1:36" ht="15" customHeight="1">
      <c r="A322" s="39" t="s">
        <v>688</v>
      </c>
      <c r="B322" s="36" t="s">
        <v>689</v>
      </c>
      <c r="C322" s="27">
        <v>1627</v>
      </c>
      <c r="E322" s="36" t="s">
        <v>689</v>
      </c>
      <c r="F322" s="27">
        <v>1988</v>
      </c>
      <c r="G322" t="b">
        <f>IF(B322=E322,TRUE,FALSE)</f>
        <v>1</v>
      </c>
      <c r="J322" s="24">
        <f>F322-C322</f>
        <v>361</v>
      </c>
      <c r="K322" s="4">
        <f>F322/C322-1</f>
        <v>0.22188076213890606</v>
      </c>
      <c r="M322" s="5">
        <v>1916.6</v>
      </c>
      <c r="N322" s="5">
        <v>4456.3500000000004</v>
      </c>
      <c r="Q322" s="121">
        <v>22185.27</v>
      </c>
      <c r="U322" s="145">
        <f>N322-M322</f>
        <v>2539.7500000000005</v>
      </c>
      <c r="V322" s="4">
        <f>IF(M322=0,0,N322/M322-1)</f>
        <v>1.3251330481060215</v>
      </c>
      <c r="W322" s="17">
        <v>33534.29</v>
      </c>
      <c r="X322" s="17">
        <v>44780.2</v>
      </c>
      <c r="Y322" s="4">
        <f>X322/W322-1</f>
        <v>0.33535554204368112</v>
      </c>
      <c r="Z322" s="4"/>
      <c r="AA322">
        <v>7591</v>
      </c>
      <c r="AB322">
        <v>8468</v>
      </c>
      <c r="AD322" s="25">
        <v>0.21460000000000001</v>
      </c>
      <c r="AE322" s="25">
        <v>0.2341</v>
      </c>
    </row>
    <row r="323" spans="1:36" ht="15" customHeight="1">
      <c r="A323" t="s">
        <v>690</v>
      </c>
      <c r="B323" t="s">
        <v>691</v>
      </c>
      <c r="C323" s="27">
        <v>2759</v>
      </c>
      <c r="E323" t="s">
        <v>691</v>
      </c>
      <c r="F323" s="27">
        <v>3122</v>
      </c>
      <c r="G323" t="b">
        <f>IF(B323=E323,TRUE,FALSE)</f>
        <v>1</v>
      </c>
      <c r="J323" s="24">
        <f>F323-C323</f>
        <v>363</v>
      </c>
      <c r="K323" s="4">
        <f>F323/C323-1</f>
        <v>0.13156940920623406</v>
      </c>
      <c r="M323" s="5">
        <v>4318.07</v>
      </c>
      <c r="N323" s="5">
        <v>4945.16</v>
      </c>
      <c r="Q323" s="122">
        <v>34404.82</v>
      </c>
      <c r="U323" s="145">
        <f>N323-M323</f>
        <v>627.09000000000015</v>
      </c>
      <c r="V323" s="4">
        <f>IF(M323=0,0,N323/M323-1)</f>
        <v>0.14522460265813208</v>
      </c>
      <c r="W323" s="17">
        <v>74434.36</v>
      </c>
      <c r="X323" s="17">
        <v>84227.14</v>
      </c>
      <c r="Y323" s="4">
        <f>X323/W323-1</f>
        <v>0.13156262779716243</v>
      </c>
      <c r="Z323" s="4"/>
      <c r="AA323">
        <v>7016</v>
      </c>
      <c r="AB323">
        <v>7508</v>
      </c>
      <c r="AD323" s="25">
        <v>0.39399999999999996</v>
      </c>
      <c r="AE323" s="25">
        <v>0.41299999999999998</v>
      </c>
    </row>
    <row r="324" spans="1:36" ht="15" customHeight="1">
      <c r="A324" t="s">
        <v>692</v>
      </c>
      <c r="B324" t="s">
        <v>693</v>
      </c>
      <c r="C324" s="27">
        <v>1493</v>
      </c>
      <c r="E324" t="s">
        <v>693</v>
      </c>
      <c r="F324" s="27">
        <v>1859</v>
      </c>
      <c r="G324" t="b">
        <f>IF(B324=E324,TRUE,FALSE)</f>
        <v>1</v>
      </c>
      <c r="J324" s="24">
        <f>F324-C324</f>
        <v>366</v>
      </c>
      <c r="K324" s="4">
        <f>F324/C324-1</f>
        <v>0.24514400535833891</v>
      </c>
      <c r="M324" s="5">
        <v>3510.2</v>
      </c>
      <c r="N324" s="5">
        <v>4724.6099999999997</v>
      </c>
      <c r="Q324" s="122">
        <v>31022.69</v>
      </c>
      <c r="U324" s="145">
        <f>N324-M324</f>
        <v>1214.4099999999999</v>
      </c>
      <c r="V324" s="4">
        <f>IF(M324=0,0,N324/M324-1)</f>
        <v>0.3459660418209789</v>
      </c>
      <c r="W324" s="17">
        <v>44729.47</v>
      </c>
      <c r="X324" s="17">
        <v>55727.7</v>
      </c>
      <c r="Y324" s="4">
        <f>X324/W324-1</f>
        <v>0.24588330691152827</v>
      </c>
      <c r="Z324" s="4"/>
      <c r="AA324">
        <v>4984</v>
      </c>
      <c r="AB324">
        <v>6360</v>
      </c>
      <c r="AD324" s="25">
        <v>0.29960000000000003</v>
      </c>
      <c r="AE324" s="25">
        <v>0.28960000000000002</v>
      </c>
    </row>
    <row r="325" spans="1:36" ht="15" customHeight="1">
      <c r="A325" t="s">
        <v>694</v>
      </c>
      <c r="B325" t="s">
        <v>695</v>
      </c>
      <c r="C325" s="27">
        <v>814</v>
      </c>
      <c r="E325" t="s">
        <v>695</v>
      </c>
      <c r="F325" s="27">
        <v>1180</v>
      </c>
      <c r="G325" t="b">
        <f>IF(B325=E325,TRUE,FALSE)</f>
        <v>1</v>
      </c>
      <c r="J325" s="24">
        <f>F325-C325</f>
        <v>366</v>
      </c>
      <c r="K325" s="4">
        <f>F325/C325-1</f>
        <v>0.44963144963144974</v>
      </c>
      <c r="M325" s="5">
        <v>0</v>
      </c>
      <c r="N325" s="5">
        <v>0</v>
      </c>
      <c r="Q325" s="122">
        <v>0</v>
      </c>
      <c r="U325" s="145">
        <f>N325-M325</f>
        <v>0</v>
      </c>
      <c r="V325" s="4">
        <f>IF(M325=0,0,N325/M325-1)</f>
        <v>0</v>
      </c>
      <c r="W325" s="17">
        <v>13809.21</v>
      </c>
      <c r="X325" s="17">
        <v>19996.79</v>
      </c>
      <c r="Y325" s="4">
        <f>X325/W325-1</f>
        <v>0.44807632007913578</v>
      </c>
      <c r="Z325" s="4"/>
      <c r="AA325">
        <v>2769</v>
      </c>
      <c r="AB325">
        <v>3920</v>
      </c>
      <c r="AD325" s="25">
        <v>0.1394</v>
      </c>
      <c r="AE325" s="25">
        <v>0.14410000000000001</v>
      </c>
    </row>
    <row r="326" spans="1:36" ht="15" customHeight="1">
      <c r="A326" s="171" t="s">
        <v>696</v>
      </c>
      <c r="B326" s="26" t="s">
        <v>697</v>
      </c>
      <c r="C326" s="27">
        <v>0</v>
      </c>
      <c r="E326" s="26" t="s">
        <v>697</v>
      </c>
      <c r="F326" s="27">
        <v>373</v>
      </c>
      <c r="G326" t="b">
        <f>IF(B326=E326,TRUE,FALSE)</f>
        <v>1</v>
      </c>
      <c r="J326" s="24">
        <f>F326-C326</f>
        <v>373</v>
      </c>
      <c r="K326" s="4" t="e">
        <f>F326/C326-1</f>
        <v>#DIV/0!</v>
      </c>
      <c r="M326" s="5">
        <v>0</v>
      </c>
      <c r="N326" s="5">
        <v>101.48</v>
      </c>
      <c r="Q326" s="121">
        <v>597.91</v>
      </c>
      <c r="U326" s="145">
        <f>N326-M326</f>
        <v>101.48</v>
      </c>
      <c r="V326" s="4">
        <f>IF(M326=0,0,N326/M326-1)</f>
        <v>0</v>
      </c>
      <c r="W326" s="17">
        <v>0</v>
      </c>
      <c r="X326" s="17">
        <v>6336.42</v>
      </c>
      <c r="Y326" s="4" t="e">
        <f>X326/W326-1</f>
        <v>#DIV/0!</v>
      </c>
      <c r="Z326" s="4"/>
      <c r="AB326">
        <v>3320</v>
      </c>
      <c r="AD326" s="25"/>
      <c r="AE326" s="25">
        <v>0.11199999999999999</v>
      </c>
    </row>
    <row r="327" spans="1:36" ht="15" customHeight="1">
      <c r="A327" s="171" t="s">
        <v>698</v>
      </c>
      <c r="B327" s="26" t="s">
        <v>699</v>
      </c>
      <c r="C327" s="27">
        <v>34</v>
      </c>
      <c r="E327" s="26" t="s">
        <v>699</v>
      </c>
      <c r="F327" s="27">
        <v>413</v>
      </c>
      <c r="G327" t="b">
        <f>IF(B327=E327,TRUE,FALSE)</f>
        <v>1</v>
      </c>
      <c r="J327" s="24">
        <f>F327-C327</f>
        <v>379</v>
      </c>
      <c r="K327" s="4">
        <f>F327/C327-1</f>
        <v>11.147058823529411</v>
      </c>
      <c r="M327" s="5">
        <v>25.7</v>
      </c>
      <c r="N327" s="5">
        <v>2536.83</v>
      </c>
      <c r="Q327" s="122">
        <v>18200.66</v>
      </c>
      <c r="U327" s="145">
        <f>N327-M327</f>
        <v>2511.13</v>
      </c>
      <c r="V327" s="4">
        <f>IF(M327=0,0,N327/M327-1)</f>
        <v>97.709338521400781</v>
      </c>
      <c r="W327" s="17">
        <v>849.66</v>
      </c>
      <c r="X327" s="17">
        <v>9429.6200000000008</v>
      </c>
      <c r="Y327" s="4">
        <f>X327/W327-1</f>
        <v>10.098109832168163</v>
      </c>
      <c r="Z327" s="4"/>
      <c r="AA327">
        <v>206</v>
      </c>
      <c r="AB327">
        <v>4694</v>
      </c>
      <c r="AD327" s="25">
        <v>0.16500000000000001</v>
      </c>
      <c r="AE327" s="25">
        <v>8.8000000000000009E-2</v>
      </c>
    </row>
    <row r="328" spans="1:36" ht="15" customHeight="1">
      <c r="A328" s="39" t="s">
        <v>700</v>
      </c>
      <c r="B328" s="36" t="s">
        <v>701</v>
      </c>
      <c r="C328" s="27">
        <v>703</v>
      </c>
      <c r="E328" s="36" t="s">
        <v>701</v>
      </c>
      <c r="F328" s="27">
        <v>1094</v>
      </c>
      <c r="G328" t="b">
        <f>IF(B328=E328,TRUE,FALSE)</f>
        <v>1</v>
      </c>
      <c r="J328" s="24">
        <f>F328-C328</f>
        <v>391</v>
      </c>
      <c r="K328" s="4">
        <f>F328/C328-1</f>
        <v>0.55618776671408243</v>
      </c>
      <c r="M328" s="5">
        <v>1798.64</v>
      </c>
      <c r="N328" s="5">
        <v>2217.39</v>
      </c>
      <c r="Q328" s="121">
        <v>14518.23</v>
      </c>
      <c r="U328" s="145">
        <f>N328-M328</f>
        <v>418.74999999999977</v>
      </c>
      <c r="V328" s="4">
        <f>IF(M328=0,0,N328/M328-1)</f>
        <v>0.23281479339945732</v>
      </c>
      <c r="W328" s="17">
        <v>14049.97</v>
      </c>
      <c r="X328" s="17">
        <v>18836.46</v>
      </c>
      <c r="Y328" s="4">
        <f>X328/W328-1</f>
        <v>0.34067617226228952</v>
      </c>
      <c r="Z328" s="4"/>
      <c r="AA328">
        <v>4120</v>
      </c>
      <c r="AB328">
        <v>6571</v>
      </c>
      <c r="AD328" s="25">
        <v>0.17059999999999997</v>
      </c>
      <c r="AE328" s="25">
        <v>0.16539999999999999</v>
      </c>
    </row>
    <row r="329" spans="1:36" ht="15" customHeight="1">
      <c r="A329" t="s">
        <v>702</v>
      </c>
      <c r="B329" t="s">
        <v>703</v>
      </c>
      <c r="C329" s="27">
        <v>1968</v>
      </c>
      <c r="E329" t="s">
        <v>703</v>
      </c>
      <c r="F329" s="27">
        <v>2367</v>
      </c>
      <c r="G329" t="b">
        <f>IF(B329=E329,TRUE,FALSE)</f>
        <v>1</v>
      </c>
      <c r="J329" s="24">
        <f>F329-C329</f>
        <v>399</v>
      </c>
      <c r="K329" s="4">
        <f>F329/C329-1</f>
        <v>0.20274390243902429</v>
      </c>
      <c r="M329" s="5">
        <v>6979.2999999999993</v>
      </c>
      <c r="N329" s="5">
        <v>7197.91</v>
      </c>
      <c r="Q329" s="122">
        <v>38102.239999999998</v>
      </c>
      <c r="U329" s="145">
        <f>N329-M329</f>
        <v>218.61000000000058</v>
      </c>
      <c r="V329" s="4">
        <f>IF(M329=0,0,N329/M329-1)</f>
        <v>3.1322625478199972E-2</v>
      </c>
      <c r="W329" s="17">
        <v>58876.959999999999</v>
      </c>
      <c r="X329" s="17">
        <v>70856.3</v>
      </c>
      <c r="Y329" s="4">
        <f>X329/W329-1</f>
        <v>0.20346396960712654</v>
      </c>
      <c r="Z329" s="4"/>
      <c r="AA329">
        <v>8852</v>
      </c>
      <c r="AB329">
        <v>9956</v>
      </c>
      <c r="AD329" s="25">
        <v>0.22149999999999997</v>
      </c>
      <c r="AE329" s="25">
        <v>0.23680000000000001</v>
      </c>
    </row>
    <row r="330" spans="1:36" ht="15" customHeight="1">
      <c r="A330" t="s">
        <v>704</v>
      </c>
      <c r="B330" t="s">
        <v>705</v>
      </c>
      <c r="C330" s="27">
        <v>709</v>
      </c>
      <c r="E330" t="s">
        <v>705</v>
      </c>
      <c r="F330" s="27">
        <v>1108</v>
      </c>
      <c r="G330" t="b">
        <f>IF(B330=E330,TRUE,FALSE)</f>
        <v>1</v>
      </c>
      <c r="J330" s="24">
        <f>F330-C330</f>
        <v>399</v>
      </c>
      <c r="K330" s="4">
        <f>F330/C330-1</f>
        <v>0.56276445698166433</v>
      </c>
      <c r="M330" s="5">
        <v>1756.36</v>
      </c>
      <c r="N330" s="5">
        <v>2786.26</v>
      </c>
      <c r="Q330" s="122">
        <v>17996.87</v>
      </c>
      <c r="U330" s="145">
        <f>N330-M330</f>
        <v>1029.9000000000003</v>
      </c>
      <c r="V330" s="4">
        <f>IF(M330=0,0,N330/M330-1)</f>
        <v>0.58638320162153557</v>
      </c>
      <c r="W330" s="17">
        <v>21225.85</v>
      </c>
      <c r="X330" s="17">
        <v>33173.5</v>
      </c>
      <c r="Y330" s="4">
        <f>X330/W330-1</f>
        <v>0.56288205183773576</v>
      </c>
      <c r="Z330" s="4"/>
      <c r="AA330">
        <v>3257</v>
      </c>
      <c r="AB330">
        <v>4512</v>
      </c>
      <c r="AD330" s="25">
        <v>0.21710000000000002</v>
      </c>
      <c r="AE330" s="25">
        <v>0.24510000000000001</v>
      </c>
    </row>
    <row r="331" spans="1:36" ht="15" customHeight="1">
      <c r="A331" t="s">
        <v>706</v>
      </c>
      <c r="B331" t="s">
        <v>707</v>
      </c>
      <c r="C331" s="27">
        <v>1980</v>
      </c>
      <c r="E331" t="s">
        <v>707</v>
      </c>
      <c r="F331" s="27">
        <v>2380</v>
      </c>
      <c r="G331" t="b">
        <f>IF(B331=E331,TRUE,FALSE)</f>
        <v>1</v>
      </c>
      <c r="J331" s="24">
        <f>F331-C331</f>
        <v>400</v>
      </c>
      <c r="K331" s="4">
        <f>F331/C331-1</f>
        <v>0.20202020202020199</v>
      </c>
      <c r="M331" s="5">
        <v>3385.61</v>
      </c>
      <c r="N331" s="5">
        <v>3346.7200000000003</v>
      </c>
      <c r="Q331" s="122">
        <v>20300.190000000002</v>
      </c>
      <c r="U331" s="145">
        <f>N331-M331</f>
        <v>-38.889999999999873</v>
      </c>
      <c r="V331" s="4">
        <f>IF(M331=0,0,N331/M331-1)</f>
        <v>-1.1486851704714862E-2</v>
      </c>
      <c r="W331" s="17">
        <v>59292.6</v>
      </c>
      <c r="X331" s="17">
        <v>62686.49</v>
      </c>
      <c r="Y331" s="4">
        <f>X331/W331-1</f>
        <v>5.723968926982459E-2</v>
      </c>
      <c r="Z331" s="4"/>
      <c r="AA331">
        <v>8343</v>
      </c>
      <c r="AB331">
        <v>13239</v>
      </c>
      <c r="AD331" s="25">
        <v>0.2379</v>
      </c>
      <c r="AE331" s="25">
        <v>0.1789</v>
      </c>
    </row>
    <row r="332" spans="1:36" ht="15" customHeight="1">
      <c r="A332" s="39" t="s">
        <v>708</v>
      </c>
      <c r="B332" s="36" t="s">
        <v>709</v>
      </c>
      <c r="C332" s="18">
        <v>480</v>
      </c>
      <c r="E332" s="36" t="s">
        <v>709</v>
      </c>
      <c r="F332" s="18">
        <v>887</v>
      </c>
      <c r="G332" t="b">
        <f>IF(B332=E332,TRUE,FALSE)</f>
        <v>1</v>
      </c>
      <c r="J332" s="24">
        <f>F332-C332</f>
        <v>407</v>
      </c>
      <c r="K332" s="4">
        <f>F332/C332-1</f>
        <v>0.84791666666666665</v>
      </c>
      <c r="M332" s="5">
        <v>1303.06</v>
      </c>
      <c r="N332" s="5">
        <v>1568.66</v>
      </c>
      <c r="Q332" s="121">
        <v>7404.62</v>
      </c>
      <c r="U332" s="145">
        <f>N332-M332</f>
        <v>265.60000000000014</v>
      </c>
      <c r="V332" s="4">
        <f>IF(M332=0,0,N332/M332-1)</f>
        <v>0.20382791275919776</v>
      </c>
      <c r="W332">
        <v>9593.2000000000007</v>
      </c>
      <c r="X332">
        <v>15334.13</v>
      </c>
      <c r="Y332" s="4">
        <f>X332/W332-1</f>
        <v>0.59843743484968503</v>
      </c>
      <c r="Z332" s="4"/>
      <c r="AA332">
        <v>3079</v>
      </c>
      <c r="AB332">
        <v>5870</v>
      </c>
      <c r="AD332" s="25">
        <v>0.15560000000000002</v>
      </c>
      <c r="AE332" s="25">
        <v>0.15090000000000001</v>
      </c>
    </row>
    <row r="333" spans="1:36" ht="15" customHeight="1">
      <c r="A333" t="s">
        <v>710</v>
      </c>
      <c r="B333" t="s">
        <v>711</v>
      </c>
      <c r="C333" s="27">
        <v>1882</v>
      </c>
      <c r="E333" t="s">
        <v>711</v>
      </c>
      <c r="F333" s="27">
        <v>2290</v>
      </c>
      <c r="G333" t="b">
        <f>IF(B333=E333,TRUE,FALSE)</f>
        <v>1</v>
      </c>
      <c r="J333" s="24">
        <f>F333-C333</f>
        <v>408</v>
      </c>
      <c r="K333" s="4">
        <f>F333/C333-1</f>
        <v>0.21679064824654626</v>
      </c>
      <c r="M333" s="5">
        <v>2429.94</v>
      </c>
      <c r="N333" s="5">
        <v>2849.71</v>
      </c>
      <c r="Q333" s="122">
        <v>15970.52</v>
      </c>
      <c r="U333" s="145">
        <f>N333-M333</f>
        <v>419.77</v>
      </c>
      <c r="V333" s="4">
        <f>IF(M333=0,0,N333/M333-1)</f>
        <v>0.17274912137748255</v>
      </c>
      <c r="W333" s="17">
        <v>37534.699999999997</v>
      </c>
      <c r="X333" s="17">
        <v>45672.1</v>
      </c>
      <c r="Y333" s="4">
        <f>X333/W333-1</f>
        <v>0.21679672409796802</v>
      </c>
      <c r="Z333" s="4"/>
      <c r="AA333">
        <v>6979</v>
      </c>
      <c r="AB333">
        <v>8194</v>
      </c>
      <c r="AD333" s="25">
        <v>0.26910000000000001</v>
      </c>
      <c r="AE333" s="25">
        <v>0.27779999999999999</v>
      </c>
    </row>
    <row r="334" spans="1:36" ht="15" customHeight="1">
      <c r="A334" t="s">
        <v>712</v>
      </c>
      <c r="B334" s="26" t="s">
        <v>713</v>
      </c>
      <c r="C334" s="27">
        <v>2570</v>
      </c>
      <c r="E334" s="26" t="s">
        <v>713</v>
      </c>
      <c r="F334" s="27">
        <v>2982</v>
      </c>
      <c r="G334" t="b">
        <f>IF(B334=E334,TRUE,FALSE)</f>
        <v>1</v>
      </c>
      <c r="J334" s="24">
        <f>F334-C334</f>
        <v>412</v>
      </c>
      <c r="K334" s="4">
        <f>F334/C334-1</f>
        <v>0.1603112840466927</v>
      </c>
      <c r="M334" s="5">
        <v>3921.15</v>
      </c>
      <c r="N334" s="5">
        <v>3974.84</v>
      </c>
      <c r="Q334" s="122">
        <v>30745.79</v>
      </c>
      <c r="U334" s="145">
        <f>N334-M334</f>
        <v>53.690000000000055</v>
      </c>
      <c r="V334" s="4">
        <f>IF(M334=0,0,N334/M334-1)</f>
        <v>1.3692411664945281E-2</v>
      </c>
      <c r="W334" s="17">
        <v>100189.48</v>
      </c>
      <c r="X334" s="17">
        <v>116251.41</v>
      </c>
      <c r="Y334" s="4">
        <f>X334/W334-1</f>
        <v>0.16031553412593835</v>
      </c>
      <c r="Z334" s="4"/>
      <c r="AA334">
        <v>16320</v>
      </c>
      <c r="AB334">
        <v>16910</v>
      </c>
      <c r="AD334" s="25">
        <v>0.15740000000000001</v>
      </c>
      <c r="AE334" s="25">
        <v>0.17559999999999998</v>
      </c>
    </row>
    <row r="335" spans="1:36" ht="15" customHeight="1">
      <c r="A335" t="s">
        <v>714</v>
      </c>
      <c r="B335" t="s">
        <v>715</v>
      </c>
      <c r="C335" s="27">
        <v>14435</v>
      </c>
      <c r="E335" t="s">
        <v>715</v>
      </c>
      <c r="F335" s="27">
        <v>14848</v>
      </c>
      <c r="G335" t="b">
        <f>IF(B335=E335,TRUE,FALSE)</f>
        <v>1</v>
      </c>
      <c r="J335" s="24">
        <f>F335-C335</f>
        <v>413</v>
      </c>
      <c r="K335" s="4">
        <f>F335/C335-1</f>
        <v>2.8611014894353914E-2</v>
      </c>
      <c r="M335" s="5">
        <v>31406.55</v>
      </c>
      <c r="N335" s="5">
        <v>28602.94</v>
      </c>
      <c r="Q335" s="122">
        <v>174722.47</v>
      </c>
      <c r="U335" s="145">
        <f>N335-M335</f>
        <v>-2803.6100000000006</v>
      </c>
      <c r="V335" s="4">
        <f>IF(M335=0,0,N335/M335-1)</f>
        <v>-8.9268321417029228E-2</v>
      </c>
      <c r="W335" s="17">
        <v>504045.85</v>
      </c>
      <c r="X335" s="17">
        <v>518660.09</v>
      </c>
      <c r="Y335" s="4">
        <f>X335/W335-1</f>
        <v>2.8993870299696134E-2</v>
      </c>
      <c r="Z335" s="4"/>
      <c r="AA335">
        <v>79162</v>
      </c>
      <c r="AB335">
        <v>74733</v>
      </c>
      <c r="AD335" s="25">
        <v>0.18289999999999998</v>
      </c>
      <c r="AE335" s="25">
        <v>0.1968</v>
      </c>
    </row>
    <row r="336" spans="1:36" ht="15" customHeight="1">
      <c r="A336" t="s">
        <v>716</v>
      </c>
      <c r="B336" t="s">
        <v>717</v>
      </c>
      <c r="C336" s="27">
        <v>2104</v>
      </c>
      <c r="E336" t="s">
        <v>717</v>
      </c>
      <c r="F336" s="27">
        <v>2518</v>
      </c>
      <c r="G336" t="b">
        <f>IF(B336=E336,TRUE,FALSE)</f>
        <v>1</v>
      </c>
      <c r="J336" s="24">
        <f>F336-C336</f>
        <v>414</v>
      </c>
      <c r="K336" s="4">
        <f>F336/C336-1</f>
        <v>0.19676806083650189</v>
      </c>
      <c r="M336" s="5">
        <v>1776.91</v>
      </c>
      <c r="N336" s="5">
        <v>2521.73</v>
      </c>
      <c r="Q336" s="122">
        <v>27526.82</v>
      </c>
      <c r="U336" s="145">
        <f>N336-M336</f>
        <v>744.81999999999994</v>
      </c>
      <c r="V336" s="4">
        <f>IF(M336=0,0,N336/M336-1)</f>
        <v>0.41916585533313433</v>
      </c>
      <c r="W336" s="17">
        <v>63009.700000000004</v>
      </c>
      <c r="X336" s="17">
        <v>75404.800000000003</v>
      </c>
      <c r="Y336" s="4">
        <f>X336/W336-1</f>
        <v>0.19671733082366671</v>
      </c>
      <c r="Z336" s="4"/>
      <c r="AA336">
        <v>6820</v>
      </c>
      <c r="AB336">
        <v>7772</v>
      </c>
      <c r="AD336" s="25">
        <v>0.30940000000000001</v>
      </c>
      <c r="AE336" s="25">
        <v>0.32270000000000004</v>
      </c>
    </row>
    <row r="337" spans="1:36" ht="15" customHeight="1">
      <c r="A337" s="39" t="s">
        <v>718</v>
      </c>
      <c r="B337" s="36" t="s">
        <v>719</v>
      </c>
      <c r="C337" s="27">
        <v>1015</v>
      </c>
      <c r="E337" s="36" t="s">
        <v>719</v>
      </c>
      <c r="F337" s="27">
        <v>1432</v>
      </c>
      <c r="G337" t="b">
        <f>IF(B337=E337,TRUE,FALSE)</f>
        <v>1</v>
      </c>
      <c r="J337" s="24">
        <f>F337-C337</f>
        <v>417</v>
      </c>
      <c r="K337" s="4">
        <f>F337/C337-1</f>
        <v>0.41083743842364528</v>
      </c>
      <c r="M337" s="5">
        <v>2362.31</v>
      </c>
      <c r="N337" s="5">
        <v>2863.7</v>
      </c>
      <c r="Q337" s="121">
        <v>13157.53</v>
      </c>
      <c r="U337" s="145">
        <f>N337-M337</f>
        <v>501.38999999999987</v>
      </c>
      <c r="V337" s="4">
        <f>IF(M337=0,0,N337/M337-1)</f>
        <v>0.21224564091926967</v>
      </c>
      <c r="W337" s="17">
        <v>24395.29</v>
      </c>
      <c r="X337" s="17">
        <v>32257.040000000001</v>
      </c>
      <c r="Y337" s="4">
        <f>X337/W337-1</f>
        <v>0.32226507657830661</v>
      </c>
      <c r="Z337" s="4"/>
      <c r="AA337">
        <v>4749</v>
      </c>
      <c r="AB337">
        <v>7080</v>
      </c>
      <c r="AD337" s="25">
        <v>0.21309999999999998</v>
      </c>
      <c r="AE337" s="25">
        <v>0.20199999999999999</v>
      </c>
    </row>
    <row r="338" spans="1:36" ht="15" customHeight="1">
      <c r="A338" s="23" t="s">
        <v>720</v>
      </c>
      <c r="B338" s="22" t="s">
        <v>721</v>
      </c>
      <c r="C338" s="27">
        <v>379</v>
      </c>
      <c r="E338" s="22" t="s">
        <v>721</v>
      </c>
      <c r="F338" s="27">
        <v>799</v>
      </c>
      <c r="G338" t="b">
        <f>IF(B338=E338,TRUE,FALSE)</f>
        <v>1</v>
      </c>
      <c r="J338" s="24">
        <f>F338-C338</f>
        <v>420</v>
      </c>
      <c r="K338" s="4">
        <f>F338/C338-1</f>
        <v>1.108179419525066</v>
      </c>
      <c r="M338" s="5">
        <v>1812.88</v>
      </c>
      <c r="N338" s="5">
        <v>2298.16</v>
      </c>
      <c r="Q338" s="122">
        <v>15141.77</v>
      </c>
      <c r="U338" s="145">
        <f>N338-M338</f>
        <v>485.27999999999975</v>
      </c>
      <c r="V338" s="4">
        <f>IF(M338=0,0,N338/M338-1)</f>
        <v>0.2676845682008735</v>
      </c>
      <c r="W338" s="17">
        <v>9471.2099999999991</v>
      </c>
      <c r="X338" s="17">
        <v>17391.509999999998</v>
      </c>
      <c r="Y338" s="4">
        <f>X338/W338-1</f>
        <v>0.83625006730924567</v>
      </c>
      <c r="Z338" s="4"/>
      <c r="AA338">
        <v>3460</v>
      </c>
      <c r="AB338">
        <v>5117</v>
      </c>
      <c r="AD338" s="25">
        <v>0.10949999999999999</v>
      </c>
      <c r="AE338" s="25">
        <v>0.15609999999999999</v>
      </c>
    </row>
    <row r="339" spans="1:36" ht="15" customHeight="1">
      <c r="A339" t="s">
        <v>722</v>
      </c>
      <c r="B339" t="s">
        <v>723</v>
      </c>
      <c r="C339" s="27">
        <v>508</v>
      </c>
      <c r="E339" t="s">
        <v>723</v>
      </c>
      <c r="F339" s="27">
        <v>939</v>
      </c>
      <c r="G339" t="b">
        <f>IF(B339=E339,TRUE,FALSE)</f>
        <v>1</v>
      </c>
      <c r="J339" s="24">
        <f>F339-C339</f>
        <v>431</v>
      </c>
      <c r="K339" s="4">
        <f>F339/C339-1</f>
        <v>0.84842519685039375</v>
      </c>
      <c r="M339" s="5">
        <v>605.16000000000008</v>
      </c>
      <c r="N339" s="5">
        <v>948.46999999999991</v>
      </c>
      <c r="Q339" s="122">
        <v>5388.7999999999993</v>
      </c>
      <c r="U339" s="145">
        <f>N339-M339</f>
        <v>343.30999999999983</v>
      </c>
      <c r="V339" s="4">
        <f>IF(M339=0,0,N339/M339-1)</f>
        <v>0.56730451450855934</v>
      </c>
      <c r="W339" s="17">
        <v>15219.68</v>
      </c>
      <c r="X339" s="17">
        <v>26086.85</v>
      </c>
      <c r="Y339" s="4">
        <f>X339/W339-1</f>
        <v>0.71402092553851326</v>
      </c>
      <c r="Z339" s="4"/>
      <c r="AA339">
        <v>2169</v>
      </c>
      <c r="AB339">
        <v>3285</v>
      </c>
      <c r="AD339" s="25">
        <v>8.5800000000000001E-2</v>
      </c>
      <c r="AE339" s="25">
        <v>0.23230000000000001</v>
      </c>
    </row>
    <row r="340" spans="1:36" ht="15" customHeight="1">
      <c r="A340" t="s">
        <v>724</v>
      </c>
      <c r="B340" t="s">
        <v>725</v>
      </c>
      <c r="C340" s="27">
        <v>1030</v>
      </c>
      <c r="E340" t="s">
        <v>725</v>
      </c>
      <c r="F340" s="27">
        <v>1462</v>
      </c>
      <c r="G340" t="b">
        <f>IF(B340=E340,TRUE,FALSE)</f>
        <v>1</v>
      </c>
      <c r="J340" s="24">
        <f>F340-C340</f>
        <v>432</v>
      </c>
      <c r="K340" s="4">
        <f>F340/C340-1</f>
        <v>0.41941747572815524</v>
      </c>
      <c r="M340" s="5">
        <v>1758.89</v>
      </c>
      <c r="N340" s="5">
        <v>2107.17</v>
      </c>
      <c r="Q340" s="122">
        <v>12541.92</v>
      </c>
      <c r="U340" s="145">
        <f>N340-M340</f>
        <v>348.28</v>
      </c>
      <c r="V340" s="4">
        <f>IF(M340=0,0,N340/M340-1)</f>
        <v>0.19801124572884032</v>
      </c>
      <c r="W340" s="17">
        <v>19514.7</v>
      </c>
      <c r="X340" s="17">
        <v>24462.36</v>
      </c>
      <c r="Y340" s="4">
        <f>X340/W340-1</f>
        <v>0.25353502744085232</v>
      </c>
      <c r="Z340" s="4"/>
      <c r="AA340">
        <v>4826</v>
      </c>
      <c r="AB340">
        <v>7949</v>
      </c>
      <c r="AD340" s="25">
        <v>0.21340000000000001</v>
      </c>
      <c r="AE340" s="25">
        <v>0.18350000000000002</v>
      </c>
    </row>
    <row r="341" spans="1:36" ht="15" customHeight="1">
      <c r="A341" t="s">
        <v>726</v>
      </c>
      <c r="B341" t="s">
        <v>727</v>
      </c>
      <c r="C341" s="27">
        <v>1611</v>
      </c>
      <c r="E341" t="s">
        <v>727</v>
      </c>
      <c r="F341" s="27">
        <v>2048</v>
      </c>
      <c r="G341" t="b">
        <f>IF(B341=E341,TRUE,FALSE)</f>
        <v>1</v>
      </c>
      <c r="J341" s="24">
        <f>F341-C341</f>
        <v>437</v>
      </c>
      <c r="K341" s="4">
        <f>F341/C341-1</f>
        <v>0.27126008690254499</v>
      </c>
      <c r="M341" s="5">
        <v>1143.9100000000001</v>
      </c>
      <c r="N341" s="5">
        <v>1074.6399999999999</v>
      </c>
      <c r="Q341" s="122">
        <v>6568.31</v>
      </c>
      <c r="U341" s="145">
        <f>N341-M341</f>
        <v>-69.270000000000209</v>
      </c>
      <c r="V341" s="4">
        <f>IF(M341=0,0,N341/M341-1)</f>
        <v>-6.0555463279453936E-2</v>
      </c>
      <c r="W341" s="17">
        <v>48251.79</v>
      </c>
      <c r="X341" s="17">
        <v>58101.46</v>
      </c>
      <c r="Y341" s="4">
        <f>X341/W341-1</f>
        <v>0.20413066541158376</v>
      </c>
      <c r="Z341" s="4"/>
      <c r="AA341">
        <v>6997</v>
      </c>
      <c r="AB341">
        <v>8260</v>
      </c>
      <c r="AD341" s="25">
        <v>0.23</v>
      </c>
      <c r="AE341" s="25">
        <v>0.24530000000000002</v>
      </c>
    </row>
    <row r="342" spans="1:36" ht="15" customHeight="1">
      <c r="A342" t="s">
        <v>728</v>
      </c>
      <c r="B342" t="s">
        <v>729</v>
      </c>
      <c r="C342" s="27">
        <v>5109</v>
      </c>
      <c r="E342" t="s">
        <v>729</v>
      </c>
      <c r="F342" s="27">
        <v>5558</v>
      </c>
      <c r="G342" t="b">
        <f>IF(B342=E342,TRUE,FALSE)</f>
        <v>1</v>
      </c>
      <c r="J342" s="24">
        <f>F342-C342</f>
        <v>449</v>
      </c>
      <c r="K342" s="4">
        <f>F342/C342-1</f>
        <v>8.7884126052065081E-2</v>
      </c>
      <c r="M342" s="5">
        <v>6641.61</v>
      </c>
      <c r="N342" s="5">
        <v>7428.76</v>
      </c>
      <c r="Q342" s="122">
        <v>59927.82</v>
      </c>
      <c r="U342" s="145">
        <f>N342-M342</f>
        <v>787.15000000000055</v>
      </c>
      <c r="V342" s="4">
        <f>IF(M342=0,0,N342/M342-1)</f>
        <v>0.11851794971400009</v>
      </c>
      <c r="W342" s="17">
        <v>152957.25</v>
      </c>
      <c r="X342" s="17">
        <v>166415.6</v>
      </c>
      <c r="Y342" s="4">
        <f>X342/W342-1</f>
        <v>8.7987656681850712E-2</v>
      </c>
      <c r="Z342" s="4"/>
      <c r="AA342">
        <v>19001</v>
      </c>
      <c r="AB342">
        <v>20345</v>
      </c>
      <c r="AD342" s="25">
        <v>0.26950000000000002</v>
      </c>
      <c r="AE342" s="25">
        <v>0.27179999999999999</v>
      </c>
    </row>
    <row r="343" spans="1:36" ht="15" customHeight="1">
      <c r="A343" t="s">
        <v>730</v>
      </c>
      <c r="B343" t="s">
        <v>731</v>
      </c>
      <c r="C343" s="27">
        <v>2426</v>
      </c>
      <c r="E343" t="s">
        <v>731</v>
      </c>
      <c r="F343" s="27">
        <v>2887</v>
      </c>
      <c r="G343" t="b">
        <f>IF(B343=E343,TRUE,FALSE)</f>
        <v>1</v>
      </c>
      <c r="J343" s="24">
        <f>F343-C343</f>
        <v>461</v>
      </c>
      <c r="K343" s="4">
        <f>F343/C343-1</f>
        <v>0.19002473206924986</v>
      </c>
      <c r="M343" s="5">
        <v>1399.67</v>
      </c>
      <c r="N343" s="5">
        <v>1767.96</v>
      </c>
      <c r="Q343" s="122">
        <v>16720.41</v>
      </c>
      <c r="U343" s="145">
        <f>N343-M343</f>
        <v>368.28999999999996</v>
      </c>
      <c r="V343" s="4">
        <f>IF(M343=0,0,N343/M343-1)</f>
        <v>0.26312630834410955</v>
      </c>
      <c r="W343" s="17">
        <v>97002.94</v>
      </c>
      <c r="X343" s="17">
        <v>115430.73</v>
      </c>
      <c r="Y343" s="4">
        <f>X343/W343-1</f>
        <v>0.18997145859702802</v>
      </c>
      <c r="Z343" s="4"/>
      <c r="AA343">
        <v>6089</v>
      </c>
      <c r="AB343">
        <v>7296</v>
      </c>
      <c r="AD343" s="25">
        <v>0.39840000000000003</v>
      </c>
      <c r="AE343" s="25">
        <v>0.3931</v>
      </c>
    </row>
    <row r="344" spans="1:36" ht="14.25" customHeight="1">
      <c r="A344" s="171" t="s">
        <v>732</v>
      </c>
      <c r="B344" s="36" t="s">
        <v>733</v>
      </c>
      <c r="C344" s="27">
        <v>173</v>
      </c>
      <c r="E344" s="36" t="s">
        <v>733</v>
      </c>
      <c r="F344" s="27">
        <v>639</v>
      </c>
      <c r="G344" t="b">
        <f>IF(B344=E344,TRUE,FALSE)</f>
        <v>1</v>
      </c>
      <c r="J344" s="24">
        <f>F344-C344</f>
        <v>466</v>
      </c>
      <c r="K344" s="4">
        <f>F344/C344-1</f>
        <v>2.6936416184971099</v>
      </c>
      <c r="M344" s="5">
        <v>488.72</v>
      </c>
      <c r="N344" s="5">
        <v>1819.94</v>
      </c>
      <c r="Q344" s="122">
        <v>8256</v>
      </c>
      <c r="U344" s="145">
        <f>N344-M344</f>
        <v>1331.22</v>
      </c>
      <c r="V344" s="4">
        <f>IF(M344=0,0,N344/M344-1)</f>
        <v>2.7238909805205433</v>
      </c>
      <c r="W344" s="17">
        <v>3467.47</v>
      </c>
      <c r="X344" s="17">
        <v>10568.81</v>
      </c>
      <c r="Y344" s="4">
        <f>X344/W344-1</f>
        <v>2.0479888795000392</v>
      </c>
      <c r="Z344" s="4"/>
      <c r="AA344">
        <v>810</v>
      </c>
      <c r="AB344">
        <v>2287</v>
      </c>
      <c r="AD344" s="25">
        <v>0.21479999999999999</v>
      </c>
      <c r="AE344" s="25">
        <v>0.27940000000000004</v>
      </c>
      <c r="AJ344" t="s">
        <v>734</v>
      </c>
    </row>
    <row r="345" spans="1:36" ht="15" customHeight="1">
      <c r="A345" t="s">
        <v>735</v>
      </c>
      <c r="B345" t="s">
        <v>736</v>
      </c>
      <c r="C345" s="27">
        <v>4044</v>
      </c>
      <c r="E345" t="s">
        <v>736</v>
      </c>
      <c r="F345" s="27">
        <v>4510</v>
      </c>
      <c r="G345" t="b">
        <f>IF(B345=E345,TRUE,FALSE)</f>
        <v>1</v>
      </c>
      <c r="J345" s="24">
        <f>F345-C345</f>
        <v>466</v>
      </c>
      <c r="K345" s="4">
        <f>F345/C345-1</f>
        <v>0.1152324431256182</v>
      </c>
      <c r="M345" s="5">
        <v>4454.8900000000003</v>
      </c>
      <c r="N345" s="5">
        <v>4599.96</v>
      </c>
      <c r="Q345" s="122">
        <v>44443.67</v>
      </c>
      <c r="U345" s="145">
        <f>N345-M345</f>
        <v>145.06999999999971</v>
      </c>
      <c r="V345" s="4">
        <f>IF(M345=0,0,N345/M345-1)</f>
        <v>3.2564215951460085E-2</v>
      </c>
      <c r="W345" s="17">
        <v>157497.42000000001</v>
      </c>
      <c r="X345" s="17">
        <v>175646.56</v>
      </c>
      <c r="Y345" s="4">
        <f>X345/W345-1</f>
        <v>0.11523452257186162</v>
      </c>
      <c r="Z345" s="4"/>
      <c r="AA345">
        <v>21168</v>
      </c>
      <c r="AB345">
        <v>21077</v>
      </c>
      <c r="AD345" s="25">
        <v>0.19149999999999998</v>
      </c>
      <c r="AE345" s="25">
        <v>0.21230000000000002</v>
      </c>
    </row>
    <row r="346" spans="1:36" ht="15" customHeight="1">
      <c r="A346" t="s">
        <v>737</v>
      </c>
      <c r="B346" t="s">
        <v>738</v>
      </c>
      <c r="C346" s="27">
        <v>984</v>
      </c>
      <c r="E346" t="s">
        <v>738</v>
      </c>
      <c r="F346" s="27">
        <v>1452</v>
      </c>
      <c r="G346" t="b">
        <f>IF(B346=E346,TRUE,FALSE)</f>
        <v>1</v>
      </c>
      <c r="J346" s="24">
        <f>F346-C346</f>
        <v>468</v>
      </c>
      <c r="K346" s="4">
        <f>F346/C346-1</f>
        <v>0.47560975609756095</v>
      </c>
      <c r="M346" s="5">
        <v>1790.57</v>
      </c>
      <c r="N346" s="5">
        <v>2806.23</v>
      </c>
      <c r="Q346" s="122">
        <v>16051.36</v>
      </c>
      <c r="U346" s="145">
        <f>N346-M346</f>
        <v>1015.6600000000001</v>
      </c>
      <c r="V346" s="4">
        <f>IF(M346=0,0,N346/M346-1)</f>
        <v>0.5672271958091557</v>
      </c>
      <c r="W346" s="17">
        <v>26493.01</v>
      </c>
      <c r="X346" s="17">
        <v>39072.530000000006</v>
      </c>
      <c r="Y346" s="4">
        <f>X346/W346-1</f>
        <v>0.47482411398327362</v>
      </c>
      <c r="Z346" s="4"/>
      <c r="AA346">
        <v>4682</v>
      </c>
      <c r="AB346">
        <v>6592</v>
      </c>
      <c r="AD346" s="25">
        <v>0.17960000000000001</v>
      </c>
      <c r="AE346" s="25">
        <v>0.18659999999999999</v>
      </c>
    </row>
    <row r="347" spans="1:36" ht="15" customHeight="1">
      <c r="A347" s="36" t="s">
        <v>739</v>
      </c>
      <c r="B347" s="36" t="s">
        <v>740</v>
      </c>
      <c r="C347" s="27">
        <v>1364</v>
      </c>
      <c r="E347" s="36" t="s">
        <v>740</v>
      </c>
      <c r="F347" s="27">
        <v>1835</v>
      </c>
      <c r="G347" t="b">
        <f>IF(B347=E347,TRUE,FALSE)</f>
        <v>1</v>
      </c>
      <c r="J347" s="24">
        <f>F347-C347</f>
        <v>471</v>
      </c>
      <c r="K347" s="4">
        <f>F347/C347-1</f>
        <v>0.34530791788856297</v>
      </c>
      <c r="M347" s="5">
        <v>2037.41</v>
      </c>
      <c r="N347" s="5">
        <v>2396.71</v>
      </c>
      <c r="Q347" s="122">
        <v>13029.31</v>
      </c>
      <c r="U347" s="145">
        <f>N347-M347</f>
        <v>359.29999999999995</v>
      </c>
      <c r="V347" s="4">
        <f>IF(M347=0,0,N347/M347-1)</f>
        <v>0.17635134803500518</v>
      </c>
      <c r="W347" s="17">
        <v>36730.01</v>
      </c>
      <c r="X347" s="17">
        <v>46178.57</v>
      </c>
      <c r="Y347" s="4">
        <f>X347/W347-1</f>
        <v>0.25724359998812951</v>
      </c>
      <c r="Z347" s="4"/>
      <c r="AA347">
        <v>6352</v>
      </c>
      <c r="AB347">
        <v>6388</v>
      </c>
      <c r="AD347" s="25">
        <v>0.2147</v>
      </c>
      <c r="AE347" s="25">
        <v>0.28620000000000001</v>
      </c>
    </row>
    <row r="348" spans="1:36" ht="15" customHeight="1">
      <c r="A348" t="s">
        <v>741</v>
      </c>
      <c r="B348" t="s">
        <v>742</v>
      </c>
      <c r="C348" s="27">
        <v>1011</v>
      </c>
      <c r="E348" t="s">
        <v>742</v>
      </c>
      <c r="F348" s="27">
        <v>1486</v>
      </c>
      <c r="G348" t="b">
        <f>IF(B348=E348,TRUE,FALSE)</f>
        <v>1</v>
      </c>
      <c r="J348" s="24">
        <f>F348-C348</f>
        <v>475</v>
      </c>
      <c r="K348" s="4">
        <f>F348/C348-1</f>
        <v>0.46983184965380809</v>
      </c>
      <c r="M348" s="5">
        <v>673.05</v>
      </c>
      <c r="N348" s="5">
        <v>1426.49</v>
      </c>
      <c r="Q348" s="122">
        <v>7599.3099999999995</v>
      </c>
      <c r="U348" s="145">
        <f>N348-M348</f>
        <v>753.44</v>
      </c>
      <c r="V348" s="4">
        <f>IF(M348=0,0,N348/M348-1)</f>
        <v>1.119441349082535</v>
      </c>
      <c r="W348" s="17">
        <v>24240.45</v>
      </c>
      <c r="X348" s="17">
        <v>32044.3</v>
      </c>
      <c r="Y348" s="4">
        <f>X348/W348-1</f>
        <v>0.32193503008401247</v>
      </c>
      <c r="Z348" s="4"/>
      <c r="AA348">
        <v>4225</v>
      </c>
      <c r="AB348">
        <v>6131</v>
      </c>
      <c r="AD348" s="25">
        <v>0.18390000000000001</v>
      </c>
      <c r="AE348" s="25">
        <v>0.20860000000000001</v>
      </c>
    </row>
    <row r="349" spans="1:36" ht="15" customHeight="1">
      <c r="A349" s="39" t="s">
        <v>743</v>
      </c>
      <c r="B349" s="36" t="s">
        <v>744</v>
      </c>
      <c r="C349" s="27">
        <v>729</v>
      </c>
      <c r="E349" s="36" t="s">
        <v>744</v>
      </c>
      <c r="F349" s="27">
        <v>1215</v>
      </c>
      <c r="G349" t="b">
        <f>IF(B349=E349,TRUE,FALSE)</f>
        <v>1</v>
      </c>
      <c r="J349" s="24">
        <f>F349-C349</f>
        <v>486</v>
      </c>
      <c r="K349" s="4">
        <f>F349/C349-1</f>
        <v>0.66666666666666674</v>
      </c>
      <c r="M349" s="5">
        <v>1767.57</v>
      </c>
      <c r="N349" s="5">
        <v>2157.33</v>
      </c>
      <c r="Q349" s="121">
        <v>10452.530000000001</v>
      </c>
      <c r="U349" s="145">
        <f>N349-M349</f>
        <v>389.76</v>
      </c>
      <c r="V349" s="4">
        <f>IF(M349=0,0,N349/M349-1)</f>
        <v>0.22050611856956159</v>
      </c>
      <c r="W349" s="17">
        <v>14570.51</v>
      </c>
      <c r="X349" s="17">
        <v>21250.25</v>
      </c>
      <c r="Y349" s="4">
        <f>X349/W349-1</f>
        <v>0.45844242926294276</v>
      </c>
      <c r="Z349" s="4"/>
      <c r="AA349">
        <v>3873</v>
      </c>
      <c r="AB349">
        <v>5891</v>
      </c>
      <c r="AD349" s="25">
        <v>0.18820000000000001</v>
      </c>
      <c r="AE349" s="25">
        <v>0.20620000000000002</v>
      </c>
    </row>
    <row r="350" spans="1:36" ht="15" customHeight="1">
      <c r="A350" s="126" t="s">
        <v>745</v>
      </c>
      <c r="B350" s="126" t="s">
        <v>746</v>
      </c>
      <c r="C350" s="27">
        <v>768</v>
      </c>
      <c r="E350" s="126" t="s">
        <v>746</v>
      </c>
      <c r="F350" s="27">
        <v>1265</v>
      </c>
      <c r="G350" t="b">
        <f>IF(B350=E350,TRUE,FALSE)</f>
        <v>1</v>
      </c>
      <c r="J350" s="24">
        <f>F350-C350</f>
        <v>497</v>
      </c>
      <c r="K350" s="4">
        <f>F350/C350-1</f>
        <v>0.64713541666666674</v>
      </c>
      <c r="M350" s="5">
        <v>1997.39</v>
      </c>
      <c r="N350" s="5">
        <v>2710.99</v>
      </c>
      <c r="Q350" s="121">
        <v>20629.439999999999</v>
      </c>
      <c r="U350" s="145">
        <f>N350-M350</f>
        <v>713.59999999999968</v>
      </c>
      <c r="V350" s="4">
        <f>IF(M350=0,0,N350/M350-1)</f>
        <v>0.35726623243332534</v>
      </c>
      <c r="W350" s="17">
        <v>18420</v>
      </c>
      <c r="X350" s="17">
        <v>27195.67</v>
      </c>
      <c r="Y350" s="4">
        <f>X350/W350-1</f>
        <v>0.47642073832790444</v>
      </c>
      <c r="Z350" s="4"/>
      <c r="AA350">
        <v>3372</v>
      </c>
      <c r="AB350">
        <v>5571</v>
      </c>
      <c r="AD350" s="25">
        <v>0.2278</v>
      </c>
      <c r="AE350" s="25">
        <v>0.22690000000000002</v>
      </c>
    </row>
    <row r="351" spans="1:36" ht="15" customHeight="1">
      <c r="A351" s="126" t="s">
        <v>747</v>
      </c>
      <c r="B351" s="36" t="s">
        <v>748</v>
      </c>
      <c r="C351" s="27">
        <v>1779</v>
      </c>
      <c r="E351" s="36" t="s">
        <v>748</v>
      </c>
      <c r="F351" s="27">
        <v>2276</v>
      </c>
      <c r="G351" t="b">
        <f>IF(B351=E351,TRUE,FALSE)</f>
        <v>1</v>
      </c>
      <c r="J351" s="24">
        <f>F351-C351</f>
        <v>497</v>
      </c>
      <c r="K351" s="4">
        <f>F351/C351-1</f>
        <v>0.27937043282743113</v>
      </c>
      <c r="M351" s="5">
        <v>3517.22</v>
      </c>
      <c r="N351" s="5">
        <v>5614.72</v>
      </c>
      <c r="Q351" s="121">
        <v>26120.18</v>
      </c>
      <c r="U351" s="145">
        <f>N351-M351</f>
        <v>2097.5000000000005</v>
      </c>
      <c r="V351" s="4">
        <f>IF(M351=0,0,N351/M351-1)</f>
        <v>0.59635166409835061</v>
      </c>
      <c r="W351" s="17">
        <v>36416.79</v>
      </c>
      <c r="X351" s="17">
        <v>50360.57</v>
      </c>
      <c r="Y351" s="4">
        <f>X351/W351-1</f>
        <v>0.38289426388212688</v>
      </c>
      <c r="Z351" s="4"/>
      <c r="AA351">
        <v>9913</v>
      </c>
      <c r="AB351">
        <v>11653</v>
      </c>
      <c r="AD351" s="25">
        <v>0.1797</v>
      </c>
      <c r="AE351" s="25">
        <v>0.1953</v>
      </c>
    </row>
    <row r="352" spans="1:36" ht="15" customHeight="1">
      <c r="A352" s="39" t="s">
        <v>749</v>
      </c>
      <c r="B352" s="36" t="s">
        <v>750</v>
      </c>
      <c r="C352" s="27">
        <v>215</v>
      </c>
      <c r="E352" s="36" t="s">
        <v>750</v>
      </c>
      <c r="F352" s="27">
        <v>715</v>
      </c>
      <c r="G352" t="b">
        <f>IF(B352=E352,TRUE,FALSE)</f>
        <v>1</v>
      </c>
      <c r="J352" s="24">
        <f>F352-C352</f>
        <v>500</v>
      </c>
      <c r="K352" s="4">
        <f>F352/C352-1</f>
        <v>2.3255813953488373</v>
      </c>
      <c r="M352" s="5">
        <v>125.51</v>
      </c>
      <c r="N352" s="5">
        <v>2837.86</v>
      </c>
      <c r="Q352" s="122">
        <v>9511.9500000000007</v>
      </c>
      <c r="U352" s="145">
        <f>N352-M352</f>
        <v>2712.35</v>
      </c>
      <c r="V352" s="4">
        <f>IF(M352=0,0,N352/M352-1)</f>
        <v>21.610628635168514</v>
      </c>
      <c r="W352" s="17">
        <v>5801.23</v>
      </c>
      <c r="X352" s="17">
        <v>19267.89</v>
      </c>
      <c r="Y352" s="4">
        <f>X352/W352-1</f>
        <v>2.321345645664799</v>
      </c>
      <c r="Z352" s="4"/>
      <c r="AA352">
        <v>1317</v>
      </c>
      <c r="AB352">
        <v>5863</v>
      </c>
      <c r="AD352" s="25">
        <v>0.16399999999999998</v>
      </c>
      <c r="AE352" s="25">
        <v>0.12179999999999999</v>
      </c>
    </row>
    <row r="353" spans="1:37" ht="15" customHeight="1">
      <c r="A353" t="s">
        <v>751</v>
      </c>
      <c r="B353" t="s">
        <v>752</v>
      </c>
      <c r="C353" s="27">
        <v>2909</v>
      </c>
      <c r="E353" t="s">
        <v>752</v>
      </c>
      <c r="F353" s="27">
        <v>3412</v>
      </c>
      <c r="G353" t="b">
        <f>IF(B353=E353,TRUE,FALSE)</f>
        <v>1</v>
      </c>
      <c r="J353" s="24">
        <f>F353-C353</f>
        <v>503</v>
      </c>
      <c r="K353" s="4">
        <f>F353/C353-1</f>
        <v>0.17291165348917148</v>
      </c>
      <c r="M353" s="5">
        <v>5827.83</v>
      </c>
      <c r="N353" s="5">
        <v>6320.76</v>
      </c>
      <c r="Q353" s="122">
        <v>47996.5</v>
      </c>
      <c r="U353" s="145">
        <f>N353-M353</f>
        <v>492.93000000000029</v>
      </c>
      <c r="V353" s="4">
        <f>IF(M353=0,0,N353/M353-1)</f>
        <v>8.4582082867894259E-2</v>
      </c>
      <c r="W353" s="17">
        <v>72668.160000000003</v>
      </c>
      <c r="X353" s="17">
        <v>85164.91</v>
      </c>
      <c r="Y353" s="4">
        <f>X353/W353-1</f>
        <v>0.17197008978898043</v>
      </c>
      <c r="Z353" s="4"/>
      <c r="AA353">
        <v>9645</v>
      </c>
      <c r="AB353">
        <v>10417</v>
      </c>
      <c r="AD353" s="25">
        <v>0.30230000000000001</v>
      </c>
      <c r="AE353" s="25">
        <v>0.32669999999999999</v>
      </c>
    </row>
    <row r="354" spans="1:37" ht="15" customHeight="1">
      <c r="A354" s="39" t="s">
        <v>753</v>
      </c>
      <c r="B354" s="36" t="s">
        <v>754</v>
      </c>
      <c r="C354" s="27">
        <v>1506</v>
      </c>
      <c r="E354" s="36" t="s">
        <v>754</v>
      </c>
      <c r="F354" s="27">
        <v>2014</v>
      </c>
      <c r="G354" t="b">
        <f>IF(B354=E354,TRUE,FALSE)</f>
        <v>1</v>
      </c>
      <c r="J354" s="24">
        <f>F354-C354</f>
        <v>508</v>
      </c>
      <c r="K354" s="4">
        <f>F354/C354-1</f>
        <v>0.33731739707835318</v>
      </c>
      <c r="M354" s="5">
        <v>3638.5</v>
      </c>
      <c r="N354" s="5">
        <v>4139.43</v>
      </c>
      <c r="Q354" s="121">
        <v>16973.55</v>
      </c>
      <c r="U354" s="145">
        <f>N354-M354</f>
        <v>500.93000000000029</v>
      </c>
      <c r="V354" s="4">
        <f>IF(M354=0,0,N354/M354-1)</f>
        <v>0.13767486601621548</v>
      </c>
      <c r="W354" s="17">
        <v>27337.22</v>
      </c>
      <c r="X354" s="17">
        <v>36343.370000000003</v>
      </c>
      <c r="Y354" s="4">
        <f>X354/W354-1</f>
        <v>0.32944644700521852</v>
      </c>
      <c r="Z354" s="4"/>
      <c r="AA354">
        <v>4829</v>
      </c>
      <c r="AB354">
        <v>6491</v>
      </c>
      <c r="AD354" s="25">
        <v>0.31079999999999997</v>
      </c>
      <c r="AE354" s="25">
        <v>0.31</v>
      </c>
    </row>
    <row r="355" spans="1:37" ht="15" customHeight="1">
      <c r="A355" s="171" t="s">
        <v>755</v>
      </c>
      <c r="B355" s="26" t="s">
        <v>756</v>
      </c>
      <c r="C355" s="27">
        <v>0</v>
      </c>
      <c r="E355" s="26" t="s">
        <v>756</v>
      </c>
      <c r="F355" s="27">
        <v>518</v>
      </c>
      <c r="G355" t="b">
        <f>IF(B355=E355,TRUE,FALSE)</f>
        <v>1</v>
      </c>
      <c r="J355" s="24">
        <f>F355-C355</f>
        <v>518</v>
      </c>
      <c r="K355" s="4" t="e">
        <f>F355/C355-1</f>
        <v>#DIV/0!</v>
      </c>
      <c r="M355" s="5">
        <v>0</v>
      </c>
      <c r="N355" s="5">
        <v>1941.43</v>
      </c>
      <c r="Q355" s="121">
        <v>12722.84</v>
      </c>
      <c r="U355" s="145">
        <f>N355-M355</f>
        <v>1941.43</v>
      </c>
      <c r="V355" s="4">
        <f>IF(M355=0,0,N355/M355-1)</f>
        <v>0</v>
      </c>
      <c r="W355" s="17">
        <v>0</v>
      </c>
      <c r="X355" s="17">
        <v>8722.42</v>
      </c>
      <c r="Y355" s="4" t="e">
        <f>X355/W355-1</f>
        <v>#DIV/0!</v>
      </c>
      <c r="Z355" s="4"/>
      <c r="AB355">
        <v>3374</v>
      </c>
      <c r="AD355" s="25"/>
      <c r="AE355" s="25">
        <v>0.1532</v>
      </c>
    </row>
    <row r="356" spans="1:37" ht="15" customHeight="1">
      <c r="A356" s="36" t="s">
        <v>757</v>
      </c>
      <c r="B356" s="36" t="s">
        <v>758</v>
      </c>
      <c r="C356" s="27">
        <v>2026</v>
      </c>
      <c r="E356" s="36" t="s">
        <v>758</v>
      </c>
      <c r="F356" s="27">
        <v>2553</v>
      </c>
      <c r="G356" t="b">
        <f>IF(B356=E356,TRUE,FALSE)</f>
        <v>1</v>
      </c>
      <c r="J356" s="24">
        <f>F356-C356</f>
        <v>527</v>
      </c>
      <c r="K356" s="4">
        <f>F356/C356-1</f>
        <v>0.26011846001974326</v>
      </c>
      <c r="M356" s="5">
        <v>3363.9</v>
      </c>
      <c r="N356" s="5">
        <v>5354.06</v>
      </c>
      <c r="Q356" s="122">
        <v>25912.1</v>
      </c>
      <c r="U356" s="145">
        <f>N356-M356</f>
        <v>1990.1600000000003</v>
      </c>
      <c r="V356" s="4">
        <f>IF(M356=0,0,N356/M356-1)</f>
        <v>0.59162281875204381</v>
      </c>
      <c r="W356" s="17">
        <v>40496.94</v>
      </c>
      <c r="X356" s="17">
        <v>51009.08</v>
      </c>
      <c r="Y356" s="4">
        <f>X356/W356-1</f>
        <v>0.25957862495289774</v>
      </c>
      <c r="Z356" s="4"/>
      <c r="AA356">
        <v>10864</v>
      </c>
      <c r="AB356">
        <v>15503</v>
      </c>
      <c r="AD356" s="25">
        <v>0.1865</v>
      </c>
      <c r="AE356" s="25">
        <v>0.1643</v>
      </c>
      <c r="AK356" t="s">
        <v>759</v>
      </c>
    </row>
    <row r="357" spans="1:37" ht="15" customHeight="1">
      <c r="A357" s="36" t="s">
        <v>760</v>
      </c>
      <c r="B357" s="36" t="s">
        <v>761</v>
      </c>
      <c r="C357" s="27">
        <v>1728</v>
      </c>
      <c r="E357" s="36" t="s">
        <v>761</v>
      </c>
      <c r="F357" s="27">
        <v>2277</v>
      </c>
      <c r="G357" t="b">
        <f>IF(B357=E357,TRUE,FALSE)</f>
        <v>1</v>
      </c>
      <c r="J357" s="24">
        <f>F357-C357</f>
        <v>549</v>
      </c>
      <c r="K357" s="4">
        <f>F357/C357-1</f>
        <v>0.31770833333333326</v>
      </c>
      <c r="M357" s="5">
        <v>4118.8900000000003</v>
      </c>
      <c r="N357" s="5">
        <v>4309.09</v>
      </c>
      <c r="Q357" s="122">
        <v>26567.4</v>
      </c>
      <c r="U357" s="145">
        <f>N357-M357</f>
        <v>190.19999999999982</v>
      </c>
      <c r="V357" s="4">
        <f>IF(M357=0,0,N357/M357-1)</f>
        <v>4.6177489566363805E-2</v>
      </c>
      <c r="W357" s="17">
        <v>42359.8</v>
      </c>
      <c r="X357" s="17">
        <v>49875.99</v>
      </c>
      <c r="Y357" s="4">
        <f>X357/W357-1</f>
        <v>0.17743686230813172</v>
      </c>
      <c r="Z357" s="4"/>
      <c r="AA357">
        <v>9275</v>
      </c>
      <c r="AB357">
        <v>14131</v>
      </c>
      <c r="AD357" s="25">
        <v>0.1865</v>
      </c>
      <c r="AE357" s="25">
        <v>0.16039999999999999</v>
      </c>
    </row>
    <row r="358" spans="1:37" ht="15" customHeight="1">
      <c r="A358" s="36" t="s">
        <v>760</v>
      </c>
      <c r="B358" s="36" t="s">
        <v>761</v>
      </c>
      <c r="C358" s="27">
        <v>1728</v>
      </c>
      <c r="E358" s="36" t="s">
        <v>761</v>
      </c>
      <c r="F358" s="27">
        <v>2277</v>
      </c>
      <c r="G358" t="b">
        <f>IF(B358=E358,TRUE,FALSE)</f>
        <v>1</v>
      </c>
      <c r="J358" s="24">
        <f>F358-C358</f>
        <v>549</v>
      </c>
      <c r="K358" s="4">
        <f>F358/C358-1</f>
        <v>0.31770833333333326</v>
      </c>
      <c r="M358" s="5">
        <v>4118.8900000000003</v>
      </c>
      <c r="N358" s="5">
        <v>4309.09</v>
      </c>
      <c r="Q358" s="122">
        <v>26567.4</v>
      </c>
      <c r="U358" s="145">
        <f>N358-M358</f>
        <v>190.19999999999982</v>
      </c>
      <c r="V358" s="4">
        <f>IF(M358=0,0,N358/M358-1)</f>
        <v>4.6177489566363805E-2</v>
      </c>
      <c r="W358" s="17">
        <v>42359.8</v>
      </c>
      <c r="X358" s="17">
        <v>49875.99</v>
      </c>
      <c r="Y358" s="4">
        <f>X358/W358-1</f>
        <v>0.17743686230813172</v>
      </c>
      <c r="Z358" s="4"/>
      <c r="AA358">
        <v>9275</v>
      </c>
      <c r="AB358">
        <v>14131</v>
      </c>
      <c r="AD358" s="25">
        <v>0.1865</v>
      </c>
      <c r="AE358" s="25">
        <v>0.16039999999999999</v>
      </c>
    </row>
    <row r="359" spans="1:37" ht="15" customHeight="1">
      <c r="A359" s="39" t="s">
        <v>762</v>
      </c>
      <c r="B359" s="36" t="s">
        <v>763</v>
      </c>
      <c r="C359" s="27">
        <v>2180</v>
      </c>
      <c r="E359" s="36" t="s">
        <v>763</v>
      </c>
      <c r="F359" s="27">
        <v>2730</v>
      </c>
      <c r="G359" t="b">
        <f>IF(B359=E359,TRUE,FALSE)</f>
        <v>1</v>
      </c>
      <c r="J359" s="24">
        <f>F359-C359</f>
        <v>550</v>
      </c>
      <c r="K359" s="4">
        <f>F359/C359-1</f>
        <v>0.25229357798165131</v>
      </c>
      <c r="M359" s="5">
        <v>4334.2</v>
      </c>
      <c r="N359" s="5">
        <v>4534.63</v>
      </c>
      <c r="Q359" s="121">
        <v>25784.1</v>
      </c>
      <c r="U359" s="145">
        <f>N359-M359</f>
        <v>200.43000000000029</v>
      </c>
      <c r="V359" s="4">
        <f>IF(M359=0,0,N359/M359-1)</f>
        <v>4.6243828157445543E-2</v>
      </c>
      <c r="W359" s="17">
        <v>54468.7</v>
      </c>
      <c r="X359" s="17">
        <v>60437.46</v>
      </c>
      <c r="Y359" s="4">
        <f>X359/W359-1</f>
        <v>0.10958146605298102</v>
      </c>
      <c r="Z359" s="4"/>
      <c r="AA359">
        <v>10785</v>
      </c>
      <c r="AB359">
        <v>15664</v>
      </c>
      <c r="AD359" s="25">
        <v>0.20219999999999999</v>
      </c>
      <c r="AE359" s="25">
        <v>0.17399999999999999</v>
      </c>
    </row>
    <row r="360" spans="1:37" ht="15" customHeight="1">
      <c r="A360" t="s">
        <v>764</v>
      </c>
      <c r="B360" t="s">
        <v>765</v>
      </c>
      <c r="C360" s="27">
        <v>1134</v>
      </c>
      <c r="E360" t="s">
        <v>765</v>
      </c>
      <c r="F360" s="27">
        <v>1684</v>
      </c>
      <c r="G360" t="b">
        <f>IF(B360=E360,TRUE,FALSE)</f>
        <v>1</v>
      </c>
      <c r="J360" s="24">
        <f>F360-C360</f>
        <v>550</v>
      </c>
      <c r="K360" s="4">
        <f>F360/C360-1</f>
        <v>0.4850088183421517</v>
      </c>
      <c r="M360" s="5">
        <v>1246.42</v>
      </c>
      <c r="N360" s="5">
        <v>1716.76</v>
      </c>
      <c r="Q360" s="122">
        <v>11518.58</v>
      </c>
      <c r="U360" s="145">
        <f>N360-M360</f>
        <v>470.33999999999992</v>
      </c>
      <c r="V360" s="4">
        <f>IF(M360=0,0,N360/M360-1)</f>
        <v>0.37735273824232585</v>
      </c>
      <c r="W360" s="17">
        <v>27179.65</v>
      </c>
      <c r="X360" s="17">
        <v>35688.61</v>
      </c>
      <c r="Y360" s="4">
        <f>X360/W360-1</f>
        <v>0.31306363400558879</v>
      </c>
      <c r="Z360" s="4"/>
      <c r="AA360">
        <v>5029</v>
      </c>
      <c r="AB360">
        <v>8869</v>
      </c>
      <c r="AD360" s="25">
        <v>0.22550000000000001</v>
      </c>
      <c r="AE360" s="25">
        <v>0.1893</v>
      </c>
    </row>
    <row r="361" spans="1:37" ht="15" customHeight="1">
      <c r="A361" t="s">
        <v>766</v>
      </c>
      <c r="B361" t="s">
        <v>767</v>
      </c>
      <c r="C361" s="27">
        <v>3099</v>
      </c>
      <c r="E361" t="s">
        <v>767</v>
      </c>
      <c r="F361" s="27">
        <v>3649</v>
      </c>
      <c r="G361" t="b">
        <f>IF(B361=E361,TRUE,FALSE)</f>
        <v>1</v>
      </c>
      <c r="J361" s="24">
        <f>F361-C361</f>
        <v>550</v>
      </c>
      <c r="K361" s="4">
        <f>F361/C361-1</f>
        <v>0.17747660535656662</v>
      </c>
      <c r="M361" s="5">
        <v>3458.69</v>
      </c>
      <c r="N361" s="5">
        <v>4296.66</v>
      </c>
      <c r="Q361" s="122">
        <v>31793.52</v>
      </c>
      <c r="U361" s="145">
        <f>N361-M361</f>
        <v>837.9699999999998</v>
      </c>
      <c r="V361" s="4">
        <f>IF(M361=0,0,N361/M361-1)</f>
        <v>0.24227959140599475</v>
      </c>
      <c r="W361" s="17">
        <v>86580.09</v>
      </c>
      <c r="X361" s="17">
        <v>101901.68</v>
      </c>
      <c r="Y361" s="4">
        <f>X361/W361-1</f>
        <v>0.1769643575099078</v>
      </c>
      <c r="Z361" s="4"/>
      <c r="AA361">
        <v>5854</v>
      </c>
      <c r="AB361">
        <v>7214</v>
      </c>
      <c r="AD361" s="25">
        <v>0.53060000000000007</v>
      </c>
      <c r="AE361" s="25">
        <v>0.50460000000000005</v>
      </c>
    </row>
    <row r="362" spans="1:37" ht="15" customHeight="1">
      <c r="A362" t="s">
        <v>768</v>
      </c>
      <c r="B362" t="s">
        <v>769</v>
      </c>
      <c r="C362" s="27">
        <v>5805</v>
      </c>
      <c r="E362" t="s">
        <v>769</v>
      </c>
      <c r="F362" s="27">
        <v>6361</v>
      </c>
      <c r="G362" t="b">
        <f>IF(B362=E362,TRUE,FALSE)</f>
        <v>1</v>
      </c>
      <c r="J362" s="24">
        <f>F362-C362</f>
        <v>556</v>
      </c>
      <c r="K362" s="4">
        <f>F362/C362-1</f>
        <v>9.5779500430663189E-2</v>
      </c>
      <c r="M362" s="5">
        <v>9245.5300000000007</v>
      </c>
      <c r="N362" s="5">
        <v>10969.26</v>
      </c>
      <c r="Q362" s="122">
        <v>68888.83</v>
      </c>
      <c r="U362" s="145">
        <f>N362-M362</f>
        <v>1723.7299999999996</v>
      </c>
      <c r="V362" s="4">
        <f>IF(M362=0,0,N362/M362-1)</f>
        <v>0.18643928471380211</v>
      </c>
      <c r="W362" s="17">
        <v>173802.75</v>
      </c>
      <c r="X362" s="17">
        <v>190407.35</v>
      </c>
      <c r="Y362" s="4">
        <f>X362/W362-1</f>
        <v>9.5537038395537399E-2</v>
      </c>
      <c r="Z362" s="4"/>
      <c r="AA362">
        <v>14566</v>
      </c>
      <c r="AB362">
        <v>17711</v>
      </c>
      <c r="AD362" s="25">
        <v>0.39960000000000001</v>
      </c>
      <c r="AE362" s="25">
        <v>0.35719999999999996</v>
      </c>
    </row>
    <row r="363" spans="1:37" ht="15" customHeight="1">
      <c r="A363" t="s">
        <v>770</v>
      </c>
      <c r="B363" t="s">
        <v>771</v>
      </c>
      <c r="C363" s="27">
        <v>1840</v>
      </c>
      <c r="E363" t="s">
        <v>771</v>
      </c>
      <c r="F363" s="27">
        <v>2408</v>
      </c>
      <c r="G363" t="b">
        <f>IF(B363=E363,TRUE,FALSE)</f>
        <v>1</v>
      </c>
      <c r="J363" s="24">
        <f>F363-C363</f>
        <v>568</v>
      </c>
      <c r="K363" s="4">
        <f>F363/C363-1</f>
        <v>0.30869565217391304</v>
      </c>
      <c r="M363" s="5">
        <v>3567.3</v>
      </c>
      <c r="N363" s="5">
        <v>4182.16</v>
      </c>
      <c r="Q363" s="122">
        <v>33891.24</v>
      </c>
      <c r="U363" s="145">
        <f>N363-M363</f>
        <v>614.85999999999967</v>
      </c>
      <c r="V363" s="4">
        <f>IF(M363=0,0,N363/M363-1)</f>
        <v>0.17236004821573725</v>
      </c>
      <c r="W363" s="17">
        <v>45899.75</v>
      </c>
      <c r="X363" s="17">
        <v>56164.18</v>
      </c>
      <c r="Y363" s="4">
        <f>X363/W363-1</f>
        <v>0.22362714393869254</v>
      </c>
      <c r="Z363" s="4"/>
      <c r="AA363">
        <v>8092</v>
      </c>
      <c r="AB363">
        <v>10680</v>
      </c>
      <c r="AD363" s="25">
        <v>0.22750000000000001</v>
      </c>
      <c r="AE363" s="25">
        <v>0.2248</v>
      </c>
    </row>
    <row r="364" spans="1:37" ht="15" customHeight="1">
      <c r="A364" t="s">
        <v>772</v>
      </c>
      <c r="B364" t="s">
        <v>773</v>
      </c>
      <c r="C364" s="27">
        <v>3956</v>
      </c>
      <c r="E364" t="s">
        <v>773</v>
      </c>
      <c r="F364" s="27">
        <v>4525</v>
      </c>
      <c r="G364" t="b">
        <f>IF(B364=E364,TRUE,FALSE)</f>
        <v>1</v>
      </c>
      <c r="J364" s="24">
        <f>F364-C364</f>
        <v>569</v>
      </c>
      <c r="K364" s="4">
        <f>F364/C364-1</f>
        <v>0.14383215369059665</v>
      </c>
      <c r="M364" s="5">
        <v>7835.45</v>
      </c>
      <c r="N364" s="5">
        <v>8785.75</v>
      </c>
      <c r="Q364" s="122">
        <v>64973.52</v>
      </c>
      <c r="U364" s="145">
        <f>N364-M364</f>
        <v>950.30000000000018</v>
      </c>
      <c r="V364" s="4">
        <f>IF(M364=0,0,N364/M364-1)</f>
        <v>0.12128212163947194</v>
      </c>
      <c r="W364" s="17">
        <v>106704.55</v>
      </c>
      <c r="X364" s="17">
        <v>122058.89</v>
      </c>
      <c r="Y364" s="4">
        <f>X364/W364-1</f>
        <v>0.1438958319959176</v>
      </c>
      <c r="Z364" s="4"/>
      <c r="AA364">
        <v>15619</v>
      </c>
      <c r="AB364">
        <v>16983</v>
      </c>
      <c r="AD364" s="25">
        <v>0.25280000000000002</v>
      </c>
      <c r="AE364" s="25">
        <v>0.2656</v>
      </c>
    </row>
    <row r="365" spans="1:37" ht="15" customHeight="1">
      <c r="A365" t="s">
        <v>774</v>
      </c>
      <c r="B365" t="s">
        <v>775</v>
      </c>
      <c r="C365" s="27">
        <v>2288</v>
      </c>
      <c r="E365" t="s">
        <v>775</v>
      </c>
      <c r="F365" s="27">
        <v>2858</v>
      </c>
      <c r="G365" t="b">
        <f>IF(B365=E365,TRUE,FALSE)</f>
        <v>1</v>
      </c>
      <c r="J365" s="24">
        <f>F365-C365</f>
        <v>570</v>
      </c>
      <c r="K365" s="4">
        <f>F365/C365-1</f>
        <v>0.24912587412587417</v>
      </c>
      <c r="M365" s="5">
        <v>3009.52</v>
      </c>
      <c r="N365" s="5">
        <v>3418.27</v>
      </c>
      <c r="Q365" s="122">
        <v>20416.61</v>
      </c>
      <c r="U365" s="145">
        <f>N365-M365</f>
        <v>408.75</v>
      </c>
      <c r="V365" s="4">
        <f>IF(M365=0,0,N365/M365-1)</f>
        <v>0.13581900103671019</v>
      </c>
      <c r="W365" s="17">
        <v>65746.97</v>
      </c>
      <c r="X365" s="17">
        <v>82567.53</v>
      </c>
      <c r="Y365" s="4">
        <f>X365/W365-1</f>
        <v>0.25583779754413016</v>
      </c>
      <c r="Z365" s="4"/>
      <c r="AA365">
        <v>12263</v>
      </c>
      <c r="AB365">
        <v>13760</v>
      </c>
      <c r="AD365" s="25">
        <v>0.18640000000000001</v>
      </c>
      <c r="AE365" s="25">
        <v>0.20670000000000002</v>
      </c>
    </row>
    <row r="366" spans="1:37" ht="15" customHeight="1">
      <c r="A366" s="39" t="s">
        <v>776</v>
      </c>
      <c r="B366" s="36" t="s">
        <v>777</v>
      </c>
      <c r="C366" s="27">
        <v>717</v>
      </c>
      <c r="E366" s="36" t="s">
        <v>777</v>
      </c>
      <c r="F366" s="27">
        <v>1290</v>
      </c>
      <c r="G366" t="b">
        <f>IF(B366=E366,TRUE,FALSE)</f>
        <v>1</v>
      </c>
      <c r="J366" s="24">
        <f>F366-C366</f>
        <v>573</v>
      </c>
      <c r="K366" s="4">
        <f>F366/C366-1</f>
        <v>0.79916317991631791</v>
      </c>
      <c r="M366" s="5">
        <v>194.08</v>
      </c>
      <c r="N366" s="5">
        <v>412.39</v>
      </c>
      <c r="Q366" s="121">
        <v>4940.68</v>
      </c>
      <c r="U366" s="145">
        <f>N366-M366</f>
        <v>218.30999999999997</v>
      </c>
      <c r="V366" s="4">
        <f>IF(M366=0,0,N366/M366-1)</f>
        <v>1.1248454245671886</v>
      </c>
      <c r="W366" s="17">
        <v>28666.83</v>
      </c>
      <c r="X366" s="17">
        <v>47503.9</v>
      </c>
      <c r="Y366" s="4"/>
      <c r="Z366" s="4"/>
      <c r="AA366">
        <v>2251</v>
      </c>
      <c r="AB366">
        <v>3859</v>
      </c>
      <c r="AD366" s="25">
        <v>0.31809999999999999</v>
      </c>
      <c r="AE366" s="25">
        <v>0.33380000000000004</v>
      </c>
    </row>
    <row r="367" spans="1:37" ht="15" customHeight="1">
      <c r="A367" t="s">
        <v>778</v>
      </c>
      <c r="B367" t="s">
        <v>779</v>
      </c>
      <c r="C367" s="27">
        <v>1377</v>
      </c>
      <c r="E367" t="s">
        <v>779</v>
      </c>
      <c r="F367" s="27">
        <v>1961</v>
      </c>
      <c r="G367" t="b">
        <f>IF(B367=E367,TRUE,FALSE)</f>
        <v>1</v>
      </c>
      <c r="J367" s="24">
        <f>F367-C367</f>
        <v>584</v>
      </c>
      <c r="K367" s="4">
        <f>F367/C367-1</f>
        <v>0.42411038489469854</v>
      </c>
      <c r="M367" s="5">
        <v>1935.31</v>
      </c>
      <c r="N367" s="5">
        <v>2528.63</v>
      </c>
      <c r="Q367" s="122">
        <v>22059.1</v>
      </c>
      <c r="U367" s="145">
        <f>N367-M367</f>
        <v>593.32000000000016</v>
      </c>
      <c r="V367" s="4">
        <f>IF(M367=0,0,N367/M367-1)</f>
        <v>0.30657620742930081</v>
      </c>
      <c r="W367" s="17">
        <v>54954</v>
      </c>
      <c r="X367" s="17">
        <v>69334.95</v>
      </c>
      <c r="Y367" s="4">
        <f>X367/W367-1</f>
        <v>0.26169068675619611</v>
      </c>
      <c r="Z367" s="4"/>
      <c r="AA367">
        <v>7387</v>
      </c>
      <c r="AB367">
        <v>10324</v>
      </c>
      <c r="AD367" s="25">
        <v>0.188</v>
      </c>
      <c r="AE367" s="25">
        <v>0.18909999999999999</v>
      </c>
    </row>
    <row r="368" spans="1:37" ht="15" customHeight="1">
      <c r="A368" s="39" t="s">
        <v>780</v>
      </c>
      <c r="B368" s="36" t="s">
        <v>781</v>
      </c>
      <c r="C368" s="27">
        <v>1994</v>
      </c>
      <c r="E368" s="36" t="s">
        <v>781</v>
      </c>
      <c r="F368" s="27">
        <v>2579</v>
      </c>
      <c r="G368" t="b">
        <f>IF(B368=E368,TRUE,FALSE)</f>
        <v>1</v>
      </c>
      <c r="J368" s="24">
        <f>F368-C368</f>
        <v>585</v>
      </c>
      <c r="K368" s="4">
        <f>F368/C368-1</f>
        <v>0.2933801404212637</v>
      </c>
      <c r="M368" s="5">
        <v>4392.5600000000004</v>
      </c>
      <c r="N368" s="5">
        <v>5191.08</v>
      </c>
      <c r="Q368" s="122">
        <v>21409.97</v>
      </c>
      <c r="U368" s="145">
        <f>N368-M368</f>
        <v>798.51999999999953</v>
      </c>
      <c r="V368" s="4">
        <f>IF(M368=0,0,N368/M368-1)</f>
        <v>0.1817892072049101</v>
      </c>
      <c r="W368" s="17">
        <v>53808.34</v>
      </c>
      <c r="X368" s="17">
        <v>69564.02</v>
      </c>
      <c r="Y368" s="4">
        <f>X368/W368-1</f>
        <v>0.29281111441088892</v>
      </c>
      <c r="Z368" s="4"/>
      <c r="AA368">
        <v>7913</v>
      </c>
      <c r="AB368">
        <v>10561</v>
      </c>
      <c r="AD368" s="25">
        <v>0.25259999999999999</v>
      </c>
      <c r="AE368" s="25">
        <v>0.24309999999999998</v>
      </c>
    </row>
    <row r="369" spans="1:31" ht="15" customHeight="1">
      <c r="A369" t="s">
        <v>782</v>
      </c>
      <c r="B369" s="26" t="s">
        <v>783</v>
      </c>
      <c r="C369" s="27">
        <v>1777</v>
      </c>
      <c r="E369" s="26" t="s">
        <v>783</v>
      </c>
      <c r="F369" s="27">
        <v>2363</v>
      </c>
      <c r="G369" t="b">
        <f>IF(B369=E369,TRUE,FALSE)</f>
        <v>1</v>
      </c>
      <c r="J369" s="24">
        <f>F369-C369</f>
        <v>586</v>
      </c>
      <c r="K369" s="4">
        <f>F369/C369-1</f>
        <v>0.32976927405740009</v>
      </c>
      <c r="M369" s="5">
        <v>2914.25</v>
      </c>
      <c r="N369" s="5">
        <v>4522.3599999999997</v>
      </c>
      <c r="Q369" s="122">
        <v>24501.56</v>
      </c>
      <c r="U369" s="145">
        <f>N369-M369</f>
        <v>1608.1099999999997</v>
      </c>
      <c r="V369" s="4">
        <f>IF(M369=0,0,N369/M369-1)</f>
        <v>0.55180921334820265</v>
      </c>
      <c r="W369" s="17">
        <v>51497.54</v>
      </c>
      <c r="X369" s="17">
        <v>68193.460000000006</v>
      </c>
      <c r="Y369" s="4">
        <f>X369/W369-1</f>
        <v>0.32420810780476117</v>
      </c>
      <c r="Z369" s="4"/>
      <c r="AA369">
        <v>5997</v>
      </c>
      <c r="AB369">
        <v>7334</v>
      </c>
      <c r="AD369" s="25">
        <v>0.29499999999999998</v>
      </c>
      <c r="AE369" s="25">
        <v>0.3211</v>
      </c>
    </row>
    <row r="370" spans="1:31" ht="15" customHeight="1">
      <c r="A370" t="s">
        <v>784</v>
      </c>
      <c r="B370" t="s">
        <v>785</v>
      </c>
      <c r="C370" s="27">
        <v>907</v>
      </c>
      <c r="E370" t="s">
        <v>785</v>
      </c>
      <c r="F370" s="27">
        <v>1494</v>
      </c>
      <c r="G370" t="b">
        <f>IF(B370=E370,TRUE,FALSE)</f>
        <v>1</v>
      </c>
      <c r="J370" s="24">
        <f>F370-C370</f>
        <v>587</v>
      </c>
      <c r="K370" s="4">
        <f>F370/C370-1</f>
        <v>0.64718853362734285</v>
      </c>
      <c r="M370" s="5">
        <v>1649.44</v>
      </c>
      <c r="N370" s="5">
        <v>2397.89</v>
      </c>
      <c r="Q370" s="122">
        <v>9477.67</v>
      </c>
      <c r="U370" s="145">
        <f>N370-M370</f>
        <v>748.44999999999982</v>
      </c>
      <c r="V370" s="4">
        <f>IF(M370=0,0,N370/M370-1)</f>
        <v>0.45376006402172853</v>
      </c>
      <c r="W370" s="17">
        <v>14991.57</v>
      </c>
      <c r="X370" s="17">
        <v>21926.7</v>
      </c>
      <c r="Y370" s="4">
        <f>X370/W370-1</f>
        <v>0.46260198231406058</v>
      </c>
      <c r="Z370" s="4"/>
      <c r="AA370">
        <v>5089</v>
      </c>
      <c r="AB370">
        <v>8663</v>
      </c>
      <c r="AD370" s="25">
        <v>0.1784</v>
      </c>
      <c r="AE370" s="25">
        <v>0.1721</v>
      </c>
    </row>
    <row r="371" spans="1:31" ht="15" customHeight="1">
      <c r="A371" s="23" t="s">
        <v>786</v>
      </c>
      <c r="B371" s="22" t="s">
        <v>787</v>
      </c>
      <c r="C371" s="27">
        <v>849</v>
      </c>
      <c r="E371" s="22" t="s">
        <v>787</v>
      </c>
      <c r="F371" s="27">
        <v>1438</v>
      </c>
      <c r="G371" t="b">
        <f>IF(B371=E371,TRUE,FALSE)</f>
        <v>1</v>
      </c>
      <c r="J371" s="24">
        <f>F371-C371</f>
        <v>589</v>
      </c>
      <c r="K371" s="4">
        <f>F371/C371-1</f>
        <v>0.69375736160188461</v>
      </c>
      <c r="M371" s="5">
        <v>2705.1</v>
      </c>
      <c r="N371" s="5">
        <v>3738.93</v>
      </c>
      <c r="Q371" s="122">
        <v>29939.51</v>
      </c>
      <c r="U371" s="145">
        <f>N371-M371</f>
        <v>1033.83</v>
      </c>
      <c r="V371" s="4">
        <f>IF(M371=0,0,N371/M371-1)</f>
        <v>0.38217810801818786</v>
      </c>
      <c r="W371" s="17">
        <v>14604.31</v>
      </c>
      <c r="X371" s="17">
        <v>25938.22</v>
      </c>
      <c r="Y371" s="4">
        <f>X371/W371-1</f>
        <v>0.77606610651239261</v>
      </c>
      <c r="Z371" s="4"/>
      <c r="AA371">
        <v>5305</v>
      </c>
      <c r="AB371">
        <v>8240</v>
      </c>
      <c r="AD371" s="25">
        <v>0.16020000000000001</v>
      </c>
      <c r="AE371" s="25">
        <v>0.1744</v>
      </c>
    </row>
    <row r="372" spans="1:31" ht="15" customHeight="1">
      <c r="A372" s="36" t="s">
        <v>788</v>
      </c>
      <c r="B372" s="36" t="s">
        <v>789</v>
      </c>
      <c r="C372" s="27">
        <v>29947</v>
      </c>
      <c r="E372" s="36" t="s">
        <v>789</v>
      </c>
      <c r="F372" s="27">
        <v>30540</v>
      </c>
      <c r="G372" t="b">
        <f>IF(B372=E372,TRUE,FALSE)</f>
        <v>1</v>
      </c>
      <c r="J372" s="24">
        <f>F372-C372</f>
        <v>593</v>
      </c>
      <c r="K372" s="4">
        <f>F372/C372-1</f>
        <v>1.9801649580926339E-2</v>
      </c>
      <c r="M372" s="5">
        <v>56316.61</v>
      </c>
      <c r="N372" s="5">
        <v>68237.539999999994</v>
      </c>
      <c r="Q372" s="121">
        <v>241781.37</v>
      </c>
      <c r="U372" s="145">
        <f>N372-M372</f>
        <v>11920.929999999993</v>
      </c>
      <c r="V372" s="4">
        <f>IF(M372=0,0,N372/M372-1)</f>
        <v>0.21167698126716061</v>
      </c>
      <c r="W372" s="17">
        <v>715572.41</v>
      </c>
      <c r="X372" s="17">
        <v>694051.14</v>
      </c>
      <c r="Y372" s="4">
        <f>X372/W372-1</f>
        <v>-3.0075600595053764E-2</v>
      </c>
      <c r="Z372" s="4"/>
      <c r="AA372">
        <v>182469</v>
      </c>
      <c r="AB372">
        <v>164949</v>
      </c>
      <c r="AD372" s="25">
        <v>0.16440000000000002</v>
      </c>
      <c r="AE372" s="25">
        <v>0.18469999999999998</v>
      </c>
    </row>
    <row r="373" spans="1:31" ht="15" customHeight="1">
      <c r="A373" t="s">
        <v>790</v>
      </c>
      <c r="B373" t="s">
        <v>791</v>
      </c>
      <c r="C373" s="27">
        <v>416</v>
      </c>
      <c r="E373" t="s">
        <v>791</v>
      </c>
      <c r="F373" s="27">
        <v>1014</v>
      </c>
      <c r="G373" t="b">
        <f>IF(B373=E373,TRUE,FALSE)</f>
        <v>1</v>
      </c>
      <c r="J373" s="24">
        <f>F373-C373</f>
        <v>598</v>
      </c>
      <c r="K373" s="4">
        <f>F373/C373-1</f>
        <v>1.4375</v>
      </c>
      <c r="M373" s="5">
        <v>815.52</v>
      </c>
      <c r="N373" s="5">
        <v>941.69</v>
      </c>
      <c r="Q373" s="122">
        <v>3516.19</v>
      </c>
      <c r="U373" s="145">
        <f>N373-M373</f>
        <v>126.17000000000007</v>
      </c>
      <c r="V373" s="4">
        <f>IF(M373=0,0,N373/M373-1)</f>
        <v>0.15471110457131654</v>
      </c>
      <c r="W373" s="17">
        <v>8313.92</v>
      </c>
      <c r="X373" s="17">
        <v>20265.780000000002</v>
      </c>
      <c r="Y373" s="4">
        <f>X373/W373-1</f>
        <v>1.4375721681228595</v>
      </c>
      <c r="Z373" s="4"/>
      <c r="AA373">
        <v>3035</v>
      </c>
      <c r="AB373">
        <v>9133</v>
      </c>
      <c r="AD373" s="25">
        <v>0.13639999999999999</v>
      </c>
      <c r="AE373" s="25">
        <v>0.1108</v>
      </c>
    </row>
    <row r="374" spans="1:31" ht="15" customHeight="1">
      <c r="A374" t="s">
        <v>792</v>
      </c>
      <c r="B374" t="s">
        <v>793</v>
      </c>
      <c r="C374" s="27">
        <v>1420</v>
      </c>
      <c r="E374" t="s">
        <v>793</v>
      </c>
      <c r="F374" s="27">
        <v>2023</v>
      </c>
      <c r="G374" t="b">
        <f>IF(B374=E374,TRUE,FALSE)</f>
        <v>1</v>
      </c>
      <c r="J374" s="24">
        <f>F374-C374</f>
        <v>603</v>
      </c>
      <c r="K374" s="4">
        <f>F374/C374-1</f>
        <v>0.42464788732394365</v>
      </c>
      <c r="M374" s="5">
        <v>2578.85</v>
      </c>
      <c r="N374" s="5">
        <v>3253.27</v>
      </c>
      <c r="Q374" s="122">
        <v>26966.11</v>
      </c>
      <c r="U374" s="145">
        <f>N374-M374</f>
        <v>674.42000000000007</v>
      </c>
      <c r="V374" s="4">
        <f>IF(M374=0,0,N374/M374-1)</f>
        <v>0.26151966962017958</v>
      </c>
      <c r="W374" s="17">
        <v>42519.4</v>
      </c>
      <c r="X374" s="17">
        <v>60383.05</v>
      </c>
      <c r="Y374" s="4">
        <f>X374/W374-1</f>
        <v>0.42012939975634644</v>
      </c>
      <c r="Z374" s="4"/>
      <c r="AA374">
        <v>6450</v>
      </c>
      <c r="AB374">
        <v>8072</v>
      </c>
      <c r="AD374" s="25">
        <v>0.22</v>
      </c>
      <c r="AE374" s="25">
        <v>0.24960000000000002</v>
      </c>
    </row>
    <row r="375" spans="1:31" ht="15" customHeight="1">
      <c r="A375" t="s">
        <v>794</v>
      </c>
      <c r="B375" t="s">
        <v>795</v>
      </c>
      <c r="C375" s="27">
        <v>2105</v>
      </c>
      <c r="E375" t="s">
        <v>795</v>
      </c>
      <c r="F375" s="27">
        <v>2727</v>
      </c>
      <c r="G375" t="b">
        <f>IF(B375=E375,TRUE,FALSE)</f>
        <v>1</v>
      </c>
      <c r="J375" s="24">
        <f>F375-C375</f>
        <v>622</v>
      </c>
      <c r="K375" s="4">
        <f>F375/C375-1</f>
        <v>0.29548693586698338</v>
      </c>
      <c r="M375" s="5">
        <v>3965.24</v>
      </c>
      <c r="N375" s="5">
        <v>4670.21</v>
      </c>
      <c r="Q375" s="122">
        <v>26640.75</v>
      </c>
      <c r="U375" s="145">
        <f>N375-M375</f>
        <v>704.97000000000025</v>
      </c>
      <c r="V375" s="4">
        <f>IF(M375=0,0,N375/M375-1)</f>
        <v>0.17778747314160048</v>
      </c>
      <c r="W375" s="17">
        <v>56718.68</v>
      </c>
      <c r="X375" s="17">
        <v>67991.06</v>
      </c>
      <c r="Y375" s="4">
        <f>X375/W375-1</f>
        <v>0.19874193122971118</v>
      </c>
      <c r="Z375" s="4"/>
      <c r="AA375">
        <v>8495</v>
      </c>
      <c r="AB375">
        <v>12642</v>
      </c>
      <c r="AD375" s="25">
        <v>0.2477</v>
      </c>
      <c r="AE375" s="25">
        <v>0.21530000000000002</v>
      </c>
    </row>
    <row r="376" spans="1:31" ht="15" customHeight="1">
      <c r="A376" t="s">
        <v>796</v>
      </c>
      <c r="B376" t="s">
        <v>797</v>
      </c>
      <c r="C376" s="27">
        <v>1751</v>
      </c>
      <c r="E376" t="s">
        <v>797</v>
      </c>
      <c r="F376" s="27">
        <v>2388</v>
      </c>
      <c r="G376" t="b">
        <f>IF(B376=E376,TRUE,FALSE)</f>
        <v>1</v>
      </c>
      <c r="J376" s="24">
        <f>F376-C376</f>
        <v>637</v>
      </c>
      <c r="K376" s="4">
        <f>F376/C376-1</f>
        <v>0.36379211878926321</v>
      </c>
      <c r="M376" s="5">
        <v>4219.5600000000004</v>
      </c>
      <c r="N376" s="5">
        <v>4462.62</v>
      </c>
      <c r="Q376" s="122">
        <v>29061.85</v>
      </c>
      <c r="U376" s="145">
        <f>N376-M376</f>
        <v>243.05999999999949</v>
      </c>
      <c r="V376" s="4">
        <f>IF(M376=0,0,N376/M376-1)</f>
        <v>5.7603162415038378E-2</v>
      </c>
      <c r="W376" s="17">
        <v>50693.34</v>
      </c>
      <c r="X376" s="17">
        <v>69117.919999999998</v>
      </c>
      <c r="Y376" s="4">
        <f>X376/W376-1</f>
        <v>0.3634516881310248</v>
      </c>
      <c r="Z376" s="4"/>
      <c r="AA376">
        <v>9265</v>
      </c>
      <c r="AB376">
        <v>11968</v>
      </c>
      <c r="AD376" s="25">
        <v>0.18789999999999998</v>
      </c>
      <c r="AE376" s="25">
        <v>0.19870000000000002</v>
      </c>
    </row>
    <row r="377" spans="1:31" ht="15" customHeight="1">
      <c r="A377" s="40" t="s">
        <v>798</v>
      </c>
      <c r="B377" s="36" t="s">
        <v>799</v>
      </c>
      <c r="C377" s="27">
        <v>2460</v>
      </c>
      <c r="E377" s="36" t="s">
        <v>799</v>
      </c>
      <c r="F377" s="27">
        <v>3111</v>
      </c>
      <c r="G377" t="b">
        <f>IF(B377=E377,TRUE,FALSE)</f>
        <v>1</v>
      </c>
      <c r="J377" s="24">
        <f>F377-C377</f>
        <v>651</v>
      </c>
      <c r="K377" s="4">
        <f>F377/C377-1</f>
        <v>0.26463414634146343</v>
      </c>
      <c r="M377" s="5">
        <v>3873.41</v>
      </c>
      <c r="N377" s="5">
        <v>4259.3100000000004</v>
      </c>
      <c r="Q377" s="122">
        <v>24911.119999999999</v>
      </c>
      <c r="U377" s="145">
        <f>N377-M377</f>
        <v>385.90000000000055</v>
      </c>
      <c r="V377" s="4">
        <f>IF(M377=0,0,N377/M377-1)</f>
        <v>9.9627976382567374E-2</v>
      </c>
      <c r="W377" s="17">
        <v>49059</v>
      </c>
      <c r="X377" s="17">
        <v>62034.65</v>
      </c>
      <c r="Y377" s="4">
        <f>X377/W377-1</f>
        <v>0.26449071526121615</v>
      </c>
      <c r="Z377" s="4"/>
      <c r="AA377">
        <v>11259</v>
      </c>
      <c r="AB377">
        <v>12924</v>
      </c>
      <c r="AD377" s="25">
        <v>0.21870000000000001</v>
      </c>
      <c r="AE377" s="25">
        <v>0.24050000000000002</v>
      </c>
    </row>
    <row r="378" spans="1:31" ht="15" customHeight="1">
      <c r="A378" s="39" t="s">
        <v>800</v>
      </c>
      <c r="B378" s="36" t="s">
        <v>801</v>
      </c>
      <c r="C378" s="27">
        <v>993</v>
      </c>
      <c r="E378" s="36" t="s">
        <v>801</v>
      </c>
      <c r="F378" s="27">
        <v>1646</v>
      </c>
      <c r="G378" t="b">
        <f>IF(B378=E378,TRUE,FALSE)</f>
        <v>1</v>
      </c>
      <c r="J378" s="24">
        <f>F378-C378</f>
        <v>653</v>
      </c>
      <c r="K378" s="4">
        <f>F378/C378-1</f>
        <v>0.65760322255790538</v>
      </c>
      <c r="M378" s="5">
        <v>3025.61</v>
      </c>
      <c r="N378" s="5">
        <v>3290.45</v>
      </c>
      <c r="Q378" s="121">
        <v>19162.34</v>
      </c>
      <c r="U378" s="145">
        <f>N378-M378</f>
        <v>264.83999999999969</v>
      </c>
      <c r="V378" s="4">
        <f>IF(M378=0,0,N378/M378-1)</f>
        <v>8.7532761988491581E-2</v>
      </c>
      <c r="W378" s="17">
        <v>23818.71</v>
      </c>
      <c r="X378" s="17">
        <v>35417.599999999999</v>
      </c>
      <c r="Y378" s="4">
        <f>X378/W378-1</f>
        <v>0.48696549897118691</v>
      </c>
      <c r="Z378" s="4"/>
      <c r="AA378">
        <v>5314</v>
      </c>
      <c r="AB378">
        <v>8281</v>
      </c>
      <c r="AD378" s="25">
        <v>0.18629999999999999</v>
      </c>
      <c r="AE378" s="25">
        <v>0.19829999999999998</v>
      </c>
    </row>
    <row r="379" spans="1:31" ht="15" customHeight="1">
      <c r="A379" t="s">
        <v>802</v>
      </c>
      <c r="B379" t="s">
        <v>803</v>
      </c>
      <c r="C379" s="27">
        <v>862</v>
      </c>
      <c r="E379" t="s">
        <v>803</v>
      </c>
      <c r="F379" s="27">
        <v>1526</v>
      </c>
      <c r="G379" t="b">
        <f>IF(B379=E379,TRUE,FALSE)</f>
        <v>1</v>
      </c>
      <c r="J379" s="24">
        <f>F379-C379</f>
        <v>664</v>
      </c>
      <c r="K379" s="4">
        <f>F379/C379-1</f>
        <v>0.77030162412993031</v>
      </c>
      <c r="M379" s="5">
        <v>1138.97</v>
      </c>
      <c r="N379" s="5">
        <v>2966.87</v>
      </c>
      <c r="Q379" s="122">
        <v>19240.490000000002</v>
      </c>
      <c r="U379" s="145">
        <f>N379-M379</f>
        <v>1827.8999999999999</v>
      </c>
      <c r="V379" s="4">
        <f>IF(M379=0,0,N379/M379-1)</f>
        <v>1.6048710677190794</v>
      </c>
      <c r="W379" s="17">
        <v>19719.900000000001</v>
      </c>
      <c r="X379" s="17">
        <v>35070.089999999997</v>
      </c>
      <c r="Y379" s="4">
        <f>X379/W379-1</f>
        <v>0.77841114812955414</v>
      </c>
      <c r="Z379" s="4"/>
      <c r="AA379">
        <v>4256</v>
      </c>
      <c r="AB379">
        <v>6301</v>
      </c>
      <c r="AD379" s="25">
        <v>0.20069999999999999</v>
      </c>
      <c r="AE379" s="25">
        <v>0.24149999999999999</v>
      </c>
    </row>
    <row r="380" spans="1:31" ht="15" customHeight="1">
      <c r="A380" t="s">
        <v>804</v>
      </c>
      <c r="B380" t="s">
        <v>805</v>
      </c>
      <c r="C380" s="27">
        <v>671</v>
      </c>
      <c r="E380" t="s">
        <v>805</v>
      </c>
      <c r="F380" s="27">
        <v>1337</v>
      </c>
      <c r="G380" t="b">
        <f>IF(B380=E380,TRUE,FALSE)</f>
        <v>1</v>
      </c>
      <c r="J380" s="24">
        <f>F380-C380</f>
        <v>666</v>
      </c>
      <c r="K380" s="4">
        <f>F380/C380-1</f>
        <v>0.99254843517138602</v>
      </c>
      <c r="M380" s="5">
        <v>289.70999999999998</v>
      </c>
      <c r="N380" s="5">
        <v>575.71</v>
      </c>
      <c r="Q380" s="122">
        <v>5107.2700000000004</v>
      </c>
      <c r="U380" s="145">
        <f>N380-M380</f>
        <v>286.00000000000006</v>
      </c>
      <c r="V380" s="4">
        <f>IF(M380=0,0,N380/M380-1)</f>
        <v>0.98719409064236685</v>
      </c>
      <c r="W380" s="17">
        <v>20065.3</v>
      </c>
      <c r="X380" s="17">
        <v>40039.550000000003</v>
      </c>
      <c r="Y380" s="4">
        <f>X380/W380-1</f>
        <v>0.99546231553976283</v>
      </c>
      <c r="Z380" s="4"/>
      <c r="AA380">
        <v>3023</v>
      </c>
      <c r="AB380">
        <v>3528</v>
      </c>
      <c r="AD380" s="25">
        <v>0.21829999999999999</v>
      </c>
      <c r="AE380" s="25">
        <v>0.37759999999999999</v>
      </c>
    </row>
    <row r="381" spans="1:31" ht="15" customHeight="1">
      <c r="A381" s="39" t="s">
        <v>806</v>
      </c>
      <c r="B381" s="36" t="s">
        <v>807</v>
      </c>
      <c r="C381" s="27">
        <v>2285</v>
      </c>
      <c r="E381" s="36" t="s">
        <v>807</v>
      </c>
      <c r="F381" s="27">
        <v>2952</v>
      </c>
      <c r="G381" t="b">
        <f>IF(B381=E381,TRUE,FALSE)</f>
        <v>1</v>
      </c>
      <c r="J381" s="24">
        <f>F381-C381</f>
        <v>667</v>
      </c>
      <c r="K381" s="4">
        <f>F381/C381-1</f>
        <v>0.29190371991247255</v>
      </c>
      <c r="M381" s="5">
        <v>5286.5</v>
      </c>
      <c r="N381" s="5">
        <v>6358.01</v>
      </c>
      <c r="Q381" s="122">
        <v>40949.32</v>
      </c>
      <c r="U381" s="145">
        <f>N381-M381</f>
        <v>1071.5100000000002</v>
      </c>
      <c r="V381" s="4">
        <f>IF(M381=0,0,N381/M381-1)</f>
        <v>0.20268797881396017</v>
      </c>
      <c r="W381" s="17">
        <v>61352.1</v>
      </c>
      <c r="X381" s="17">
        <v>79485.8</v>
      </c>
      <c r="Y381" s="4">
        <f>X381/W381-1</f>
        <v>0.29556771487854538</v>
      </c>
      <c r="Z381" s="4"/>
      <c r="AA381">
        <v>11183</v>
      </c>
      <c r="AB381">
        <v>13878</v>
      </c>
      <c r="AD381" s="25">
        <v>0.20440000000000003</v>
      </c>
      <c r="AE381" s="25">
        <v>0.21230000000000002</v>
      </c>
    </row>
    <row r="382" spans="1:31" ht="15" customHeight="1">
      <c r="A382" s="36" t="s">
        <v>808</v>
      </c>
      <c r="B382" s="36" t="s">
        <v>809</v>
      </c>
      <c r="C382" s="27">
        <v>189</v>
      </c>
      <c r="E382" s="36" t="s">
        <v>809</v>
      </c>
      <c r="F382" s="27">
        <v>858</v>
      </c>
      <c r="G382" t="b">
        <f>IF(B382=E382,TRUE,FALSE)</f>
        <v>1</v>
      </c>
      <c r="J382" s="24">
        <f>F382-C382</f>
        <v>669</v>
      </c>
      <c r="K382" s="4">
        <f>F382/C382-1</f>
        <v>3.5396825396825395</v>
      </c>
      <c r="M382" s="5">
        <v>857.72</v>
      </c>
      <c r="N382" s="5">
        <v>2669.63</v>
      </c>
      <c r="Q382" s="122">
        <v>17995.55</v>
      </c>
      <c r="U382" s="145">
        <f>N382-M382</f>
        <v>1811.91</v>
      </c>
      <c r="V382" s="4">
        <f>IF(M382=0,0,N382/M382-1)</f>
        <v>2.1124726017814672</v>
      </c>
      <c r="W382" s="17">
        <v>5667.21</v>
      </c>
      <c r="X382" s="17">
        <v>22261.919999999998</v>
      </c>
      <c r="Y382" s="4">
        <f>X382/W382-1</f>
        <v>2.9281974728305458</v>
      </c>
      <c r="Z382" s="4"/>
      <c r="AA382">
        <v>1982</v>
      </c>
      <c r="AB382">
        <v>5682</v>
      </c>
      <c r="AD382" s="25">
        <v>9.5399999999999985E-2</v>
      </c>
      <c r="AE382" s="25">
        <v>0.151</v>
      </c>
    </row>
    <row r="383" spans="1:31" ht="15" customHeight="1">
      <c r="A383" t="s">
        <v>810</v>
      </c>
      <c r="B383" t="s">
        <v>811</v>
      </c>
      <c r="C383" s="27">
        <v>3397</v>
      </c>
      <c r="E383" t="s">
        <v>811</v>
      </c>
      <c r="F383" s="27">
        <v>4090</v>
      </c>
      <c r="G383" t="b">
        <f>IF(B383=E383,TRUE,FALSE)</f>
        <v>1</v>
      </c>
      <c r="J383" s="24">
        <f>F383-C383</f>
        <v>693</v>
      </c>
      <c r="K383" s="4">
        <f>F383/C383-1</f>
        <v>0.20400353252870174</v>
      </c>
      <c r="M383" s="5">
        <v>7200.01</v>
      </c>
      <c r="N383" s="5">
        <v>7290.56</v>
      </c>
      <c r="Q383" s="122">
        <v>41129.47</v>
      </c>
      <c r="U383" s="145">
        <f>N383-M383</f>
        <v>90.550000000000182</v>
      </c>
      <c r="V383" s="4">
        <f>IF(M383=0,0,N383/M383-1)</f>
        <v>1.2576371421706423E-2</v>
      </c>
      <c r="W383" s="17">
        <v>101720.95</v>
      </c>
      <c r="X383" s="17">
        <v>114295.17</v>
      </c>
      <c r="Y383" s="4">
        <f>X383/W383-1</f>
        <v>0.12361485023488283</v>
      </c>
      <c r="Z383" s="4"/>
      <c r="AA383">
        <v>13327</v>
      </c>
      <c r="AB383">
        <v>15206</v>
      </c>
      <c r="AD383" s="25">
        <v>0.25530000000000003</v>
      </c>
      <c r="AE383" s="25">
        <v>0.26850000000000002</v>
      </c>
    </row>
    <row r="384" spans="1:31" ht="15" customHeight="1">
      <c r="A384" t="s">
        <v>812</v>
      </c>
      <c r="B384" t="s">
        <v>813</v>
      </c>
      <c r="C384" s="27">
        <v>1504</v>
      </c>
      <c r="E384" t="s">
        <v>813</v>
      </c>
      <c r="F384" s="27">
        <v>2205</v>
      </c>
      <c r="G384" t="b">
        <f>IF(B384=E384,TRUE,FALSE)</f>
        <v>1</v>
      </c>
      <c r="J384" s="24">
        <f>F384-C384</f>
        <v>701</v>
      </c>
      <c r="K384" s="4">
        <f>F384/C384-1</f>
        <v>0.46609042553191493</v>
      </c>
      <c r="M384" s="5">
        <v>1455.67</v>
      </c>
      <c r="N384" s="5">
        <v>1871.89</v>
      </c>
      <c r="Q384" s="122">
        <v>10657.29</v>
      </c>
      <c r="U384" s="145">
        <f>N384-M384</f>
        <v>416.22</v>
      </c>
      <c r="V384" s="4">
        <f>IF(M384=0,0,N384/M384-1)</f>
        <v>0.28593019022168487</v>
      </c>
      <c r="W384" s="17">
        <v>58500.91</v>
      </c>
      <c r="X384" s="17">
        <v>74363.7</v>
      </c>
      <c r="Y384" s="4">
        <f>X384/W384-1</f>
        <v>0.27115458545858506</v>
      </c>
      <c r="Z384" s="4"/>
      <c r="AA384">
        <v>5966</v>
      </c>
      <c r="AB384">
        <v>9098</v>
      </c>
      <c r="AD384" s="25">
        <v>0.25280000000000002</v>
      </c>
      <c r="AE384" s="25">
        <v>0.2409</v>
      </c>
    </row>
    <row r="385" spans="1:31" ht="15" customHeight="1">
      <c r="A385" s="39" t="s">
        <v>814</v>
      </c>
      <c r="B385" s="36" t="s">
        <v>815</v>
      </c>
      <c r="C385" s="27">
        <v>591</v>
      </c>
      <c r="E385" s="36" t="s">
        <v>815</v>
      </c>
      <c r="F385" s="27">
        <v>1297</v>
      </c>
      <c r="G385" t="b">
        <f>IF(B385=E385,TRUE,FALSE)</f>
        <v>1</v>
      </c>
      <c r="J385" s="24">
        <f>F385-C385</f>
        <v>706</v>
      </c>
      <c r="K385" s="4">
        <f>F385/C385-1</f>
        <v>1.1945854483925551</v>
      </c>
      <c r="M385" s="5">
        <v>794.67</v>
      </c>
      <c r="N385" s="5">
        <v>2362.09</v>
      </c>
      <c r="Q385" s="122">
        <v>10506.73</v>
      </c>
      <c r="U385" s="145">
        <f>N385-M385</f>
        <v>1567.42</v>
      </c>
      <c r="V385" s="4">
        <f>IF(M385=0,0,N385/M385-1)</f>
        <v>1.9724162230863129</v>
      </c>
      <c r="W385" s="17">
        <v>10038.709999999999</v>
      </c>
      <c r="X385" s="17">
        <v>19110.68</v>
      </c>
      <c r="Y385" s="4">
        <f>X385/W385-1</f>
        <v>0.90369878201482079</v>
      </c>
      <c r="Z385" s="4"/>
      <c r="AA385">
        <v>1609</v>
      </c>
      <c r="AB385">
        <v>3587</v>
      </c>
      <c r="AD385" s="25">
        <v>0.36670000000000003</v>
      </c>
      <c r="AE385" s="25">
        <v>0.36130000000000001</v>
      </c>
    </row>
    <row r="386" spans="1:31" ht="15" customHeight="1">
      <c r="A386" s="39" t="s">
        <v>816</v>
      </c>
      <c r="B386" s="36" t="s">
        <v>817</v>
      </c>
      <c r="C386" s="27">
        <v>3284</v>
      </c>
      <c r="E386" s="36" t="s">
        <v>817</v>
      </c>
      <c r="F386" s="27">
        <v>3994</v>
      </c>
      <c r="G386" t="b">
        <f>IF(B386=E386,TRUE,FALSE)</f>
        <v>1</v>
      </c>
      <c r="J386" s="24">
        <f>F386-C386</f>
        <v>710</v>
      </c>
      <c r="K386" s="4">
        <f>F386/C386-1</f>
        <v>0.21619975639464073</v>
      </c>
      <c r="M386" s="5">
        <v>8736.17</v>
      </c>
      <c r="N386" s="5">
        <v>10125.18</v>
      </c>
      <c r="Q386" s="121">
        <v>46613.64</v>
      </c>
      <c r="U386" s="145">
        <f>N386-M386</f>
        <v>1389.0100000000002</v>
      </c>
      <c r="V386" s="4">
        <f>IF(M386=0,0,N386/M386-1)</f>
        <v>0.15899530343388468</v>
      </c>
      <c r="W386" s="17">
        <v>72077.2</v>
      </c>
      <c r="X386" s="17">
        <v>82877.039999999994</v>
      </c>
      <c r="Y386" s="4">
        <f>X386/W386-1</f>
        <v>0.14983711908897668</v>
      </c>
      <c r="Z386" s="4"/>
      <c r="AA386">
        <v>18791</v>
      </c>
      <c r="AB386">
        <v>21293</v>
      </c>
      <c r="AD386" s="25">
        <v>0.17469999999999999</v>
      </c>
      <c r="AE386" s="25">
        <v>0.18739999999999998</v>
      </c>
    </row>
    <row r="387" spans="1:31" ht="15" customHeight="1">
      <c r="A387" s="126" t="s">
        <v>818</v>
      </c>
      <c r="B387" s="126" t="s">
        <v>817</v>
      </c>
      <c r="C387" s="27">
        <v>3284</v>
      </c>
      <c r="E387" s="126" t="s">
        <v>817</v>
      </c>
      <c r="F387" s="27">
        <v>3994</v>
      </c>
      <c r="G387" t="b">
        <f>IF(B387=E387,TRUE,FALSE)</f>
        <v>1</v>
      </c>
      <c r="J387" s="24">
        <f>F387-C387</f>
        <v>710</v>
      </c>
      <c r="K387" s="4">
        <f>F387/C387-1</f>
        <v>0.21619975639464073</v>
      </c>
      <c r="M387" s="5">
        <v>8736.17</v>
      </c>
      <c r="N387" s="5">
        <v>10125.18</v>
      </c>
      <c r="Q387" s="121">
        <v>46613.64</v>
      </c>
      <c r="U387" s="145">
        <f>N387-M387</f>
        <v>1389.0100000000002</v>
      </c>
      <c r="V387" s="4">
        <f>IF(M387=0,0,N387/M387-1)</f>
        <v>0.15899530343388468</v>
      </c>
      <c r="W387" s="17">
        <v>72077.2</v>
      </c>
      <c r="X387" s="17">
        <v>82877.039999999994</v>
      </c>
      <c r="Y387" s="4">
        <f>X387/W387-1</f>
        <v>0.14983711908897668</v>
      </c>
      <c r="Z387" s="4"/>
      <c r="AA387">
        <v>18791</v>
      </c>
      <c r="AB387">
        <v>21293</v>
      </c>
      <c r="AD387" s="25">
        <v>0.17469999999999999</v>
      </c>
      <c r="AE387" s="25">
        <v>0.18739999999999998</v>
      </c>
    </row>
    <row r="388" spans="1:31" ht="15" customHeight="1">
      <c r="A388" t="s">
        <v>819</v>
      </c>
      <c r="B388" t="s">
        <v>820</v>
      </c>
      <c r="C388" s="27">
        <v>3415</v>
      </c>
      <c r="E388" t="s">
        <v>820</v>
      </c>
      <c r="F388" s="27">
        <v>4126</v>
      </c>
      <c r="G388" t="b">
        <f>IF(B388=E388,TRUE,FALSE)</f>
        <v>1</v>
      </c>
      <c r="J388" s="24">
        <f>F388-C388</f>
        <v>711</v>
      </c>
      <c r="K388" s="4">
        <f>F388/C388-1</f>
        <v>0.20819912152269393</v>
      </c>
      <c r="M388" s="5">
        <v>8158.02</v>
      </c>
      <c r="N388" s="5">
        <v>9605.86</v>
      </c>
      <c r="Q388" s="122">
        <v>52471.97</v>
      </c>
      <c r="U388" s="145">
        <f>N388-M388</f>
        <v>1447.8400000000001</v>
      </c>
      <c r="V388" s="4">
        <f>IF(M388=0,0,N388/M388-1)</f>
        <v>0.17747443619897973</v>
      </c>
      <c r="W388" s="17">
        <v>122251.45</v>
      </c>
      <c r="X388" s="17">
        <v>148950.20000000001</v>
      </c>
      <c r="Y388" s="4">
        <f>X388/W388-1</f>
        <v>0.2183920926909253</v>
      </c>
      <c r="Z388" s="4"/>
      <c r="AA388">
        <v>18090</v>
      </c>
      <c r="AB388">
        <v>20257</v>
      </c>
      <c r="AD388" s="25">
        <v>0.18920000000000001</v>
      </c>
      <c r="AE388" s="25">
        <v>0.2029</v>
      </c>
    </row>
    <row r="389" spans="1:31" ht="15" customHeight="1">
      <c r="A389" t="s">
        <v>821</v>
      </c>
      <c r="B389" t="s">
        <v>822</v>
      </c>
      <c r="C389" s="27">
        <v>2544</v>
      </c>
      <c r="E389" t="s">
        <v>822</v>
      </c>
      <c r="F389" s="27">
        <v>3272</v>
      </c>
      <c r="G389" t="b">
        <f>IF(B389=E389,TRUE,FALSE)</f>
        <v>1</v>
      </c>
      <c r="J389" s="24">
        <f>F389-C389</f>
        <v>728</v>
      </c>
      <c r="K389" s="4">
        <f>F389/C389-1</f>
        <v>0.28616352201257866</v>
      </c>
      <c r="M389" s="5">
        <v>3722.58</v>
      </c>
      <c r="N389" s="5">
        <v>5359.34</v>
      </c>
      <c r="Q389" s="122">
        <v>25582.35</v>
      </c>
      <c r="U389" s="145">
        <f>N389-M389</f>
        <v>1636.7600000000002</v>
      </c>
      <c r="V389" s="4">
        <f>IF(M389=0,0,N389/M389-1)</f>
        <v>0.43968430497128352</v>
      </c>
      <c r="W389" s="17">
        <v>76153.850000000006</v>
      </c>
      <c r="X389" s="17">
        <v>97985</v>
      </c>
      <c r="Y389" s="4">
        <f>X389/W389-1</f>
        <v>0.28667165218830037</v>
      </c>
      <c r="Z389" s="4"/>
      <c r="AA389">
        <v>7624</v>
      </c>
      <c r="AB389">
        <v>9142</v>
      </c>
      <c r="AD389" s="25">
        <v>0.33360000000000001</v>
      </c>
      <c r="AE389" s="25">
        <v>0.3574</v>
      </c>
    </row>
    <row r="390" spans="1:31" ht="15" customHeight="1">
      <c r="A390" t="s">
        <v>823</v>
      </c>
      <c r="B390" t="s">
        <v>824</v>
      </c>
      <c r="C390" s="27">
        <v>3184</v>
      </c>
      <c r="E390" t="s">
        <v>824</v>
      </c>
      <c r="F390" s="27">
        <v>3922</v>
      </c>
      <c r="G390" t="b">
        <f>IF(B390=E390,TRUE,FALSE)</f>
        <v>1</v>
      </c>
      <c r="J390" s="24">
        <f>F390-C390</f>
        <v>738</v>
      </c>
      <c r="K390" s="4">
        <f>F390/C390-1</f>
        <v>0.23178391959799005</v>
      </c>
      <c r="M390" s="5">
        <v>4955.2</v>
      </c>
      <c r="N390" s="5">
        <v>5948.9</v>
      </c>
      <c r="Q390" s="122">
        <v>49041.39</v>
      </c>
      <c r="U390" s="145">
        <f>N390-M390</f>
        <v>993.69999999999982</v>
      </c>
      <c r="V390" s="4">
        <f>IF(M390=0,0,N390/M390-1)</f>
        <v>0.20053680981595079</v>
      </c>
      <c r="W390" s="17">
        <v>117539.21</v>
      </c>
      <c r="X390" s="17">
        <v>144859.12</v>
      </c>
      <c r="Y390" s="4">
        <f>X390/W390-1</f>
        <v>0.2324323091843139</v>
      </c>
      <c r="Z390" s="4"/>
      <c r="AA390">
        <v>20508</v>
      </c>
      <c r="AB390">
        <v>24362</v>
      </c>
      <c r="AD390" s="25">
        <v>0.15579999999999999</v>
      </c>
      <c r="AE390" s="25">
        <v>0.1605</v>
      </c>
    </row>
    <row r="391" spans="1:31" ht="15" customHeight="1">
      <c r="A391" s="39" t="s">
        <v>825</v>
      </c>
      <c r="B391" s="36" t="s">
        <v>826</v>
      </c>
      <c r="C391" s="27">
        <v>3962</v>
      </c>
      <c r="E391" s="36" t="s">
        <v>826</v>
      </c>
      <c r="F391" s="27">
        <v>4701</v>
      </c>
      <c r="G391" t="b">
        <f>IF(B391=E391,TRUE,FALSE)</f>
        <v>1</v>
      </c>
      <c r="J391" s="24">
        <f>F391-C391</f>
        <v>739</v>
      </c>
      <c r="K391" s="4">
        <f>F391/C391-1</f>
        <v>0.18652195860676435</v>
      </c>
      <c r="M391" s="5">
        <v>7544.68</v>
      </c>
      <c r="N391" s="5">
        <v>9185.39</v>
      </c>
      <c r="Q391" s="122">
        <v>53434.37</v>
      </c>
      <c r="U391" s="145">
        <f>N391-M391</f>
        <v>1640.7099999999991</v>
      </c>
      <c r="V391" s="4">
        <f>IF(M391=0,0,N391/M391-1)</f>
        <v>0.21746581697301925</v>
      </c>
      <c r="W391" s="17">
        <v>106504.03</v>
      </c>
      <c r="X391" s="17">
        <v>126267.95</v>
      </c>
      <c r="Y391" s="4">
        <f>X391/W391-1</f>
        <v>0.18556969158819614</v>
      </c>
      <c r="Z391" s="4"/>
      <c r="AA391">
        <v>14624</v>
      </c>
      <c r="AB391">
        <v>16282</v>
      </c>
      <c r="AD391" s="25">
        <v>0.27029999999999998</v>
      </c>
      <c r="AE391" s="25">
        <v>0.28800000000000003</v>
      </c>
    </row>
    <row r="392" spans="1:31" ht="15" customHeight="1">
      <c r="A392" t="s">
        <v>827</v>
      </c>
      <c r="B392" t="s">
        <v>828</v>
      </c>
      <c r="C392" s="27">
        <v>3073</v>
      </c>
      <c r="E392" t="s">
        <v>828</v>
      </c>
      <c r="F392" s="27">
        <v>3821</v>
      </c>
      <c r="G392" t="b">
        <f>IF(B392=E392,TRUE,FALSE)</f>
        <v>1</v>
      </c>
      <c r="J392" s="24">
        <f>F392-C392</f>
        <v>748</v>
      </c>
      <c r="K392" s="4">
        <f>F392/C392-1</f>
        <v>0.24341034819394736</v>
      </c>
      <c r="M392" s="5">
        <v>5314.73</v>
      </c>
      <c r="N392" s="5">
        <v>6872.76</v>
      </c>
      <c r="Q392" s="122">
        <v>41769.42</v>
      </c>
      <c r="U392" s="145">
        <f>N392-M392</f>
        <v>1558.0300000000007</v>
      </c>
      <c r="V392" s="4">
        <f>IF(M392=0,0,N392/M392-1)</f>
        <v>0.29315317993576362</v>
      </c>
      <c r="W392" s="17">
        <v>61421.27</v>
      </c>
      <c r="X392" s="17">
        <v>76369.789999999994</v>
      </c>
      <c r="Y392" s="4">
        <f>X392/W392-1</f>
        <v>0.24337692789484811</v>
      </c>
      <c r="Z392" s="4"/>
      <c r="AA392">
        <v>11737</v>
      </c>
      <c r="AB392">
        <v>13428</v>
      </c>
      <c r="AD392" s="25">
        <v>0.26179999999999998</v>
      </c>
      <c r="AE392" s="25">
        <v>0.2843</v>
      </c>
    </row>
    <row r="393" spans="1:31" ht="15" customHeight="1">
      <c r="A393" s="125" t="s">
        <v>829</v>
      </c>
      <c r="B393" s="36" t="s">
        <v>830</v>
      </c>
      <c r="C393" s="27">
        <v>491</v>
      </c>
      <c r="E393" s="36" t="s">
        <v>830</v>
      </c>
      <c r="F393" s="27">
        <v>1245</v>
      </c>
      <c r="G393" t="b">
        <f>IF(B393=E393,TRUE,FALSE)</f>
        <v>1</v>
      </c>
      <c r="J393" s="24">
        <f>F393-C393</f>
        <v>754</v>
      </c>
      <c r="K393" s="4">
        <f>F393/C393-1</f>
        <v>1.5356415478615073</v>
      </c>
      <c r="M393" s="5">
        <v>370.35</v>
      </c>
      <c r="N393" s="5">
        <v>1554.59</v>
      </c>
      <c r="Q393" s="121">
        <v>5502.45</v>
      </c>
      <c r="U393" s="145">
        <f>N393-M393</f>
        <v>1184.2399999999998</v>
      </c>
      <c r="V393" s="4">
        <f>IF(M393=0,0,N393/M393-1)</f>
        <v>3.1976238693128121</v>
      </c>
      <c r="W393" s="17">
        <v>9655.25</v>
      </c>
      <c r="X393" s="17">
        <v>21360.11</v>
      </c>
      <c r="Y393" s="4">
        <f>X393/W393-1</f>
        <v>1.2122793298982422</v>
      </c>
      <c r="Z393" s="4"/>
      <c r="AA393">
        <v>1549</v>
      </c>
      <c r="AB393">
        <v>4751</v>
      </c>
      <c r="AD393" s="25">
        <v>0.31440000000000001</v>
      </c>
      <c r="AE393" s="25">
        <v>0.26179999999999998</v>
      </c>
    </row>
    <row r="394" spans="1:31" ht="15" customHeight="1">
      <c r="A394" t="s">
        <v>831</v>
      </c>
      <c r="B394" t="s">
        <v>832</v>
      </c>
      <c r="C394" s="27">
        <v>1403</v>
      </c>
      <c r="E394" t="s">
        <v>832</v>
      </c>
      <c r="F394" s="27">
        <v>2195</v>
      </c>
      <c r="G394" t="b">
        <f>IF(B394=E394,TRUE,FALSE)</f>
        <v>1</v>
      </c>
      <c r="J394" s="24">
        <f>F394-C394</f>
        <v>792</v>
      </c>
      <c r="K394" s="4">
        <f>F394/C394-1</f>
        <v>0.56450463292943698</v>
      </c>
      <c r="M394" s="5">
        <v>2250.5</v>
      </c>
      <c r="N394" s="5">
        <v>4955.1099999999997</v>
      </c>
      <c r="Q394" s="122">
        <v>37676.54</v>
      </c>
      <c r="U394" s="145">
        <f>N394-M394</f>
        <v>2704.6099999999997</v>
      </c>
      <c r="V394" s="4">
        <f>IF(M394=0,0,N394/M394-1)</f>
        <v>1.2017818262608309</v>
      </c>
      <c r="W394" s="17">
        <v>30848.01</v>
      </c>
      <c r="X394" s="17">
        <v>44783.91</v>
      </c>
      <c r="Y394" s="4">
        <f>X394/W394-1</f>
        <v>0.45176009732880673</v>
      </c>
      <c r="Z394" s="4"/>
      <c r="AA394">
        <v>8689</v>
      </c>
      <c r="AB394">
        <v>14227</v>
      </c>
      <c r="AD394" s="25">
        <v>0.16140000000000002</v>
      </c>
      <c r="AE394" s="25">
        <v>0.154</v>
      </c>
    </row>
    <row r="395" spans="1:31" ht="15" customHeight="1">
      <c r="A395" t="s">
        <v>833</v>
      </c>
      <c r="B395" t="s">
        <v>834</v>
      </c>
      <c r="C395" s="27">
        <v>5391</v>
      </c>
      <c r="E395" t="s">
        <v>834</v>
      </c>
      <c r="F395" s="27">
        <v>6207</v>
      </c>
      <c r="G395" t="b">
        <f>IF(B395=E395,TRUE,FALSE)</f>
        <v>1</v>
      </c>
      <c r="J395" s="24">
        <f>F395-C395</f>
        <v>816</v>
      </c>
      <c r="K395" s="4">
        <f>F395/C395-1</f>
        <v>0.15136338341680577</v>
      </c>
      <c r="M395" s="5">
        <v>15706.65</v>
      </c>
      <c r="N395" s="5">
        <v>16133.79</v>
      </c>
      <c r="Q395" s="122">
        <v>110514.49</v>
      </c>
      <c r="U395" s="145">
        <f>N395-M395</f>
        <v>427.14000000000124</v>
      </c>
      <c r="V395" s="4">
        <f>IF(M395=0,0,N395/M395-1)</f>
        <v>2.7194850588763364E-2</v>
      </c>
      <c r="W395" s="17">
        <v>188316.85</v>
      </c>
      <c r="X395" s="17">
        <v>216826.81</v>
      </c>
      <c r="Y395" s="4">
        <f>X395/W395-1</f>
        <v>0.15139356887076216</v>
      </c>
      <c r="Z395" s="4"/>
      <c r="AA395">
        <v>26304</v>
      </c>
      <c r="AB395">
        <v>26394</v>
      </c>
      <c r="AD395" s="25">
        <v>0.20499999999999999</v>
      </c>
      <c r="AE395" s="25">
        <v>0.2346</v>
      </c>
    </row>
    <row r="396" spans="1:31" ht="15" customHeight="1">
      <c r="A396" s="40" t="s">
        <v>835</v>
      </c>
      <c r="B396" s="22" t="s">
        <v>836</v>
      </c>
      <c r="C396" s="27">
        <v>294</v>
      </c>
      <c r="E396" s="22" t="s">
        <v>836</v>
      </c>
      <c r="F396" s="27">
        <v>1115</v>
      </c>
      <c r="G396" t="b">
        <f>IF(B396=E396,TRUE,FALSE)</f>
        <v>1</v>
      </c>
      <c r="J396" s="24">
        <f>F396-C396</f>
        <v>821</v>
      </c>
      <c r="K396" s="4">
        <f>F396/C396-1</f>
        <v>2.7925170068027212</v>
      </c>
      <c r="M396" s="5">
        <v>2044.38</v>
      </c>
      <c r="N396" s="5">
        <v>2237.1799999999998</v>
      </c>
      <c r="Q396" s="122">
        <v>15667.12</v>
      </c>
      <c r="U396" s="145">
        <f>N396-M396</f>
        <v>192.79999999999973</v>
      </c>
      <c r="V396" s="4">
        <f>IF(M396=0,0,N396/M396-1)</f>
        <v>9.4307320556843433E-2</v>
      </c>
      <c r="W396" s="17">
        <v>5876.86</v>
      </c>
      <c r="X396" s="17">
        <v>19811.86</v>
      </c>
      <c r="Y396" s="4">
        <f>X396/W396-1</f>
        <v>2.3711641931235392</v>
      </c>
      <c r="Z396" s="4"/>
      <c r="AA396">
        <v>4164</v>
      </c>
      <c r="AB396">
        <v>9348</v>
      </c>
      <c r="AD396" s="25">
        <v>7.0599999999999996E-2</v>
      </c>
      <c r="AE396" s="25">
        <v>0.11900000000000001</v>
      </c>
    </row>
    <row r="397" spans="1:31" ht="15" customHeight="1">
      <c r="A397" s="39" t="s">
        <v>837</v>
      </c>
      <c r="B397" s="36" t="s">
        <v>838</v>
      </c>
      <c r="C397" s="27">
        <v>1188</v>
      </c>
      <c r="E397" s="36" t="s">
        <v>838</v>
      </c>
      <c r="F397" s="27">
        <v>2024</v>
      </c>
      <c r="G397" t="b">
        <f>IF(B397=E397,TRUE,FALSE)</f>
        <v>1</v>
      </c>
      <c r="J397" s="24">
        <f>F397-C397</f>
        <v>836</v>
      </c>
      <c r="K397" s="4">
        <f>F397/C397-1</f>
        <v>0.70370370370370372</v>
      </c>
      <c r="M397" s="5">
        <v>2367.83</v>
      </c>
      <c r="N397" s="5">
        <v>4512.3500000000004</v>
      </c>
      <c r="Q397" s="121">
        <v>30222.86</v>
      </c>
      <c r="U397" s="145">
        <f>N397-M397</f>
        <v>2144.5200000000004</v>
      </c>
      <c r="V397" s="4">
        <f>IF(M397=0,0,N397/M397-1)</f>
        <v>0.90569001997609644</v>
      </c>
      <c r="W397" s="17">
        <v>29681.119999999999</v>
      </c>
      <c r="X397" s="17">
        <v>49508.76</v>
      </c>
      <c r="Y397" s="4"/>
      <c r="Z397" s="4"/>
      <c r="AA397">
        <v>5421</v>
      </c>
      <c r="AB397">
        <v>9797</v>
      </c>
      <c r="AD397" s="25">
        <v>0.21909999999999999</v>
      </c>
      <c r="AE397" s="25">
        <v>0.20629999999999998</v>
      </c>
    </row>
    <row r="398" spans="1:31" ht="15" customHeight="1">
      <c r="A398" t="s">
        <v>839</v>
      </c>
      <c r="B398" t="s">
        <v>840</v>
      </c>
      <c r="C398" s="27">
        <v>1779</v>
      </c>
      <c r="E398" t="s">
        <v>840</v>
      </c>
      <c r="F398" s="27">
        <v>2616</v>
      </c>
      <c r="G398" t="b">
        <f>IF(B398=E398,TRUE,FALSE)</f>
        <v>1</v>
      </c>
      <c r="J398" s="24">
        <f>F398-C398</f>
        <v>837</v>
      </c>
      <c r="K398" s="4">
        <f>F398/C398-1</f>
        <v>0.4704890387858347</v>
      </c>
      <c r="M398" s="5">
        <v>3302.56</v>
      </c>
      <c r="N398" s="5">
        <v>4211.1099999999997</v>
      </c>
      <c r="Q398" s="122">
        <v>25624.28</v>
      </c>
      <c r="U398" s="145">
        <f>N398-M398</f>
        <v>908.54999999999973</v>
      </c>
      <c r="V398" s="4">
        <f>IF(M398=0,0,N398/M398-1)</f>
        <v>0.27510476721089083</v>
      </c>
      <c r="W398" s="17">
        <v>47936.22</v>
      </c>
      <c r="X398" s="17">
        <v>70516.539999999994</v>
      </c>
      <c r="Y398" s="4">
        <f>X398/W398-1</f>
        <v>0.47104924001099779</v>
      </c>
      <c r="Z398" s="4"/>
      <c r="AA398">
        <v>8662</v>
      </c>
      <c r="AB398">
        <v>9989</v>
      </c>
      <c r="AD398" s="25">
        <v>0.20679999999999998</v>
      </c>
      <c r="AE398" s="25">
        <v>0.26039999999999996</v>
      </c>
    </row>
    <row r="399" spans="1:31" ht="15" customHeight="1">
      <c r="A399" s="36" t="s">
        <v>841</v>
      </c>
      <c r="B399" s="36" t="s">
        <v>842</v>
      </c>
      <c r="C399" s="27">
        <v>884</v>
      </c>
      <c r="E399" s="36" t="s">
        <v>842</v>
      </c>
      <c r="F399" s="27">
        <v>1730</v>
      </c>
      <c r="G399" t="b">
        <f>IF(B399=E399,TRUE,FALSE)</f>
        <v>1</v>
      </c>
      <c r="J399" s="24">
        <f>F399-C399</f>
        <v>846</v>
      </c>
      <c r="K399" s="4">
        <f>F399/C399-1</f>
        <v>0.95701357466063341</v>
      </c>
      <c r="M399" s="5">
        <v>1364.54</v>
      </c>
      <c r="N399" s="5">
        <v>1737.88</v>
      </c>
      <c r="Q399" s="122">
        <v>9743.4599999999991</v>
      </c>
      <c r="U399" s="145">
        <f>N399-M399</f>
        <v>373.34000000000015</v>
      </c>
      <c r="V399" s="4">
        <f>IF(M399=0,0,N399/M399-1)</f>
        <v>0.27360136016533065</v>
      </c>
      <c r="W399" s="17">
        <v>8756.14</v>
      </c>
      <c r="X399" s="17">
        <v>14954.26</v>
      </c>
      <c r="Y399" s="4">
        <f>X399/W399-1</f>
        <v>0.707859856055294</v>
      </c>
      <c r="Z399" s="4"/>
      <c r="AA399">
        <v>2701</v>
      </c>
      <c r="AB399">
        <v>6189</v>
      </c>
      <c r="AD399" s="25">
        <v>0.32650000000000001</v>
      </c>
      <c r="AE399" s="25">
        <v>0.27940000000000004</v>
      </c>
    </row>
    <row r="400" spans="1:31" ht="15" customHeight="1">
      <c r="A400" s="40" t="s">
        <v>843</v>
      </c>
      <c r="B400" s="36" t="s">
        <v>844</v>
      </c>
      <c r="C400" s="27">
        <v>2129</v>
      </c>
      <c r="E400" s="36" t="s">
        <v>844</v>
      </c>
      <c r="F400" s="27">
        <v>2983</v>
      </c>
      <c r="G400" t="b">
        <f>IF(B400=E400,TRUE,FALSE)</f>
        <v>1</v>
      </c>
      <c r="J400" s="24">
        <f>F400-C400</f>
        <v>854</v>
      </c>
      <c r="K400" s="4">
        <f>F400/C400-1</f>
        <v>0.40112728980742141</v>
      </c>
      <c r="M400" s="5">
        <v>4291.4399999999996</v>
      </c>
      <c r="N400" s="5">
        <v>5524.46</v>
      </c>
      <c r="Q400" s="122">
        <v>33166.449999999997</v>
      </c>
      <c r="U400" s="145">
        <f>N400-M400</f>
        <v>1233.0200000000004</v>
      </c>
      <c r="V400" s="4">
        <f>IF(M400=0,0,N400/M400-1)</f>
        <v>0.28732080606975763</v>
      </c>
      <c r="W400" s="17">
        <v>46806.15</v>
      </c>
      <c r="X400" s="17">
        <v>60911.71</v>
      </c>
      <c r="Y400" s="4">
        <f>X400/W400-1</f>
        <v>0.30136125274135983</v>
      </c>
      <c r="Z400" s="4"/>
      <c r="AA400">
        <v>13106</v>
      </c>
      <c r="AB400">
        <v>16606</v>
      </c>
      <c r="AD400" s="25">
        <v>0.1623</v>
      </c>
      <c r="AE400" s="25">
        <v>0.1794</v>
      </c>
    </row>
    <row r="401" spans="1:36" ht="15" customHeight="1">
      <c r="A401" t="s">
        <v>845</v>
      </c>
      <c r="B401" t="s">
        <v>846</v>
      </c>
      <c r="C401" s="27">
        <v>2895</v>
      </c>
      <c r="E401" t="s">
        <v>846</v>
      </c>
      <c r="F401" s="27">
        <v>3791</v>
      </c>
      <c r="G401" t="b">
        <f>IF(B401=E401,TRUE,FALSE)</f>
        <v>1</v>
      </c>
      <c r="J401" s="24">
        <f>F401-C401</f>
        <v>896</v>
      </c>
      <c r="K401" s="4">
        <f>F401/C401-1</f>
        <v>0.30949913644214155</v>
      </c>
      <c r="M401" s="5">
        <v>2584.64</v>
      </c>
      <c r="N401" s="5">
        <v>3108.05</v>
      </c>
      <c r="Q401" s="122">
        <v>25222.6</v>
      </c>
      <c r="U401" s="145">
        <f>N401-M401</f>
        <v>523.41000000000031</v>
      </c>
      <c r="V401" s="4">
        <f>IF(M401=0,0,N401/M401-1)</f>
        <v>0.20250789278197368</v>
      </c>
      <c r="W401" s="17">
        <v>95348.88</v>
      </c>
      <c r="X401" s="17">
        <v>114578.43</v>
      </c>
      <c r="Y401" s="4">
        <f>X401/W401-1</f>
        <v>0.20167567778457385</v>
      </c>
      <c r="Z401" s="4"/>
      <c r="AA401">
        <v>9182</v>
      </c>
      <c r="AB401">
        <v>11086</v>
      </c>
      <c r="AD401" s="25">
        <v>0.33340000000000003</v>
      </c>
      <c r="AE401" s="25">
        <v>0.34060000000000001</v>
      </c>
    </row>
    <row r="402" spans="1:36" ht="15" customHeight="1">
      <c r="A402" t="s">
        <v>847</v>
      </c>
      <c r="B402" t="s">
        <v>848</v>
      </c>
      <c r="C402" s="27">
        <v>2418</v>
      </c>
      <c r="E402" t="s">
        <v>848</v>
      </c>
      <c r="F402" s="27">
        <v>3319</v>
      </c>
      <c r="G402" t="b">
        <f>IF(B402=E402,TRUE,FALSE)</f>
        <v>1</v>
      </c>
      <c r="J402" s="24">
        <f>F402-C402</f>
        <v>901</v>
      </c>
      <c r="K402" s="4">
        <f>F402/C402-1</f>
        <v>0.37262200165425963</v>
      </c>
      <c r="M402" s="5">
        <v>3638.04</v>
      </c>
      <c r="N402" s="5">
        <v>7212.36</v>
      </c>
      <c r="Q402" s="122">
        <v>34170.339999999997</v>
      </c>
      <c r="U402" s="145">
        <f>N402-M402</f>
        <v>3574.3199999999997</v>
      </c>
      <c r="V402" s="4">
        <f>IF(M402=0,0,N402/M402-1)</f>
        <v>0.98248507438071053</v>
      </c>
      <c r="W402" s="17">
        <v>48239.1</v>
      </c>
      <c r="X402" s="17">
        <v>66280.61</v>
      </c>
      <c r="Y402" s="4">
        <f>X402/W402-1</f>
        <v>0.37400179522420607</v>
      </c>
      <c r="Z402" s="4"/>
      <c r="AA402">
        <v>13499</v>
      </c>
      <c r="AB402">
        <v>17140</v>
      </c>
      <c r="AD402" s="25">
        <v>0.17920000000000003</v>
      </c>
      <c r="AE402" s="25">
        <v>0.19309999999999999</v>
      </c>
    </row>
    <row r="403" spans="1:36" ht="15" customHeight="1">
      <c r="A403" t="s">
        <v>849</v>
      </c>
      <c r="B403" t="s">
        <v>850</v>
      </c>
      <c r="C403" s="27">
        <v>531</v>
      </c>
      <c r="E403" t="s">
        <v>850</v>
      </c>
      <c r="F403" s="27">
        <v>1474</v>
      </c>
      <c r="G403" t="b">
        <f>IF(B403=E403,TRUE,FALSE)</f>
        <v>1</v>
      </c>
      <c r="J403" s="24">
        <f>F403-C403</f>
        <v>943</v>
      </c>
      <c r="K403" s="4">
        <f>F403/C403-1</f>
        <v>1.7758945386064031</v>
      </c>
      <c r="M403" s="5">
        <v>1206.8699999999999</v>
      </c>
      <c r="N403" s="5">
        <v>2962.41</v>
      </c>
      <c r="Q403" s="122">
        <v>21213.61</v>
      </c>
      <c r="U403" s="145">
        <f>N403-M403</f>
        <v>1755.54</v>
      </c>
      <c r="V403" s="4">
        <f>IF(M403=0,0,N403/M403-1)</f>
        <v>1.4546222874046086</v>
      </c>
      <c r="W403" s="17">
        <v>15897.560000000001</v>
      </c>
      <c r="X403" s="17">
        <v>44199.62</v>
      </c>
      <c r="Y403" s="4">
        <f>X403/W403-1</f>
        <v>1.7802769733216919</v>
      </c>
      <c r="Z403" s="4"/>
      <c r="AA403">
        <v>3280</v>
      </c>
      <c r="AB403">
        <v>6473</v>
      </c>
      <c r="AD403" s="25">
        <v>0.16250000000000001</v>
      </c>
      <c r="AE403" s="25">
        <v>0.2271</v>
      </c>
    </row>
    <row r="404" spans="1:36" ht="15" customHeight="1">
      <c r="A404" s="171" t="s">
        <v>851</v>
      </c>
      <c r="B404" s="26" t="s">
        <v>852</v>
      </c>
      <c r="C404" s="27">
        <v>0</v>
      </c>
      <c r="E404" s="26" t="s">
        <v>852</v>
      </c>
      <c r="F404" s="27">
        <v>955</v>
      </c>
      <c r="G404" t="b">
        <f>IF(B404=E404,TRUE,FALSE)</f>
        <v>1</v>
      </c>
      <c r="J404" s="24">
        <f>F404-C404</f>
        <v>955</v>
      </c>
      <c r="K404" s="4" t="e">
        <f>F404/C404-1</f>
        <v>#DIV/0!</v>
      </c>
      <c r="N404" s="5">
        <v>1070.24</v>
      </c>
      <c r="Q404" s="121">
        <v>8039.08</v>
      </c>
      <c r="U404" s="145"/>
      <c r="V404" s="4"/>
      <c r="W404" s="17">
        <v>0</v>
      </c>
      <c r="X404" s="17">
        <v>26911.25</v>
      </c>
      <c r="Y404" s="4" t="e">
        <f>X404/W404-1</f>
        <v>#DIV/0!</v>
      </c>
      <c r="Z404" s="4"/>
      <c r="AB404">
        <v>4867</v>
      </c>
      <c r="AD404" s="25"/>
      <c r="AE404" s="25">
        <v>0.19640000000000002</v>
      </c>
    </row>
    <row r="405" spans="1:36" ht="15" customHeight="1">
      <c r="A405" t="s">
        <v>853</v>
      </c>
      <c r="B405" t="s">
        <v>854</v>
      </c>
      <c r="C405" s="27">
        <v>1953</v>
      </c>
      <c r="E405" t="s">
        <v>854</v>
      </c>
      <c r="F405" s="27">
        <v>2923</v>
      </c>
      <c r="G405" t="b">
        <f>IF(B405=E405,TRUE,FALSE)</f>
        <v>1</v>
      </c>
      <c r="J405" s="24">
        <f>F405-C405</f>
        <v>970</v>
      </c>
      <c r="K405" s="4">
        <f>F405/C405-1</f>
        <v>0.49667178699436754</v>
      </c>
      <c r="L405" s="5"/>
      <c r="M405" s="5">
        <v>2850.72</v>
      </c>
      <c r="N405" s="5">
        <v>4984.7700000000004</v>
      </c>
      <c r="O405" s="5"/>
      <c r="P405" s="5"/>
      <c r="Q405" s="122">
        <v>31428.1</v>
      </c>
      <c r="R405" s="5"/>
      <c r="S405" s="5"/>
      <c r="T405" s="5"/>
      <c r="U405" s="145">
        <f>N405-M405</f>
        <v>2134.0500000000006</v>
      </c>
      <c r="V405" s="4">
        <f>IF(M405=0,0,N405/M405-1)</f>
        <v>0.74860035359488153</v>
      </c>
      <c r="W405" s="17">
        <v>58480.95</v>
      </c>
      <c r="X405" s="17">
        <v>84374.45</v>
      </c>
      <c r="Y405" s="4">
        <f>X405/W405-1</f>
        <v>0.44276811508704972</v>
      </c>
      <c r="Z405" s="4"/>
      <c r="AA405">
        <v>7543</v>
      </c>
      <c r="AB405">
        <v>13683</v>
      </c>
      <c r="AD405" s="25">
        <v>0.25929999999999997</v>
      </c>
      <c r="AE405" s="25">
        <v>0.21309999999999998</v>
      </c>
    </row>
    <row r="406" spans="1:36" ht="15" customHeight="1">
      <c r="A406" s="36" t="s">
        <v>855</v>
      </c>
      <c r="B406" s="36" t="s">
        <v>856</v>
      </c>
      <c r="C406" s="27">
        <v>1078</v>
      </c>
      <c r="E406" s="36" t="s">
        <v>856</v>
      </c>
      <c r="F406" s="27">
        <v>2061</v>
      </c>
      <c r="G406" t="b">
        <f>IF(B406=E406,TRUE,FALSE)</f>
        <v>1</v>
      </c>
      <c r="J406" s="24">
        <f>F406-C406</f>
        <v>983</v>
      </c>
      <c r="K406" s="4">
        <f>F406/C406-1</f>
        <v>0.91187384044526909</v>
      </c>
      <c r="M406" s="5">
        <v>1173.8699999999999</v>
      </c>
      <c r="N406" s="5">
        <v>3007.48</v>
      </c>
      <c r="Q406" s="122">
        <v>20127.39</v>
      </c>
      <c r="U406" s="145">
        <f>N406-M406</f>
        <v>1833.6100000000001</v>
      </c>
      <c r="V406" s="4">
        <f>IF(M406=0,0,N406/M406-1)</f>
        <v>1.5620213481901746</v>
      </c>
      <c r="W406" s="17">
        <v>18313.009999999998</v>
      </c>
      <c r="X406" s="17">
        <v>30967.84</v>
      </c>
      <c r="Y406" s="4">
        <f>X406/W406-1</f>
        <v>0.69102949214793208</v>
      </c>
      <c r="Z406" s="4"/>
      <c r="AA406">
        <v>4196</v>
      </c>
      <c r="AB406">
        <v>10406</v>
      </c>
      <c r="AD406" s="25">
        <v>0.25569999999999998</v>
      </c>
      <c r="AE406" s="25">
        <v>0.19789999999999999</v>
      </c>
    </row>
    <row r="407" spans="1:36" ht="15" customHeight="1">
      <c r="A407" t="s">
        <v>857</v>
      </c>
      <c r="B407" t="s">
        <v>858</v>
      </c>
      <c r="C407" s="27">
        <v>3054</v>
      </c>
      <c r="E407" t="s">
        <v>858</v>
      </c>
      <c r="F407" s="27">
        <v>4059</v>
      </c>
      <c r="G407" t="b">
        <f>IF(B407=E407,TRUE,FALSE)</f>
        <v>1</v>
      </c>
      <c r="J407" s="24">
        <f>F407-C407</f>
        <v>1005</v>
      </c>
      <c r="K407" s="4">
        <f>F407/C407-1</f>
        <v>0.32907662082514744</v>
      </c>
      <c r="M407" s="5">
        <v>3112.46</v>
      </c>
      <c r="N407" s="5">
        <v>3700.19</v>
      </c>
      <c r="Q407" s="122">
        <v>25950.18</v>
      </c>
      <c r="U407" s="145">
        <f>N407-M407</f>
        <v>587.73</v>
      </c>
      <c r="V407" s="4">
        <f>IF(M407=0,0,N407/M407-1)</f>
        <v>0.18883134241082611</v>
      </c>
      <c r="W407" s="17">
        <v>106841.96</v>
      </c>
      <c r="X407" s="17">
        <v>134173.21</v>
      </c>
      <c r="Y407" s="4">
        <f>X407/W407-1</f>
        <v>0.25581007686493185</v>
      </c>
      <c r="Z407" s="4"/>
      <c r="AA407">
        <v>9633</v>
      </c>
      <c r="AB407">
        <v>15812</v>
      </c>
      <c r="AD407" s="25">
        <v>0.31759999999999999</v>
      </c>
      <c r="AE407" s="25">
        <v>0.25509999999999999</v>
      </c>
    </row>
    <row r="408" spans="1:36" ht="15" customHeight="1">
      <c r="A408" t="s">
        <v>859</v>
      </c>
      <c r="B408" t="s">
        <v>860</v>
      </c>
      <c r="C408" s="27">
        <v>2817</v>
      </c>
      <c r="E408" t="s">
        <v>860</v>
      </c>
      <c r="F408" s="27">
        <v>3882</v>
      </c>
      <c r="G408" t="b">
        <f>IF(B408=E408,TRUE,FALSE)</f>
        <v>1</v>
      </c>
      <c r="J408" s="24">
        <f>F408-C408</f>
        <v>1065</v>
      </c>
      <c r="K408" s="4">
        <f>F408/C408-1</f>
        <v>0.37806176783812573</v>
      </c>
      <c r="M408" s="5">
        <v>4711.6099999999997</v>
      </c>
      <c r="N408" s="5">
        <v>6250.05</v>
      </c>
      <c r="Q408" s="122">
        <v>33325.61</v>
      </c>
      <c r="U408" s="145">
        <f>N408-M408</f>
        <v>1538.4400000000005</v>
      </c>
      <c r="V408" s="4">
        <f>IF(M408=0,0,N408/M408-1)</f>
        <v>0.32652108302682104</v>
      </c>
      <c r="W408" s="17">
        <v>70245.7</v>
      </c>
      <c r="X408" s="17">
        <v>85616.91</v>
      </c>
      <c r="Y408" s="4">
        <f>X408/W408-1</f>
        <v>0.21882065379090831</v>
      </c>
      <c r="Z408" s="4"/>
      <c r="AA408">
        <v>9730</v>
      </c>
      <c r="AB408">
        <v>14282</v>
      </c>
      <c r="AD408" s="25">
        <v>0.28989999999999999</v>
      </c>
      <c r="AE408" s="25">
        <v>0.27129999999999999</v>
      </c>
    </row>
    <row r="409" spans="1:36" ht="15" customHeight="1">
      <c r="A409" t="s">
        <v>861</v>
      </c>
      <c r="B409" t="s">
        <v>862</v>
      </c>
      <c r="C409" s="27">
        <v>1474</v>
      </c>
      <c r="E409" t="s">
        <v>862</v>
      </c>
      <c r="F409" s="27">
        <v>2552</v>
      </c>
      <c r="G409" t="b">
        <f>IF(B409=E409,TRUE,FALSE)</f>
        <v>1</v>
      </c>
      <c r="J409" s="24">
        <f>F409-C409</f>
        <v>1078</v>
      </c>
      <c r="K409" s="4">
        <f>F409/C409-1</f>
        <v>0.73134328358208944</v>
      </c>
      <c r="M409" s="5">
        <v>3354.07</v>
      </c>
      <c r="N409" s="5">
        <v>5410.41</v>
      </c>
      <c r="Q409" s="122">
        <v>30254.47</v>
      </c>
      <c r="U409" s="145">
        <f>N409-M409</f>
        <v>2056.3399999999997</v>
      </c>
      <c r="V409" s="4">
        <f>IF(M409=0,0,N409/M409-1)</f>
        <v>0.61308797967842033</v>
      </c>
      <c r="W409" s="17">
        <v>35298.22</v>
      </c>
      <c r="X409" s="17">
        <v>53326.34</v>
      </c>
      <c r="Y409" s="4">
        <f>X409/W409-1</f>
        <v>0.51073736862651975</v>
      </c>
      <c r="Z409" s="4"/>
      <c r="AA409">
        <v>15386</v>
      </c>
      <c r="AB409">
        <v>31196</v>
      </c>
      <c r="AD409" s="25">
        <v>9.5700000000000007E-2</v>
      </c>
      <c r="AE409" s="25">
        <v>8.1500000000000003E-2</v>
      </c>
    </row>
    <row r="410" spans="1:36" ht="15" customHeight="1">
      <c r="A410" t="s">
        <v>863</v>
      </c>
      <c r="B410" t="s">
        <v>864</v>
      </c>
      <c r="C410" s="27">
        <v>2894</v>
      </c>
      <c r="E410" t="s">
        <v>864</v>
      </c>
      <c r="F410" s="27">
        <v>4011</v>
      </c>
      <c r="G410" t="b">
        <f>IF(B410=E410,TRUE,FALSE)</f>
        <v>1</v>
      </c>
      <c r="J410" s="24">
        <f>F410-C410</f>
        <v>1117</v>
      </c>
      <c r="K410" s="4">
        <f>F410/C410-1</f>
        <v>0.38597097442985495</v>
      </c>
      <c r="M410" s="5">
        <v>7392.69</v>
      </c>
      <c r="N410" s="5">
        <v>9176.7000000000007</v>
      </c>
      <c r="Q410" s="122">
        <v>56356.77</v>
      </c>
      <c r="U410" s="145">
        <f>N410-M410</f>
        <v>1784.0100000000011</v>
      </c>
      <c r="V410" s="4">
        <f>IF(M410=0,0,N410/M410-1)</f>
        <v>0.24132081826777552</v>
      </c>
      <c r="W410" s="17">
        <v>91996.15</v>
      </c>
      <c r="X410" s="17">
        <v>127572.3</v>
      </c>
      <c r="Y410" s="4">
        <f>X410/W410-1</f>
        <v>0.38671346572655496</v>
      </c>
      <c r="Z410" s="4"/>
      <c r="AA410">
        <v>14575</v>
      </c>
      <c r="AB410">
        <v>19573</v>
      </c>
      <c r="AD410" s="25">
        <v>0.19879999999999998</v>
      </c>
      <c r="AE410" s="25">
        <v>0.20399999999999999</v>
      </c>
    </row>
    <row r="411" spans="1:36" ht="15" customHeight="1">
      <c r="A411" s="39" t="s">
        <v>865</v>
      </c>
      <c r="B411" s="36" t="s">
        <v>866</v>
      </c>
      <c r="C411" s="27">
        <v>1017</v>
      </c>
      <c r="E411" s="36" t="s">
        <v>866</v>
      </c>
      <c r="F411" s="27">
        <v>2145</v>
      </c>
      <c r="G411" t="b">
        <f>IF(B411=E411,TRUE,FALSE)</f>
        <v>1</v>
      </c>
      <c r="J411" s="24">
        <f>F411-C411</f>
        <v>1128</v>
      </c>
      <c r="K411" s="4">
        <f>F411/C411-1</f>
        <v>1.1091445427728615</v>
      </c>
      <c r="M411" s="5">
        <v>803.4</v>
      </c>
      <c r="N411" s="5">
        <v>3330.28</v>
      </c>
      <c r="Q411" s="121">
        <v>21601.14</v>
      </c>
      <c r="U411" s="145">
        <f>N411-M411</f>
        <v>2526.88</v>
      </c>
      <c r="V411" s="4">
        <f>IF(M411=0,0,N411/M411-1)</f>
        <v>3.1452327607667421</v>
      </c>
      <c r="W411" s="17">
        <v>29480.22</v>
      </c>
      <c r="X411" s="17">
        <v>54597.73</v>
      </c>
      <c r="Y411" s="4"/>
      <c r="Z411" s="4"/>
      <c r="AA411">
        <v>5846</v>
      </c>
      <c r="AB411">
        <v>13622</v>
      </c>
      <c r="AD411" s="25">
        <v>0.1736</v>
      </c>
      <c r="AE411" s="25">
        <v>0.15720000000000001</v>
      </c>
    </row>
    <row r="412" spans="1:36" ht="15" customHeight="1">
      <c r="A412" s="39" t="s">
        <v>867</v>
      </c>
      <c r="B412" s="36" t="s">
        <v>868</v>
      </c>
      <c r="C412" s="27">
        <v>1275</v>
      </c>
      <c r="E412" s="36" t="s">
        <v>868</v>
      </c>
      <c r="F412" s="27">
        <v>2413</v>
      </c>
      <c r="G412" t="b">
        <f>IF(B412=E412,TRUE,FALSE)</f>
        <v>1</v>
      </c>
      <c r="J412" s="24">
        <f>F412-C412</f>
        <v>1138</v>
      </c>
      <c r="K412" s="4">
        <f>F412/C412-1</f>
        <v>0.89254901960784316</v>
      </c>
      <c r="M412" s="5">
        <v>1826.29</v>
      </c>
      <c r="N412" s="5">
        <v>4856.29</v>
      </c>
      <c r="Q412" s="121">
        <v>29847.119999999999</v>
      </c>
      <c r="U412" s="145">
        <f>N412-M412</f>
        <v>3030</v>
      </c>
      <c r="V412" s="4">
        <f>IF(M412=0,0,N412/M412-1)</f>
        <v>1.6591012380290096</v>
      </c>
      <c r="W412" s="17">
        <v>31868.69</v>
      </c>
      <c r="X412" s="17">
        <v>65613.89</v>
      </c>
      <c r="Y412" s="4"/>
      <c r="Z412" s="4"/>
      <c r="AA412">
        <v>6675</v>
      </c>
      <c r="AB412">
        <v>9768</v>
      </c>
      <c r="AD412" s="25">
        <v>0.1913</v>
      </c>
      <c r="AE412" s="25">
        <v>0.2462</v>
      </c>
    </row>
    <row r="413" spans="1:36" ht="15" customHeight="1">
      <c r="A413" s="39" t="s">
        <v>869</v>
      </c>
      <c r="B413" s="36" t="s">
        <v>870</v>
      </c>
      <c r="C413" s="27">
        <v>2515</v>
      </c>
      <c r="E413" s="36" t="s">
        <v>870</v>
      </c>
      <c r="F413" s="27">
        <v>3662</v>
      </c>
      <c r="G413" t="b">
        <f>IF(B413=E413,TRUE,FALSE)</f>
        <v>1</v>
      </c>
      <c r="J413" s="24">
        <f>F413-C413</f>
        <v>1147</v>
      </c>
      <c r="K413" s="4">
        <f>F413/C413-1</f>
        <v>0.45606361829025843</v>
      </c>
      <c r="M413" s="5">
        <v>7605.44</v>
      </c>
      <c r="N413" s="5">
        <v>7777.02</v>
      </c>
      <c r="Q413" s="121">
        <v>40755.589999999997</v>
      </c>
      <c r="U413" s="145">
        <f>N413-M413</f>
        <v>171.58000000000084</v>
      </c>
      <c r="V413" s="4">
        <f>IF(M413=0,0,N413/M413-1)</f>
        <v>2.256016745908207E-2</v>
      </c>
      <c r="W413" s="148">
        <v>66342.990000000005</v>
      </c>
      <c r="X413" s="148">
        <v>97787.62</v>
      </c>
      <c r="Y413" s="4">
        <f>X413/W413-1</f>
        <v>0.47397064859452342</v>
      </c>
      <c r="AB413">
        <v>14295</v>
      </c>
      <c r="AE413">
        <v>0.25319999999999998</v>
      </c>
    </row>
    <row r="414" spans="1:36" ht="15" customHeight="1">
      <c r="A414" t="s">
        <v>871</v>
      </c>
      <c r="B414" t="s">
        <v>872</v>
      </c>
      <c r="C414" s="27">
        <v>5348</v>
      </c>
      <c r="E414" t="s">
        <v>872</v>
      </c>
      <c r="F414" s="27">
        <v>6502</v>
      </c>
      <c r="G414" t="b">
        <f>IF(B414=E414,TRUE,FALSE)</f>
        <v>1</v>
      </c>
      <c r="J414" s="24">
        <f>F414-C414</f>
        <v>1154</v>
      </c>
      <c r="K414" s="4">
        <f>F414/C414-1</f>
        <v>0.21578160059835461</v>
      </c>
      <c r="M414" s="5">
        <v>5584.14</v>
      </c>
      <c r="N414" s="5">
        <v>6778.3499999999995</v>
      </c>
      <c r="Q414" s="122">
        <v>56634.79</v>
      </c>
      <c r="U414" s="145">
        <f>N414-M414</f>
        <v>1194.2099999999991</v>
      </c>
      <c r="V414" s="4">
        <f>IF(M414=0,0,N414/M414-1)</f>
        <v>0.21385746059375288</v>
      </c>
      <c r="W414" s="17">
        <v>207096.23</v>
      </c>
      <c r="X414" s="17">
        <v>249025.58</v>
      </c>
      <c r="Y414" s="4">
        <f>X414/W414-1</f>
        <v>0.20246312547553358</v>
      </c>
      <c r="Z414" s="4"/>
      <c r="AA414">
        <v>24699</v>
      </c>
      <c r="AB414">
        <v>31916</v>
      </c>
      <c r="AD414" s="25">
        <v>0.21690000000000001</v>
      </c>
      <c r="AE414" s="25">
        <v>0.20300000000000001</v>
      </c>
    </row>
    <row r="415" spans="1:36" ht="15" customHeight="1">
      <c r="A415" s="39" t="s">
        <v>873</v>
      </c>
      <c r="B415" s="36" t="s">
        <v>874</v>
      </c>
      <c r="C415" s="27">
        <v>2354</v>
      </c>
      <c r="E415" s="36" t="s">
        <v>874</v>
      </c>
      <c r="F415" s="27">
        <v>3535</v>
      </c>
      <c r="G415" t="b">
        <f>IF(B415=E415,TRUE,FALSE)</f>
        <v>1</v>
      </c>
      <c r="J415" s="24">
        <f>F415-C415</f>
        <v>1181</v>
      </c>
      <c r="K415" s="4">
        <f>F415/C415-1</f>
        <v>0.50169923534409522</v>
      </c>
      <c r="M415" s="5">
        <v>3944.55</v>
      </c>
      <c r="N415" s="5">
        <v>5670.69</v>
      </c>
      <c r="Q415" s="121">
        <v>32063.63</v>
      </c>
      <c r="U415" s="145">
        <f>N415-M415</f>
        <v>1726.1399999999994</v>
      </c>
      <c r="V415" s="4">
        <f>IF(M415=0,0,N415/M415-1)</f>
        <v>0.43760124729056527</v>
      </c>
      <c r="W415" s="17">
        <v>58818.71</v>
      </c>
      <c r="X415" s="17">
        <v>99829.52</v>
      </c>
      <c r="Y415" s="4"/>
      <c r="Z415" s="4"/>
      <c r="AA415">
        <v>13451</v>
      </c>
      <c r="AB415">
        <v>24262</v>
      </c>
      <c r="AD415" s="25">
        <v>0.17519999999999999</v>
      </c>
      <c r="AE415" s="25">
        <v>0.14550000000000002</v>
      </c>
      <c r="AJ415" t="s">
        <v>875</v>
      </c>
    </row>
    <row r="416" spans="1:36" ht="15" customHeight="1">
      <c r="A416" t="s">
        <v>876</v>
      </c>
      <c r="B416" t="s">
        <v>877</v>
      </c>
      <c r="C416" s="27">
        <v>15242</v>
      </c>
      <c r="E416" t="s">
        <v>877</v>
      </c>
      <c r="F416" s="27">
        <v>16439</v>
      </c>
      <c r="G416" t="b">
        <f>IF(B416=E416,TRUE,FALSE)</f>
        <v>1</v>
      </c>
      <c r="J416" s="24">
        <f>F416-C416</f>
        <v>1197</v>
      </c>
      <c r="K416" s="4">
        <f>F416/C416-1</f>
        <v>7.8533000918514562E-2</v>
      </c>
      <c r="M416" s="5">
        <v>22007.83</v>
      </c>
      <c r="N416" s="5">
        <v>22633.74</v>
      </c>
      <c r="Q416" s="122">
        <v>133539.49</v>
      </c>
      <c r="U416" s="145">
        <f>N416-M416</f>
        <v>625.90999999999985</v>
      </c>
      <c r="V416" s="4">
        <f>IF(M416=0,0,N416/M416-1)</f>
        <v>2.8440332372614563E-2</v>
      </c>
      <c r="W416" s="17">
        <v>517181.27</v>
      </c>
      <c r="X416" s="17">
        <v>557894.56999999995</v>
      </c>
      <c r="Y416" s="4">
        <f>X416/W416-1</f>
        <v>7.8721528333769664E-2</v>
      </c>
      <c r="Z416" s="4"/>
      <c r="AA416">
        <v>54733</v>
      </c>
      <c r="AB416">
        <v>54879</v>
      </c>
      <c r="AD416" s="25">
        <v>0.28000000000000003</v>
      </c>
      <c r="AE416" s="25">
        <v>0.29799999999999999</v>
      </c>
    </row>
    <row r="417" spans="1:36" ht="15" customHeight="1">
      <c r="A417" s="171" t="s">
        <v>878</v>
      </c>
      <c r="B417" s="26" t="s">
        <v>879</v>
      </c>
      <c r="C417" s="27">
        <v>0</v>
      </c>
      <c r="E417" s="26" t="s">
        <v>879</v>
      </c>
      <c r="F417" s="27">
        <v>1215</v>
      </c>
      <c r="G417" t="b">
        <f>IF(B417=E417,TRUE,FALSE)</f>
        <v>1</v>
      </c>
      <c r="J417" s="24">
        <f>F417-C417</f>
        <v>1215</v>
      </c>
      <c r="K417" s="4" t="e">
        <f>F417/C417-1</f>
        <v>#DIV/0!</v>
      </c>
      <c r="M417" s="5">
        <v>0</v>
      </c>
      <c r="N417" s="5">
        <v>1091.05</v>
      </c>
      <c r="Q417" s="121">
        <v>7009.67</v>
      </c>
      <c r="U417" s="145">
        <f>N417-M417</f>
        <v>1091.05</v>
      </c>
      <c r="V417" s="4">
        <f>IF(M417=0,0,N417/M417-1)</f>
        <v>0</v>
      </c>
      <c r="W417" s="17">
        <v>0</v>
      </c>
      <c r="X417" s="17">
        <v>19919.649999999998</v>
      </c>
      <c r="Y417" s="4" t="e">
        <f>X417/W417-1</f>
        <v>#DIV/0!</v>
      </c>
      <c r="Z417" s="4"/>
      <c r="AB417">
        <v>5278</v>
      </c>
      <c r="AD417" s="25"/>
      <c r="AE417" s="25">
        <v>0.23</v>
      </c>
    </row>
    <row r="418" spans="1:36" ht="15" customHeight="1">
      <c r="A418" t="s">
        <v>880</v>
      </c>
      <c r="B418" t="s">
        <v>881</v>
      </c>
      <c r="C418" s="27">
        <v>1382</v>
      </c>
      <c r="E418" t="s">
        <v>881</v>
      </c>
      <c r="F418" s="27">
        <v>2603</v>
      </c>
      <c r="G418" t="b">
        <f>IF(B418=E418,TRUE,FALSE)</f>
        <v>1</v>
      </c>
      <c r="J418" s="24">
        <f>F418-C418</f>
        <v>1221</v>
      </c>
      <c r="K418" s="4">
        <f>F418/C418-1</f>
        <v>0.88350217076700432</v>
      </c>
      <c r="M418" s="5">
        <v>1547.58</v>
      </c>
      <c r="N418" s="5">
        <v>2220.64</v>
      </c>
      <c r="Q418" s="122">
        <v>18305.740000000002</v>
      </c>
      <c r="U418" s="145">
        <f>N418-M418</f>
        <v>673.06</v>
      </c>
      <c r="V418" s="4">
        <f>IF(M418=0,0,N418/M418-1)</f>
        <v>0.4349112808384703</v>
      </c>
      <c r="W418" s="17">
        <v>41369.42</v>
      </c>
      <c r="X418" s="17">
        <v>68279.990000000005</v>
      </c>
      <c r="Y418" s="4">
        <f>X418/W418-1</f>
        <v>0.65049425396826943</v>
      </c>
      <c r="Z418" s="4"/>
      <c r="AA418">
        <v>4649</v>
      </c>
      <c r="AB418">
        <v>9815</v>
      </c>
      <c r="AD418" s="25">
        <v>0.29710000000000003</v>
      </c>
      <c r="AE418" s="25">
        <v>0.26390000000000002</v>
      </c>
    </row>
    <row r="419" spans="1:36" ht="15" customHeight="1">
      <c r="A419" t="s">
        <v>882</v>
      </c>
      <c r="B419" t="s">
        <v>883</v>
      </c>
      <c r="C419" s="27">
        <v>5328</v>
      </c>
      <c r="E419" t="s">
        <v>883</v>
      </c>
      <c r="F419" s="27">
        <v>6564</v>
      </c>
      <c r="G419" t="b">
        <f>IF(B419=E419,TRUE,FALSE)</f>
        <v>1</v>
      </c>
      <c r="J419" s="24">
        <f>F419-C419</f>
        <v>1236</v>
      </c>
      <c r="K419" s="4">
        <f>F419/C419-1</f>
        <v>0.23198198198198194</v>
      </c>
      <c r="M419" s="5">
        <v>5258.98</v>
      </c>
      <c r="N419" s="5">
        <v>5620.86</v>
      </c>
      <c r="Q419" s="122">
        <v>70197.25</v>
      </c>
      <c r="U419" s="145">
        <f>N419-M419</f>
        <v>361.88000000000011</v>
      </c>
      <c r="V419" s="4">
        <f>IF(M419=0,0,N419/M419-1)</f>
        <v>6.8811822824958568E-2</v>
      </c>
      <c r="W419" s="17">
        <v>159541.20000000001</v>
      </c>
      <c r="X419" s="17">
        <v>196553.7</v>
      </c>
      <c r="Y419" s="4">
        <f>X419/W419-1</f>
        <v>0.23199336597693887</v>
      </c>
      <c r="Z419" s="4"/>
      <c r="AA419">
        <v>23061</v>
      </c>
      <c r="AB419">
        <v>26544</v>
      </c>
      <c r="AD419" s="25">
        <v>0.23170000000000002</v>
      </c>
      <c r="AE419" s="25">
        <v>0.24609999999999999</v>
      </c>
    </row>
    <row r="420" spans="1:36" ht="15" customHeight="1">
      <c r="A420" s="26" t="s">
        <v>884</v>
      </c>
      <c r="B420" t="s">
        <v>885</v>
      </c>
      <c r="C420" s="27">
        <v>2709</v>
      </c>
      <c r="E420" t="s">
        <v>885</v>
      </c>
      <c r="F420" s="27">
        <v>3966</v>
      </c>
      <c r="G420" t="b">
        <f>IF(B420=E420,TRUE,FALSE)</f>
        <v>1</v>
      </c>
      <c r="J420" s="24">
        <f>F420-C420</f>
        <v>1257</v>
      </c>
      <c r="K420" s="4">
        <f>F420/C420-1</f>
        <v>0.46400885935769653</v>
      </c>
      <c r="M420" s="5">
        <v>4986.6400000000003</v>
      </c>
      <c r="N420" s="5">
        <v>6189.05</v>
      </c>
      <c r="Q420" s="122">
        <v>28779.35</v>
      </c>
      <c r="U420" s="145">
        <f>N420-M420</f>
        <v>1202.4099999999999</v>
      </c>
      <c r="V420" s="4">
        <f>IF(M420=0,0,N420/M420-1)</f>
        <v>0.24112628944539805</v>
      </c>
      <c r="W420" s="17">
        <v>80747.97</v>
      </c>
      <c r="X420" s="17">
        <v>122016.64</v>
      </c>
      <c r="Y420" s="4">
        <f>X420/W420-1</f>
        <v>0.51107996894534935</v>
      </c>
      <c r="Z420" s="4"/>
      <c r="AA420">
        <v>18881</v>
      </c>
      <c r="AB420">
        <v>27592</v>
      </c>
      <c r="AD420" s="25">
        <v>0.1434</v>
      </c>
      <c r="AE420" s="25">
        <v>0.1429</v>
      </c>
    </row>
    <row r="421" spans="1:36" ht="15" customHeight="1">
      <c r="A421" s="40" t="s">
        <v>886</v>
      </c>
      <c r="B421" s="36" t="s">
        <v>887</v>
      </c>
      <c r="C421" s="27">
        <v>5122</v>
      </c>
      <c r="E421" s="36" t="s">
        <v>887</v>
      </c>
      <c r="F421" s="27">
        <v>6522</v>
      </c>
      <c r="G421" t="b">
        <f>IF(B421=E421,TRUE,FALSE)</f>
        <v>1</v>
      </c>
      <c r="J421" s="24">
        <f>F421-C421</f>
        <v>1400</v>
      </c>
      <c r="K421" s="4">
        <f>F421/C421-1</f>
        <v>0.27333073018352216</v>
      </c>
      <c r="M421" s="5">
        <v>8072.85</v>
      </c>
      <c r="N421" s="5">
        <v>11787.93</v>
      </c>
      <c r="Q421" s="122">
        <v>59954.86</v>
      </c>
      <c r="U421" s="145">
        <f>N421-M421</f>
        <v>3715.08</v>
      </c>
      <c r="V421" s="4">
        <f>IF(M421=0,0,N421/M421-1)</f>
        <v>0.46019435515338447</v>
      </c>
      <c r="W421" s="17">
        <v>99968.7</v>
      </c>
      <c r="X421" s="17">
        <v>133519.45000000001</v>
      </c>
      <c r="Y421" s="4">
        <f>X421/W421-1</f>
        <v>0.33561254672712582</v>
      </c>
      <c r="Z421" s="4"/>
      <c r="AA421">
        <v>24297</v>
      </c>
      <c r="AB421">
        <v>24989</v>
      </c>
      <c r="AD421" s="25">
        <v>0.20899999999999999</v>
      </c>
      <c r="AE421" s="25">
        <v>0.26050000000000001</v>
      </c>
    </row>
    <row r="422" spans="1:36" ht="15" customHeight="1">
      <c r="A422" t="s">
        <v>888</v>
      </c>
      <c r="B422" t="s">
        <v>889</v>
      </c>
      <c r="C422" s="27">
        <v>2266</v>
      </c>
      <c r="E422" t="s">
        <v>889</v>
      </c>
      <c r="F422" s="27">
        <v>3668</v>
      </c>
      <c r="G422" t="b">
        <f>IF(B422=E422,TRUE,FALSE)</f>
        <v>1</v>
      </c>
      <c r="J422" s="24">
        <f>F422-C422</f>
        <v>1402</v>
      </c>
      <c r="K422" s="4">
        <f>F422/C422-1</f>
        <v>0.61871138570167705</v>
      </c>
      <c r="M422" s="5">
        <v>2762.08</v>
      </c>
      <c r="N422" s="5">
        <v>5931.4</v>
      </c>
      <c r="Q422" s="122">
        <v>47586.99</v>
      </c>
      <c r="U422" s="145">
        <f>N422-M422</f>
        <v>3169.3199999999997</v>
      </c>
      <c r="V422" s="4">
        <f>IF(M422=0,0,N422/M422-1)</f>
        <v>1.147439610728147</v>
      </c>
      <c r="W422" s="17">
        <v>61087</v>
      </c>
      <c r="X422" s="17">
        <v>98942.89</v>
      </c>
      <c r="Y422" s="4">
        <f>X422/W422-1</f>
        <v>0.61970451978326002</v>
      </c>
      <c r="Z422" s="4"/>
      <c r="AA422">
        <v>8603</v>
      </c>
      <c r="AB422">
        <v>13416</v>
      </c>
      <c r="AD422" s="25">
        <v>0.26280000000000003</v>
      </c>
      <c r="AE422" s="25">
        <v>0.2727</v>
      </c>
      <c r="AJ422" t="s">
        <v>890</v>
      </c>
    </row>
    <row r="423" spans="1:36" ht="15" customHeight="1">
      <c r="A423" t="s">
        <v>891</v>
      </c>
      <c r="B423" t="s">
        <v>892</v>
      </c>
      <c r="C423" s="27">
        <v>2993</v>
      </c>
      <c r="E423" t="s">
        <v>892</v>
      </c>
      <c r="F423" s="27">
        <v>4463</v>
      </c>
      <c r="G423" t="b">
        <f>IF(B423=E423,TRUE,FALSE)</f>
        <v>1</v>
      </c>
      <c r="J423" s="24">
        <f>F423-C423</f>
        <v>1470</v>
      </c>
      <c r="K423" s="4">
        <f>F423/C423-1</f>
        <v>0.49114600735048453</v>
      </c>
      <c r="M423" s="5">
        <v>7097.39</v>
      </c>
      <c r="N423" s="5">
        <v>7715.38</v>
      </c>
      <c r="Q423" s="122">
        <v>38177.65</v>
      </c>
      <c r="U423" s="145">
        <f>N423-M423</f>
        <v>617.98999999999978</v>
      </c>
      <c r="V423" s="4">
        <f>IF(M423=0,0,N423/M423-1)</f>
        <v>8.7072853541935835E-2</v>
      </c>
      <c r="W423" s="17">
        <v>89773.86</v>
      </c>
      <c r="X423" s="17">
        <v>125931.97</v>
      </c>
      <c r="Y423" s="4">
        <f>X423/W423-1</f>
        <v>0.40276880151972971</v>
      </c>
      <c r="Z423" s="4"/>
      <c r="AA423">
        <v>16882</v>
      </c>
      <c r="AB423">
        <v>31405</v>
      </c>
      <c r="AD423" s="25">
        <v>0.17749999999999999</v>
      </c>
      <c r="AE423" s="25">
        <v>0.14169999999999999</v>
      </c>
    </row>
    <row r="424" spans="1:36" ht="15" customHeight="1">
      <c r="A424" t="s">
        <v>893</v>
      </c>
      <c r="B424" t="s">
        <v>894</v>
      </c>
      <c r="C424" s="27">
        <v>3187</v>
      </c>
      <c r="E424" t="s">
        <v>894</v>
      </c>
      <c r="F424" s="27">
        <v>4694</v>
      </c>
      <c r="G424" t="b">
        <f>IF(B424=E424,TRUE,FALSE)</f>
        <v>1</v>
      </c>
      <c r="J424" s="24">
        <f>F424-C424</f>
        <v>1507</v>
      </c>
      <c r="K424" s="4">
        <f>F424/C424-1</f>
        <v>0.47285848760589899</v>
      </c>
      <c r="M424" s="5">
        <v>1567.79</v>
      </c>
      <c r="N424" s="5">
        <v>1505.61</v>
      </c>
      <c r="Q424" s="122">
        <v>18651.03</v>
      </c>
      <c r="U424" s="145">
        <f>N424-M424</f>
        <v>-62.180000000000064</v>
      </c>
      <c r="V424" s="4">
        <f>IF(M424=0,0,N424/M424-1)</f>
        <v>-3.9660923975787576E-2</v>
      </c>
      <c r="W424" s="17">
        <v>136277.39000000001</v>
      </c>
      <c r="X424" s="17">
        <v>186568.35</v>
      </c>
      <c r="Y424" s="4">
        <f>X424/W424-1</f>
        <v>0.36903377735661058</v>
      </c>
      <c r="Z424" s="4"/>
      <c r="AA424">
        <v>7158</v>
      </c>
      <c r="AB424">
        <v>9792</v>
      </c>
      <c r="AD424" s="25">
        <v>0.44579999999999997</v>
      </c>
      <c r="AE424" s="25">
        <v>0.47770000000000001</v>
      </c>
    </row>
    <row r="425" spans="1:36" ht="15" customHeight="1">
      <c r="A425" s="36" t="s">
        <v>895</v>
      </c>
      <c r="B425" s="26" t="s">
        <v>896</v>
      </c>
      <c r="C425" s="27">
        <v>1513</v>
      </c>
      <c r="E425" s="26" t="s">
        <v>896</v>
      </c>
      <c r="F425" s="27">
        <v>3054</v>
      </c>
      <c r="G425" t="b">
        <f>IF(B425=E425,TRUE,FALSE)</f>
        <v>1</v>
      </c>
      <c r="J425" s="24">
        <f>F425-C425</f>
        <v>1541</v>
      </c>
      <c r="K425" s="4">
        <f>F425/C425-1</f>
        <v>1.0185062789160608</v>
      </c>
      <c r="M425" s="5">
        <v>3113.7</v>
      </c>
      <c r="N425" s="5">
        <v>4612.46</v>
      </c>
      <c r="Q425" s="121">
        <v>24478.95</v>
      </c>
      <c r="U425" s="145">
        <f>N425-M425</f>
        <v>1498.7600000000002</v>
      </c>
      <c r="V425" s="4">
        <f>IF(M425=0,0,N425/M425-1)</f>
        <v>0.48134373896007965</v>
      </c>
      <c r="W425" s="17">
        <v>37804.870000000003</v>
      </c>
      <c r="X425" s="17">
        <v>70310.73</v>
      </c>
      <c r="Y425" s="4">
        <f>X425/W425-1</f>
        <v>0.85983260886758739</v>
      </c>
      <c r="Z425" s="4"/>
      <c r="AA425">
        <v>10126</v>
      </c>
      <c r="AB425">
        <v>15703</v>
      </c>
      <c r="AD425" s="25">
        <v>0.15010000000000001</v>
      </c>
      <c r="AE425" s="25">
        <v>0.19350000000000001</v>
      </c>
    </row>
    <row r="426" spans="1:36" ht="15" customHeight="1">
      <c r="A426" s="126" t="s">
        <v>897</v>
      </c>
      <c r="B426" s="36" t="s">
        <v>898</v>
      </c>
      <c r="C426" s="27">
        <v>3062</v>
      </c>
      <c r="E426" s="36" t="s">
        <v>898</v>
      </c>
      <c r="F426" s="27">
        <v>4620</v>
      </c>
      <c r="G426" t="b">
        <f>IF(B426=E426,TRUE,FALSE)</f>
        <v>1</v>
      </c>
      <c r="J426" s="24">
        <f>F426-C426</f>
        <v>1558</v>
      </c>
      <c r="K426" s="4">
        <f>F426/C426-1</f>
        <v>0.50881776616590457</v>
      </c>
      <c r="M426" s="5">
        <v>4059.19</v>
      </c>
      <c r="N426" s="5">
        <v>4779.9399999999996</v>
      </c>
      <c r="Q426" s="121">
        <v>34654.410000000003</v>
      </c>
      <c r="U426" s="145">
        <f>N426-M426</f>
        <v>720.74999999999955</v>
      </c>
      <c r="V426" s="4">
        <f>IF(M426=0,0,N426/M426-1)</f>
        <v>0.17756005508488126</v>
      </c>
      <c r="W426" s="17">
        <v>91628.34</v>
      </c>
      <c r="X426" s="17">
        <v>138169</v>
      </c>
      <c r="Y426" s="4"/>
      <c r="Z426" s="4"/>
      <c r="AA426">
        <v>19247</v>
      </c>
      <c r="AB426">
        <v>27089</v>
      </c>
      <c r="AD426" s="25">
        <v>0.15909999999999999</v>
      </c>
      <c r="AE426" s="25">
        <v>0.17030000000000001</v>
      </c>
      <c r="AJ426" t="s">
        <v>899</v>
      </c>
    </row>
    <row r="427" spans="1:36" ht="15" customHeight="1">
      <c r="A427" t="s">
        <v>900</v>
      </c>
      <c r="B427" t="s">
        <v>901</v>
      </c>
      <c r="C427" s="27">
        <v>6395</v>
      </c>
      <c r="E427" t="s">
        <v>901</v>
      </c>
      <c r="F427" s="27">
        <v>8119</v>
      </c>
      <c r="G427" t="b">
        <f>IF(B427=E427,TRUE,FALSE)</f>
        <v>1</v>
      </c>
      <c r="J427" s="24">
        <f>F427-C427</f>
        <v>1724</v>
      </c>
      <c r="K427" s="4">
        <f>F427/C427-1</f>
        <v>0.26958561376075063</v>
      </c>
      <c r="M427" s="5">
        <v>6185.21</v>
      </c>
      <c r="N427" s="5">
        <v>7791.44</v>
      </c>
      <c r="Q427" s="122">
        <v>56286.57</v>
      </c>
      <c r="U427" s="145">
        <f>N427-M427</f>
        <v>1606.2299999999996</v>
      </c>
      <c r="V427" s="4">
        <f>IF(M427=0,0,N427/M427-1)</f>
        <v>0.25968883837412138</v>
      </c>
      <c r="W427" s="17">
        <v>191351.31</v>
      </c>
      <c r="X427" s="17">
        <v>226635.3</v>
      </c>
      <c r="Y427" s="4">
        <f>X427/W427-1</f>
        <v>0.18439377289865422</v>
      </c>
      <c r="Z427" s="4"/>
      <c r="AA427">
        <v>24026</v>
      </c>
      <c r="AB427">
        <v>29854</v>
      </c>
      <c r="AD427" s="25">
        <v>0.26679999999999998</v>
      </c>
      <c r="AE427" s="25">
        <v>0.2707</v>
      </c>
    </row>
    <row r="428" spans="1:36" ht="15" customHeight="1">
      <c r="A428" s="39" t="s">
        <v>902</v>
      </c>
      <c r="B428" s="36" t="s">
        <v>903</v>
      </c>
      <c r="C428" s="27">
        <v>1169</v>
      </c>
      <c r="E428" s="36" t="s">
        <v>903</v>
      </c>
      <c r="F428" s="27">
        <v>3018</v>
      </c>
      <c r="G428" t="b">
        <f>IF(B428=E428,TRUE,FALSE)</f>
        <v>1</v>
      </c>
      <c r="J428" s="24">
        <f>F428-C428</f>
        <v>1849</v>
      </c>
      <c r="K428" s="4">
        <f>F428/C428-1</f>
        <v>1.5816937553464498</v>
      </c>
      <c r="M428" s="5">
        <v>3306.84</v>
      </c>
      <c r="N428" s="5">
        <v>7060.98</v>
      </c>
      <c r="Q428" s="121">
        <v>25411.55</v>
      </c>
      <c r="U428" s="145">
        <f>N428-M428</f>
        <v>3754.1399999999994</v>
      </c>
      <c r="V428" s="4">
        <f>IF(M428=0,0,N428/M428-1)</f>
        <v>1.1352650869107666</v>
      </c>
      <c r="W428" s="17">
        <v>23385.3</v>
      </c>
      <c r="X428" s="17">
        <v>52551.98</v>
      </c>
      <c r="Y428" s="4">
        <f>X428/W428-1</f>
        <v>1.2472228280158904</v>
      </c>
      <c r="Z428" s="4"/>
      <c r="AA428">
        <v>5907</v>
      </c>
      <c r="AB428">
        <v>15419</v>
      </c>
      <c r="AD428" s="25">
        <v>0.19739999999999999</v>
      </c>
      <c r="AE428" s="25">
        <v>0.1953</v>
      </c>
      <c r="AH428" t="s">
        <v>904</v>
      </c>
    </row>
    <row r="429" spans="1:36" ht="15" customHeight="1">
      <c r="A429" t="s">
        <v>905</v>
      </c>
      <c r="B429" t="s">
        <v>906</v>
      </c>
      <c r="C429" s="27">
        <v>7831</v>
      </c>
      <c r="E429" t="s">
        <v>906</v>
      </c>
      <c r="F429" s="27">
        <v>9874</v>
      </c>
      <c r="G429" t="b">
        <f>IF(B429=E429,TRUE,FALSE)</f>
        <v>1</v>
      </c>
      <c r="J429" s="24">
        <f>F429-C429</f>
        <v>2043</v>
      </c>
      <c r="K429" s="4">
        <f>F429/C429-1</f>
        <v>0.26088622142765927</v>
      </c>
      <c r="M429" s="5">
        <v>13388.06</v>
      </c>
      <c r="N429" s="5">
        <v>17392.099999999999</v>
      </c>
      <c r="Q429" s="122">
        <v>109579.7</v>
      </c>
      <c r="U429" s="145">
        <f>N429-M429</f>
        <v>4004.0399999999991</v>
      </c>
      <c r="V429" s="4">
        <f>IF(M429=0,0,N429/M429-1)</f>
        <v>0.29907544483666793</v>
      </c>
      <c r="W429" s="17">
        <v>273546.46999999997</v>
      </c>
      <c r="X429" s="17">
        <v>334578.55</v>
      </c>
      <c r="Y429" s="4">
        <f>X429/W429-1</f>
        <v>0.22311412024435939</v>
      </c>
      <c r="Z429" s="4"/>
      <c r="AA429">
        <v>45661</v>
      </c>
      <c r="AB429">
        <v>53745</v>
      </c>
      <c r="AD429" s="25">
        <v>0.17190000000000003</v>
      </c>
      <c r="AE429" s="25">
        <v>0.18289999999999998</v>
      </c>
    </row>
    <row r="430" spans="1:36" ht="15" customHeight="1">
      <c r="A430" s="39" t="s">
        <v>907</v>
      </c>
      <c r="B430" s="36" t="s">
        <v>908</v>
      </c>
      <c r="C430" s="27">
        <v>2498</v>
      </c>
      <c r="E430" s="36" t="s">
        <v>908</v>
      </c>
      <c r="F430" s="27">
        <v>4621</v>
      </c>
      <c r="G430" t="b">
        <f>IF(B430=E430,TRUE,FALSE)</f>
        <v>1</v>
      </c>
      <c r="J430" s="24">
        <f>F430-C430</f>
        <v>2123</v>
      </c>
      <c r="K430" s="4">
        <f>F430/C430-1</f>
        <v>0.84987990392313861</v>
      </c>
      <c r="M430" s="5">
        <v>4247.96</v>
      </c>
      <c r="N430" s="5">
        <v>7608.39</v>
      </c>
      <c r="Q430" s="122">
        <v>45501.43</v>
      </c>
      <c r="U430" s="145">
        <f>N430-M430</f>
        <v>3360.4300000000003</v>
      </c>
      <c r="V430" s="4">
        <f>IF(M430=0,0,N430/M430-1)</f>
        <v>0.79106912494467929</v>
      </c>
      <c r="W430" s="17">
        <v>62219.519999999997</v>
      </c>
      <c r="X430" s="17">
        <v>101355.3</v>
      </c>
      <c r="Y430" s="4">
        <f>X430/W430-1</f>
        <v>0.62899520922051488</v>
      </c>
      <c r="Z430" s="4"/>
      <c r="AA430">
        <v>14198</v>
      </c>
      <c r="AB430">
        <v>25946</v>
      </c>
      <c r="AD430" s="25">
        <v>0.17610000000000001</v>
      </c>
      <c r="AE430" s="25">
        <v>0.17760000000000001</v>
      </c>
    </row>
    <row r="431" spans="1:36" ht="15" customHeight="1">
      <c r="A431" s="39" t="s">
        <v>909</v>
      </c>
      <c r="B431" s="36" t="s">
        <v>910</v>
      </c>
      <c r="C431" s="27">
        <v>8693</v>
      </c>
      <c r="E431" s="36" t="s">
        <v>910</v>
      </c>
      <c r="F431" s="27">
        <v>10840</v>
      </c>
      <c r="G431" t="b">
        <f>IF(B431=E431,TRUE,FALSE)</f>
        <v>1</v>
      </c>
      <c r="J431" s="24">
        <f>F431-C431</f>
        <v>2147</v>
      </c>
      <c r="K431" s="4">
        <f>F431/C431-1</f>
        <v>0.24698032900034517</v>
      </c>
      <c r="M431" s="5">
        <v>24014.9</v>
      </c>
      <c r="N431" s="5">
        <v>30618.45</v>
      </c>
      <c r="Q431" s="121">
        <v>136215.91</v>
      </c>
      <c r="U431" s="145">
        <f>N431-M431</f>
        <v>6603.5499999999993</v>
      </c>
      <c r="V431" s="4">
        <f>IF(M431=0,0,N431/M431-1)</f>
        <v>0.2749772016539731</v>
      </c>
      <c r="W431" s="17">
        <v>234600.54</v>
      </c>
      <c r="X431" s="17">
        <v>292568.03999999998</v>
      </c>
      <c r="Y431" s="4">
        <f>X431/W431-1</f>
        <v>0.24709022408899806</v>
      </c>
      <c r="Z431" s="4"/>
      <c r="AA431">
        <v>27442</v>
      </c>
      <c r="AB431">
        <v>35371</v>
      </c>
      <c r="AD431" s="25">
        <v>0.31739999999999996</v>
      </c>
      <c r="AE431" s="25">
        <v>0.30499999999999999</v>
      </c>
    </row>
    <row r="432" spans="1:36" ht="15" customHeight="1">
      <c r="A432" s="39" t="s">
        <v>911</v>
      </c>
      <c r="B432" s="36" t="s">
        <v>912</v>
      </c>
      <c r="C432" s="18">
        <v>8486</v>
      </c>
      <c r="E432" s="36" t="s">
        <v>912</v>
      </c>
      <c r="F432" s="18">
        <v>10798</v>
      </c>
      <c r="G432" t="b">
        <f>IF(B432=E432,TRUE,FALSE)</f>
        <v>1</v>
      </c>
      <c r="J432" s="24">
        <f>F432-C432</f>
        <v>2312</v>
      </c>
      <c r="K432" s="4">
        <f>F432/C432-1</f>
        <v>0.27244873909969369</v>
      </c>
      <c r="M432" s="5">
        <v>9678.4800000000014</v>
      </c>
      <c r="N432" s="5">
        <v>11333.16</v>
      </c>
      <c r="Q432" s="121">
        <v>72447.73</v>
      </c>
      <c r="U432" s="145">
        <f>N432-M432</f>
        <v>1654.6799999999985</v>
      </c>
      <c r="V432" s="4">
        <f>IF(M432=0,0,N432/M432-1)</f>
        <v>0.17096486225109708</v>
      </c>
      <c r="W432">
        <v>211665.01</v>
      </c>
      <c r="X432">
        <v>269254.95</v>
      </c>
      <c r="Y432" s="4">
        <f>X432/W432-1</f>
        <v>0.27208058620553288</v>
      </c>
      <c r="Z432" s="4"/>
      <c r="AA432">
        <v>38767</v>
      </c>
      <c r="AB432">
        <v>47834</v>
      </c>
      <c r="AD432" s="25">
        <v>0.22020000000000001</v>
      </c>
      <c r="AE432" s="25">
        <v>0.22500000000000001</v>
      </c>
    </row>
    <row r="433" spans="1:34" ht="15" customHeight="1">
      <c r="A433" t="s">
        <v>913</v>
      </c>
      <c r="B433" t="s">
        <v>914</v>
      </c>
      <c r="C433" s="27">
        <v>3368</v>
      </c>
      <c r="E433" t="s">
        <v>914</v>
      </c>
      <c r="F433" s="27">
        <v>5788</v>
      </c>
      <c r="G433" t="b">
        <f>IF(B433=E433,TRUE,FALSE)</f>
        <v>1</v>
      </c>
      <c r="J433" s="24">
        <f>F433-C433</f>
        <v>2420</v>
      </c>
      <c r="K433" s="4">
        <f>F433/C433-1</f>
        <v>0.71852731591448937</v>
      </c>
      <c r="M433" s="5">
        <v>3194.71</v>
      </c>
      <c r="N433" s="5">
        <v>4759.25</v>
      </c>
      <c r="Q433" s="122">
        <v>36744.15</v>
      </c>
      <c r="U433" s="145">
        <f>N433-M433</f>
        <v>1564.54</v>
      </c>
      <c r="V433" s="4">
        <f>IF(M433=0,0,N433/M433-1)</f>
        <v>0.48972833214908396</v>
      </c>
      <c r="W433" s="17">
        <v>94072.14</v>
      </c>
      <c r="X433" s="17">
        <v>142149.22</v>
      </c>
      <c r="Y433" s="4">
        <f>X433/W433-1</f>
        <v>0.51106608183889524</v>
      </c>
      <c r="Z433" s="4"/>
      <c r="AA433">
        <v>11732</v>
      </c>
      <c r="AB433">
        <v>23142</v>
      </c>
      <c r="AD433" s="25">
        <v>0.2878</v>
      </c>
      <c r="AE433" s="25">
        <v>0.24879999999999999</v>
      </c>
    </row>
    <row r="434" spans="1:34" ht="15" customHeight="1">
      <c r="A434" s="171" t="s">
        <v>915</v>
      </c>
      <c r="B434" s="170" t="s">
        <v>916</v>
      </c>
      <c r="C434" s="27">
        <v>193</v>
      </c>
      <c r="E434" s="170" t="s">
        <v>916</v>
      </c>
      <c r="F434" s="27">
        <v>2619</v>
      </c>
      <c r="G434" t="b">
        <f>IF(B434=E434,TRUE,FALSE)</f>
        <v>1</v>
      </c>
      <c r="J434" s="24">
        <f>F434-C434</f>
        <v>2426</v>
      </c>
      <c r="K434" s="4">
        <f>F434/C434-1</f>
        <v>12.569948186528498</v>
      </c>
      <c r="M434" s="5">
        <v>697.56</v>
      </c>
      <c r="N434" s="5">
        <v>2289.79</v>
      </c>
      <c r="Q434" s="122">
        <v>16930.37</v>
      </c>
      <c r="U434" s="145">
        <f>N434-M434</f>
        <v>1592.23</v>
      </c>
      <c r="V434" s="4">
        <f>IF(M434=0,0,N434/M434-1)</f>
        <v>2.2825706749240209</v>
      </c>
      <c r="W434" s="17">
        <v>5787.47</v>
      </c>
      <c r="X434" s="17">
        <v>73039.41</v>
      </c>
      <c r="Y434" s="4">
        <f>X434/W434-1</f>
        <v>11.620265850190153</v>
      </c>
      <c r="Z434" s="4"/>
      <c r="AA434">
        <v>1360</v>
      </c>
      <c r="AB434">
        <v>15986</v>
      </c>
      <c r="AD434" s="25">
        <v>0.1419</v>
      </c>
      <c r="AE434" s="25">
        <v>0.1638</v>
      </c>
      <c r="AH434" t="s">
        <v>917</v>
      </c>
    </row>
    <row r="435" spans="1:34" ht="15" customHeight="1">
      <c r="A435" t="s">
        <v>918</v>
      </c>
      <c r="B435" t="s">
        <v>919</v>
      </c>
      <c r="C435" s="27">
        <v>1785</v>
      </c>
      <c r="E435" t="s">
        <v>919</v>
      </c>
      <c r="F435" s="27">
        <v>4325</v>
      </c>
      <c r="G435" t="b">
        <f>IF(B435=E435,TRUE,FALSE)</f>
        <v>1</v>
      </c>
      <c r="J435" s="24">
        <f>F435-C435</f>
        <v>2540</v>
      </c>
      <c r="K435" s="4">
        <f>F435/C435-1</f>
        <v>1.4229691876750699</v>
      </c>
      <c r="M435" s="5">
        <v>2317.4899999999998</v>
      </c>
      <c r="N435" s="5">
        <v>6779.89</v>
      </c>
      <c r="Q435" s="122">
        <v>55287.65</v>
      </c>
      <c r="U435" s="145">
        <f>N435-M435</f>
        <v>4462.4000000000005</v>
      </c>
      <c r="V435" s="4">
        <f>IF(M435=0,0,N435/M435-1)</f>
        <v>1.9255315017540533</v>
      </c>
      <c r="W435" s="17">
        <v>53462.47</v>
      </c>
      <c r="X435" s="17">
        <v>119481.61</v>
      </c>
      <c r="Y435" s="4">
        <f>X435/W435-1</f>
        <v>1.2348688715654177</v>
      </c>
      <c r="Z435" s="4"/>
      <c r="AA435">
        <v>11570</v>
      </c>
      <c r="AB435">
        <v>25603</v>
      </c>
      <c r="AD435" s="25">
        <v>0.1545</v>
      </c>
      <c r="AE435" s="25">
        <v>0.16879999999999998</v>
      </c>
      <c r="AH435" t="s">
        <v>920</v>
      </c>
    </row>
    <row r="436" spans="1:34" ht="15" customHeight="1">
      <c r="A436" t="s">
        <v>921</v>
      </c>
      <c r="B436" t="s">
        <v>922</v>
      </c>
      <c r="C436" s="27">
        <v>2155</v>
      </c>
      <c r="E436" t="s">
        <v>922</v>
      </c>
      <c r="F436" s="27">
        <v>4902</v>
      </c>
      <c r="G436" t="b">
        <f>IF(B436=E436,TRUE,FALSE)</f>
        <v>1</v>
      </c>
      <c r="J436" s="24">
        <f>F436-C436</f>
        <v>2747</v>
      </c>
      <c r="K436" s="4">
        <f>F436/C436-1</f>
        <v>1.2747099767981438</v>
      </c>
      <c r="M436" s="5">
        <v>861.03</v>
      </c>
      <c r="N436" s="5">
        <v>1030.28</v>
      </c>
      <c r="Q436" s="122">
        <v>34497.22</v>
      </c>
      <c r="U436" s="145">
        <f>N436-M436</f>
        <v>169.25</v>
      </c>
      <c r="V436" s="4">
        <f>IF(M436=0,0,N436/M436-1)</f>
        <v>0.19656690243080965</v>
      </c>
      <c r="W436" s="17">
        <v>85953.85</v>
      </c>
      <c r="X436" s="17">
        <v>182393.37</v>
      </c>
      <c r="Y436" s="4">
        <f>X436/W436-1</f>
        <v>1.1219918595851142</v>
      </c>
      <c r="Z436" s="4"/>
      <c r="AA436">
        <v>8412</v>
      </c>
      <c r="AB436">
        <v>8061</v>
      </c>
      <c r="AD436" s="25">
        <v>0.2581</v>
      </c>
      <c r="AE436" s="25">
        <v>0.54780000000000006</v>
      </c>
    </row>
    <row r="437" spans="1:34" ht="15" customHeight="1">
      <c r="A437" s="39" t="s">
        <v>923</v>
      </c>
      <c r="B437" s="36" t="s">
        <v>924</v>
      </c>
      <c r="C437" s="18">
        <v>8187</v>
      </c>
      <c r="E437" s="36" t="s">
        <v>924</v>
      </c>
      <c r="F437" s="18">
        <v>10972</v>
      </c>
      <c r="G437" t="b">
        <f>IF(B437=E437,TRUE,FALSE)</f>
        <v>1</v>
      </c>
      <c r="J437" s="24">
        <f>F437-C437</f>
        <v>2785</v>
      </c>
      <c r="K437" s="4">
        <f>F437/C437-1</f>
        <v>0.34017344570660812</v>
      </c>
      <c r="M437" s="5">
        <v>12345.07</v>
      </c>
      <c r="N437" s="5">
        <v>19616.89</v>
      </c>
      <c r="Q437" s="121">
        <v>87340</v>
      </c>
      <c r="U437" s="145">
        <f>N437-M437</f>
        <v>7271.82</v>
      </c>
      <c r="V437" s="4">
        <f>IF(M437=0,0,N437/M437-1)</f>
        <v>0.5890464776627431</v>
      </c>
      <c r="W437">
        <v>204190.18</v>
      </c>
      <c r="X437">
        <v>257886.97</v>
      </c>
      <c r="Y437" s="4">
        <f>X437/W437-1</f>
        <v>0.26297439965036529</v>
      </c>
      <c r="Z437" s="4"/>
      <c r="AA437">
        <v>32361</v>
      </c>
      <c r="AB437">
        <v>39473</v>
      </c>
      <c r="AD437" s="25">
        <v>0.25319999999999998</v>
      </c>
      <c r="AE437" s="25">
        <v>0.27750000000000002</v>
      </c>
    </row>
    <row r="438" spans="1:34" ht="15" customHeight="1">
      <c r="A438" t="s">
        <v>925</v>
      </c>
      <c r="B438" t="s">
        <v>926</v>
      </c>
      <c r="C438" s="27">
        <v>7307</v>
      </c>
      <c r="E438" t="s">
        <v>926</v>
      </c>
      <c r="F438" s="27">
        <v>10241</v>
      </c>
      <c r="G438" t="b">
        <f>IF(B438=E438,TRUE,FALSE)</f>
        <v>1</v>
      </c>
      <c r="J438" s="24">
        <f>F438-C438</f>
        <v>2934</v>
      </c>
      <c r="K438" s="4">
        <f>F438/C438-1</f>
        <v>0.40153277678938015</v>
      </c>
      <c r="M438" s="5">
        <v>13908.19</v>
      </c>
      <c r="N438" s="5">
        <v>23075.47</v>
      </c>
      <c r="Q438" s="122">
        <v>136810.79999999999</v>
      </c>
      <c r="U438" s="145">
        <f>N438-M438</f>
        <v>9167.2800000000007</v>
      </c>
      <c r="V438" s="4">
        <f>IF(M438=0,0,N438/M438-1)</f>
        <v>0.65912818274700014</v>
      </c>
      <c r="W438" s="17">
        <v>254088.85</v>
      </c>
      <c r="X438" s="17">
        <v>357502.95</v>
      </c>
      <c r="Y438" s="4">
        <f>X438/W438-1</f>
        <v>0.40699975618764861</v>
      </c>
      <c r="Z438" s="4"/>
      <c r="AA438">
        <v>35072</v>
      </c>
      <c r="AB438">
        <v>45304</v>
      </c>
      <c r="AD438" s="25">
        <v>0.20809999999999998</v>
      </c>
      <c r="AE438" s="25">
        <v>0.22570000000000001</v>
      </c>
      <c r="AH438" t="s">
        <v>927</v>
      </c>
    </row>
    <row r="439" spans="1:34" ht="15" customHeight="1">
      <c r="A439" s="126" t="s">
        <v>928</v>
      </c>
      <c r="B439" s="126" t="s">
        <v>929</v>
      </c>
      <c r="C439" s="27">
        <v>9620</v>
      </c>
      <c r="E439" s="126" t="s">
        <v>929</v>
      </c>
      <c r="F439" s="27">
        <v>13322</v>
      </c>
      <c r="G439" t="b">
        <f>IF(B439=E439,TRUE,FALSE)</f>
        <v>1</v>
      </c>
      <c r="J439" s="24">
        <f>F439-C439</f>
        <v>3702</v>
      </c>
      <c r="K439" s="4">
        <f>F439/C439-1</f>
        <v>0.38482328482328487</v>
      </c>
      <c r="M439" s="5">
        <v>18460.36</v>
      </c>
      <c r="N439" s="5">
        <v>26448.91</v>
      </c>
      <c r="Q439" s="121">
        <v>198347.47</v>
      </c>
      <c r="U439" s="145">
        <f>N439-M439</f>
        <v>7988.5499999999993</v>
      </c>
      <c r="V439" s="4">
        <f>IF(M439=0,0,N439/M439-1)</f>
        <v>0.4327407482844321</v>
      </c>
      <c r="W439" s="17">
        <v>336219</v>
      </c>
      <c r="X439" s="17">
        <v>436854.03</v>
      </c>
      <c r="Y439" s="4">
        <f>X439/W439-1</f>
        <v>0.29931392931392931</v>
      </c>
      <c r="Z439" s="4"/>
      <c r="AA439">
        <v>54016</v>
      </c>
      <c r="AB439">
        <v>70219</v>
      </c>
      <c r="AD439" s="25">
        <v>0.1782</v>
      </c>
      <c r="AE439" s="25">
        <v>0.18960000000000002</v>
      </c>
    </row>
    <row r="440" spans="1:34" ht="15" customHeight="1">
      <c r="A440" t="s">
        <v>930</v>
      </c>
      <c r="B440" t="s">
        <v>931</v>
      </c>
      <c r="C440" s="27">
        <v>6558</v>
      </c>
      <c r="E440" t="s">
        <v>931</v>
      </c>
      <c r="F440" s="27">
        <v>10443</v>
      </c>
      <c r="G440" t="b">
        <f>IF(B440=E440,TRUE,FALSE)</f>
        <v>1</v>
      </c>
      <c r="J440" s="24">
        <f>F440-C440</f>
        <v>3885</v>
      </c>
      <c r="K440" s="4">
        <f>F440/C440-1</f>
        <v>0.59240622140896604</v>
      </c>
      <c r="M440" s="5">
        <v>3183.57</v>
      </c>
      <c r="N440" s="5">
        <v>10428.77</v>
      </c>
      <c r="Q440" s="122">
        <v>95787.66</v>
      </c>
      <c r="U440" s="145">
        <f>N440-M440</f>
        <v>7245.2000000000007</v>
      </c>
      <c r="V440" s="4">
        <f>IF(M440=0,0,N440/M440-1)</f>
        <v>2.2758098612563882</v>
      </c>
      <c r="W440" s="17">
        <v>163862.92000000001</v>
      </c>
      <c r="X440" s="17">
        <v>260113.33</v>
      </c>
      <c r="Y440" s="4">
        <f>X440/W440-1</f>
        <v>0.58738371072601403</v>
      </c>
      <c r="Z440" s="4"/>
      <c r="AA440">
        <v>39444</v>
      </c>
      <c r="AB440">
        <v>63626</v>
      </c>
      <c r="AD440" s="25">
        <v>0.1663</v>
      </c>
      <c r="AE440" s="25">
        <v>0.1638</v>
      </c>
    </row>
    <row r="441" spans="1:34" ht="15" customHeight="1">
      <c r="A441" t="s">
        <v>932</v>
      </c>
      <c r="B441" t="s">
        <v>933</v>
      </c>
      <c r="C441" s="27">
        <v>31584</v>
      </c>
      <c r="E441" t="s">
        <v>933</v>
      </c>
      <c r="F441" s="27">
        <v>35864</v>
      </c>
      <c r="G441" t="b">
        <f>IF(B441=E441,TRUE,FALSE)</f>
        <v>1</v>
      </c>
      <c r="J441" s="24">
        <f>F441-C441</f>
        <v>4280</v>
      </c>
      <c r="K441" s="4">
        <f>F441/C441-1</f>
        <v>0.13551165146909838</v>
      </c>
      <c r="M441" s="5">
        <v>55127.03</v>
      </c>
      <c r="N441" s="5">
        <v>71193.69</v>
      </c>
      <c r="Q441" s="122">
        <v>472126.29</v>
      </c>
      <c r="U441" s="145">
        <f>N441-M441</f>
        <v>16066.660000000003</v>
      </c>
      <c r="V441" s="4">
        <f>IF(M441=0,0,N441/M441-1)</f>
        <v>0.29144795212076557</v>
      </c>
      <c r="W441" s="17">
        <v>1102238.96</v>
      </c>
      <c r="X441" s="17">
        <v>1174623.73</v>
      </c>
      <c r="Y441" s="4">
        <f>X441/W441-1</f>
        <v>6.5670669089758826E-2</v>
      </c>
      <c r="Z441" s="4"/>
      <c r="AA441">
        <v>127390</v>
      </c>
      <c r="AB441">
        <v>138596</v>
      </c>
      <c r="AD441" s="25">
        <v>0.2487</v>
      </c>
      <c r="AE441" s="25">
        <v>0.25769999999999998</v>
      </c>
    </row>
    <row r="442" spans="1:34" ht="15" customHeight="1">
      <c r="A442" t="s">
        <v>934</v>
      </c>
      <c r="B442" t="s">
        <v>935</v>
      </c>
      <c r="C442" s="27">
        <v>23415</v>
      </c>
      <c r="E442" t="s">
        <v>935</v>
      </c>
      <c r="F442" s="27">
        <v>30658</v>
      </c>
      <c r="G442" t="b">
        <f>IF(B442=E442,TRUE,FALSE)</f>
        <v>1</v>
      </c>
      <c r="J442" s="24">
        <f>F442-C442</f>
        <v>7243</v>
      </c>
      <c r="K442" s="4">
        <f>F442/C442-1</f>
        <v>0.3093316250266922</v>
      </c>
      <c r="M442" s="5">
        <v>46514.54</v>
      </c>
      <c r="N442" s="5">
        <v>53427.89</v>
      </c>
      <c r="Q442" s="122">
        <v>307172.03000000003</v>
      </c>
      <c r="U442" s="145">
        <f>N442-M442</f>
        <v>6913.3499999999985</v>
      </c>
      <c r="V442" s="4">
        <f>IF(M442=0,0,N442/M442-1)</f>
        <v>0.14862771941848707</v>
      </c>
      <c r="W442" s="17">
        <v>1168253.92</v>
      </c>
      <c r="X442" s="17">
        <v>1416035.82</v>
      </c>
      <c r="Y442" s="4">
        <f>X442/W442-1</f>
        <v>0.21209592859744064</v>
      </c>
      <c r="Z442" s="4"/>
      <c r="AA442">
        <v>120591</v>
      </c>
      <c r="AB442">
        <v>142264</v>
      </c>
      <c r="AD442" s="25">
        <v>0.19510000000000002</v>
      </c>
      <c r="AE442" s="25">
        <v>0.21410000000000001</v>
      </c>
      <c r="AG442" t="s">
        <v>936</v>
      </c>
    </row>
    <row r="443" spans="1:34" ht="15" customHeight="1">
      <c r="A443" s="39"/>
      <c r="B443" s="36"/>
      <c r="E443" s="36"/>
      <c r="U443" s="145"/>
    </row>
    <row r="444" spans="1:34" ht="15" customHeight="1">
      <c r="A444" s="39"/>
      <c r="B444" s="36"/>
      <c r="E444" s="36"/>
      <c r="U444" s="145"/>
    </row>
    <row r="445" spans="1:34" ht="15" customHeight="1">
      <c r="C445" s="3" t="s">
        <v>937</v>
      </c>
      <c r="D445" s="3"/>
      <c r="E445" s="3"/>
      <c r="F445" s="3" t="s">
        <v>937</v>
      </c>
      <c r="G445" s="3"/>
      <c r="H445" s="3"/>
      <c r="I445" s="3"/>
      <c r="J445" s="3" t="s">
        <v>938</v>
      </c>
      <c r="K445" s="30"/>
      <c r="L445" s="3"/>
      <c r="M445" s="32" t="s">
        <v>939</v>
      </c>
      <c r="N445" s="32" t="s">
        <v>939</v>
      </c>
      <c r="O445" s="3"/>
      <c r="Q445" s="32" t="s">
        <v>940</v>
      </c>
      <c r="R445" s="3"/>
      <c r="U445" s="146" t="s">
        <v>941</v>
      </c>
      <c r="V445" s="3"/>
      <c r="W445" s="34" t="s">
        <v>3</v>
      </c>
      <c r="X445" s="34" t="s">
        <v>3</v>
      </c>
      <c r="Y445" s="34"/>
      <c r="Z445" s="34"/>
    </row>
    <row r="446" spans="1:34" ht="15" customHeight="1">
      <c r="A446" s="19"/>
      <c r="C446" s="24">
        <f>SUM(C3:C442)</f>
        <v>904348</v>
      </c>
      <c r="F446" s="24">
        <f>SUM(F3:F442)</f>
        <v>1009660</v>
      </c>
      <c r="J446" s="24">
        <f>SUM(J3:J442)</f>
        <v>105312</v>
      </c>
      <c r="M446" s="17">
        <f>SUM(M3:M442)</f>
        <v>1503979.7200000009</v>
      </c>
      <c r="N446" s="17">
        <f>SUM(N3:N442)</f>
        <v>1795243.3099999989</v>
      </c>
      <c r="Q446" s="17">
        <f>SUM(Q3:Q442)</f>
        <v>10346000.029999996</v>
      </c>
      <c r="U446" s="147">
        <f>N446-M446</f>
        <v>291263.58999999799</v>
      </c>
      <c r="V446" s="4">
        <f>IF(M446=0,0,N446/M446-1)</f>
        <v>0.19366191320717929</v>
      </c>
      <c r="W446" s="29">
        <f>SUM(W3:W442)</f>
        <v>25800756.430000007</v>
      </c>
      <c r="X446" s="29">
        <f>SUM(X3:X442)</f>
        <v>28379723.339999996</v>
      </c>
      <c r="Y446" s="30">
        <f>X446/W446-1</f>
        <v>9.9957027112634433E-2</v>
      </c>
      <c r="Z446" s="30"/>
    </row>
    <row r="448" spans="1:34" ht="15" customHeight="1">
      <c r="F448" s="18">
        <f>F446-C446</f>
        <v>105312</v>
      </c>
      <c r="N448" s="32" t="s">
        <v>942</v>
      </c>
      <c r="Q448" s="25">
        <f>N446/Q446</f>
        <v>0.17352052047113706</v>
      </c>
      <c r="W448" s="3" t="s">
        <v>943</v>
      </c>
      <c r="X448" s="3" t="s">
        <v>943</v>
      </c>
    </row>
    <row r="449" spans="6:24" ht="15" customHeight="1">
      <c r="F449" s="4">
        <f>F446/C446-1</f>
        <v>0.11645074683639489</v>
      </c>
      <c r="W449" s="31">
        <f>M446/W446</f>
        <v>5.8292078531900646E-2</v>
      </c>
      <c r="X449" s="31">
        <f>N446/X446</f>
        <v>6.3257956692963274E-2</v>
      </c>
    </row>
    <row r="452" spans="6:24" ht="15" customHeight="1">
      <c r="W452" s="34"/>
      <c r="X452" s="34"/>
    </row>
    <row r="453" spans="6:24" ht="15" customHeight="1">
      <c r="V453" s="3"/>
      <c r="W453" s="29"/>
      <c r="X453" s="29"/>
    </row>
    <row r="454" spans="6:24" ht="15" customHeight="1">
      <c r="V454" s="3"/>
    </row>
    <row r="455" spans="6:24" ht="15" customHeight="1">
      <c r="V455" s="3"/>
    </row>
    <row r="459" spans="6:24" ht="15" customHeight="1">
      <c r="W459" s="3"/>
      <c r="X459" s="3"/>
    </row>
  </sheetData>
  <autoFilter ref="A2:AK2" xr:uid="{00000000-0001-0000-0000-000000000000}"/>
  <sortState xmlns:xlrd2="http://schemas.microsoft.com/office/spreadsheetml/2017/richdata2" ref="J3:K214">
    <sortCondition descending="1" ref="J3:J214"/>
  </sortState>
  <mergeCells count="8">
    <mergeCell ref="AA1:AB1"/>
    <mergeCell ref="AD1:AE1"/>
    <mergeCell ref="W1:X1"/>
    <mergeCell ref="U1:V1"/>
    <mergeCell ref="B1:C1"/>
    <mergeCell ref="J1:K1"/>
    <mergeCell ref="M1:N1"/>
    <mergeCell ref="E1:F1"/>
  </mergeCells>
  <phoneticPr fontId="3" type="noConversion"/>
  <conditionalFormatting sqref="D166 H166:I166 L166 O166:P166 R166:T166 J445:J449 J453:J1048576 J2:J442">
    <cfRule type="cellIs" dxfId="43" priority="23" operator="greaterThan">
      <formula>500</formula>
    </cfRule>
  </conditionalFormatting>
  <conditionalFormatting sqref="J3:J442">
    <cfRule type="cellIs" dxfId="42" priority="29" operator="lessThan">
      <formula>-100</formula>
    </cfRule>
  </conditionalFormatting>
  <conditionalFormatting sqref="J445">
    <cfRule type="cellIs" dxfId="41" priority="2" operator="lessThan">
      <formula>-100</formula>
    </cfRule>
  </conditionalFormatting>
  <conditionalFormatting sqref="K445:K1048576 K3:K442">
    <cfRule type="cellIs" dxfId="40" priority="3" operator="lessThan">
      <formula>-0.2</formula>
    </cfRule>
  </conditionalFormatting>
  <conditionalFormatting sqref="K3:K442">
    <cfRule type="cellIs" dxfId="39" priority="15" operator="lessThan">
      <formula>-10%</formula>
    </cfRule>
    <cfRule type="cellIs" dxfId="38" priority="46" operator="greaterThan">
      <formula>0.2</formula>
    </cfRule>
  </conditionalFormatting>
  <conditionalFormatting sqref="K445">
    <cfRule type="cellIs" dxfId="37" priority="5" operator="greaterThan">
      <formula>0.2</formula>
    </cfRule>
  </conditionalFormatting>
  <conditionalFormatting sqref="V446 V3:V442">
    <cfRule type="cellIs" dxfId="36" priority="14" operator="greaterThan">
      <formula>0.5</formula>
    </cfRule>
  </conditionalFormatting>
  <conditionalFormatting sqref="Y3:Z440 Y441:Y442">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446:Z446">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N232"/>
  <sheetViews>
    <sheetView zoomScale="85" zoomScaleNormal="85" workbookViewId="0">
      <pane xSplit="2" ySplit="2" topLeftCell="M3" activePane="bottomRight" state="frozen"/>
      <selection pane="bottomRight" activeCell="A12" sqref="A12"/>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21" customWidth="1"/>
    <col min="18" max="19" width="0.85546875" customWidth="1"/>
    <col min="20" max="20" width="11.85546875" style="101" bestFit="1" customWidth="1"/>
    <col min="22" max="22" width="0.85546875" customWidth="1"/>
    <col min="23" max="24" width="7" hidden="1" customWidth="1"/>
    <col min="25" max="25" width="13.7109375" hidden="1" customWidth="1"/>
    <col min="26" max="26" width="7.42578125" style="13" hidden="1" customWidth="1"/>
    <col min="27" max="28" width="13.28515625" customWidth="1"/>
    <col min="30" max="30" width="4.28515625" customWidth="1"/>
    <col min="31" max="31" width="11.5703125" customWidth="1"/>
    <col min="32" max="32" width="12.28515625" customWidth="1"/>
    <col min="33" max="33" width="4" customWidth="1"/>
    <col min="34" max="34" width="12" customWidth="1"/>
    <col min="35" max="35" width="10.5703125" customWidth="1"/>
    <col min="36" max="36" width="12" customWidth="1"/>
  </cols>
  <sheetData>
    <row r="1" spans="1:39">
      <c r="B1" s="194">
        <v>46054</v>
      </c>
      <c r="C1" s="195"/>
      <c r="E1" s="194">
        <v>46082</v>
      </c>
      <c r="F1" s="195"/>
      <c r="J1" s="196"/>
      <c r="K1" s="196"/>
      <c r="M1" s="198" t="s">
        <v>0</v>
      </c>
      <c r="N1" s="198"/>
      <c r="O1" s="1"/>
      <c r="Q1" s="120" t="s">
        <v>1</v>
      </c>
      <c r="R1" s="1"/>
      <c r="T1" s="195" t="s">
        <v>2</v>
      </c>
      <c r="U1" s="195"/>
      <c r="W1" s="196" t="s">
        <v>944</v>
      </c>
      <c r="X1" s="196"/>
      <c r="Y1" s="196"/>
      <c r="Z1" s="196"/>
      <c r="AA1" s="195" t="s">
        <v>3</v>
      </c>
      <c r="AB1" s="195"/>
      <c r="AE1" s="195" t="s">
        <v>4</v>
      </c>
      <c r="AF1" s="195"/>
      <c r="AG1" s="2"/>
      <c r="AH1" s="195" t="s">
        <v>5</v>
      </c>
      <c r="AI1" s="195"/>
    </row>
    <row r="2" spans="1:39">
      <c r="A2" t="s">
        <v>6</v>
      </c>
      <c r="B2" s="3" t="s">
        <v>7</v>
      </c>
      <c r="C2" s="3" t="s">
        <v>8</v>
      </c>
      <c r="D2" s="3"/>
      <c r="E2" s="3" t="s">
        <v>7</v>
      </c>
      <c r="F2" s="3" t="s">
        <v>8</v>
      </c>
      <c r="G2" s="3" t="s">
        <v>9</v>
      </c>
      <c r="H2" s="3"/>
      <c r="I2" s="3"/>
      <c r="J2" s="3" t="s">
        <v>945</v>
      </c>
      <c r="K2" s="3" t="s">
        <v>11</v>
      </c>
      <c r="L2" s="3"/>
      <c r="M2" s="3" t="s">
        <v>16</v>
      </c>
      <c r="N2" s="3" t="s">
        <v>17</v>
      </c>
      <c r="O2" s="3"/>
      <c r="P2" s="3"/>
      <c r="Q2" s="123" t="s">
        <v>14</v>
      </c>
      <c r="R2" s="3"/>
      <c r="S2" s="3"/>
      <c r="T2" s="142" t="s">
        <v>15</v>
      </c>
      <c r="U2" s="3" t="s">
        <v>11</v>
      </c>
      <c r="V2" s="3"/>
      <c r="W2" s="3" t="s">
        <v>20</v>
      </c>
      <c r="X2" s="3" t="s">
        <v>18</v>
      </c>
      <c r="Y2" s="3" t="s">
        <v>946</v>
      </c>
      <c r="Z2" s="143" t="s">
        <v>947</v>
      </c>
      <c r="AA2" s="3" t="s">
        <v>16</v>
      </c>
      <c r="AB2" s="3" t="s">
        <v>17</v>
      </c>
      <c r="AC2" s="3" t="s">
        <v>11</v>
      </c>
      <c r="AE2" s="3" t="s">
        <v>948</v>
      </c>
      <c r="AF2" s="3" t="s">
        <v>16</v>
      </c>
      <c r="AG2" s="3"/>
      <c r="AH2" s="3" t="s">
        <v>948</v>
      </c>
      <c r="AI2" s="3" t="s">
        <v>16</v>
      </c>
      <c r="AJ2" t="s">
        <v>19</v>
      </c>
      <c r="AK2" t="s">
        <v>18</v>
      </c>
      <c r="AL2" t="s">
        <v>21</v>
      </c>
    </row>
    <row r="3" spans="1:39" ht="13.5" customHeight="1">
      <c r="A3" s="26" t="s">
        <v>949</v>
      </c>
      <c r="B3" s="26" t="s">
        <v>950</v>
      </c>
      <c r="C3" s="18">
        <v>8913</v>
      </c>
      <c r="E3" s="26" t="s">
        <v>950</v>
      </c>
      <c r="F3" s="18">
        <v>7085</v>
      </c>
      <c r="G3" t="b">
        <f>IF(B3=E3,TRUE,FALSE)</f>
        <v>1</v>
      </c>
      <c r="J3" s="24">
        <f>F3-C3</f>
        <v>-1828</v>
      </c>
      <c r="K3" s="4">
        <f>F3/C3-1</f>
        <v>-0.20509368338382139</v>
      </c>
      <c r="M3" s="5">
        <v>11490.87</v>
      </c>
      <c r="N3" s="5">
        <v>12253.31</v>
      </c>
      <c r="Q3" s="122">
        <v>58163.13</v>
      </c>
      <c r="T3" s="99">
        <f>N3-M3</f>
        <v>762.43999999999869</v>
      </c>
      <c r="U3" s="4">
        <f>IF(M3=0,0,N3/M3-1)</f>
        <v>6.6351808000612467E-2</v>
      </c>
      <c r="AA3">
        <v>212428.42</v>
      </c>
      <c r="AB3">
        <v>177533.28</v>
      </c>
      <c r="AC3" s="4">
        <f>AB3/AA3-1</f>
        <v>-0.16426775664009563</v>
      </c>
      <c r="AE3">
        <v>28208</v>
      </c>
      <c r="AF3">
        <v>21170</v>
      </c>
      <c r="AH3" s="25">
        <v>0.31620000000000004</v>
      </c>
      <c r="AI3" s="25">
        <v>0.33340000000000003</v>
      </c>
      <c r="AK3" t="s">
        <v>951</v>
      </c>
    </row>
    <row r="4" spans="1:39" ht="13.9" customHeight="1">
      <c r="A4" s="39" t="s">
        <v>952</v>
      </c>
      <c r="B4" s="36" t="s">
        <v>953</v>
      </c>
      <c r="C4">
        <v>2732</v>
      </c>
      <c r="E4" s="36" t="s">
        <v>953</v>
      </c>
      <c r="F4">
        <v>1339</v>
      </c>
      <c r="G4" t="b">
        <f>IF(B4=E4,TRUE,FALSE)</f>
        <v>1</v>
      </c>
      <c r="J4" s="24">
        <f>F4-C4</f>
        <v>-1393</v>
      </c>
      <c r="K4" s="4">
        <f>F4/C4-1</f>
        <v>-0.50988286969253294</v>
      </c>
      <c r="M4" s="5">
        <v>3311.84</v>
      </c>
      <c r="N4" s="5">
        <v>4428.4399999999996</v>
      </c>
      <c r="Q4" s="122">
        <v>11667.14</v>
      </c>
      <c r="T4" s="99">
        <f>N4-M4</f>
        <v>1116.5999999999995</v>
      </c>
      <c r="U4" s="4">
        <f>IF(M4=0,0,N4/M4-1)</f>
        <v>0.33715396879076276</v>
      </c>
      <c r="AA4">
        <v>48865.63</v>
      </c>
      <c r="AB4">
        <v>32064.25</v>
      </c>
      <c r="AC4" s="4">
        <f>AB4/AA4-1</f>
        <v>-0.34382816715961706</v>
      </c>
      <c r="AE4">
        <v>15845</v>
      </c>
      <c r="AF4">
        <v>11814</v>
      </c>
      <c r="AH4" s="25">
        <v>0.17219999999999999</v>
      </c>
      <c r="AI4" s="25">
        <v>0.11310000000000001</v>
      </c>
      <c r="AJ4" t="s">
        <v>954</v>
      </c>
    </row>
    <row r="5" spans="1:39" ht="14.25" customHeight="1">
      <c r="A5" s="125" t="s">
        <v>955</v>
      </c>
      <c r="B5" s="36" t="s">
        <v>956</v>
      </c>
      <c r="C5">
        <v>3872</v>
      </c>
      <c r="E5" s="36" t="s">
        <v>956</v>
      </c>
      <c r="F5">
        <v>3065</v>
      </c>
      <c r="G5" t="b">
        <f>IF(B5=E5,TRUE,FALSE)</f>
        <v>1</v>
      </c>
      <c r="J5" s="24">
        <f>F5-C5</f>
        <v>-807</v>
      </c>
      <c r="K5" s="4">
        <f>F5/C5-1</f>
        <v>-0.20841942148760328</v>
      </c>
      <c r="M5" s="116">
        <v>10187.84</v>
      </c>
      <c r="N5" s="116">
        <v>5846.97</v>
      </c>
      <c r="Q5" s="122">
        <v>23810.63</v>
      </c>
      <c r="T5" s="99">
        <f>N5-M5</f>
        <v>-4340.87</v>
      </c>
      <c r="U5" s="4">
        <f>IF(M5=0,0,N5/M5-1)</f>
        <v>-0.4260834485033137</v>
      </c>
      <c r="AA5">
        <v>98102.12</v>
      </c>
      <c r="AB5">
        <v>81147.12</v>
      </c>
      <c r="AC5" s="4">
        <f>AB5/AA5-1</f>
        <v>-0.17283010805474952</v>
      </c>
      <c r="AE5">
        <v>18728</v>
      </c>
      <c r="AF5">
        <v>10552</v>
      </c>
      <c r="AH5" s="25">
        <v>0.20699999999999999</v>
      </c>
      <c r="AI5" s="25">
        <v>0.28670000000000001</v>
      </c>
      <c r="AK5" t="s">
        <v>957</v>
      </c>
    </row>
    <row r="6" spans="1:39" ht="13.9" customHeight="1">
      <c r="A6" s="136" t="s">
        <v>958</v>
      </c>
      <c r="B6" s="26" t="s">
        <v>959</v>
      </c>
      <c r="C6" s="18">
        <v>1318</v>
      </c>
      <c r="E6" s="26" t="s">
        <v>959</v>
      </c>
      <c r="F6" s="18">
        <v>555</v>
      </c>
      <c r="G6" t="b">
        <f>IF(B6=E6,TRUE,FALSE)</f>
        <v>1</v>
      </c>
      <c r="J6" s="24">
        <f>F6-C6</f>
        <v>-763</v>
      </c>
      <c r="K6" s="4">
        <f>F6/C6-1</f>
        <v>-0.578907435508346</v>
      </c>
      <c r="M6" s="5">
        <v>1390.92</v>
      </c>
      <c r="N6" s="5">
        <v>484.25</v>
      </c>
      <c r="Q6" s="122">
        <v>2054.1</v>
      </c>
      <c r="T6" s="99">
        <f>N6-M6</f>
        <v>-906.67000000000007</v>
      </c>
      <c r="U6" s="4">
        <f>IF(M6=0,0,N6/M6-1)</f>
        <v>-0.65184913582377135</v>
      </c>
      <c r="AA6">
        <v>25066.16</v>
      </c>
      <c r="AB6">
        <v>12203.57</v>
      </c>
      <c r="AC6" s="4">
        <f>AB6/AA6-1</f>
        <v>-0.51314561145384863</v>
      </c>
      <c r="AE6">
        <v>6073</v>
      </c>
      <c r="AF6">
        <v>1847</v>
      </c>
      <c r="AH6" s="25">
        <v>0.21719999999999998</v>
      </c>
      <c r="AI6" s="25">
        <v>0.22140000000000001</v>
      </c>
    </row>
    <row r="7" spans="1:39" ht="13.9" customHeight="1">
      <c r="A7" s="136" t="s">
        <v>960</v>
      </c>
      <c r="B7" t="s">
        <v>961</v>
      </c>
      <c r="C7" s="18">
        <v>2916</v>
      </c>
      <c r="E7" t="s">
        <v>961</v>
      </c>
      <c r="F7" s="18">
        <v>2395</v>
      </c>
      <c r="G7" t="b">
        <f>IF(B7=E7,TRUE,FALSE)</f>
        <v>1</v>
      </c>
      <c r="J7" s="24">
        <f>F7-C7</f>
        <v>-521</v>
      </c>
      <c r="K7" s="4">
        <f>F7/C7-1</f>
        <v>-0.17866941015089166</v>
      </c>
      <c r="M7" s="5">
        <v>1538.51</v>
      </c>
      <c r="N7" s="5">
        <v>1724.6800000000003</v>
      </c>
      <c r="Q7" s="122">
        <v>6036.7699999999995</v>
      </c>
      <c r="T7" s="99">
        <f>N7-M7</f>
        <v>186.1700000000003</v>
      </c>
      <c r="U7" s="4">
        <f>IF(M7=0,0,N7/M7-1)</f>
        <v>0.12100668828931904</v>
      </c>
      <c r="AA7">
        <v>64116.02</v>
      </c>
      <c r="AB7">
        <v>52264.11</v>
      </c>
      <c r="AC7" s="4">
        <f>AB7/AA7-1</f>
        <v>-0.1848509935582402</v>
      </c>
      <c r="AE7">
        <v>6211</v>
      </c>
      <c r="AF7">
        <v>3656</v>
      </c>
      <c r="AH7" s="25">
        <v>0.46880000000000005</v>
      </c>
      <c r="AI7" s="25">
        <v>0.31040000000000001</v>
      </c>
    </row>
    <row r="8" spans="1:39" ht="13.5" customHeight="1">
      <c r="A8" s="39" t="s">
        <v>962</v>
      </c>
      <c r="B8" s="36" t="s">
        <v>963</v>
      </c>
      <c r="C8" s="18">
        <v>1813</v>
      </c>
      <c r="E8" s="36" t="s">
        <v>963</v>
      </c>
      <c r="F8" s="18">
        <v>1358</v>
      </c>
      <c r="G8" t="b">
        <f>IF(B8=E8,TRUE,FALSE)</f>
        <v>1</v>
      </c>
      <c r="J8" s="24">
        <f>F8-C8</f>
        <v>-455</v>
      </c>
      <c r="K8" s="4">
        <f>F8/C8-1</f>
        <v>-0.25096525096525102</v>
      </c>
      <c r="M8" s="5">
        <v>2912.68</v>
      </c>
      <c r="N8" s="5">
        <v>2864.56</v>
      </c>
      <c r="Q8" s="122">
        <v>10949.12</v>
      </c>
      <c r="T8" s="99">
        <f>N8-M8</f>
        <v>-48.119999999999891</v>
      </c>
      <c r="U8" s="4">
        <f>IF(M8=0,0,N8/M8-1)</f>
        <v>-1.6520867379870019E-2</v>
      </c>
      <c r="AA8">
        <v>35221.379999999997</v>
      </c>
      <c r="AB8">
        <v>29882.42</v>
      </c>
      <c r="AC8" s="4">
        <f>AB8/AA8-1</f>
        <v>-0.1515829305949965</v>
      </c>
      <c r="AE8">
        <v>11319</v>
      </c>
      <c r="AF8">
        <v>8941</v>
      </c>
      <c r="AH8" s="25">
        <v>0.16089999999999999</v>
      </c>
      <c r="AI8" s="25">
        <v>0.15179999999999999</v>
      </c>
      <c r="AK8" t="s">
        <v>964</v>
      </c>
    </row>
    <row r="9" spans="1:39" ht="12.75" customHeight="1">
      <c r="A9" s="39" t="s">
        <v>965</v>
      </c>
      <c r="B9" s="36" t="s">
        <v>966</v>
      </c>
      <c r="C9" s="18">
        <v>1446</v>
      </c>
      <c r="E9" s="36" t="s">
        <v>966</v>
      </c>
      <c r="F9" s="18">
        <v>1149</v>
      </c>
      <c r="G9" t="b">
        <f>IF(B9=E9,TRUE,FALSE)</f>
        <v>1</v>
      </c>
      <c r="J9" s="24">
        <f>F9-C9</f>
        <v>-297</v>
      </c>
      <c r="K9" s="4">
        <f>F9/C9-1</f>
        <v>-0.20539419087136934</v>
      </c>
      <c r="M9" s="5">
        <v>2351.94</v>
      </c>
      <c r="N9" s="5">
        <v>2853.77</v>
      </c>
      <c r="Q9" s="122">
        <v>12453.52</v>
      </c>
      <c r="T9" s="99">
        <f>N9-M9</f>
        <v>501.82999999999993</v>
      </c>
      <c r="U9" s="4">
        <f>IF(M9=0,0,N9/M9-1)</f>
        <v>0.21336853831305214</v>
      </c>
      <c r="AA9">
        <v>25412.94</v>
      </c>
      <c r="AB9">
        <v>21525.31</v>
      </c>
      <c r="AC9" s="4">
        <f>AB9/AA9-1</f>
        <v>-0.15297836456545355</v>
      </c>
      <c r="AE9">
        <v>9926</v>
      </c>
      <c r="AF9">
        <v>8220</v>
      </c>
      <c r="AH9" s="25">
        <v>0.14599999999999999</v>
      </c>
      <c r="AI9" s="25">
        <v>0.13919999999999999</v>
      </c>
    </row>
    <row r="10" spans="1:39" ht="13.9" customHeight="1">
      <c r="A10" s="137" t="s">
        <v>967</v>
      </c>
      <c r="B10" t="s">
        <v>968</v>
      </c>
      <c r="C10" s="18">
        <v>1017</v>
      </c>
      <c r="E10" s="26" t="s">
        <v>968</v>
      </c>
      <c r="F10" s="18">
        <v>742</v>
      </c>
      <c r="G10" t="b">
        <f>IF(B10=E10,TRUE,FALSE)</f>
        <v>1</v>
      </c>
      <c r="J10" s="24">
        <f>F10-C10</f>
        <v>-275</v>
      </c>
      <c r="K10" s="4">
        <f>F10/C10-1</f>
        <v>-0.27040314650934116</v>
      </c>
      <c r="M10" s="5">
        <v>2598.5800000000004</v>
      </c>
      <c r="N10" s="5">
        <v>1833.64</v>
      </c>
      <c r="Q10" s="122">
        <v>7174.2800000000007</v>
      </c>
      <c r="T10" s="99">
        <f>N10-M10</f>
        <v>-764.94000000000028</v>
      </c>
      <c r="U10" s="4">
        <f>IF(M10=0,0,N10/M10-1)</f>
        <v>-0.29436846277582374</v>
      </c>
      <c r="AA10">
        <v>17609.23</v>
      </c>
      <c r="AB10">
        <v>14750.7</v>
      </c>
      <c r="AC10" s="4">
        <f>AB10/AA10-1</f>
        <v>-0.16233134555003248</v>
      </c>
      <c r="AE10">
        <v>5729</v>
      </c>
      <c r="AF10">
        <v>3261</v>
      </c>
      <c r="AH10" s="25">
        <v>0.17730000000000001</v>
      </c>
      <c r="AI10" s="25">
        <v>0.1328</v>
      </c>
      <c r="AJ10" s="5"/>
      <c r="AL10" s="5"/>
      <c r="AM10" s="5"/>
    </row>
    <row r="11" spans="1:39" ht="13.9" customHeight="1">
      <c r="A11" s="23" t="s">
        <v>969</v>
      </c>
      <c r="B11" s="22" t="s">
        <v>970</v>
      </c>
      <c r="C11" s="18">
        <v>2367</v>
      </c>
      <c r="D11" s="5"/>
      <c r="E11" s="22" t="s">
        <v>970</v>
      </c>
      <c r="F11" s="18">
        <v>2114</v>
      </c>
      <c r="G11" t="b">
        <f>IF(B11=E11,TRUE,FALSE)</f>
        <v>1</v>
      </c>
      <c r="H11" s="5"/>
      <c r="I11" s="5"/>
      <c r="J11" s="24">
        <f>F11-C11</f>
        <v>-253</v>
      </c>
      <c r="K11" s="4">
        <f>F11/C11-1</f>
        <v>-0.10688635403464297</v>
      </c>
      <c r="L11" s="5"/>
      <c r="M11" s="5">
        <v>6938.57</v>
      </c>
      <c r="N11" s="5">
        <v>6794.8399999999992</v>
      </c>
      <c r="O11" s="5"/>
      <c r="P11" s="5"/>
      <c r="Q11" s="122">
        <v>28530.959999999999</v>
      </c>
      <c r="R11" s="5"/>
      <c r="S11" s="5"/>
      <c r="T11" s="99">
        <f>N11-M11</f>
        <v>-143.73000000000047</v>
      </c>
      <c r="U11" s="4">
        <f>IF(M11=0,0,N11/M11-1)</f>
        <v>-2.0714642930748095E-2</v>
      </c>
      <c r="V11" s="5"/>
      <c r="W11" s="5"/>
      <c r="X11" s="5"/>
      <c r="Y11" s="5"/>
      <c r="Z11" s="14"/>
      <c r="AA11">
        <v>59279.01</v>
      </c>
      <c r="AB11">
        <v>56661.77</v>
      </c>
      <c r="AC11" s="4">
        <f>AB11/AA11-1</f>
        <v>-4.415120967775954E-2</v>
      </c>
      <c r="AE11">
        <v>18057</v>
      </c>
      <c r="AF11">
        <v>14677</v>
      </c>
      <c r="AH11" s="25">
        <v>0.13140000000000002</v>
      </c>
      <c r="AI11" s="25">
        <v>0.1431</v>
      </c>
    </row>
    <row r="12" spans="1:39" ht="13.9" customHeight="1">
      <c r="A12" s="136" t="s">
        <v>971</v>
      </c>
      <c r="B12" s="26" t="s">
        <v>972</v>
      </c>
      <c r="C12" s="18">
        <v>969</v>
      </c>
      <c r="D12" s="18"/>
      <c r="E12" s="26" t="s">
        <v>972</v>
      </c>
      <c r="F12" s="18">
        <v>729</v>
      </c>
      <c r="G12" t="b">
        <f>IF(B12=E12,TRUE,FALSE)</f>
        <v>1</v>
      </c>
      <c r="J12" s="24">
        <f>F12-C12</f>
        <v>-240</v>
      </c>
      <c r="K12" s="4">
        <f>F12/C12-1</f>
        <v>-0.24767801857585137</v>
      </c>
      <c r="M12" s="18">
        <v>1262.78</v>
      </c>
      <c r="N12" s="18">
        <v>964.8</v>
      </c>
      <c r="Q12" s="122">
        <v>4598.58</v>
      </c>
      <c r="T12" s="99">
        <f>N12-M12</f>
        <v>-297.98</v>
      </c>
      <c r="U12" s="4">
        <f>IF(M12=0,0,N12/M12-1)</f>
        <v>-0.23597142811891225</v>
      </c>
      <c r="AA12">
        <v>21301.93</v>
      </c>
      <c r="AB12">
        <v>14551.33</v>
      </c>
      <c r="AC12" s="4">
        <f>AB12/AA12-1</f>
        <v>-0.31690086297344888</v>
      </c>
      <c r="AE12">
        <v>3422</v>
      </c>
      <c r="AF12">
        <v>2376</v>
      </c>
      <c r="AH12" s="25">
        <v>0.28460000000000002</v>
      </c>
      <c r="AI12" s="25">
        <v>0.30010000000000003</v>
      </c>
      <c r="AJ12" s="5"/>
      <c r="AL12" s="5"/>
      <c r="AM12" s="5"/>
    </row>
    <row r="13" spans="1:39" ht="13.9" customHeight="1">
      <c r="A13" t="s">
        <v>973</v>
      </c>
      <c r="B13" t="s">
        <v>974</v>
      </c>
      <c r="C13" s="18">
        <v>700</v>
      </c>
      <c r="E13" t="s">
        <v>974</v>
      </c>
      <c r="F13" s="18">
        <v>490</v>
      </c>
      <c r="G13" t="b">
        <f>IF(B13=E13,TRUE,FALSE)</f>
        <v>1</v>
      </c>
      <c r="J13" s="24">
        <f>F13-C13</f>
        <v>-210</v>
      </c>
      <c r="K13" s="4">
        <f>F13/C13-1</f>
        <v>-0.30000000000000004</v>
      </c>
      <c r="M13" s="5">
        <v>696.87</v>
      </c>
      <c r="N13" s="5">
        <v>402.56</v>
      </c>
      <c r="Q13" s="122">
        <v>1512.0300000000002</v>
      </c>
      <c r="T13" s="99">
        <f>N13-M13</f>
        <v>-294.31</v>
      </c>
      <c r="U13" s="4">
        <f>IF(M13=0,0,N13/M13-1)</f>
        <v>-0.42233128130067299</v>
      </c>
      <c r="AA13" s="148">
        <v>11892.08</v>
      </c>
      <c r="AB13" s="148">
        <v>8324.7000000000007</v>
      </c>
      <c r="AC13" s="4">
        <f>AB13/AA13-1</f>
        <v>-0.29997948214273695</v>
      </c>
      <c r="AE13">
        <v>0</v>
      </c>
      <c r="AF13">
        <v>0</v>
      </c>
      <c r="AH13" s="25">
        <v>0</v>
      </c>
      <c r="AI13" s="25">
        <v>0</v>
      </c>
    </row>
    <row r="14" spans="1:39" ht="13.9" customHeight="1">
      <c r="A14" s="5" t="s">
        <v>975</v>
      </c>
      <c r="B14" s="5" t="s">
        <v>976</v>
      </c>
      <c r="C14" s="18">
        <v>1217</v>
      </c>
      <c r="D14" s="5"/>
      <c r="E14" t="s">
        <v>976</v>
      </c>
      <c r="F14" s="18">
        <v>1088</v>
      </c>
      <c r="G14" t="b">
        <f>IF(B14=E14,TRUE,FALSE)</f>
        <v>1</v>
      </c>
      <c r="H14" s="5"/>
      <c r="I14" s="5"/>
      <c r="J14" s="24">
        <f>F14-C14</f>
        <v>-129</v>
      </c>
      <c r="K14" s="4">
        <f>F14/C14-1</f>
        <v>-0.10599835661462609</v>
      </c>
      <c r="L14" s="5"/>
      <c r="M14" s="5">
        <v>0</v>
      </c>
      <c r="N14" s="5">
        <v>0</v>
      </c>
      <c r="O14" s="5"/>
      <c r="P14" s="5"/>
      <c r="Q14" s="122">
        <v>0</v>
      </c>
      <c r="R14" s="5"/>
      <c r="S14" s="5"/>
      <c r="T14" s="99">
        <f>N14-M14</f>
        <v>0</v>
      </c>
      <c r="U14" s="4">
        <f>IF(M14=0,0,N14/M14-1)</f>
        <v>0</v>
      </c>
      <c r="V14" s="5"/>
      <c r="W14" s="5"/>
      <c r="X14" s="5"/>
      <c r="Y14" s="5"/>
      <c r="Z14" s="14"/>
      <c r="AA14">
        <v>36493.630000000005</v>
      </c>
      <c r="AB14">
        <v>32624.02</v>
      </c>
      <c r="AC14" s="4">
        <f>AB14/AA14-1</f>
        <v>-0.10603521765305357</v>
      </c>
      <c r="AE14">
        <v>2973</v>
      </c>
      <c r="AF14">
        <v>2171</v>
      </c>
      <c r="AH14" s="25">
        <v>0.41</v>
      </c>
      <c r="AI14" s="25">
        <v>0.49790000000000001</v>
      </c>
    </row>
    <row r="15" spans="1:39" ht="13.9" customHeight="1">
      <c r="A15" t="s">
        <v>977</v>
      </c>
      <c r="B15" t="s">
        <v>978</v>
      </c>
      <c r="C15" s="18">
        <v>718</v>
      </c>
      <c r="E15" t="s">
        <v>978</v>
      </c>
      <c r="F15" s="18">
        <v>595</v>
      </c>
      <c r="G15" t="b">
        <f>IF(B15=E15,TRUE,FALSE)</f>
        <v>1</v>
      </c>
      <c r="J15" s="24">
        <f>F15-C15</f>
        <v>-123</v>
      </c>
      <c r="K15" s="4">
        <f>F15/C15-1</f>
        <v>-0.17130919220055707</v>
      </c>
      <c r="M15" s="5">
        <v>605.52</v>
      </c>
      <c r="N15" s="5">
        <v>717.17</v>
      </c>
      <c r="Q15" s="122">
        <v>4547.83</v>
      </c>
      <c r="T15" s="99">
        <f>N15-M15</f>
        <v>111.64999999999998</v>
      </c>
      <c r="U15" s="4">
        <f>IF(M15=0,0,N15/M15-1)</f>
        <v>0.18438697318007669</v>
      </c>
      <c r="AA15" s="148">
        <v>11480.82</v>
      </c>
      <c r="AB15" s="148">
        <v>9509.18</v>
      </c>
      <c r="AC15" s="4">
        <f>AB15/AA15-1</f>
        <v>-0.17173337792945098</v>
      </c>
      <c r="AE15">
        <v>88</v>
      </c>
      <c r="AF15">
        <v>1694</v>
      </c>
      <c r="AH15" s="25">
        <v>0</v>
      </c>
      <c r="AI15" s="25">
        <v>0.32229999999999998</v>
      </c>
      <c r="AJ15" s="5"/>
      <c r="AL15" s="5"/>
      <c r="AM15" s="5"/>
    </row>
    <row r="16" spans="1:39" ht="13.9" customHeight="1">
      <c r="A16" s="136" t="s">
        <v>979</v>
      </c>
      <c r="B16" t="s">
        <v>980</v>
      </c>
      <c r="C16" s="18">
        <v>555</v>
      </c>
      <c r="E16" t="s">
        <v>980</v>
      </c>
      <c r="F16" s="18">
        <v>432</v>
      </c>
      <c r="G16" t="b">
        <f>IF(B16=E16,TRUE,FALSE)</f>
        <v>1</v>
      </c>
      <c r="J16" s="24">
        <f>F16-C16</f>
        <v>-123</v>
      </c>
      <c r="K16" s="4">
        <f>F16/C16-1</f>
        <v>-0.22162162162162158</v>
      </c>
      <c r="M16" s="5">
        <v>325.66000000000003</v>
      </c>
      <c r="N16" s="5">
        <v>112.61</v>
      </c>
      <c r="Q16" s="122">
        <v>673.22</v>
      </c>
      <c r="T16" s="99">
        <f>N16-M16</f>
        <v>-213.05</v>
      </c>
      <c r="U16" s="4">
        <f>IF(M16=0,0,N16/M16-1)</f>
        <v>-0.65420991217834557</v>
      </c>
      <c r="AA16">
        <v>10421.68</v>
      </c>
      <c r="AB16">
        <v>8165.1100000000006</v>
      </c>
      <c r="AC16" s="4">
        <f>AB16/AA16-1</f>
        <v>-0.21652651012120883</v>
      </c>
      <c r="AE16">
        <v>830</v>
      </c>
      <c r="AF16">
        <v>361</v>
      </c>
      <c r="AH16" s="25">
        <v>0.66510000000000002</v>
      </c>
      <c r="AI16" s="25">
        <v>0.33240000000000003</v>
      </c>
    </row>
    <row r="17" spans="1:39" ht="13.9" customHeight="1">
      <c r="A17" s="136" t="s">
        <v>981</v>
      </c>
      <c r="B17" t="s">
        <v>982</v>
      </c>
      <c r="C17" s="173">
        <v>4153</v>
      </c>
      <c r="E17" t="s">
        <v>982</v>
      </c>
      <c r="F17" s="173">
        <v>4042</v>
      </c>
      <c r="G17" t="b">
        <f>IF(B17=E17,TRUE,FALSE)</f>
        <v>1</v>
      </c>
      <c r="J17" s="24">
        <f>F17-C17</f>
        <v>-111</v>
      </c>
      <c r="K17" s="4">
        <f>F17/C17-1</f>
        <v>-2.6727666746929946E-2</v>
      </c>
      <c r="M17" s="5">
        <v>10492</v>
      </c>
      <c r="N17" s="5">
        <v>10042.69</v>
      </c>
      <c r="Q17" s="122">
        <v>32072.800000000003</v>
      </c>
      <c r="T17" s="99">
        <f>N17-M17</f>
        <v>-449.30999999999949</v>
      </c>
      <c r="U17" s="4">
        <f>IF(M17=0,0,N17/M17-1)</f>
        <v>-4.2824056423942047E-2</v>
      </c>
      <c r="AA17" s="173">
        <v>116242.47</v>
      </c>
      <c r="AB17" s="173">
        <v>112880.49999999999</v>
      </c>
      <c r="AC17" s="4">
        <f>AB17/AA17-1</f>
        <v>-2.89220454451804E-2</v>
      </c>
      <c r="AE17">
        <v>1961</v>
      </c>
      <c r="AF17">
        <v>1138</v>
      </c>
      <c r="AH17" s="25">
        <v>2E-3</v>
      </c>
      <c r="AI17" s="25">
        <v>3.4999999999999996E-3</v>
      </c>
    </row>
    <row r="18" spans="1:39" ht="13.9" customHeight="1">
      <c r="A18" s="136" t="s">
        <v>983</v>
      </c>
      <c r="B18" t="s">
        <v>984</v>
      </c>
      <c r="C18" s="18">
        <v>899</v>
      </c>
      <c r="E18" t="s">
        <v>984</v>
      </c>
      <c r="F18" s="18">
        <v>789</v>
      </c>
      <c r="G18" t="b">
        <f>IF(B18=E18,TRUE,FALSE)</f>
        <v>1</v>
      </c>
      <c r="J18" s="24">
        <f>F18-C18</f>
        <v>-110</v>
      </c>
      <c r="K18" s="4">
        <f>F18/C18-1</f>
        <v>-0.1223581757508343</v>
      </c>
      <c r="M18" s="5">
        <v>624</v>
      </c>
      <c r="N18" s="5">
        <v>781.6099999999999</v>
      </c>
      <c r="Q18" s="122">
        <v>2113.5500000000002</v>
      </c>
      <c r="T18" s="99">
        <f>N18-M18</f>
        <v>157.6099999999999</v>
      </c>
      <c r="U18" s="4">
        <f>IF(M18=0,0,N18/M18-1)</f>
        <v>0.2525801282051281</v>
      </c>
      <c r="AA18">
        <v>23599.59</v>
      </c>
      <c r="AB18">
        <v>21095.309999999998</v>
      </c>
      <c r="AC18" s="4">
        <f>AB18/AA18-1</f>
        <v>-0.10611540285233778</v>
      </c>
      <c r="AD18" s="5"/>
      <c r="AE18">
        <v>623</v>
      </c>
      <c r="AF18">
        <v>0</v>
      </c>
      <c r="AH18" s="25">
        <v>0.2263</v>
      </c>
      <c r="AI18" s="25">
        <v>0</v>
      </c>
    </row>
    <row r="19" spans="1:39" ht="13.9" customHeight="1">
      <c r="A19" t="s">
        <v>985</v>
      </c>
      <c r="B19" t="s">
        <v>986</v>
      </c>
      <c r="C19" s="18">
        <v>1232</v>
      </c>
      <c r="E19" t="s">
        <v>986</v>
      </c>
      <c r="F19" s="18">
        <v>1125</v>
      </c>
      <c r="G19" t="b">
        <f>IF(B19=E19,TRUE,FALSE)</f>
        <v>1</v>
      </c>
      <c r="J19" s="24">
        <f>F19-C19</f>
        <v>-107</v>
      </c>
      <c r="K19" s="4">
        <f>F19/C19-1</f>
        <v>-8.6850649350649345E-2</v>
      </c>
      <c r="M19" s="5">
        <v>1681.65</v>
      </c>
      <c r="N19" s="5">
        <v>2100.38</v>
      </c>
      <c r="Q19" s="122">
        <v>7148.0499999999993</v>
      </c>
      <c r="T19" s="99">
        <f>N19-M19</f>
        <v>418.73</v>
      </c>
      <c r="U19" s="4">
        <f>IF(M19=0,0,N19/M19-1)</f>
        <v>0.24899949454404902</v>
      </c>
      <c r="W19" t="s">
        <v>987</v>
      </c>
      <c r="Y19" t="s">
        <v>988</v>
      </c>
      <c r="AA19">
        <v>24624.44</v>
      </c>
      <c r="AB19">
        <v>22358.35</v>
      </c>
      <c r="AC19" s="4">
        <f>AB19/AA19-1</f>
        <v>-9.2026052166059413E-2</v>
      </c>
      <c r="AE19">
        <v>3060</v>
      </c>
      <c r="AF19">
        <v>1786</v>
      </c>
      <c r="AH19" s="25">
        <v>0.40159999999999996</v>
      </c>
      <c r="AI19" s="25">
        <v>0.26600000000000001</v>
      </c>
      <c r="AJ19" s="5"/>
      <c r="AL19" s="5"/>
      <c r="AM19" s="5"/>
    </row>
    <row r="20" spans="1:39" ht="13.9" customHeight="1">
      <c r="A20" t="s">
        <v>989</v>
      </c>
      <c r="B20" t="s">
        <v>990</v>
      </c>
      <c r="C20" s="18">
        <v>6152</v>
      </c>
      <c r="E20" t="s">
        <v>990</v>
      </c>
      <c r="F20" s="18">
        <v>6047</v>
      </c>
      <c r="G20" t="b">
        <f>IF(B20=E20,TRUE,FALSE)</f>
        <v>1</v>
      </c>
      <c r="J20" s="24">
        <f>F20-C20</f>
        <v>-105</v>
      </c>
      <c r="K20" s="4">
        <f>F20/C20-1</f>
        <v>-1.7067620286085772E-2</v>
      </c>
      <c r="M20" s="5">
        <v>8978.98</v>
      </c>
      <c r="N20" s="5">
        <v>11762.83</v>
      </c>
      <c r="Q20" s="122">
        <v>41365.06</v>
      </c>
      <c r="T20" s="99">
        <f>N20-M20</f>
        <v>2783.8500000000004</v>
      </c>
      <c r="U20" s="4">
        <f>IF(M20=0,0,N20/M20-1)</f>
        <v>0.31004078414251968</v>
      </c>
      <c r="AA20">
        <v>130723.87</v>
      </c>
      <c r="AB20">
        <v>135851.06</v>
      </c>
      <c r="AC20" s="4">
        <f>AB20/AA20-1</f>
        <v>3.9221528554807872E-2</v>
      </c>
      <c r="AE20">
        <v>23776</v>
      </c>
      <c r="AF20">
        <v>23317</v>
      </c>
      <c r="AH20" s="25">
        <v>0.25900000000000001</v>
      </c>
      <c r="AI20" s="25">
        <v>0.2581</v>
      </c>
    </row>
    <row r="21" spans="1:39" ht="13.9" customHeight="1">
      <c r="A21" s="23" t="s">
        <v>991</v>
      </c>
      <c r="B21" s="22" t="s">
        <v>992</v>
      </c>
      <c r="C21" s="18">
        <v>981</v>
      </c>
      <c r="D21" s="5"/>
      <c r="E21" s="22" t="s">
        <v>992</v>
      </c>
      <c r="F21" s="18">
        <v>887</v>
      </c>
      <c r="G21" t="b">
        <f>IF(B21=E21,TRUE,FALSE)</f>
        <v>1</v>
      </c>
      <c r="H21" s="5"/>
      <c r="I21" s="5"/>
      <c r="J21" s="24">
        <f>F21-C21</f>
        <v>-94</v>
      </c>
      <c r="K21" s="4">
        <f>F21/C21-1</f>
        <v>-9.5820591233435226E-2</v>
      </c>
      <c r="L21" s="5"/>
      <c r="M21" s="5">
        <v>1283.3499999999999</v>
      </c>
      <c r="N21" s="5">
        <v>1782.27</v>
      </c>
      <c r="O21" s="5"/>
      <c r="P21" s="5"/>
      <c r="Q21" s="122">
        <v>2647.0499999999997</v>
      </c>
      <c r="R21" s="5"/>
      <c r="S21" s="5"/>
      <c r="T21" s="99">
        <f>N21-M21</f>
        <v>498.92000000000007</v>
      </c>
      <c r="U21" s="4">
        <f>IF(M21=0,0,N21/M21-1)</f>
        <v>0.38876378228854169</v>
      </c>
      <c r="V21" s="5"/>
      <c r="W21" s="5"/>
      <c r="X21" s="5"/>
      <c r="Y21" s="5"/>
      <c r="Z21" s="14"/>
      <c r="AA21">
        <v>29415.09</v>
      </c>
      <c r="AB21">
        <v>26365.33</v>
      </c>
      <c r="AC21" s="4">
        <f>AB21/AA21-1</f>
        <v>-0.10368011792586729</v>
      </c>
      <c r="AE21">
        <v>3616</v>
      </c>
      <c r="AF21">
        <v>1640</v>
      </c>
      <c r="AH21" s="25">
        <v>0.2707</v>
      </c>
      <c r="AI21" s="25">
        <v>0.20910000000000001</v>
      </c>
      <c r="AJ21" s="5"/>
      <c r="AK21" s="5"/>
      <c r="AL21" s="5"/>
      <c r="AM21" s="5"/>
    </row>
    <row r="22" spans="1:39" ht="13.9" customHeight="1">
      <c r="A22" t="s">
        <v>993</v>
      </c>
      <c r="B22" t="s">
        <v>994</v>
      </c>
      <c r="C22" s="18">
        <v>613</v>
      </c>
      <c r="E22" t="s">
        <v>994</v>
      </c>
      <c r="F22" s="18">
        <v>523</v>
      </c>
      <c r="G22" t="b">
        <f>IF(B22=E22,TRUE,FALSE)</f>
        <v>1</v>
      </c>
      <c r="J22" s="24">
        <f>F22-C22</f>
        <v>-90</v>
      </c>
      <c r="K22" s="4">
        <f>F22/C22-1</f>
        <v>-0.14681892332789559</v>
      </c>
      <c r="M22" s="5">
        <v>274.3</v>
      </c>
      <c r="N22" s="5">
        <v>395.75</v>
      </c>
      <c r="Q22" s="122">
        <v>3511.69</v>
      </c>
      <c r="T22" s="99">
        <f>N22-M22</f>
        <v>121.44999999999999</v>
      </c>
      <c r="U22" s="4">
        <f>IF(M22=0,0,N22/M22-1)</f>
        <v>0.44276339773970097</v>
      </c>
      <c r="W22" t="s">
        <v>995</v>
      </c>
      <c r="AA22" s="148">
        <v>15294.35</v>
      </c>
      <c r="AB22" s="148">
        <v>12549.77</v>
      </c>
      <c r="AC22" s="4">
        <f>AB22/AA22-1</f>
        <v>-0.17945058142385917</v>
      </c>
      <c r="AE22">
        <v>0</v>
      </c>
      <c r="AF22">
        <v>1543</v>
      </c>
      <c r="AH22" s="25">
        <v>0</v>
      </c>
      <c r="AI22" s="25">
        <v>0.32079999999999997</v>
      </c>
      <c r="AJ22" s="5"/>
      <c r="AK22" s="5"/>
      <c r="AL22" s="5"/>
      <c r="AM22" s="5"/>
    </row>
    <row r="23" spans="1:39" ht="13.9" customHeight="1">
      <c r="A23" s="39" t="s">
        <v>996</v>
      </c>
      <c r="B23" s="36" t="s">
        <v>997</v>
      </c>
      <c r="C23" s="18">
        <v>718</v>
      </c>
      <c r="E23" s="36" t="s">
        <v>997</v>
      </c>
      <c r="F23" s="18">
        <v>639</v>
      </c>
      <c r="G23" t="b">
        <f>IF(B23=E23,TRUE,FALSE)</f>
        <v>1</v>
      </c>
      <c r="J23" s="24">
        <f>F23-C23</f>
        <v>-79</v>
      </c>
      <c r="K23" s="4">
        <f>F23/C23-1</f>
        <v>-0.11002785515320335</v>
      </c>
      <c r="M23" s="5">
        <v>1934.61</v>
      </c>
      <c r="N23" s="5">
        <v>2065.5</v>
      </c>
      <c r="Q23" s="122">
        <v>9538.93</v>
      </c>
      <c r="T23" s="99">
        <f>N23-M23</f>
        <v>130.8900000000001</v>
      </c>
      <c r="U23" s="4">
        <f>IF(M23=0,0,N23/M23-1)</f>
        <v>6.7657047156791439E-2</v>
      </c>
      <c r="AA23">
        <v>11923.82</v>
      </c>
      <c r="AB23">
        <v>11391.01</v>
      </c>
      <c r="AC23" s="4">
        <f>AB23/AA23-1</f>
        <v>-4.4684505468884916E-2</v>
      </c>
      <c r="AE23">
        <v>5166</v>
      </c>
      <c r="AF23">
        <v>4826</v>
      </c>
      <c r="AH23" s="25">
        <v>0.1386</v>
      </c>
      <c r="AI23" s="25">
        <v>0.13220000000000001</v>
      </c>
    </row>
    <row r="24" spans="1:39" ht="13.9" customHeight="1">
      <c r="A24" t="s">
        <v>998</v>
      </c>
      <c r="B24" t="s">
        <v>999</v>
      </c>
      <c r="C24" s="18">
        <v>491</v>
      </c>
      <c r="E24" t="s">
        <v>999</v>
      </c>
      <c r="F24" s="18">
        <v>414</v>
      </c>
      <c r="G24" t="b">
        <f>IF(B24=E24,TRUE,FALSE)</f>
        <v>1</v>
      </c>
      <c r="J24" s="24">
        <f>F24-C24</f>
        <v>-77</v>
      </c>
      <c r="K24" s="4">
        <f>F24/C24-1</f>
        <v>-0.15682281059063141</v>
      </c>
      <c r="M24" s="5">
        <v>263.91000000000003</v>
      </c>
      <c r="N24" s="5">
        <v>134.41</v>
      </c>
      <c r="Q24" s="122">
        <v>917.6</v>
      </c>
      <c r="T24" s="99">
        <f>N24-M24</f>
        <v>-129.50000000000003</v>
      </c>
      <c r="U24" s="4">
        <f>IF(M24=0,0,N24/M24-1)</f>
        <v>-0.49069758629835936</v>
      </c>
      <c r="AA24">
        <v>9813.09</v>
      </c>
      <c r="AB24">
        <v>8231.4599999999991</v>
      </c>
      <c r="AC24" s="4">
        <f>AB24/AA24-1</f>
        <v>-0.16117553186610956</v>
      </c>
      <c r="AE24">
        <v>1831</v>
      </c>
      <c r="AF24">
        <v>738</v>
      </c>
      <c r="AH24" s="25">
        <v>0.2676</v>
      </c>
      <c r="AI24" s="25">
        <v>0.23309999999999997</v>
      </c>
    </row>
    <row r="25" spans="1:39" ht="13.9" customHeight="1">
      <c r="A25" t="s">
        <v>1000</v>
      </c>
      <c r="B25" t="s">
        <v>1001</v>
      </c>
      <c r="C25" s="18">
        <v>1512</v>
      </c>
      <c r="E25" t="s">
        <v>1001</v>
      </c>
      <c r="F25" s="18">
        <v>1438</v>
      </c>
      <c r="G25" t="b">
        <f>IF(B25=E25,TRUE,FALSE)</f>
        <v>1</v>
      </c>
      <c r="J25" s="24">
        <f>F25-C25</f>
        <v>-74</v>
      </c>
      <c r="K25" s="4">
        <f>F25/C25-1</f>
        <v>-4.8941798941798953E-2</v>
      </c>
      <c r="M25" s="5">
        <v>3009.8</v>
      </c>
      <c r="N25" s="5">
        <v>4719.68</v>
      </c>
      <c r="Q25" s="122">
        <v>16048.02</v>
      </c>
      <c r="T25" s="99">
        <f>N25-M25</f>
        <v>1709.88</v>
      </c>
      <c r="U25" s="4">
        <f>IF(M25=0,0,N25/M25-1)</f>
        <v>0.56810419296963244</v>
      </c>
      <c r="AA25">
        <v>21855.72</v>
      </c>
      <c r="AB25">
        <v>22161.95</v>
      </c>
      <c r="AC25" s="4">
        <f>AB25/AA25-1</f>
        <v>1.4011434992761584E-2</v>
      </c>
      <c r="AE25">
        <v>7633</v>
      </c>
      <c r="AF25">
        <v>7248</v>
      </c>
      <c r="AH25" s="25">
        <v>0.1978</v>
      </c>
      <c r="AI25" s="25">
        <v>0.19800000000000001</v>
      </c>
    </row>
    <row r="26" spans="1:39" ht="13.9" customHeight="1">
      <c r="A26" t="s">
        <v>1002</v>
      </c>
      <c r="B26" t="s">
        <v>1003</v>
      </c>
      <c r="C26" s="18">
        <v>8858</v>
      </c>
      <c r="E26" t="s">
        <v>1003</v>
      </c>
      <c r="F26" s="18">
        <v>8797</v>
      </c>
      <c r="G26" t="b">
        <f>IF(B26=E26,TRUE,FALSE)</f>
        <v>1</v>
      </c>
      <c r="J26" s="24">
        <f>F26-C26</f>
        <v>-61</v>
      </c>
      <c r="K26" s="4">
        <f>F26/C26-1</f>
        <v>-6.886430345450445E-3</v>
      </c>
      <c r="M26" s="5">
        <v>2945.66</v>
      </c>
      <c r="N26" s="5">
        <v>3137.49</v>
      </c>
      <c r="Q26" s="122">
        <v>28853.19</v>
      </c>
      <c r="T26" s="99">
        <f>N26-M26</f>
        <v>191.82999999999993</v>
      </c>
      <c r="U26" s="4">
        <f>IF(M26=0,0,N26/M26-1)</f>
        <v>6.5122926610674758E-2</v>
      </c>
      <c r="AA26">
        <v>287997.14</v>
      </c>
      <c r="AB26">
        <v>299412.78999999998</v>
      </c>
      <c r="AC26" s="4">
        <f>AB26/AA26-1</f>
        <v>3.9638067239139874E-2</v>
      </c>
      <c r="AE26">
        <v>25996</v>
      </c>
      <c r="AF26">
        <v>24140</v>
      </c>
      <c r="AH26" s="25">
        <v>0.34279999999999999</v>
      </c>
      <c r="AI26" s="25">
        <v>0.3614</v>
      </c>
    </row>
    <row r="27" spans="1:39" ht="13.9" customHeight="1">
      <c r="A27" s="39" t="s">
        <v>1004</v>
      </c>
      <c r="B27" s="36" t="s">
        <v>1005</v>
      </c>
      <c r="C27" s="18">
        <v>328</v>
      </c>
      <c r="E27" s="36" t="s">
        <v>1005</v>
      </c>
      <c r="F27" s="18">
        <v>299</v>
      </c>
      <c r="G27" t="b">
        <f>IF(B27=E27,TRUE,FALSE)</f>
        <v>1</v>
      </c>
      <c r="J27" s="24">
        <f>F27-C27</f>
        <v>-29</v>
      </c>
      <c r="K27" s="4">
        <f>F27/C27-1</f>
        <v>-8.8414634146341431E-2</v>
      </c>
      <c r="M27" s="5">
        <v>731.46</v>
      </c>
      <c r="N27" s="5">
        <v>872.91</v>
      </c>
      <c r="Q27" s="122">
        <v>2746.66</v>
      </c>
      <c r="T27" s="99">
        <f>N27-M27</f>
        <v>141.44999999999993</v>
      </c>
      <c r="U27" s="4">
        <f>IF(M27=0,0,N27/M27-1)</f>
        <v>0.19338036256254609</v>
      </c>
      <c r="AA27">
        <v>5572.04</v>
      </c>
      <c r="AB27">
        <v>5078.99</v>
      </c>
      <c r="AC27" s="4">
        <f>AB27/AA27-1</f>
        <v>-8.8486443026252526E-2</v>
      </c>
      <c r="AE27">
        <v>1418</v>
      </c>
      <c r="AF27">
        <v>1363</v>
      </c>
      <c r="AH27" s="25">
        <v>0.2306</v>
      </c>
      <c r="AI27" s="25">
        <v>0.21940000000000001</v>
      </c>
    </row>
    <row r="28" spans="1:39" ht="13.9" customHeight="1">
      <c r="A28" s="115" t="s">
        <v>1006</v>
      </c>
      <c r="B28" s="36" t="s">
        <v>1007</v>
      </c>
      <c r="C28">
        <v>136</v>
      </c>
      <c r="E28" s="36" t="s">
        <v>1007</v>
      </c>
      <c r="F28">
        <v>112</v>
      </c>
      <c r="G28" t="b">
        <f>IF(B28=E28,TRUE,FALSE)</f>
        <v>1</v>
      </c>
      <c r="J28" s="24">
        <f>F28-C28</f>
        <v>-24</v>
      </c>
      <c r="K28" s="4">
        <f>F28/C28-1</f>
        <v>-0.17647058823529416</v>
      </c>
      <c r="M28" s="116">
        <v>0</v>
      </c>
      <c r="N28" s="116">
        <v>0</v>
      </c>
      <c r="Q28" s="122">
        <v>0</v>
      </c>
      <c r="T28" s="99">
        <f>N28-M28</f>
        <v>0</v>
      </c>
      <c r="U28" s="4">
        <f>IF(M28=0,0,N28/M28-1)</f>
        <v>0</v>
      </c>
      <c r="AA28">
        <v>2310.3000000000002</v>
      </c>
      <c r="AB28">
        <v>1902.2</v>
      </c>
      <c r="AC28" s="4">
        <f>AB28/AA28-1</f>
        <v>-0.17664372592304034</v>
      </c>
      <c r="AD28" s="5"/>
      <c r="AE28">
        <v>512</v>
      </c>
      <c r="AF28">
        <v>397</v>
      </c>
      <c r="AH28" s="25">
        <v>0.2656</v>
      </c>
      <c r="AI28" s="25">
        <v>0.28210000000000002</v>
      </c>
    </row>
    <row r="29" spans="1:39" ht="13.9" customHeight="1">
      <c r="A29" s="136" t="s">
        <v>1008</v>
      </c>
      <c r="B29" t="s">
        <v>1009</v>
      </c>
      <c r="C29" s="18">
        <v>743</v>
      </c>
      <c r="E29" t="s">
        <v>1009</v>
      </c>
      <c r="F29" s="18">
        <v>720</v>
      </c>
      <c r="G29" t="b">
        <f>IF(B29=E29,TRUE,FALSE)</f>
        <v>1</v>
      </c>
      <c r="J29" s="24">
        <f>F29-C29</f>
        <v>-23</v>
      </c>
      <c r="K29" s="4">
        <f>F29/C29-1</f>
        <v>-3.0955585464333746E-2</v>
      </c>
      <c r="M29" s="5">
        <v>1352</v>
      </c>
      <c r="N29" s="5">
        <v>785.93000000000006</v>
      </c>
      <c r="Q29" s="122">
        <v>1245.8600000000001</v>
      </c>
      <c r="T29" s="99">
        <f>N29-M29</f>
        <v>-566.06999999999994</v>
      </c>
      <c r="U29" s="4">
        <f>IF(M29=0,0,N29/M29-1)</f>
        <v>-0.41869082840236682</v>
      </c>
      <c r="AA29">
        <v>13727.98</v>
      </c>
      <c r="AB29">
        <v>14293.8</v>
      </c>
      <c r="AC29" s="4">
        <f>AB29/AA29-1</f>
        <v>4.121655188891582E-2</v>
      </c>
      <c r="AE29">
        <v>732</v>
      </c>
      <c r="AF29">
        <v>256</v>
      </c>
      <c r="AH29" s="25">
        <v>0.11199999999999999</v>
      </c>
      <c r="AI29" s="25">
        <v>0.1016</v>
      </c>
    </row>
    <row r="30" spans="1:39" ht="13.9" customHeight="1">
      <c r="A30" t="s">
        <v>1010</v>
      </c>
      <c r="B30" t="s">
        <v>1011</v>
      </c>
      <c r="C30" s="18">
        <v>982</v>
      </c>
      <c r="E30" t="s">
        <v>1011</v>
      </c>
      <c r="F30" s="18">
        <v>963</v>
      </c>
      <c r="G30" t="b">
        <f>IF(B30=E30,TRUE,FALSE)</f>
        <v>1</v>
      </c>
      <c r="J30" s="24">
        <f>F30-C30</f>
        <v>-19</v>
      </c>
      <c r="K30" s="4">
        <f>F30/C30-1</f>
        <v>-1.9348268839103899E-2</v>
      </c>
      <c r="M30" s="5">
        <v>620.42999999999995</v>
      </c>
      <c r="N30" s="5">
        <v>715.29</v>
      </c>
      <c r="Q30" s="122">
        <v>3219.99</v>
      </c>
      <c r="T30" s="99">
        <f>N30-M30</f>
        <v>94.860000000000014</v>
      </c>
      <c r="U30" s="4">
        <f>IF(M30=0,0,N30/M30-1)</f>
        <v>0.15289396064020111</v>
      </c>
      <c r="X30" t="s">
        <v>1012</v>
      </c>
      <c r="Y30" t="s">
        <v>1013</v>
      </c>
      <c r="Z30" s="13" t="s">
        <v>1014</v>
      </c>
      <c r="AA30">
        <v>19608.59</v>
      </c>
      <c r="AB30">
        <v>19249.37</v>
      </c>
      <c r="AC30" s="4">
        <f>AB30/AA30-1</f>
        <v>-1.8319522209399142E-2</v>
      </c>
      <c r="AE30">
        <v>2754</v>
      </c>
      <c r="AF30">
        <v>2368</v>
      </c>
      <c r="AH30" s="25">
        <v>0.3569</v>
      </c>
      <c r="AI30" s="25">
        <v>0.40460000000000002</v>
      </c>
      <c r="AJ30" s="5"/>
      <c r="AK30" s="5"/>
      <c r="AL30" s="5"/>
      <c r="AM30" s="5"/>
    </row>
    <row r="31" spans="1:39" ht="13.9" customHeight="1">
      <c r="A31" t="s">
        <v>1015</v>
      </c>
      <c r="B31" t="s">
        <v>1016</v>
      </c>
      <c r="C31" s="18">
        <v>668</v>
      </c>
      <c r="D31" s="5"/>
      <c r="E31" t="s">
        <v>1016</v>
      </c>
      <c r="F31" s="18">
        <v>650</v>
      </c>
      <c r="G31" t="b">
        <f>IF(B31=E31,TRUE,FALSE)</f>
        <v>1</v>
      </c>
      <c r="H31" s="5"/>
      <c r="I31" s="5"/>
      <c r="J31" s="24">
        <f>F31-C31</f>
        <v>-18</v>
      </c>
      <c r="K31" s="4">
        <f>F31/C31-1</f>
        <v>-2.6946107784431184E-2</v>
      </c>
      <c r="L31" s="5"/>
      <c r="M31" s="5">
        <v>697.5</v>
      </c>
      <c r="N31" s="5">
        <v>770.59</v>
      </c>
      <c r="O31" s="5"/>
      <c r="P31" s="5"/>
      <c r="Q31" s="122">
        <v>3473.8999999999996</v>
      </c>
      <c r="R31" s="5"/>
      <c r="S31" s="5"/>
      <c r="T31" s="99">
        <f>N31-M31</f>
        <v>73.090000000000032</v>
      </c>
      <c r="U31" s="4">
        <f>IF(M31=0,0,N31/M31-1)</f>
        <v>0.10478853046594994</v>
      </c>
      <c r="V31" s="5"/>
      <c r="W31" s="5"/>
      <c r="X31" s="5"/>
      <c r="Y31" s="5"/>
      <c r="Z31" s="14"/>
      <c r="AA31">
        <v>13349.92</v>
      </c>
      <c r="AB31">
        <v>12990.699999999999</v>
      </c>
      <c r="AC31" s="4">
        <f>AB31/AA31-1</f>
        <v>-2.6908026415139674E-2</v>
      </c>
      <c r="AE31">
        <v>1867</v>
      </c>
      <c r="AF31">
        <v>1885</v>
      </c>
      <c r="AH31" s="25">
        <v>0.3589</v>
      </c>
      <c r="AI31" s="25">
        <v>0.32520000000000004</v>
      </c>
    </row>
    <row r="32" spans="1:39" ht="13.9" customHeight="1">
      <c r="A32" t="s">
        <v>1017</v>
      </c>
      <c r="B32" t="s">
        <v>1018</v>
      </c>
      <c r="C32" s="18">
        <v>524</v>
      </c>
      <c r="E32" t="s">
        <v>1018</v>
      </c>
      <c r="F32" s="18">
        <v>506</v>
      </c>
      <c r="G32" t="b">
        <f>IF(B32=E32,TRUE,FALSE)</f>
        <v>1</v>
      </c>
      <c r="J32" s="24">
        <f>F32-C32</f>
        <v>-18</v>
      </c>
      <c r="K32" s="4">
        <f>F32/C32-1</f>
        <v>-3.4351145038167941E-2</v>
      </c>
      <c r="M32" s="5">
        <v>128.04</v>
      </c>
      <c r="N32" s="5">
        <v>163.16999999999999</v>
      </c>
      <c r="Q32" s="122">
        <v>1450.78</v>
      </c>
      <c r="T32" s="99">
        <f>N32-M32</f>
        <v>35.129999999999995</v>
      </c>
      <c r="U32" s="4">
        <f>IF(M32=0,0,N32/M32-1)</f>
        <v>0.27436738519212733</v>
      </c>
      <c r="AA32">
        <v>8304.0400000000009</v>
      </c>
      <c r="AB32">
        <v>8088.86</v>
      </c>
      <c r="AC32" s="4">
        <f>AB32/AA32-1</f>
        <v>-2.5912688281848451E-2</v>
      </c>
      <c r="AE32">
        <v>1315</v>
      </c>
      <c r="AF32">
        <v>1240</v>
      </c>
      <c r="AH32" s="25">
        <v>0.39850000000000002</v>
      </c>
      <c r="AI32" s="25">
        <v>0.4073</v>
      </c>
      <c r="AJ32" s="5"/>
      <c r="AK32" s="5"/>
      <c r="AL32" s="5"/>
      <c r="AM32" s="5"/>
    </row>
    <row r="33" spans="1:39" ht="14.25" customHeight="1">
      <c r="A33" s="136" t="s">
        <v>1019</v>
      </c>
      <c r="B33" t="s">
        <v>1020</v>
      </c>
      <c r="C33" s="18">
        <v>1144</v>
      </c>
      <c r="E33" t="s">
        <v>1020</v>
      </c>
      <c r="F33" s="18">
        <v>1128</v>
      </c>
      <c r="G33" t="b">
        <f>IF(B33=E33,TRUE,FALSE)</f>
        <v>1</v>
      </c>
      <c r="J33" s="24">
        <f>F33-C33</f>
        <v>-16</v>
      </c>
      <c r="K33" s="4">
        <f>F33/C33-1</f>
        <v>-1.3986013986013957E-2</v>
      </c>
      <c r="M33" s="5">
        <v>1475</v>
      </c>
      <c r="N33" s="5">
        <v>1752.15</v>
      </c>
      <c r="Q33" s="122">
        <v>4686.8099999999986</v>
      </c>
      <c r="T33" s="99">
        <f>N33-M33</f>
        <v>277.15000000000009</v>
      </c>
      <c r="U33" s="4">
        <f>IF(M33=0,0,N33/M33-1)</f>
        <v>0.18789830508474581</v>
      </c>
      <c r="AA33">
        <v>28272.35</v>
      </c>
      <c r="AB33">
        <v>27993.29</v>
      </c>
      <c r="AC33" s="4">
        <f>AB33/AA33-1</f>
        <v>-9.8704211004744247E-3</v>
      </c>
      <c r="AE33">
        <v>481</v>
      </c>
      <c r="AF33">
        <v>628</v>
      </c>
      <c r="AH33" s="25">
        <v>0.183</v>
      </c>
      <c r="AI33" s="25">
        <v>1.7500000000000002E-2</v>
      </c>
    </row>
    <row r="34" spans="1:39">
      <c r="A34" t="s">
        <v>1021</v>
      </c>
      <c r="B34" t="s">
        <v>1022</v>
      </c>
      <c r="C34" s="18">
        <v>501</v>
      </c>
      <c r="E34" t="s">
        <v>1022</v>
      </c>
      <c r="F34" s="18">
        <v>490</v>
      </c>
      <c r="G34" t="b">
        <f>IF(B34=E34,TRUE,FALSE)</f>
        <v>1</v>
      </c>
      <c r="J34" s="24">
        <f>F34-C34</f>
        <v>-11</v>
      </c>
      <c r="K34" s="4">
        <f>F34/C34-1</f>
        <v>-2.1956087824351322E-2</v>
      </c>
      <c r="M34" s="5">
        <v>0</v>
      </c>
      <c r="N34" s="5">
        <v>0</v>
      </c>
      <c r="Q34" s="122">
        <v>0</v>
      </c>
      <c r="T34" s="99">
        <f>N34-M34</f>
        <v>0</v>
      </c>
      <c r="U34" s="4">
        <f>IF(M34=0,0,N34/M34-1)</f>
        <v>0</v>
      </c>
      <c r="AA34">
        <v>16032.5</v>
      </c>
      <c r="AB34">
        <v>15648.14</v>
      </c>
      <c r="AC34" s="4">
        <f>AB34/AA34-1</f>
        <v>-2.3973803212225198E-2</v>
      </c>
      <c r="AE34">
        <v>1243</v>
      </c>
      <c r="AF34">
        <v>1054</v>
      </c>
      <c r="AH34" s="25">
        <v>0.40389999999999998</v>
      </c>
      <c r="AI34" s="25">
        <v>0.45829999999999999</v>
      </c>
    </row>
    <row r="35" spans="1:39">
      <c r="A35" t="s">
        <v>1023</v>
      </c>
      <c r="B35" t="s">
        <v>1024</v>
      </c>
      <c r="C35" s="18">
        <v>1236</v>
      </c>
      <c r="E35" t="s">
        <v>1024</v>
      </c>
      <c r="F35" s="18">
        <v>1227</v>
      </c>
      <c r="G35" t="b">
        <f>IF(B35=E35,TRUE,FALSE)</f>
        <v>1</v>
      </c>
      <c r="J35" s="24">
        <f>F35-C35</f>
        <v>-9</v>
      </c>
      <c r="K35" s="4">
        <f>F35/C35-1</f>
        <v>-7.2815533980582492E-3</v>
      </c>
      <c r="M35" s="5">
        <v>2766.13</v>
      </c>
      <c r="N35" s="5">
        <v>2087.8200000000002</v>
      </c>
      <c r="Q35" s="122">
        <v>6022.9000000000005</v>
      </c>
      <c r="T35" s="99">
        <f>N35-M35</f>
        <v>-678.31</v>
      </c>
      <c r="U35" s="4">
        <f>IF(M35=0,0,N35/M35-1)</f>
        <v>-0.24521985589975881</v>
      </c>
      <c r="AA35">
        <v>37059.839999999997</v>
      </c>
      <c r="AB35">
        <v>35368.83</v>
      </c>
      <c r="AC35" s="4">
        <f>AB35/AA35-1</f>
        <v>-4.562917702828706E-2</v>
      </c>
      <c r="AE35">
        <v>7769</v>
      </c>
      <c r="AF35">
        <v>5446</v>
      </c>
      <c r="AH35" s="25">
        <v>0.15920000000000001</v>
      </c>
      <c r="AI35" s="25">
        <v>0.1168</v>
      </c>
    </row>
    <row r="36" spans="1:39">
      <c r="A36" t="s">
        <v>1025</v>
      </c>
      <c r="B36" t="s">
        <v>1026</v>
      </c>
      <c r="C36" s="18">
        <v>332</v>
      </c>
      <c r="E36" t="s">
        <v>1026</v>
      </c>
      <c r="F36" s="18">
        <v>325</v>
      </c>
      <c r="G36" t="b">
        <f>IF(B36=E36,TRUE,FALSE)</f>
        <v>1</v>
      </c>
      <c r="J36" s="24">
        <f>F36-C36</f>
        <v>-7</v>
      </c>
      <c r="K36" s="4">
        <f>F36/C36-1</f>
        <v>-2.108433734939763E-2</v>
      </c>
      <c r="M36" s="5">
        <v>128.96</v>
      </c>
      <c r="N36" s="5">
        <v>0</v>
      </c>
      <c r="Q36" s="122">
        <v>0</v>
      </c>
      <c r="T36" s="99">
        <f>N36-M36</f>
        <v>-128.96</v>
      </c>
      <c r="U36" s="4">
        <f>IF(M36=0,0,N36/M36-1)</f>
        <v>-1</v>
      </c>
      <c r="AA36">
        <v>6291.21</v>
      </c>
      <c r="AB36">
        <v>6156.09</v>
      </c>
      <c r="AC36" s="4">
        <f>AB36/AA36-1</f>
        <v>-2.1477585392952969E-2</v>
      </c>
      <c r="AE36">
        <v>767</v>
      </c>
      <c r="AF36">
        <v>489</v>
      </c>
      <c r="AH36" s="25">
        <v>0.13949999999999999</v>
      </c>
      <c r="AI36" s="25">
        <v>0.48670000000000002</v>
      </c>
      <c r="AJ36" s="5"/>
      <c r="AK36" s="5"/>
      <c r="AL36" s="5"/>
      <c r="AM36" s="5"/>
    </row>
    <row r="37" spans="1:39">
      <c r="A37" s="137" t="s">
        <v>1027</v>
      </c>
      <c r="B37" s="26" t="s">
        <v>1028</v>
      </c>
      <c r="C37" s="173">
        <v>577</v>
      </c>
      <c r="E37" s="26" t="s">
        <v>1028</v>
      </c>
      <c r="F37" s="173">
        <v>571</v>
      </c>
      <c r="G37" t="b">
        <f>IF(B37=E37,TRUE,FALSE)</f>
        <v>1</v>
      </c>
      <c r="J37" s="24">
        <f>F37-C37</f>
        <v>-6</v>
      </c>
      <c r="K37" s="4">
        <f>F37/C37-1</f>
        <v>-1.0398613518197597E-2</v>
      </c>
      <c r="M37">
        <v>1323</v>
      </c>
      <c r="N37">
        <v>785.5999999999998</v>
      </c>
      <c r="Q37" s="122">
        <v>2324.7999999999997</v>
      </c>
      <c r="T37" s="99">
        <f>N37-M37</f>
        <v>-537.4000000000002</v>
      </c>
      <c r="U37" s="4">
        <f>IF(M37=0,0,N37/M37-1)</f>
        <v>-0.40619803476946348</v>
      </c>
      <c r="AA37" s="173">
        <v>12688.23</v>
      </c>
      <c r="AB37" s="173">
        <v>12517.289999999999</v>
      </c>
      <c r="AC37" s="4">
        <f>AB37/AA37-1</f>
        <v>-1.3472328291653013E-2</v>
      </c>
      <c r="AE37">
        <v>0</v>
      </c>
      <c r="AF37">
        <v>0</v>
      </c>
      <c r="AH37" s="25">
        <v>0</v>
      </c>
      <c r="AI37" s="25">
        <v>0</v>
      </c>
    </row>
    <row r="38" spans="1:39">
      <c r="A38" t="s">
        <v>1029</v>
      </c>
      <c r="B38" t="s">
        <v>1030</v>
      </c>
      <c r="C38" s="18">
        <v>432</v>
      </c>
      <c r="D38" s="5"/>
      <c r="E38" t="s">
        <v>1030</v>
      </c>
      <c r="F38" s="18">
        <v>428</v>
      </c>
      <c r="G38" t="b">
        <f>IF(B38=E38,TRUE,FALSE)</f>
        <v>1</v>
      </c>
      <c r="H38" s="5"/>
      <c r="I38" s="5"/>
      <c r="J38" s="24">
        <f>F38-C38</f>
        <v>-4</v>
      </c>
      <c r="K38" s="4">
        <f>F38/C38-1</f>
        <v>-9.2592592592593004E-3</v>
      </c>
      <c r="L38" s="5"/>
      <c r="M38" s="5">
        <v>304.86</v>
      </c>
      <c r="N38" s="5">
        <v>542.27</v>
      </c>
      <c r="O38" s="5"/>
      <c r="P38" s="5"/>
      <c r="Q38" s="122">
        <v>1180.04</v>
      </c>
      <c r="R38" s="5"/>
      <c r="S38" s="5"/>
      <c r="T38" s="99">
        <f>N38-M38</f>
        <v>237.40999999999997</v>
      </c>
      <c r="U38" s="4">
        <f>IF(M38=0,0,N38/M38-1)</f>
        <v>0.77875090205340136</v>
      </c>
      <c r="V38" s="5"/>
      <c r="W38" s="5"/>
      <c r="X38" s="5"/>
      <c r="Y38" s="5"/>
      <c r="Z38" s="14"/>
      <c r="AA38">
        <v>8185.83</v>
      </c>
      <c r="AB38">
        <v>7649.97</v>
      </c>
      <c r="AC38" s="4">
        <f>AB38/AA38-1</f>
        <v>-6.5461901847460702E-2</v>
      </c>
      <c r="AE38">
        <v>1141</v>
      </c>
      <c r="AF38">
        <v>1365</v>
      </c>
      <c r="AH38" s="25">
        <v>0.37770000000000004</v>
      </c>
      <c r="AI38" s="25">
        <v>0.2681</v>
      </c>
      <c r="AJ38" s="5"/>
      <c r="AK38" s="5"/>
      <c r="AL38" s="5"/>
      <c r="AM38" s="5"/>
    </row>
    <row r="39" spans="1:39">
      <c r="A39" s="136" t="s">
        <v>1031</v>
      </c>
      <c r="B39" t="s">
        <v>1032</v>
      </c>
      <c r="C39" s="18">
        <v>842</v>
      </c>
      <c r="E39" t="s">
        <v>1032</v>
      </c>
      <c r="F39" s="18">
        <v>842</v>
      </c>
      <c r="G39" t="b">
        <f>IF(B39=E39,TRUE,FALSE)</f>
        <v>1</v>
      </c>
      <c r="J39" s="24">
        <f>F39-C39</f>
        <v>0</v>
      </c>
      <c r="K39" s="4">
        <f>F39/C39-1</f>
        <v>0</v>
      </c>
      <c r="M39" s="5">
        <v>717.13</v>
      </c>
      <c r="N39" s="5">
        <v>207.04000000000002</v>
      </c>
      <c r="Q39" s="122">
        <v>931.08</v>
      </c>
      <c r="T39" s="99">
        <f>N39-M39</f>
        <v>-510.09</v>
      </c>
      <c r="U39" s="4">
        <f>IF(M39=0,0,N39/M39-1)</f>
        <v>-0.71129362877023694</v>
      </c>
      <c r="AA39">
        <v>16808.990000000002</v>
      </c>
      <c r="AB39">
        <v>16722.900000000001</v>
      </c>
      <c r="AC39" s="4">
        <f>AB39/AA39-1</f>
        <v>-5.1216640619097253E-3</v>
      </c>
      <c r="AE39">
        <v>3428</v>
      </c>
      <c r="AF39">
        <v>2033</v>
      </c>
      <c r="AH39" s="25">
        <v>0.2261</v>
      </c>
      <c r="AI39" s="25">
        <v>0.12990000000000002</v>
      </c>
      <c r="AJ39" s="5"/>
      <c r="AK39" s="5"/>
      <c r="AL39" s="5"/>
      <c r="AM39" s="5"/>
    </row>
    <row r="40" spans="1:39">
      <c r="A40" s="39" t="s">
        <v>1033</v>
      </c>
      <c r="B40" s="36" t="s">
        <v>1034</v>
      </c>
      <c r="C40">
        <v>0</v>
      </c>
      <c r="E40" s="36" t="s">
        <v>1034</v>
      </c>
      <c r="F40">
        <v>0</v>
      </c>
      <c r="G40" t="b">
        <f>IF(B40=E40,TRUE,FALSE)</f>
        <v>1</v>
      </c>
      <c r="J40" s="24">
        <f>F40-C40</f>
        <v>0</v>
      </c>
      <c r="K40" s="4" t="e">
        <f>F40/C40-1</f>
        <v>#DIV/0!</v>
      </c>
      <c r="M40" s="116">
        <v>0</v>
      </c>
      <c r="N40" s="116">
        <v>0</v>
      </c>
      <c r="Q40" s="122">
        <v>0</v>
      </c>
      <c r="T40" s="99">
        <f>N40-M40</f>
        <v>0</v>
      </c>
      <c r="U40" s="4">
        <f>IF(M40=0,0,N40/M40-1)</f>
        <v>0</v>
      </c>
      <c r="AA40">
        <v>0</v>
      </c>
      <c r="AB40">
        <v>0</v>
      </c>
      <c r="AC40" s="4" t="e">
        <f>AB40/AA40-1</f>
        <v>#DIV/0!</v>
      </c>
      <c r="AE40">
        <v>0</v>
      </c>
      <c r="AF40" t="e">
        <v>#N/A</v>
      </c>
      <c r="AH40" s="25">
        <v>0</v>
      </c>
      <c r="AI40" s="25" t="e">
        <v>#N/A</v>
      </c>
      <c r="AJ40" s="5"/>
      <c r="AK40" s="5"/>
      <c r="AL40" s="5"/>
      <c r="AM40" s="5"/>
    </row>
    <row r="41" spans="1:39">
      <c r="A41" s="39" t="s">
        <v>1035</v>
      </c>
      <c r="B41" s="36" t="s">
        <v>1036</v>
      </c>
      <c r="C41" s="18">
        <v>751</v>
      </c>
      <c r="E41" s="36" t="s">
        <v>1036</v>
      </c>
      <c r="F41" s="18">
        <v>556</v>
      </c>
      <c r="G41" t="b">
        <f>IF(B41=E41,TRUE,FALSE)</f>
        <v>1</v>
      </c>
      <c r="J41" s="24">
        <v>0</v>
      </c>
      <c r="K41" s="4">
        <f>F41/C41-1</f>
        <v>-0.2596537949400799</v>
      </c>
      <c r="M41" s="5">
        <v>2275.34</v>
      </c>
      <c r="N41" s="5">
        <v>2095.29</v>
      </c>
      <c r="Q41" s="122">
        <v>8531.08</v>
      </c>
      <c r="T41" s="99">
        <f>N41-M41</f>
        <v>-180.05000000000018</v>
      </c>
      <c r="U41" s="4">
        <f>IF(M41=0,0,N41/M41-1)</f>
        <v>-7.9131030966800631E-2</v>
      </c>
      <c r="AA41">
        <v>11364.29</v>
      </c>
      <c r="AB41">
        <v>9325.0400000000009</v>
      </c>
      <c r="AC41" s="4">
        <f>AB41/AA41-1</f>
        <v>-0.17944367839961839</v>
      </c>
      <c r="AE41">
        <v>4843</v>
      </c>
      <c r="AF41">
        <v>3570</v>
      </c>
      <c r="AH41" s="25">
        <v>0.15529999999999999</v>
      </c>
      <c r="AI41" s="25">
        <v>0.15570000000000001</v>
      </c>
      <c r="AL41" t="s">
        <v>1037</v>
      </c>
    </row>
    <row r="42" spans="1:39">
      <c r="A42" s="119" t="s">
        <v>1038</v>
      </c>
      <c r="B42" s="36" t="s">
        <v>1039</v>
      </c>
      <c r="C42" s="18">
        <v>76</v>
      </c>
      <c r="E42" s="36" t="s">
        <v>1039</v>
      </c>
      <c r="F42" s="18">
        <v>118</v>
      </c>
      <c r="G42" t="b">
        <f>IF(B42=E42,TRUE,FALSE)</f>
        <v>1</v>
      </c>
      <c r="J42" s="24">
        <v>0</v>
      </c>
      <c r="K42" s="4">
        <f>F42/C42-1</f>
        <v>0.55263157894736836</v>
      </c>
      <c r="M42" s="5">
        <v>554.35</v>
      </c>
      <c r="N42" s="5">
        <v>885.42</v>
      </c>
      <c r="Q42" s="122">
        <v>2094.86</v>
      </c>
      <c r="T42" s="99">
        <f>N42-M42</f>
        <v>331.06999999999994</v>
      </c>
      <c r="U42" s="4">
        <f>IF(M42=0,0,N42/M42-1)</f>
        <v>0.5972219716785423</v>
      </c>
      <c r="AA42">
        <v>1823.24</v>
      </c>
      <c r="AB42">
        <v>2830.34</v>
      </c>
      <c r="AC42" s="4">
        <f>AB42/AA42-1</f>
        <v>0.55236831135780262</v>
      </c>
      <c r="AE42">
        <v>1248</v>
      </c>
      <c r="AF42">
        <v>1820</v>
      </c>
      <c r="AH42" s="25">
        <v>6.0899999999999996E-2</v>
      </c>
      <c r="AI42" s="25">
        <v>6.480000000000001E-2</v>
      </c>
    </row>
    <row r="43" spans="1:39">
      <c r="A43" s="119" t="s">
        <v>1040</v>
      </c>
      <c r="B43" s="36" t="s">
        <v>1041</v>
      </c>
      <c r="C43" s="18">
        <v>492</v>
      </c>
      <c r="E43" s="36" t="s">
        <v>1041</v>
      </c>
      <c r="F43" s="18">
        <v>486</v>
      </c>
      <c r="G43" t="b">
        <f>IF(B43=E43,TRUE,FALSE)</f>
        <v>1</v>
      </c>
      <c r="J43" s="24">
        <v>0</v>
      </c>
      <c r="K43" s="4">
        <f>F43/C43-1</f>
        <v>-1.2195121951219523E-2</v>
      </c>
      <c r="M43" s="5">
        <v>1615.12</v>
      </c>
      <c r="N43" s="5">
        <v>2653.1</v>
      </c>
      <c r="Q43" s="122">
        <v>6177.7</v>
      </c>
      <c r="T43" s="99">
        <f>N43-M43</f>
        <v>1037.98</v>
      </c>
      <c r="U43" s="4">
        <f>IF(M43=0,0,N43/M43-1)</f>
        <v>0.64266432215562941</v>
      </c>
      <c r="AA43">
        <v>9593.4</v>
      </c>
      <c r="AB43">
        <v>10039.14</v>
      </c>
      <c r="AC43" s="4">
        <f>AB43/AA43-1</f>
        <v>4.6463193445493767E-2</v>
      </c>
      <c r="AE43">
        <v>3868</v>
      </c>
      <c r="AF43">
        <v>4409</v>
      </c>
      <c r="AH43" s="25">
        <v>0.1275</v>
      </c>
      <c r="AI43" s="25">
        <v>0.11019999999999999</v>
      </c>
    </row>
    <row r="44" spans="1:39">
      <c r="A44" s="39" t="s">
        <v>1042</v>
      </c>
      <c r="B44" s="36" t="s">
        <v>1043</v>
      </c>
      <c r="C44" s="18">
        <v>2333</v>
      </c>
      <c r="E44" s="36" t="s">
        <v>1043</v>
      </c>
      <c r="F44" s="18">
        <v>588</v>
      </c>
      <c r="G44" t="b">
        <f>IF(B44=E44,TRUE,FALSE)</f>
        <v>1</v>
      </c>
      <c r="J44" s="24">
        <v>0</v>
      </c>
      <c r="K44" s="4">
        <f>F44/C44-1</f>
        <v>-0.74796399485640808</v>
      </c>
      <c r="M44" s="5">
        <v>3516.07</v>
      </c>
      <c r="N44" s="5">
        <v>2047.44</v>
      </c>
      <c r="Q44" s="122">
        <v>8009.98</v>
      </c>
      <c r="T44" s="99">
        <f>N44-M44</f>
        <v>-1468.63</v>
      </c>
      <c r="U44" s="4">
        <f>IF(M44=0,0,N44/M44-1)</f>
        <v>-0.41769077407446387</v>
      </c>
      <c r="AA44">
        <v>42848.59</v>
      </c>
      <c r="AB44">
        <v>14664.85</v>
      </c>
      <c r="AC44" s="4">
        <f>AB44/AA44-1</f>
        <v>-0.65775186534726116</v>
      </c>
      <c r="AE44">
        <v>10018</v>
      </c>
      <c r="AF44">
        <v>3712</v>
      </c>
      <c r="AH44" s="25">
        <v>0.23300000000000001</v>
      </c>
      <c r="AI44" s="25">
        <v>0.15839999999999999</v>
      </c>
    </row>
    <row r="45" spans="1:39">
      <c r="A45" s="172" t="s">
        <v>1044</v>
      </c>
      <c r="B45" s="126" t="s">
        <v>1045</v>
      </c>
      <c r="C45" s="18">
        <v>36</v>
      </c>
      <c r="E45" s="126" t="s">
        <v>1045</v>
      </c>
      <c r="F45" s="18">
        <v>148</v>
      </c>
      <c r="G45" t="b">
        <f>IF(B45=E45,TRUE,FALSE)</f>
        <v>1</v>
      </c>
      <c r="J45" s="24">
        <v>0</v>
      </c>
      <c r="K45" s="4">
        <f>F45/C45-1</f>
        <v>3.1111111111111107</v>
      </c>
      <c r="M45" s="5">
        <v>181.94</v>
      </c>
      <c r="N45" s="5">
        <v>1216.1300000000001</v>
      </c>
      <c r="Q45" s="122">
        <v>4030.99</v>
      </c>
      <c r="T45" s="99">
        <f>N45-M45</f>
        <v>1034.19</v>
      </c>
      <c r="U45" s="4">
        <f>IF(M45=0,0,N45/M45-1)</f>
        <v>5.6842365615037931</v>
      </c>
      <c r="AA45">
        <v>899.64</v>
      </c>
      <c r="AB45">
        <v>3337.77</v>
      </c>
      <c r="AC45" s="4">
        <f>AB45/AA45-1</f>
        <v>2.7101173802854475</v>
      </c>
      <c r="AE45">
        <v>272</v>
      </c>
      <c r="AF45">
        <v>1661</v>
      </c>
      <c r="AH45" s="25">
        <v>0.13239999999999999</v>
      </c>
      <c r="AI45" s="25">
        <v>8.9099999999999999E-2</v>
      </c>
    </row>
    <row r="46" spans="1:39">
      <c r="A46" s="172" t="s">
        <v>1046</v>
      </c>
      <c r="B46" s="126" t="s">
        <v>1047</v>
      </c>
      <c r="C46" s="18">
        <v>2</v>
      </c>
      <c r="E46" s="126" t="s">
        <v>1047</v>
      </c>
      <c r="F46" s="18">
        <v>54</v>
      </c>
      <c r="G46" t="b">
        <f>IF(B46=E46,TRUE,FALSE)</f>
        <v>1</v>
      </c>
      <c r="J46" s="24">
        <v>0</v>
      </c>
      <c r="K46" s="4">
        <f>F46/C46-1</f>
        <v>26</v>
      </c>
      <c r="M46" s="5">
        <v>46.14</v>
      </c>
      <c r="N46" s="5">
        <v>410.59</v>
      </c>
      <c r="Q46" s="122">
        <v>1097.0899999999999</v>
      </c>
      <c r="T46" s="99">
        <f>N46-M46</f>
        <v>364.45</v>
      </c>
      <c r="U46" s="4">
        <f>IF(M46=0,0,N46/M46-1)</f>
        <v>7.8987863025574327</v>
      </c>
      <c r="AA46">
        <v>39.979999999999997</v>
      </c>
      <c r="AB46">
        <v>1079.46</v>
      </c>
      <c r="AC46" s="4">
        <f>AB46/AA46-1</f>
        <v>26.000000000000004</v>
      </c>
      <c r="AE46">
        <v>59</v>
      </c>
      <c r="AF46">
        <v>567</v>
      </c>
      <c r="AH46" s="25">
        <v>3.39E-2</v>
      </c>
      <c r="AI46" s="25">
        <v>9.5199999999999993E-2</v>
      </c>
    </row>
    <row r="47" spans="1:39">
      <c r="A47" s="172" t="s">
        <v>1048</v>
      </c>
      <c r="B47" s="126" t="s">
        <v>1049</v>
      </c>
      <c r="C47" s="18">
        <v>0</v>
      </c>
      <c r="E47" s="126" t="s">
        <v>1049</v>
      </c>
      <c r="F47" s="18">
        <v>441</v>
      </c>
      <c r="G47" t="b">
        <f>IF(B47=E47,TRUE,FALSE)</f>
        <v>1</v>
      </c>
      <c r="J47" s="24">
        <v>0</v>
      </c>
      <c r="K47" s="4" t="e">
        <f>F47/C47-1</f>
        <v>#DIV/0!</v>
      </c>
      <c r="M47" s="5">
        <v>0</v>
      </c>
      <c r="N47" s="5">
        <v>1841.75</v>
      </c>
      <c r="Q47" s="122">
        <v>8265.93</v>
      </c>
      <c r="T47" s="99">
        <f>N47-M47</f>
        <v>1841.75</v>
      </c>
      <c r="U47" s="4">
        <f>IF(M47=0,0,N47/M47-1)</f>
        <v>0</v>
      </c>
      <c r="AA47">
        <v>0</v>
      </c>
      <c r="AB47">
        <v>8814.59</v>
      </c>
      <c r="AC47" s="4" t="e">
        <f>AB47/AA47-1</f>
        <v>#DIV/0!</v>
      </c>
      <c r="AE47">
        <v>7</v>
      </c>
      <c r="AF47">
        <v>2392</v>
      </c>
      <c r="AH47" s="25">
        <v>0</v>
      </c>
      <c r="AI47" s="25">
        <v>0.18390000000000001</v>
      </c>
    </row>
    <row r="48" spans="1:39">
      <c r="A48" s="172" t="s">
        <v>1050</v>
      </c>
      <c r="B48" s="26" t="s">
        <v>1051</v>
      </c>
      <c r="C48" s="18">
        <v>1</v>
      </c>
      <c r="E48" s="26" t="s">
        <v>1051</v>
      </c>
      <c r="F48" s="18">
        <v>722</v>
      </c>
      <c r="G48" t="b">
        <f>IF(B48=E48,TRUE,FALSE)</f>
        <v>1</v>
      </c>
      <c r="J48" s="24">
        <v>0</v>
      </c>
      <c r="K48" s="4">
        <f>F48/C48-1</f>
        <v>721</v>
      </c>
      <c r="M48" s="5">
        <v>10.97</v>
      </c>
      <c r="N48" s="5">
        <v>1699.2</v>
      </c>
      <c r="Q48" s="122">
        <v>12095.14</v>
      </c>
      <c r="T48" s="99">
        <f>N48-M48</f>
        <v>1688.23</v>
      </c>
      <c r="U48" s="4">
        <f>IF(M48=0,0,N48/M48-1)</f>
        <v>153.89516864175022</v>
      </c>
      <c r="AA48">
        <v>26.99</v>
      </c>
      <c r="AB48">
        <v>19457.09</v>
      </c>
      <c r="AC48" s="4">
        <f>AB48/AA48-1</f>
        <v>719.89996294924049</v>
      </c>
      <c r="AE48">
        <v>18</v>
      </c>
      <c r="AF48">
        <v>3117</v>
      </c>
      <c r="AH48" s="25">
        <v>5.5599999999999997E-2</v>
      </c>
      <c r="AI48" s="25">
        <v>0.2316</v>
      </c>
      <c r="AL48" t="s">
        <v>1052</v>
      </c>
    </row>
    <row r="49" spans="1:39">
      <c r="A49" s="172" t="s">
        <v>1053</v>
      </c>
      <c r="B49" s="26" t="s">
        <v>1054</v>
      </c>
      <c r="C49" s="18">
        <v>2</v>
      </c>
      <c r="E49" s="26" t="s">
        <v>1054</v>
      </c>
      <c r="F49" s="18">
        <v>40</v>
      </c>
      <c r="G49" t="b">
        <f>IF(B49=E49,TRUE,FALSE)</f>
        <v>1</v>
      </c>
      <c r="J49" s="24">
        <v>0</v>
      </c>
      <c r="K49" s="4">
        <f>F49/C49-1</f>
        <v>19</v>
      </c>
      <c r="M49" s="5">
        <v>0</v>
      </c>
      <c r="N49" s="5">
        <v>116.53</v>
      </c>
      <c r="Q49" s="122">
        <v>416.45</v>
      </c>
      <c r="T49" s="99">
        <f>N49-M49</f>
        <v>116.53</v>
      </c>
      <c r="U49" s="4">
        <f>IF(M49=0,0,N49/M49-1)</f>
        <v>0</v>
      </c>
      <c r="AA49">
        <v>59.98</v>
      </c>
      <c r="AB49">
        <v>879.6</v>
      </c>
      <c r="AC49" s="4">
        <f>AB49/AA49-1</f>
        <v>13.664888296098701</v>
      </c>
      <c r="AE49">
        <v>13</v>
      </c>
      <c r="AF49">
        <v>371</v>
      </c>
      <c r="AH49" s="25">
        <v>0.15380000000000002</v>
      </c>
      <c r="AI49" s="25">
        <v>0.10779999999999999</v>
      </c>
    </row>
    <row r="50" spans="1:39">
      <c r="A50" s="172" t="s">
        <v>1055</v>
      </c>
      <c r="B50" s="26" t="s">
        <v>1056</v>
      </c>
      <c r="C50" s="18">
        <v>72</v>
      </c>
      <c r="E50" s="26" t="s">
        <v>1056</v>
      </c>
      <c r="F50" s="18">
        <v>414</v>
      </c>
      <c r="G50" t="b">
        <f>IF(B50=E50,TRUE,FALSE)</f>
        <v>1</v>
      </c>
      <c r="J50" s="24">
        <v>0</v>
      </c>
      <c r="K50" s="4">
        <f>F50/C50-1</f>
        <v>4.75</v>
      </c>
      <c r="M50" s="5">
        <v>175.17</v>
      </c>
      <c r="N50" s="5">
        <v>1190.8900000000001</v>
      </c>
      <c r="Q50" s="122">
        <v>7608.5</v>
      </c>
      <c r="T50" s="99">
        <f>N50-M50</f>
        <v>1015.7200000000001</v>
      </c>
      <c r="U50" s="4">
        <f>IF(M50=0,0,N50/M50-1)</f>
        <v>5.7984814751384377</v>
      </c>
      <c r="AA50">
        <v>2159.2800000000002</v>
      </c>
      <c r="AB50">
        <v>12399.66</v>
      </c>
      <c r="AC50" s="4">
        <f>AB50/AA50-1</f>
        <v>4.7424974991663884</v>
      </c>
      <c r="AE50">
        <v>311</v>
      </c>
      <c r="AF50">
        <v>1826</v>
      </c>
      <c r="AH50" s="25">
        <v>0.23149999999999998</v>
      </c>
      <c r="AI50" s="25">
        <v>0.22670000000000001</v>
      </c>
    </row>
    <row r="51" spans="1:39">
      <c r="A51" s="172" t="s">
        <v>1057</v>
      </c>
      <c r="B51" s="26" t="s">
        <v>994</v>
      </c>
      <c r="C51" s="18">
        <v>613</v>
      </c>
      <c r="E51" s="26" t="s">
        <v>994</v>
      </c>
      <c r="F51" s="18">
        <v>523</v>
      </c>
      <c r="G51" t="b">
        <f>IF(B51=E51,TRUE,FALSE)</f>
        <v>1</v>
      </c>
      <c r="J51" s="24">
        <v>0</v>
      </c>
      <c r="K51" s="4">
        <f>F51/C51-1</f>
        <v>-0.14681892332789559</v>
      </c>
      <c r="M51" s="5">
        <v>274.3</v>
      </c>
      <c r="N51" s="5">
        <v>395.75</v>
      </c>
      <c r="Q51" s="122">
        <v>3511.69</v>
      </c>
      <c r="T51" s="99">
        <f>N51-M51</f>
        <v>121.44999999999999</v>
      </c>
      <c r="U51" s="4">
        <f>IF(M51=0,0,N51/M51-1)</f>
        <v>0.44276339773970097</v>
      </c>
      <c r="AA51">
        <v>15294.35</v>
      </c>
      <c r="AB51">
        <v>12549.77</v>
      </c>
      <c r="AC51" s="4">
        <f>AB51/AA51-1</f>
        <v>-0.17945058142385917</v>
      </c>
      <c r="AE51">
        <v>0</v>
      </c>
      <c r="AF51">
        <v>1543</v>
      </c>
      <c r="AH51" s="25">
        <v>0</v>
      </c>
      <c r="AI51" s="25">
        <v>0.32079999999999997</v>
      </c>
    </row>
    <row r="52" spans="1:39">
      <c r="A52" s="172" t="s">
        <v>1058</v>
      </c>
      <c r="B52" s="26" t="s">
        <v>1059</v>
      </c>
      <c r="C52" s="18">
        <v>0</v>
      </c>
      <c r="E52" s="26" t="s">
        <v>1059</v>
      </c>
      <c r="F52" s="18">
        <v>251</v>
      </c>
      <c r="G52" t="b">
        <f>IF(B52=E52,TRUE,FALSE)</f>
        <v>1</v>
      </c>
      <c r="J52" s="24">
        <v>0</v>
      </c>
      <c r="K52" s="4" t="e">
        <f>F52/C52-1</f>
        <v>#DIV/0!</v>
      </c>
      <c r="M52" s="5">
        <v>0</v>
      </c>
      <c r="N52" s="5">
        <v>1036.72</v>
      </c>
      <c r="Q52" s="121">
        <v>3359.6</v>
      </c>
      <c r="T52" s="99">
        <f>N52-M52</f>
        <v>1036.72</v>
      </c>
      <c r="U52" s="4">
        <f>IF(M52=0,0,N52/M52-1)</f>
        <v>0</v>
      </c>
      <c r="AA52">
        <v>0</v>
      </c>
      <c r="AB52">
        <v>4341.09</v>
      </c>
      <c r="AC52" s="4" t="e">
        <f>AB52/AA52-1</f>
        <v>#DIV/0!</v>
      </c>
      <c r="AE52">
        <v>2</v>
      </c>
      <c r="AF52">
        <v>1745</v>
      </c>
      <c r="AH52" s="25">
        <v>0</v>
      </c>
      <c r="AI52" s="25">
        <v>0.14380000000000001</v>
      </c>
      <c r="AL52" t="s">
        <v>1060</v>
      </c>
    </row>
    <row r="53" spans="1:39">
      <c r="A53" t="s">
        <v>1061</v>
      </c>
      <c r="B53" t="s">
        <v>1062</v>
      </c>
      <c r="C53" s="18">
        <v>0</v>
      </c>
      <c r="E53" t="s">
        <v>1062</v>
      </c>
      <c r="F53" s="18">
        <v>1</v>
      </c>
      <c r="G53" t="b">
        <f>IF(B53=E53,TRUE,FALSE)</f>
        <v>1</v>
      </c>
      <c r="J53" s="24">
        <f>F53-C53</f>
        <v>1</v>
      </c>
      <c r="K53" s="4" t="e">
        <f>F53/C53-1</f>
        <v>#DIV/0!</v>
      </c>
      <c r="M53" s="5">
        <v>0</v>
      </c>
      <c r="N53" s="5">
        <v>0</v>
      </c>
      <c r="Q53" s="122">
        <v>0</v>
      </c>
      <c r="T53" s="99">
        <f>N53-M53</f>
        <v>0</v>
      </c>
      <c r="U53" s="4">
        <f>IF(M53=0,0,N53/M53-1)</f>
        <v>0</v>
      </c>
      <c r="W53" t="s">
        <v>1063</v>
      </c>
      <c r="Y53" t="s">
        <v>1064</v>
      </c>
      <c r="Z53" s="13" t="s">
        <v>1065</v>
      </c>
      <c r="AA53">
        <v>0</v>
      </c>
      <c r="AB53">
        <v>21.95</v>
      </c>
      <c r="AC53" s="4" t="e">
        <f>AB53/AA53-1</f>
        <v>#DIV/0!</v>
      </c>
      <c r="AE53">
        <v>0</v>
      </c>
      <c r="AF53">
        <v>10</v>
      </c>
      <c r="AH53" s="25">
        <v>0</v>
      </c>
      <c r="AI53" s="25">
        <v>0.1</v>
      </c>
    </row>
    <row r="54" spans="1:39">
      <c r="A54" s="125" t="s">
        <v>1066</v>
      </c>
      <c r="B54" s="26" t="s">
        <v>1067</v>
      </c>
      <c r="C54" s="173">
        <v>0</v>
      </c>
      <c r="E54" s="26" t="s">
        <v>1067</v>
      </c>
      <c r="F54" s="173">
        <v>1</v>
      </c>
      <c r="G54" t="b">
        <f>IF(B54=E54,TRUE,FALSE)</f>
        <v>1</v>
      </c>
      <c r="J54" s="24">
        <f>F54-C54</f>
        <v>1</v>
      </c>
      <c r="K54" s="4" t="e">
        <f>F54/C54-1</f>
        <v>#DIV/0!</v>
      </c>
      <c r="M54" s="5">
        <v>0</v>
      </c>
      <c r="N54" s="175">
        <v>0.76</v>
      </c>
      <c r="Q54" s="121">
        <v>0</v>
      </c>
      <c r="T54" s="101">
        <f>N54-M54</f>
        <v>0.76</v>
      </c>
      <c r="U54" s="4">
        <f>IF(M54=0,0,N54/M54-1)</f>
        <v>0</v>
      </c>
      <c r="AA54">
        <v>0</v>
      </c>
      <c r="AB54" s="173">
        <v>29.99</v>
      </c>
      <c r="AC54" s="4" t="e">
        <f>AB54/AA54-1</f>
        <v>#DIV/0!</v>
      </c>
      <c r="AF54">
        <v>31</v>
      </c>
      <c r="AH54" s="25"/>
      <c r="AI54" s="25">
        <v>3.2300000000000002E-2</v>
      </c>
    </row>
    <row r="55" spans="1:39">
      <c r="A55" t="s">
        <v>1068</v>
      </c>
      <c r="B55" t="s">
        <v>1069</v>
      </c>
      <c r="C55" s="18">
        <v>690</v>
      </c>
      <c r="E55" t="s">
        <v>1069</v>
      </c>
      <c r="F55" s="18">
        <v>693</v>
      </c>
      <c r="G55" t="b">
        <f>IF(B55=E55,TRUE,FALSE)</f>
        <v>1</v>
      </c>
      <c r="J55" s="24">
        <f>F55-C55</f>
        <v>3</v>
      </c>
      <c r="K55" s="4">
        <f>F55/C55-1</f>
        <v>4.3478260869564966E-3</v>
      </c>
      <c r="M55" s="5">
        <v>364.95</v>
      </c>
      <c r="N55" s="5">
        <v>417.1</v>
      </c>
      <c r="Q55" s="122">
        <v>3254.64</v>
      </c>
      <c r="T55" s="99">
        <f>N55-M55</f>
        <v>52.150000000000034</v>
      </c>
      <c r="U55" s="4">
        <f>IF(M55=0,0,N55/M55-1)</f>
        <v>0.14289628716262515</v>
      </c>
      <c r="AA55">
        <v>15171.779999999999</v>
      </c>
      <c r="AB55">
        <v>15234.55</v>
      </c>
      <c r="AC55" s="4">
        <f>AB55/AA55-1</f>
        <v>4.1372864621027627E-3</v>
      </c>
      <c r="AE55">
        <v>2580</v>
      </c>
      <c r="AF55" s="5">
        <v>2462</v>
      </c>
      <c r="AH55" s="25">
        <v>0.21820000000000001</v>
      </c>
      <c r="AI55" s="25">
        <v>0.26600000000000001</v>
      </c>
    </row>
    <row r="56" spans="1:39">
      <c r="A56" t="s">
        <v>1070</v>
      </c>
      <c r="B56" t="s">
        <v>1071</v>
      </c>
      <c r="C56" s="18">
        <v>553</v>
      </c>
      <c r="E56" t="s">
        <v>1071</v>
      </c>
      <c r="F56" s="18">
        <v>557</v>
      </c>
      <c r="G56" t="b">
        <f>IF(B56=E56,TRUE,FALSE)</f>
        <v>1</v>
      </c>
      <c r="J56" s="24">
        <f>F56-C56</f>
        <v>4</v>
      </c>
      <c r="K56" s="4">
        <f>F56/C56-1</f>
        <v>7.2332730560578096E-3</v>
      </c>
      <c r="M56" s="5">
        <v>541.41999999999996</v>
      </c>
      <c r="N56" s="5">
        <v>250.48</v>
      </c>
      <c r="Q56" s="122">
        <v>1538.85</v>
      </c>
      <c r="T56" s="99">
        <f>N56-M56</f>
        <v>-290.93999999999994</v>
      </c>
      <c r="U56" s="4">
        <f>IF(M56=0,0,N56/M56-1)</f>
        <v>-0.5373647076207011</v>
      </c>
      <c r="AA56">
        <v>11031.35</v>
      </c>
      <c r="AB56">
        <v>11014.04</v>
      </c>
      <c r="AC56" s="4">
        <f>AB56/AA56-1</f>
        <v>-1.5691642455365473E-3</v>
      </c>
      <c r="AE56">
        <v>1548</v>
      </c>
      <c r="AF56" s="5">
        <v>908</v>
      </c>
      <c r="AH56" s="25">
        <v>0.35719999999999996</v>
      </c>
      <c r="AI56" s="25">
        <v>0.30840000000000001</v>
      </c>
    </row>
    <row r="57" spans="1:39" ht="16.5">
      <c r="A57" s="23" t="s">
        <v>1072</v>
      </c>
      <c r="B57" s="140" t="s">
        <v>1073</v>
      </c>
      <c r="C57" s="18">
        <v>0</v>
      </c>
      <c r="E57" s="36" t="s">
        <v>1073</v>
      </c>
      <c r="F57" s="18">
        <v>4</v>
      </c>
      <c r="G57" t="b">
        <f>IF(B57=E57,TRUE,FALSE)</f>
        <v>1</v>
      </c>
      <c r="J57" s="24">
        <f>F57-C57</f>
        <v>4</v>
      </c>
      <c r="K57" s="4" t="e">
        <f>F57/C57-1</f>
        <v>#DIV/0!</v>
      </c>
      <c r="M57" s="5">
        <v>0</v>
      </c>
      <c r="N57" s="5">
        <v>0</v>
      </c>
      <c r="Q57" s="122">
        <v>0</v>
      </c>
      <c r="T57" s="99">
        <f>N57-M57</f>
        <v>0</v>
      </c>
      <c r="U57" s="4">
        <f>IF(M57=0,0,N57/M57-1)</f>
        <v>0</v>
      </c>
      <c r="AA57">
        <v>0</v>
      </c>
      <c r="AB57">
        <v>113.96</v>
      </c>
      <c r="AC57" s="4" t="e">
        <f>AB57/AA57-1</f>
        <v>#DIV/0!</v>
      </c>
      <c r="AE57">
        <v>0</v>
      </c>
      <c r="AF57" s="5">
        <v>32</v>
      </c>
      <c r="AH57" s="25">
        <v>0</v>
      </c>
      <c r="AI57" s="25">
        <v>6.25E-2</v>
      </c>
    </row>
    <row r="58" spans="1:39" ht="16.5">
      <c r="A58" s="23" t="s">
        <v>1074</v>
      </c>
      <c r="B58" s="36" t="s">
        <v>1075</v>
      </c>
      <c r="C58" s="18">
        <v>270</v>
      </c>
      <c r="E58" s="36" t="s">
        <v>1075</v>
      </c>
      <c r="F58" s="18">
        <v>277</v>
      </c>
      <c r="G58" t="b">
        <f>IF(B58=E58,TRUE,FALSE)</f>
        <v>1</v>
      </c>
      <c r="J58" s="24">
        <f>F58-C58</f>
        <v>7</v>
      </c>
      <c r="K58" s="4">
        <f>F58/C58-1</f>
        <v>2.5925925925925908E-2</v>
      </c>
      <c r="M58" s="5">
        <v>1133.81</v>
      </c>
      <c r="N58" s="5">
        <v>977.7</v>
      </c>
      <c r="Q58" s="122">
        <v>5881.19</v>
      </c>
      <c r="T58" s="99">
        <f>N58-M58</f>
        <v>-156.1099999999999</v>
      </c>
      <c r="U58" s="4">
        <f>IF(M58=0,0,N58/M58-1)</f>
        <v>-0.13768620844762347</v>
      </c>
      <c r="AA58">
        <v>4995.7</v>
      </c>
      <c r="AB58">
        <v>5180.75</v>
      </c>
      <c r="AC58" s="4">
        <f>AB58/AA58-1</f>
        <v>3.7041855996156725E-2</v>
      </c>
      <c r="AE58">
        <v>2449</v>
      </c>
      <c r="AF58" s="5">
        <v>1938</v>
      </c>
      <c r="AH58" s="25">
        <v>0.11019999999999999</v>
      </c>
      <c r="AI58" s="25">
        <v>0.1429</v>
      </c>
    </row>
    <row r="59" spans="1:39">
      <c r="A59" t="s">
        <v>1076</v>
      </c>
      <c r="B59" t="s">
        <v>1077</v>
      </c>
      <c r="C59" s="18">
        <v>285</v>
      </c>
      <c r="E59" t="s">
        <v>1077</v>
      </c>
      <c r="F59" s="18">
        <v>293</v>
      </c>
      <c r="G59" t="b">
        <f>IF(B59=E59,TRUE,FALSE)</f>
        <v>1</v>
      </c>
      <c r="J59" s="24">
        <f>F59-C59</f>
        <v>8</v>
      </c>
      <c r="K59" s="4">
        <f>F59/C59-1</f>
        <v>2.8070175438596578E-2</v>
      </c>
      <c r="M59" s="5">
        <v>218.32000000000002</v>
      </c>
      <c r="N59" s="5">
        <v>308.53999999999996</v>
      </c>
      <c r="Q59" s="122">
        <v>1470.85</v>
      </c>
      <c r="T59" s="99">
        <f>N59-M59</f>
        <v>90.219999999999942</v>
      </c>
      <c r="U59" s="4">
        <f>IF(M59=0,0,N59/M59-1)</f>
        <v>0.41324661048002898</v>
      </c>
      <c r="AA59">
        <v>5692.43</v>
      </c>
      <c r="AB59">
        <v>5851.59</v>
      </c>
      <c r="AC59" s="4">
        <f>AB59/AA59-1</f>
        <v>2.7959939779672371E-2</v>
      </c>
      <c r="AE59">
        <v>853</v>
      </c>
      <c r="AF59" s="5">
        <v>932</v>
      </c>
      <c r="AH59" s="25">
        <v>0.22510000000000002</v>
      </c>
      <c r="AI59" s="25">
        <v>0.1996</v>
      </c>
      <c r="AJ59" s="5"/>
      <c r="AK59" s="5"/>
      <c r="AL59" s="5"/>
      <c r="AM59" s="5"/>
    </row>
    <row r="60" spans="1:39">
      <c r="A60" s="136" t="s">
        <v>1078</v>
      </c>
      <c r="B60" t="s">
        <v>1079</v>
      </c>
      <c r="C60" s="173">
        <v>1004</v>
      </c>
      <c r="E60" t="s">
        <v>1079</v>
      </c>
      <c r="F60" s="173">
        <v>1018</v>
      </c>
      <c r="G60" t="b">
        <f>IF(B60=E60,TRUE,FALSE)</f>
        <v>1</v>
      </c>
      <c r="J60" s="24">
        <f>F60-C60</f>
        <v>14</v>
      </c>
      <c r="K60" s="4">
        <f>F60/C60-1</f>
        <v>1.3944223107569709E-2</v>
      </c>
      <c r="M60" s="174">
        <v>1828</v>
      </c>
      <c r="N60" s="174">
        <v>2498.69</v>
      </c>
      <c r="Q60" s="122">
        <v>6042.8</v>
      </c>
      <c r="T60" s="99">
        <f>N60-M60</f>
        <v>670.69</v>
      </c>
      <c r="U60" s="4">
        <f>IF(M60=0,0,N60/M60-1)</f>
        <v>0.36689824945295402</v>
      </c>
      <c r="AA60" s="173">
        <v>22483.48</v>
      </c>
      <c r="AB60" s="173">
        <v>22357.62</v>
      </c>
      <c r="AC60" s="4">
        <f>AB60/AA60-1</f>
        <v>-5.5978878714505464E-3</v>
      </c>
      <c r="AE60">
        <v>0</v>
      </c>
      <c r="AF60" s="5">
        <v>0</v>
      </c>
      <c r="AH60" s="25">
        <v>0</v>
      </c>
      <c r="AI60" s="25">
        <v>0</v>
      </c>
    </row>
    <row r="61" spans="1:39">
      <c r="A61" t="s">
        <v>1080</v>
      </c>
      <c r="B61" t="s">
        <v>1081</v>
      </c>
      <c r="C61" s="18">
        <v>336</v>
      </c>
      <c r="E61" t="s">
        <v>1081</v>
      </c>
      <c r="F61" s="18">
        <v>353</v>
      </c>
      <c r="G61" t="b">
        <f>IF(B61=E61,TRUE,FALSE)</f>
        <v>1</v>
      </c>
      <c r="J61" s="24">
        <f>F61-C61</f>
        <v>17</v>
      </c>
      <c r="K61" s="4">
        <f>F61/C61-1</f>
        <v>5.0595238095238138E-2</v>
      </c>
      <c r="M61" s="5">
        <v>168.79</v>
      </c>
      <c r="N61" s="5">
        <v>217.76</v>
      </c>
      <c r="Q61" s="122">
        <v>1759.29</v>
      </c>
      <c r="T61" s="99">
        <f>N61-M61</f>
        <v>48.97</v>
      </c>
      <c r="U61" s="4">
        <f>IF(M61=0,0,N61/M61-1)</f>
        <v>0.29012382250133295</v>
      </c>
      <c r="AA61">
        <v>10073.040000000001</v>
      </c>
      <c r="AB61">
        <v>10582.57</v>
      </c>
      <c r="AC61" s="4">
        <f>AB61/AA61-1</f>
        <v>5.058353783961933E-2</v>
      </c>
      <c r="AE61">
        <v>1025</v>
      </c>
      <c r="AF61" s="5">
        <v>1060</v>
      </c>
      <c r="AH61" s="25">
        <v>0.32780000000000004</v>
      </c>
      <c r="AI61" s="25">
        <v>0.33210000000000001</v>
      </c>
      <c r="AJ61" s="5"/>
      <c r="AK61" s="5"/>
      <c r="AL61" s="5"/>
      <c r="AM61" s="5"/>
    </row>
    <row r="62" spans="1:39">
      <c r="A62" t="s">
        <v>1082</v>
      </c>
      <c r="B62" t="s">
        <v>1083</v>
      </c>
      <c r="C62" s="18">
        <v>317</v>
      </c>
      <c r="E62" t="s">
        <v>1083</v>
      </c>
      <c r="F62" s="18">
        <v>334</v>
      </c>
      <c r="G62" t="b">
        <f>IF(B62=E62,TRUE,FALSE)</f>
        <v>1</v>
      </c>
      <c r="J62" s="24">
        <f>F62-C62</f>
        <v>17</v>
      </c>
      <c r="K62" s="4">
        <f>F62/C62-1</f>
        <v>5.3627760252366041E-2</v>
      </c>
      <c r="M62" s="5">
        <v>55.39</v>
      </c>
      <c r="N62" s="5">
        <v>5.25</v>
      </c>
      <c r="Q62" s="122">
        <v>65.849999999999994</v>
      </c>
      <c r="T62" s="99">
        <f>N62-M62</f>
        <v>-50.14</v>
      </c>
      <c r="U62" s="4">
        <f>IF(M62=0,0,N62/M62-1)</f>
        <v>-0.90521754829391587</v>
      </c>
      <c r="AA62">
        <v>6957.49</v>
      </c>
      <c r="AB62">
        <v>7329.98</v>
      </c>
      <c r="AC62" s="4">
        <f>AB62/AA62-1</f>
        <v>5.3537985681617828E-2</v>
      </c>
      <c r="AE62">
        <v>1132</v>
      </c>
      <c r="AF62" s="5">
        <v>1125</v>
      </c>
      <c r="AH62" s="25">
        <v>0.11749999999999999</v>
      </c>
      <c r="AI62" s="25">
        <v>0.1938</v>
      </c>
      <c r="AJ62" s="5"/>
      <c r="AK62" s="5"/>
      <c r="AL62" s="5"/>
      <c r="AM62" s="5"/>
    </row>
    <row r="63" spans="1:39">
      <c r="A63" s="137" t="s">
        <v>1084</v>
      </c>
      <c r="B63" s="36" t="s">
        <v>1085</v>
      </c>
      <c r="C63" s="18">
        <v>773</v>
      </c>
      <c r="E63" s="36" t="s">
        <v>1085</v>
      </c>
      <c r="F63" s="18">
        <v>791</v>
      </c>
      <c r="G63" t="b">
        <f>IF(B63=E63,TRUE,FALSE)</f>
        <v>1</v>
      </c>
      <c r="J63" s="24">
        <f>F63-C63</f>
        <v>18</v>
      </c>
      <c r="K63" s="4">
        <f>F63/C63-1</f>
        <v>2.3285899094437346E-2</v>
      </c>
      <c r="M63" s="5">
        <v>1102.82</v>
      </c>
      <c r="N63" s="5">
        <v>290.79999999999995</v>
      </c>
      <c r="Q63" s="122">
        <v>670</v>
      </c>
      <c r="T63" s="99">
        <f>N63-M63</f>
        <v>-812.02</v>
      </c>
      <c r="U63" s="4">
        <f>IF(M63=0,0,N63/M63-1)</f>
        <v>-0.73631236285159862</v>
      </c>
      <c r="AA63">
        <v>19284</v>
      </c>
      <c r="AB63">
        <v>19618.079999999998</v>
      </c>
      <c r="AC63" s="4">
        <f>AB63/AA63-1</f>
        <v>1.7324206596141867E-2</v>
      </c>
      <c r="AE63">
        <v>3480</v>
      </c>
      <c r="AF63" s="5">
        <v>2498</v>
      </c>
      <c r="AH63" s="25">
        <v>0.21640000000000001</v>
      </c>
      <c r="AI63" s="25">
        <v>0.1177</v>
      </c>
    </row>
    <row r="64" spans="1:39">
      <c r="A64" t="s">
        <v>1086</v>
      </c>
      <c r="B64" t="s">
        <v>1087</v>
      </c>
      <c r="C64" s="18">
        <v>651</v>
      </c>
      <c r="E64" t="s">
        <v>1087</v>
      </c>
      <c r="F64" s="18">
        <v>669</v>
      </c>
      <c r="G64" t="b">
        <f>IF(B64=E64,TRUE,FALSE)</f>
        <v>1</v>
      </c>
      <c r="J64" s="24">
        <f>F64-C64</f>
        <v>18</v>
      </c>
      <c r="K64" s="4">
        <f>F64/C64-1</f>
        <v>2.7649769585253559E-2</v>
      </c>
      <c r="L64" s="5"/>
      <c r="M64" s="5">
        <v>398.51</v>
      </c>
      <c r="N64" s="5">
        <v>566.91999999999996</v>
      </c>
      <c r="O64" s="5"/>
      <c r="P64" s="5"/>
      <c r="Q64" s="122">
        <v>4611.83</v>
      </c>
      <c r="R64" s="5"/>
      <c r="S64" s="5"/>
      <c r="T64" s="99">
        <f>N64-M64</f>
        <v>168.40999999999997</v>
      </c>
      <c r="U64" s="4">
        <f>IF(M64=0,0,N64/M64-1)</f>
        <v>0.42259918195277391</v>
      </c>
      <c r="V64" s="5"/>
      <c r="W64" s="5"/>
      <c r="X64" s="5"/>
      <c r="Y64" s="5"/>
      <c r="Z64" s="14"/>
      <c r="AA64">
        <v>19521.39</v>
      </c>
      <c r="AB64">
        <v>20058.509999999998</v>
      </c>
      <c r="AC64" s="4">
        <f>AB64/AA64-1</f>
        <v>2.7514434166829194E-2</v>
      </c>
      <c r="AE64">
        <v>2076</v>
      </c>
      <c r="AF64" s="5">
        <v>1970</v>
      </c>
      <c r="AH64" s="25">
        <v>0.3145</v>
      </c>
      <c r="AI64" s="25">
        <v>0.33710000000000001</v>
      </c>
    </row>
    <row r="65" spans="1:39">
      <c r="A65" t="s">
        <v>1088</v>
      </c>
      <c r="B65" t="s">
        <v>1089</v>
      </c>
      <c r="C65" s="18">
        <v>772</v>
      </c>
      <c r="E65" t="s">
        <v>1089</v>
      </c>
      <c r="F65" s="18">
        <v>793</v>
      </c>
      <c r="G65" t="b">
        <f>IF(B65=E65,TRUE,FALSE)</f>
        <v>1</v>
      </c>
      <c r="J65" s="24">
        <f>F65-C65</f>
        <v>21</v>
      </c>
      <c r="K65" s="4">
        <f>F65/C65-1</f>
        <v>2.72020725388602E-2</v>
      </c>
      <c r="M65" s="5">
        <v>694.9</v>
      </c>
      <c r="N65" s="5">
        <v>818.82999999999993</v>
      </c>
      <c r="Q65" s="122">
        <v>2639.3900000000003</v>
      </c>
      <c r="T65" s="99">
        <f>N65-M65</f>
        <v>123.92999999999995</v>
      </c>
      <c r="U65" s="4">
        <f>IF(M65=0,0,N65/M65-1)</f>
        <v>0.17834220751187213</v>
      </c>
      <c r="AA65">
        <v>20830.34</v>
      </c>
      <c r="AB65">
        <v>22110</v>
      </c>
      <c r="AC65" s="4">
        <f>AB65/AA65-1</f>
        <v>6.1432506622551619E-2</v>
      </c>
      <c r="AE65">
        <v>2571</v>
      </c>
      <c r="AF65" s="5">
        <v>1045</v>
      </c>
      <c r="AH65" s="25">
        <v>0.30070000000000002</v>
      </c>
      <c r="AI65" s="25">
        <v>0.29570000000000002</v>
      </c>
    </row>
    <row r="66" spans="1:39">
      <c r="A66" s="125" t="s">
        <v>1090</v>
      </c>
      <c r="B66" s="26" t="s">
        <v>1091</v>
      </c>
      <c r="C66" s="173">
        <v>0</v>
      </c>
      <c r="E66" s="26" t="s">
        <v>1091</v>
      </c>
      <c r="F66" s="173">
        <v>24</v>
      </c>
      <c r="G66" t="b">
        <f>IF(B66=E66,TRUE,FALSE)</f>
        <v>1</v>
      </c>
      <c r="J66" s="24">
        <f>F66-C66</f>
        <v>24</v>
      </c>
      <c r="K66" s="4" t="e">
        <f>F66/C66-1</f>
        <v>#DIV/0!</v>
      </c>
      <c r="M66" s="5">
        <v>0</v>
      </c>
      <c r="N66" s="175">
        <v>19.91</v>
      </c>
      <c r="Q66" s="121">
        <v>72.87</v>
      </c>
      <c r="T66" s="101">
        <f>N66-M66</f>
        <v>19.91</v>
      </c>
      <c r="U66" s="4">
        <f>IF(M66=0,0,N66/M66-1)</f>
        <v>0</v>
      </c>
      <c r="AA66">
        <v>0</v>
      </c>
      <c r="AB66" s="173">
        <v>599.76</v>
      </c>
      <c r="AC66" s="4" t="e">
        <f>AB66/AA66-1</f>
        <v>#DIV/0!</v>
      </c>
      <c r="AF66" s="5">
        <v>126</v>
      </c>
      <c r="AH66" s="25"/>
      <c r="AI66" s="25">
        <v>0.1905</v>
      </c>
    </row>
    <row r="67" spans="1:39">
      <c r="A67" t="s">
        <v>1092</v>
      </c>
      <c r="B67" t="s">
        <v>1093</v>
      </c>
      <c r="C67" s="18">
        <v>719</v>
      </c>
      <c r="E67" t="s">
        <v>1093</v>
      </c>
      <c r="F67" s="18">
        <v>745</v>
      </c>
      <c r="G67" t="b">
        <f>IF(B67=E67,TRUE,FALSE)</f>
        <v>1</v>
      </c>
      <c r="J67" s="24">
        <f>F67-C67</f>
        <v>26</v>
      </c>
      <c r="K67" s="4">
        <f>F67/C67-1</f>
        <v>3.6161335187760768E-2</v>
      </c>
      <c r="M67" s="5">
        <v>653.17999999999995</v>
      </c>
      <c r="N67" s="5">
        <v>350.05</v>
      </c>
      <c r="Q67" s="122">
        <v>1773.0800000000002</v>
      </c>
      <c r="T67" s="99">
        <f>N67-M67</f>
        <v>-303.12999999999994</v>
      </c>
      <c r="U67" s="4">
        <f>IF(M67=0,0,N67/M67-1)</f>
        <v>-0.46408340733029174</v>
      </c>
      <c r="AA67">
        <v>14371.61</v>
      </c>
      <c r="AB67">
        <v>14779.150000000001</v>
      </c>
      <c r="AC67" s="4">
        <f>AB67/AA67-1</f>
        <v>2.8357296085824713E-2</v>
      </c>
      <c r="AE67">
        <v>1691</v>
      </c>
      <c r="AF67" s="5">
        <v>1111</v>
      </c>
      <c r="AH67" s="25">
        <v>0.42340000000000005</v>
      </c>
      <c r="AI67" s="25">
        <v>0.26640000000000003</v>
      </c>
      <c r="AJ67" s="5"/>
      <c r="AK67" s="5"/>
      <c r="AL67" s="5"/>
      <c r="AM67" s="5"/>
    </row>
    <row r="68" spans="1:39" ht="13.5" customHeight="1">
      <c r="A68" t="s">
        <v>1094</v>
      </c>
      <c r="B68" t="s">
        <v>1095</v>
      </c>
      <c r="C68" s="18">
        <v>747</v>
      </c>
      <c r="E68" t="s">
        <v>1095</v>
      </c>
      <c r="F68" s="18">
        <v>777</v>
      </c>
      <c r="G68" t="b">
        <f>IF(B68=E68,TRUE,FALSE)</f>
        <v>1</v>
      </c>
      <c r="J68" s="24">
        <f>F68-C68</f>
        <v>30</v>
      </c>
      <c r="K68" s="4">
        <f>F68/C68-1</f>
        <v>4.016064257028118E-2</v>
      </c>
      <c r="M68" s="5">
        <v>537.61</v>
      </c>
      <c r="N68" s="5">
        <v>529.67999999999995</v>
      </c>
      <c r="Q68" s="122">
        <v>2946.8</v>
      </c>
      <c r="T68" s="99">
        <f>N68-M68</f>
        <v>-7.9300000000000637</v>
      </c>
      <c r="U68" s="4">
        <f>IF(M68=0,0,N68/M68-1)</f>
        <v>-1.4750469671323208E-2</v>
      </c>
      <c r="AA68">
        <v>18664.78</v>
      </c>
      <c r="AB68">
        <v>19393.150000000001</v>
      </c>
      <c r="AC68" s="4">
        <f>AB68/AA68-1</f>
        <v>3.9023765616310602E-2</v>
      </c>
      <c r="AE68">
        <v>1602</v>
      </c>
      <c r="AF68" s="5">
        <v>1619</v>
      </c>
      <c r="AH68" s="25">
        <v>0.46500000000000002</v>
      </c>
      <c r="AI68" s="25">
        <v>0.42249999999999999</v>
      </c>
      <c r="AJ68" s="5"/>
      <c r="AK68" s="5"/>
      <c r="AL68" s="5"/>
      <c r="AM68" s="5"/>
    </row>
    <row r="69" spans="1:39">
      <c r="A69" s="136" t="s">
        <v>1096</v>
      </c>
      <c r="B69" t="s">
        <v>1097</v>
      </c>
      <c r="C69" s="18">
        <v>644</v>
      </c>
      <c r="E69" t="s">
        <v>1097</v>
      </c>
      <c r="F69" s="18">
        <v>676</v>
      </c>
      <c r="G69" t="b">
        <f>IF(B69=E69,TRUE,FALSE)</f>
        <v>1</v>
      </c>
      <c r="J69" s="24">
        <f>F69-C69</f>
        <v>32</v>
      </c>
      <c r="K69" s="4">
        <f>F69/C69-1</f>
        <v>4.9689440993788914E-2</v>
      </c>
      <c r="M69" s="5">
        <v>254</v>
      </c>
      <c r="N69" s="5">
        <v>53.410000000000004</v>
      </c>
      <c r="Q69" s="122">
        <v>159.92000000000002</v>
      </c>
      <c r="T69" s="99">
        <f>N69-M69</f>
        <v>-200.59</v>
      </c>
      <c r="U69" s="4">
        <f>IF(M69=0,0,N69/M69-1)</f>
        <v>-0.78972440944881894</v>
      </c>
      <c r="AA69">
        <v>1675.2</v>
      </c>
      <c r="AB69">
        <v>13337.239999999998</v>
      </c>
      <c r="AC69" s="4">
        <f>AB69/AA69-1</f>
        <v>6.9615807067812785</v>
      </c>
      <c r="AE69">
        <v>668</v>
      </c>
      <c r="AF69" s="5">
        <v>788</v>
      </c>
      <c r="AH69" s="25">
        <v>0.12570000000000001</v>
      </c>
      <c r="AI69" s="25">
        <v>1.2999999999999999E-3</v>
      </c>
    </row>
    <row r="70" spans="1:39">
      <c r="A70" s="136" t="s">
        <v>1098</v>
      </c>
      <c r="B70" t="s">
        <v>1099</v>
      </c>
      <c r="C70" s="18">
        <v>249</v>
      </c>
      <c r="E70" t="s">
        <v>1099</v>
      </c>
      <c r="F70" s="18">
        <v>286</v>
      </c>
      <c r="G70" t="b">
        <f>IF(B70=E70,TRUE,FALSE)</f>
        <v>1</v>
      </c>
      <c r="J70" s="24">
        <f>F70-C70</f>
        <v>37</v>
      </c>
      <c r="K70" s="4">
        <f>F70/C70-1</f>
        <v>0.14859437751004023</v>
      </c>
      <c r="M70" s="5">
        <v>28.79</v>
      </c>
      <c r="N70" s="5">
        <v>154.20000000000002</v>
      </c>
      <c r="Q70" s="122">
        <v>294.89999999999998</v>
      </c>
      <c r="T70" s="99">
        <f>N70-M70</f>
        <v>125.41000000000003</v>
      </c>
      <c r="U70" s="4">
        <f>IF(M70=0,0,N70/M70-1)</f>
        <v>4.3560263980548806</v>
      </c>
      <c r="AA70">
        <v>7319.95</v>
      </c>
      <c r="AB70">
        <v>8481.14</v>
      </c>
      <c r="AC70" s="4">
        <f>AB70/AA70-1</f>
        <v>0.1586335972240247</v>
      </c>
      <c r="AE70">
        <v>110</v>
      </c>
      <c r="AF70" s="5">
        <v>0</v>
      </c>
      <c r="AH70" s="25">
        <v>0.19089999999999999</v>
      </c>
      <c r="AI70" s="25">
        <v>0</v>
      </c>
      <c r="AJ70" s="5"/>
      <c r="AK70" s="5"/>
      <c r="AL70" s="5"/>
      <c r="AM70" s="5"/>
    </row>
    <row r="71" spans="1:39" ht="13.9" customHeight="1">
      <c r="A71" s="138" t="s">
        <v>1100</v>
      </c>
      <c r="B71" s="36" t="s">
        <v>1101</v>
      </c>
      <c r="C71">
        <v>341</v>
      </c>
      <c r="E71" s="36" t="s">
        <v>1101</v>
      </c>
      <c r="F71">
        <v>378</v>
      </c>
      <c r="G71" t="b">
        <f>IF(B71=E71,TRUE,FALSE)</f>
        <v>1</v>
      </c>
      <c r="J71" s="24">
        <f>F71-C71</f>
        <v>37</v>
      </c>
      <c r="K71" s="4">
        <f>F71/C71-1</f>
        <v>0.10850439882697938</v>
      </c>
      <c r="M71">
        <v>413.55</v>
      </c>
      <c r="N71">
        <v>753.74999999999989</v>
      </c>
      <c r="Q71" s="122">
        <v>2271.4699999999998</v>
      </c>
      <c r="T71" s="99">
        <f>N71-M71</f>
        <v>340.19999999999987</v>
      </c>
      <c r="U71" s="4">
        <f>IF(M71=0,0,N71/M71-1)</f>
        <v>0.82263329706202359</v>
      </c>
      <c r="AA71" s="173">
        <v>7476.5999999999995</v>
      </c>
      <c r="AB71" s="173">
        <v>8293.58</v>
      </c>
      <c r="AC71" s="4">
        <f>AB71/AA71-1</f>
        <v>0.1092715940400717</v>
      </c>
      <c r="AE71">
        <v>51</v>
      </c>
      <c r="AF71" s="5">
        <v>0</v>
      </c>
      <c r="AH71" s="25">
        <v>1.9599999999999999E-2</v>
      </c>
      <c r="AI71" s="25">
        <v>0</v>
      </c>
    </row>
    <row r="72" spans="1:39" ht="13.9" customHeight="1">
      <c r="A72" t="s">
        <v>1102</v>
      </c>
      <c r="B72" t="s">
        <v>1103</v>
      </c>
      <c r="C72" s="18">
        <v>420</v>
      </c>
      <c r="E72" t="s">
        <v>1103</v>
      </c>
      <c r="F72" s="18">
        <v>459</v>
      </c>
      <c r="G72" t="b">
        <f>IF(B72=E72,TRUE,FALSE)</f>
        <v>1</v>
      </c>
      <c r="J72" s="24">
        <f>F72-C72</f>
        <v>39</v>
      </c>
      <c r="K72" s="4">
        <f>F72/C72-1</f>
        <v>9.2857142857142749E-2</v>
      </c>
      <c r="M72" s="5">
        <v>764.33</v>
      </c>
      <c r="N72" s="5">
        <v>424.54</v>
      </c>
      <c r="Q72" s="122">
        <v>4459.79</v>
      </c>
      <c r="T72" s="99">
        <f>N72-M72</f>
        <v>-339.79</v>
      </c>
      <c r="U72" s="4">
        <f>IF(M72=0,0,N72/M72-1)</f>
        <v>-0.44455928721887139</v>
      </c>
      <c r="W72" t="s">
        <v>1104</v>
      </c>
      <c r="Z72" s="13" t="s">
        <v>1105</v>
      </c>
      <c r="AA72">
        <v>12573.6</v>
      </c>
      <c r="AB72">
        <v>13708.33</v>
      </c>
      <c r="AC72" s="4">
        <f>AB72/AA72-1</f>
        <v>9.0247025513774837E-2</v>
      </c>
      <c r="AE72">
        <v>2029</v>
      </c>
      <c r="AF72" s="5">
        <v>950</v>
      </c>
      <c r="AH72" s="25">
        <v>0.20699999999999999</v>
      </c>
      <c r="AI72" s="25">
        <v>0.17579999999999998</v>
      </c>
    </row>
    <row r="73" spans="1:39" ht="13.9" customHeight="1">
      <c r="A73" t="s">
        <v>1106</v>
      </c>
      <c r="B73" t="s">
        <v>1107</v>
      </c>
      <c r="C73" s="18">
        <v>3078</v>
      </c>
      <c r="E73" t="s">
        <v>1107</v>
      </c>
      <c r="F73" s="18">
        <v>3123</v>
      </c>
      <c r="G73" t="b">
        <f>IF(B73=E73,TRUE,FALSE)</f>
        <v>1</v>
      </c>
      <c r="J73" s="24">
        <f>F73-C73</f>
        <v>45</v>
      </c>
      <c r="K73" s="4">
        <f>F73/C73-1</f>
        <v>1.4619883040935644E-2</v>
      </c>
      <c r="M73" s="5">
        <v>179.71</v>
      </c>
      <c r="N73" s="5">
        <v>137.52000000000001</v>
      </c>
      <c r="Q73" s="122">
        <v>1142.22</v>
      </c>
      <c r="T73" s="99">
        <f>N73-M73</f>
        <v>-42.19</v>
      </c>
      <c r="U73" s="4">
        <f>IF(M73=0,0,N73/M73-1)</f>
        <v>-0.23476712481219741</v>
      </c>
      <c r="AA73">
        <v>92170.8</v>
      </c>
      <c r="AB73">
        <v>93507.15</v>
      </c>
      <c r="AC73" s="4">
        <f>AB73/AA73-1</f>
        <v>1.4498626463044673E-2</v>
      </c>
      <c r="AE73">
        <v>10771</v>
      </c>
      <c r="AF73" s="5">
        <v>12234</v>
      </c>
      <c r="AH73" s="25">
        <v>0.16789999999999999</v>
      </c>
      <c r="AI73" s="25">
        <v>0.2505</v>
      </c>
    </row>
    <row r="74" spans="1:39" ht="13.9" customHeight="1">
      <c r="A74" t="s">
        <v>1108</v>
      </c>
      <c r="B74" t="s">
        <v>1109</v>
      </c>
      <c r="C74" s="18">
        <v>955</v>
      </c>
      <c r="D74" s="5"/>
      <c r="E74" t="s">
        <v>1109</v>
      </c>
      <c r="F74" s="18">
        <v>1003</v>
      </c>
      <c r="G74" t="b">
        <f>IF(B74=E74,TRUE,FALSE)</f>
        <v>1</v>
      </c>
      <c r="H74" s="5"/>
      <c r="I74" s="5"/>
      <c r="J74" s="24">
        <f>F74-C74</f>
        <v>48</v>
      </c>
      <c r="K74" s="4">
        <f>F74/C74-1</f>
        <v>5.026178010471205E-2</v>
      </c>
      <c r="L74" s="5"/>
      <c r="M74" s="5">
        <v>1173.03</v>
      </c>
      <c r="N74" s="5">
        <v>1220.1600000000001</v>
      </c>
      <c r="O74" s="5"/>
      <c r="P74" s="5"/>
      <c r="Q74" s="122">
        <v>8489.15</v>
      </c>
      <c r="R74" s="5"/>
      <c r="S74" s="5"/>
      <c r="T74" s="99">
        <f>N74-M74</f>
        <v>47.130000000000109</v>
      </c>
      <c r="U74" s="4">
        <f>IF(M74=0,0,N74/M74-1)</f>
        <v>4.0178000562645533E-2</v>
      </c>
      <c r="V74" s="5"/>
      <c r="W74" s="5"/>
      <c r="X74" s="5"/>
      <c r="Y74" s="5"/>
      <c r="Z74" s="14"/>
      <c r="AA74">
        <v>28598.95</v>
      </c>
      <c r="AB74">
        <v>30033.25</v>
      </c>
      <c r="AC74" s="4">
        <f>AB74/AA74-1</f>
        <v>5.0152190902113425E-2</v>
      </c>
      <c r="AE74">
        <v>2149</v>
      </c>
      <c r="AF74">
        <v>2120</v>
      </c>
      <c r="AH74" s="25">
        <v>0.44439999999999996</v>
      </c>
      <c r="AI74" s="25">
        <v>0.4708</v>
      </c>
      <c r="AJ74" s="5"/>
      <c r="AK74" s="5"/>
      <c r="AL74" s="5"/>
      <c r="AM74" s="5"/>
    </row>
    <row r="75" spans="1:39" ht="14.45" customHeight="1">
      <c r="A75" t="s">
        <v>1110</v>
      </c>
      <c r="B75" t="s">
        <v>1111</v>
      </c>
      <c r="C75" s="18">
        <v>507</v>
      </c>
      <c r="E75" t="s">
        <v>1111</v>
      </c>
      <c r="F75" s="18">
        <v>556</v>
      </c>
      <c r="G75" t="b">
        <f>IF(B75=E75,TRUE,FALSE)</f>
        <v>1</v>
      </c>
      <c r="J75" s="24">
        <f>F75-C75</f>
        <v>49</v>
      </c>
      <c r="K75" s="4">
        <f>F75/C75-1</f>
        <v>9.6646942800789004E-2</v>
      </c>
      <c r="M75" s="5">
        <v>410.31</v>
      </c>
      <c r="N75" s="5">
        <v>232.61999999999998</v>
      </c>
      <c r="Q75" s="122">
        <v>1342.54</v>
      </c>
      <c r="T75" s="99">
        <f>N75-M75</f>
        <v>-177.69000000000003</v>
      </c>
      <c r="U75" s="4">
        <f>IF(M75=0,0,N75/M75-1)</f>
        <v>-0.43306280617094395</v>
      </c>
      <c r="W75" t="s">
        <v>1112</v>
      </c>
      <c r="Y75" s="4" t="s">
        <v>1113</v>
      </c>
      <c r="AA75">
        <v>9626.0299999999988</v>
      </c>
      <c r="AB75">
        <v>10500.11</v>
      </c>
      <c r="AC75" s="4">
        <f>AB75/AA75-1</f>
        <v>9.0803789308780747E-2</v>
      </c>
      <c r="AE75">
        <v>2109</v>
      </c>
      <c r="AF75" s="5">
        <v>1529</v>
      </c>
      <c r="AH75" s="25">
        <v>0.2409</v>
      </c>
      <c r="AI75" s="25">
        <v>0.15570000000000001</v>
      </c>
    </row>
    <row r="76" spans="1:39" ht="13.9" customHeight="1">
      <c r="A76" t="s">
        <v>1114</v>
      </c>
      <c r="B76" t="s">
        <v>1115</v>
      </c>
      <c r="C76" s="18">
        <v>651</v>
      </c>
      <c r="E76" t="s">
        <v>1115</v>
      </c>
      <c r="F76" s="18">
        <v>704</v>
      </c>
      <c r="G76" t="b">
        <f>IF(B76=E76,TRUE,FALSE)</f>
        <v>1</v>
      </c>
      <c r="J76" s="24">
        <f>F76-C76</f>
        <v>53</v>
      </c>
      <c r="K76" s="4">
        <f>F76/C76-1</f>
        <v>8.1413210445468565E-2</v>
      </c>
      <c r="M76" s="5">
        <v>1099.22</v>
      </c>
      <c r="N76" s="5">
        <v>1456.32</v>
      </c>
      <c r="Q76" s="122">
        <v>5809.7</v>
      </c>
      <c r="T76" s="99">
        <f>N76-M76</f>
        <v>357.09999999999991</v>
      </c>
      <c r="U76" s="4">
        <f>IF(M76=0,0,N76/M76-1)</f>
        <v>0.32486672367678882</v>
      </c>
      <c r="AA76">
        <v>19518.990000000002</v>
      </c>
      <c r="AB76">
        <v>21109.46</v>
      </c>
      <c r="AC76" s="4">
        <f>AB76/AA76-1</f>
        <v>8.1483211989964444E-2</v>
      </c>
      <c r="AE76">
        <v>2450</v>
      </c>
      <c r="AF76" s="5">
        <v>2622</v>
      </c>
      <c r="AH76" s="25">
        <v>0.26289999999999997</v>
      </c>
      <c r="AI76" s="25">
        <v>0.2666</v>
      </c>
      <c r="AJ76" s="5"/>
      <c r="AK76" s="5"/>
      <c r="AL76" s="5"/>
      <c r="AM76" s="5"/>
    </row>
    <row r="77" spans="1:39" ht="13.9" customHeight="1">
      <c r="A77" t="s">
        <v>1116</v>
      </c>
      <c r="B77" t="s">
        <v>1117</v>
      </c>
      <c r="C77" s="18">
        <v>2263</v>
      </c>
      <c r="E77" t="s">
        <v>1117</v>
      </c>
      <c r="F77" s="18">
        <v>2321</v>
      </c>
      <c r="G77" t="b">
        <f>IF(B77=E77,TRUE,FALSE)</f>
        <v>1</v>
      </c>
      <c r="J77" s="24">
        <f>F77-C77</f>
        <v>58</v>
      </c>
      <c r="K77" s="4">
        <f>F77/C77-1</f>
        <v>2.5629695095006566E-2</v>
      </c>
      <c r="M77" s="5">
        <v>1710.6399999999999</v>
      </c>
      <c r="N77" s="5">
        <v>2091.13</v>
      </c>
      <c r="Q77" s="122">
        <v>14597.5</v>
      </c>
      <c r="T77" s="99">
        <f>N77-M77</f>
        <v>380.49000000000024</v>
      </c>
      <c r="U77" s="4">
        <f>IF(M77=0,0,N77/M77-1)</f>
        <v>0.22242552494972667</v>
      </c>
      <c r="AA77">
        <v>67791.97</v>
      </c>
      <c r="AB77">
        <v>69589.490000000005</v>
      </c>
      <c r="AC77" s="4">
        <f>AB77/AA77-1</f>
        <v>2.6515234768955676E-2</v>
      </c>
      <c r="AE77">
        <v>4952</v>
      </c>
      <c r="AF77" s="5">
        <v>5241</v>
      </c>
      <c r="AH77" s="25">
        <v>0.45659999999999995</v>
      </c>
      <c r="AI77" s="25">
        <v>0.44040000000000001</v>
      </c>
    </row>
    <row r="78" spans="1:39" ht="13.9" customHeight="1">
      <c r="A78" t="s">
        <v>1118</v>
      </c>
      <c r="B78" t="s">
        <v>1119</v>
      </c>
      <c r="C78" s="18">
        <v>440</v>
      </c>
      <c r="E78" t="s">
        <v>1119</v>
      </c>
      <c r="F78" s="18">
        <v>504</v>
      </c>
      <c r="G78" t="b">
        <f>IF(B78=E78,TRUE,FALSE)</f>
        <v>1</v>
      </c>
      <c r="J78" s="24">
        <f>F78-C78</f>
        <v>64</v>
      </c>
      <c r="K78" s="4">
        <f>F78/C78-1</f>
        <v>0.1454545454545455</v>
      </c>
      <c r="M78" s="5">
        <v>291.33999999999997</v>
      </c>
      <c r="N78" s="5">
        <v>399.51000000000005</v>
      </c>
      <c r="Q78" s="122">
        <v>2030.57</v>
      </c>
      <c r="T78" s="99">
        <f>N78-M78</f>
        <v>108.17000000000007</v>
      </c>
      <c r="U78" s="4">
        <f>IF(M78=0,0,N78/M78-1)</f>
        <v>0.37128440996773548</v>
      </c>
      <c r="AA78">
        <v>8353.7099999999991</v>
      </c>
      <c r="AB78">
        <v>9569.3000000000011</v>
      </c>
      <c r="AC78" s="4">
        <f>AB78/AA78-1</f>
        <v>0.14551498675438834</v>
      </c>
      <c r="AE78">
        <v>1242</v>
      </c>
      <c r="AF78" s="5">
        <v>1315</v>
      </c>
      <c r="AH78" s="25">
        <v>0.3422</v>
      </c>
      <c r="AI78" s="25">
        <v>0.36959999999999998</v>
      </c>
    </row>
    <row r="79" spans="1:39">
      <c r="A79" t="s">
        <v>1120</v>
      </c>
      <c r="B79" t="s">
        <v>1121</v>
      </c>
      <c r="C79" s="18">
        <v>420</v>
      </c>
      <c r="E79" t="s">
        <v>1121</v>
      </c>
      <c r="F79" s="18">
        <v>484</v>
      </c>
      <c r="G79" t="b">
        <f>IF(B79=E79,TRUE,FALSE)</f>
        <v>1</v>
      </c>
      <c r="J79" s="24">
        <f>F79-C79</f>
        <v>64</v>
      </c>
      <c r="K79" s="4">
        <f>F79/C79-1</f>
        <v>0.15238095238095228</v>
      </c>
      <c r="M79" s="5">
        <v>207.48</v>
      </c>
      <c r="N79" s="5">
        <v>260.83999999999997</v>
      </c>
      <c r="Q79" s="122">
        <v>2514.6</v>
      </c>
      <c r="T79" s="99">
        <f>N79-M79</f>
        <v>53.359999999999985</v>
      </c>
      <c r="U79" s="4">
        <f>IF(M79=0,0,N79/M79-1)</f>
        <v>0.25718141507615178</v>
      </c>
      <c r="AA79">
        <v>12575.94</v>
      </c>
      <c r="AB79">
        <v>14505.44</v>
      </c>
      <c r="AC79" s="4">
        <f>AB79/AA79-1</f>
        <v>0.15342789485318797</v>
      </c>
      <c r="AE79">
        <v>1031</v>
      </c>
      <c r="AF79" s="5">
        <v>1135</v>
      </c>
      <c r="AH79" s="25">
        <v>0.40740000000000004</v>
      </c>
      <c r="AI79" s="25">
        <v>0.42030000000000001</v>
      </c>
      <c r="AJ79" s="5"/>
      <c r="AK79" s="5"/>
      <c r="AL79" s="5"/>
      <c r="AM79" s="5"/>
    </row>
    <row r="80" spans="1:39">
      <c r="A80" s="39" t="s">
        <v>1122</v>
      </c>
      <c r="B80" s="36" t="s">
        <v>1123</v>
      </c>
      <c r="C80" s="18">
        <v>363</v>
      </c>
      <c r="E80" s="36" t="s">
        <v>1123</v>
      </c>
      <c r="F80" s="18">
        <v>428</v>
      </c>
      <c r="G80" t="b">
        <f>IF(B80=E80,TRUE,FALSE)</f>
        <v>1</v>
      </c>
      <c r="J80" s="24">
        <f>F80-C80</f>
        <v>65</v>
      </c>
      <c r="K80" s="4">
        <f>F80/C80-1</f>
        <v>0.17906336088154262</v>
      </c>
      <c r="M80" s="5">
        <v>1028.56</v>
      </c>
      <c r="N80" s="5">
        <v>1364.77</v>
      </c>
      <c r="Q80" s="122">
        <v>5292</v>
      </c>
      <c r="T80" s="99">
        <f>N80-M80</f>
        <v>336.21000000000004</v>
      </c>
      <c r="U80" s="4">
        <f>IF(M80=0,0,N80/M80-1)</f>
        <v>0.3268744652718365</v>
      </c>
      <c r="AA80">
        <v>7965.87</v>
      </c>
      <c r="AB80">
        <v>9393.7199999999993</v>
      </c>
      <c r="AC80" s="4">
        <f>AB80/AA80-1</f>
        <v>0.1792459580686101</v>
      </c>
      <c r="AD80" s="135"/>
      <c r="AE80">
        <v>1671</v>
      </c>
      <c r="AF80" s="5">
        <v>2003</v>
      </c>
      <c r="AH80" s="25">
        <v>0.21780000000000002</v>
      </c>
      <c r="AI80" s="25">
        <v>0.2137</v>
      </c>
    </row>
    <row r="81" spans="1:40">
      <c r="A81" t="s">
        <v>1124</v>
      </c>
      <c r="B81" t="s">
        <v>1125</v>
      </c>
      <c r="C81" s="18">
        <v>637</v>
      </c>
      <c r="E81" t="s">
        <v>1125</v>
      </c>
      <c r="F81" s="18">
        <v>713</v>
      </c>
      <c r="G81" t="b">
        <f>IF(B81=E81,TRUE,FALSE)</f>
        <v>1</v>
      </c>
      <c r="J81" s="24">
        <f>F81-C81</f>
        <v>76</v>
      </c>
      <c r="K81" s="4">
        <f>F81/C81-1</f>
        <v>0.11930926216640492</v>
      </c>
      <c r="M81" s="5">
        <v>203.89</v>
      </c>
      <c r="N81" s="5">
        <v>231.17</v>
      </c>
      <c r="Q81" s="122">
        <v>2874.49</v>
      </c>
      <c r="T81" s="99">
        <f>N81-M81</f>
        <v>27.28</v>
      </c>
      <c r="U81" s="4">
        <f>IF(M81=0,0,N81/M81-1)</f>
        <v>0.13379763598018535</v>
      </c>
      <c r="AA81">
        <v>19069.14</v>
      </c>
      <c r="AB81">
        <v>21376.87</v>
      </c>
      <c r="AC81" s="4">
        <f>AB81/AA81-1</f>
        <v>0.12101909157937896</v>
      </c>
      <c r="AE81">
        <v>1703</v>
      </c>
      <c r="AF81" s="5">
        <v>1925</v>
      </c>
      <c r="AH81" s="25">
        <v>0.37459999999999999</v>
      </c>
      <c r="AI81" s="25">
        <v>0.36829999999999996</v>
      </c>
    </row>
    <row r="82" spans="1:40" s="5" customFormat="1">
      <c r="A82" t="s">
        <v>1126</v>
      </c>
      <c r="B82" t="s">
        <v>1127</v>
      </c>
      <c r="C82" s="18">
        <v>1242</v>
      </c>
      <c r="D82"/>
      <c r="E82" t="s">
        <v>1127</v>
      </c>
      <c r="F82" s="18">
        <v>1326</v>
      </c>
      <c r="G82" t="b">
        <f>IF(B82=E82,TRUE,FALSE)</f>
        <v>1</v>
      </c>
      <c r="H82"/>
      <c r="I82"/>
      <c r="J82" s="24">
        <f>F82-C82</f>
        <v>84</v>
      </c>
      <c r="K82" s="4">
        <f>F82/C82-1</f>
        <v>6.7632850241545972E-2</v>
      </c>
      <c r="L82"/>
      <c r="M82" s="5">
        <v>1462.54</v>
      </c>
      <c r="N82" s="5">
        <v>1394.44</v>
      </c>
      <c r="O82"/>
      <c r="P82"/>
      <c r="Q82" s="122">
        <v>5203.9399999999996</v>
      </c>
      <c r="R82"/>
      <c r="S82"/>
      <c r="T82" s="99">
        <f>N82-M82</f>
        <v>-68.099999999999909</v>
      </c>
      <c r="U82" s="4">
        <f>IF(M82=0,0,N82/M82-1)</f>
        <v>-4.6562829050829313E-2</v>
      </c>
      <c r="V82"/>
      <c r="W82"/>
      <c r="X82"/>
      <c r="Y82"/>
      <c r="Z82" s="13"/>
      <c r="AA82">
        <v>37165.699999999997</v>
      </c>
      <c r="AB82">
        <v>39268.46</v>
      </c>
      <c r="AC82" s="4">
        <f>AB82/AA82-1</f>
        <v>5.6577973776896551E-2</v>
      </c>
      <c r="AD82"/>
      <c r="AE82">
        <v>3506</v>
      </c>
      <c r="AF82" s="5">
        <v>2177</v>
      </c>
      <c r="AG82"/>
      <c r="AH82" s="25">
        <v>0.35799999999999998</v>
      </c>
      <c r="AI82" s="25">
        <v>0.2311</v>
      </c>
      <c r="AJ82"/>
      <c r="AK82"/>
      <c r="AL82"/>
      <c r="AM82"/>
      <c r="AN82"/>
    </row>
    <row r="83" spans="1:40" s="5" customFormat="1">
      <c r="A83" t="s">
        <v>1128</v>
      </c>
      <c r="B83" t="s">
        <v>1129</v>
      </c>
      <c r="C83" s="18">
        <v>735</v>
      </c>
      <c r="D83"/>
      <c r="E83" t="s">
        <v>1129</v>
      </c>
      <c r="F83" s="18">
        <v>825</v>
      </c>
      <c r="G83" t="b">
        <f>IF(B83=E83,TRUE,FALSE)</f>
        <v>1</v>
      </c>
      <c r="H83"/>
      <c r="I83"/>
      <c r="J83" s="24">
        <f>F83-C83</f>
        <v>90</v>
      </c>
      <c r="K83" s="4">
        <f>F83/C83-1</f>
        <v>0.12244897959183665</v>
      </c>
      <c r="L83"/>
      <c r="M83" s="5">
        <v>802.5</v>
      </c>
      <c r="N83" s="5">
        <v>751.11</v>
      </c>
      <c r="O83"/>
      <c r="P83"/>
      <c r="Q83" s="122">
        <v>3758.3</v>
      </c>
      <c r="R83"/>
      <c r="S83"/>
      <c r="T83" s="99">
        <f>N83-M83</f>
        <v>-51.389999999999986</v>
      </c>
      <c r="U83" s="4">
        <f>IF(M83=0,0,N83/M83-1)</f>
        <v>-6.4037383177570129E-2</v>
      </c>
      <c r="V83"/>
      <c r="W83"/>
      <c r="X83"/>
      <c r="Y83"/>
      <c r="Z83" s="13"/>
      <c r="AA83">
        <v>12485.27</v>
      </c>
      <c r="AB83">
        <v>14013.69</v>
      </c>
      <c r="AC83" s="4">
        <f>AB83/AA83-1</f>
        <v>0.12241785720292797</v>
      </c>
      <c r="AD83"/>
      <c r="AE83">
        <v>3154</v>
      </c>
      <c r="AF83">
        <v>3336</v>
      </c>
      <c r="AG83"/>
      <c r="AH83" s="25">
        <v>0.23300000000000001</v>
      </c>
      <c r="AI83" s="25">
        <v>0.24640000000000001</v>
      </c>
      <c r="AJ83"/>
      <c r="AK83"/>
      <c r="AL83"/>
      <c r="AM83"/>
      <c r="AN83"/>
    </row>
    <row r="84" spans="1:40" s="5" customFormat="1">
      <c r="A84" s="40" t="s">
        <v>1130</v>
      </c>
      <c r="B84" s="36" t="s">
        <v>1131</v>
      </c>
      <c r="C84" s="18">
        <v>1087</v>
      </c>
      <c r="D84"/>
      <c r="E84" s="36" t="s">
        <v>1131</v>
      </c>
      <c r="F84" s="18">
        <v>1192</v>
      </c>
      <c r="G84" t="b">
        <f>IF(B84=E84,TRUE,FALSE)</f>
        <v>1</v>
      </c>
      <c r="H84"/>
      <c r="I84"/>
      <c r="J84" s="24">
        <f>F84-C84</f>
        <v>105</v>
      </c>
      <c r="K84" s="4">
        <f>F84/C84-1</f>
        <v>9.6596136154553758E-2</v>
      </c>
      <c r="L84"/>
      <c r="M84" s="5">
        <v>1291.3499999999999</v>
      </c>
      <c r="N84" s="5">
        <v>1945.6799999999998</v>
      </c>
      <c r="O84"/>
      <c r="P84"/>
      <c r="Q84" s="122">
        <v>4703.18</v>
      </c>
      <c r="R84"/>
      <c r="S84"/>
      <c r="T84" s="99">
        <f>N84-M84</f>
        <v>654.32999999999993</v>
      </c>
      <c r="U84" s="4">
        <f>IF(M84=0,0,N84/M84-1)</f>
        <v>0.50670228830293884</v>
      </c>
      <c r="V84"/>
      <c r="W84"/>
      <c r="X84"/>
      <c r="Y84"/>
      <c r="Z84" s="13"/>
      <c r="AA84">
        <v>27159.63</v>
      </c>
      <c r="AB84">
        <v>29469.08</v>
      </c>
      <c r="AC84" s="4">
        <f>AB84/AA84-1</f>
        <v>8.5032454418561665E-2</v>
      </c>
      <c r="AD84"/>
      <c r="AE84">
        <v>3530</v>
      </c>
      <c r="AF84">
        <v>1923</v>
      </c>
      <c r="AG84"/>
      <c r="AH84" s="25">
        <v>0.30740000000000001</v>
      </c>
      <c r="AI84" s="25">
        <v>0.25069999999999998</v>
      </c>
      <c r="AJ84"/>
      <c r="AK84"/>
      <c r="AL84"/>
      <c r="AM84"/>
      <c r="AN84"/>
    </row>
    <row r="85" spans="1:40" s="5" customFormat="1">
      <c r="A85" s="36" t="s">
        <v>1132</v>
      </c>
      <c r="B85" s="36" t="s">
        <v>1133</v>
      </c>
      <c r="C85" s="18">
        <v>392</v>
      </c>
      <c r="D85"/>
      <c r="E85" s="36" t="s">
        <v>1133</v>
      </c>
      <c r="F85" s="18">
        <v>497</v>
      </c>
      <c r="G85" t="b">
        <f>IF(B85=E85,TRUE,FALSE)</f>
        <v>1</v>
      </c>
      <c r="H85"/>
      <c r="I85"/>
      <c r="J85" s="24">
        <f>F85-C85</f>
        <v>105</v>
      </c>
      <c r="K85" s="4">
        <f>F85/C85-1</f>
        <v>0.26785714285714279</v>
      </c>
      <c r="L85"/>
      <c r="M85" s="5">
        <v>357.88</v>
      </c>
      <c r="N85" s="5">
        <v>416.05</v>
      </c>
      <c r="O85"/>
      <c r="P85"/>
      <c r="Q85" s="122">
        <v>2155.9299999999998</v>
      </c>
      <c r="R85"/>
      <c r="S85"/>
      <c r="T85" s="99">
        <f>N85-M85</f>
        <v>58.170000000000016</v>
      </c>
      <c r="U85" s="4">
        <f>IF(M85=0,0,N85/M85-1)</f>
        <v>0.16254051637420375</v>
      </c>
      <c r="V85"/>
      <c r="W85"/>
      <c r="X85"/>
      <c r="Y85"/>
      <c r="Z85" s="13"/>
      <c r="AA85">
        <v>7815.29</v>
      </c>
      <c r="AB85">
        <v>9853.4699999999993</v>
      </c>
      <c r="AC85" s="4">
        <f>AB85/AA85-1</f>
        <v>0.26079390528054613</v>
      </c>
      <c r="AD85"/>
      <c r="AE85">
        <v>1576</v>
      </c>
      <c r="AF85">
        <v>2024</v>
      </c>
      <c r="AG85"/>
      <c r="AH85" s="25">
        <v>0.24940000000000001</v>
      </c>
      <c r="AI85" s="25">
        <v>0.24510000000000001</v>
      </c>
      <c r="AJ85"/>
      <c r="AK85"/>
      <c r="AL85"/>
      <c r="AM85"/>
      <c r="AN85"/>
    </row>
    <row r="86" spans="1:40" s="5" customFormat="1">
      <c r="A86" t="s">
        <v>1134</v>
      </c>
      <c r="B86" t="s">
        <v>1135</v>
      </c>
      <c r="C86" s="18">
        <v>434</v>
      </c>
      <c r="D86"/>
      <c r="E86" t="s">
        <v>1135</v>
      </c>
      <c r="F86" s="18">
        <v>539</v>
      </c>
      <c r="G86" t="b">
        <f>IF(B86=E86,TRUE,FALSE)</f>
        <v>1</v>
      </c>
      <c r="H86"/>
      <c r="I86"/>
      <c r="J86" s="24">
        <f>F86-C86</f>
        <v>105</v>
      </c>
      <c r="K86" s="4">
        <f>F86/C86-1</f>
        <v>0.24193548387096775</v>
      </c>
      <c r="L86"/>
      <c r="M86" s="5">
        <v>250.94</v>
      </c>
      <c r="N86" s="5">
        <v>437</v>
      </c>
      <c r="O86"/>
      <c r="P86"/>
      <c r="Q86" s="122">
        <v>1450.42</v>
      </c>
      <c r="R86"/>
      <c r="S86"/>
      <c r="T86" s="99">
        <f>N86-M86</f>
        <v>186.06</v>
      </c>
      <c r="U86" s="4">
        <f>IF(M86=0,0,N86/M86-1)</f>
        <v>0.7414521399537739</v>
      </c>
      <c r="V86"/>
      <c r="W86"/>
      <c r="X86"/>
      <c r="Y86"/>
      <c r="Z86" s="13"/>
      <c r="AA86">
        <v>11694.68</v>
      </c>
      <c r="AB86">
        <v>14402.09</v>
      </c>
      <c r="AC86" s="4">
        <f>AB86/AA86-1</f>
        <v>0.23150783091114935</v>
      </c>
      <c r="AD86"/>
      <c r="AE86">
        <v>834</v>
      </c>
      <c r="AF86">
        <v>632</v>
      </c>
      <c r="AG86"/>
      <c r="AH86" s="25">
        <v>0.51439999999999997</v>
      </c>
      <c r="AI86" s="25">
        <v>0.28800000000000003</v>
      </c>
      <c r="AN86"/>
    </row>
    <row r="87" spans="1:40" s="5" customFormat="1">
      <c r="A87" t="s">
        <v>1136</v>
      </c>
      <c r="B87" t="s">
        <v>1137</v>
      </c>
      <c r="C87" s="18">
        <v>827</v>
      </c>
      <c r="D87"/>
      <c r="E87" t="s">
        <v>1137</v>
      </c>
      <c r="F87" s="18">
        <v>933</v>
      </c>
      <c r="G87" t="b">
        <f>IF(B87=E87,TRUE,FALSE)</f>
        <v>1</v>
      </c>
      <c r="H87"/>
      <c r="I87"/>
      <c r="J87" s="24">
        <f>F87-C87</f>
        <v>106</v>
      </c>
      <c r="K87" s="4">
        <f>F87/C87-1</f>
        <v>0.12817412333736389</v>
      </c>
      <c r="L87"/>
      <c r="M87" s="5">
        <v>796.52</v>
      </c>
      <c r="N87" s="5">
        <v>716.25</v>
      </c>
      <c r="O87"/>
      <c r="P87"/>
      <c r="Q87" s="122">
        <v>5824.92</v>
      </c>
      <c r="R87"/>
      <c r="S87"/>
      <c r="T87" s="99">
        <f>N87-M87</f>
        <v>-80.269999999999982</v>
      </c>
      <c r="U87" s="4">
        <f>IF(M87=0,0,N87/M87-1)</f>
        <v>-0.10077587505649577</v>
      </c>
      <c r="V87"/>
      <c r="W87"/>
      <c r="X87"/>
      <c r="Y87"/>
      <c r="Z87" s="13"/>
      <c r="AA87">
        <v>32208.53</v>
      </c>
      <c r="AB87">
        <v>36327.870000000003</v>
      </c>
      <c r="AC87" s="4">
        <f>AB87/AA87-1</f>
        <v>0.12789593315807957</v>
      </c>
      <c r="AD87"/>
      <c r="AE87">
        <v>2314</v>
      </c>
      <c r="AF87">
        <v>2297</v>
      </c>
      <c r="AG87"/>
      <c r="AH87" s="25">
        <v>0.35780000000000001</v>
      </c>
      <c r="AI87" s="25">
        <v>0.40270000000000006</v>
      </c>
      <c r="AJ87"/>
      <c r="AK87"/>
      <c r="AL87"/>
      <c r="AM87"/>
      <c r="AN87"/>
    </row>
    <row r="88" spans="1:40" s="5" customFormat="1">
      <c r="A88" t="s">
        <v>1138</v>
      </c>
      <c r="B88" t="s">
        <v>1139</v>
      </c>
      <c r="C88" s="18">
        <v>686</v>
      </c>
      <c r="D88"/>
      <c r="E88" t="s">
        <v>1139</v>
      </c>
      <c r="F88" s="18">
        <v>798</v>
      </c>
      <c r="G88" t="b">
        <f>IF(B88=E88,TRUE,FALSE)</f>
        <v>1</v>
      </c>
      <c r="H88"/>
      <c r="I88"/>
      <c r="J88" s="24">
        <f>F88-C88</f>
        <v>112</v>
      </c>
      <c r="K88" s="4">
        <f>F88/C88-1</f>
        <v>0.16326530612244894</v>
      </c>
      <c r="L88"/>
      <c r="M88" s="5">
        <v>581.99</v>
      </c>
      <c r="N88" s="5">
        <v>1114.18</v>
      </c>
      <c r="O88"/>
      <c r="P88"/>
      <c r="Q88" s="122">
        <v>3553.85</v>
      </c>
      <c r="R88"/>
      <c r="S88"/>
      <c r="T88" s="99">
        <f>N88-M88</f>
        <v>532.19000000000005</v>
      </c>
      <c r="U88" s="4">
        <f>IF(M88=0,0,N88/M88-1)</f>
        <v>0.91443151944191481</v>
      </c>
      <c r="V88"/>
      <c r="W88" t="s">
        <v>1140</v>
      </c>
      <c r="X88"/>
      <c r="Y88" t="s">
        <v>1141</v>
      </c>
      <c r="Z88" s="13"/>
      <c r="AA88">
        <v>13681.7</v>
      </c>
      <c r="AB88">
        <v>15916.1</v>
      </c>
      <c r="AC88" s="4">
        <f>AB88/AA88-1</f>
        <v>0.16331303858438639</v>
      </c>
      <c r="AD88"/>
      <c r="AE88">
        <v>1551</v>
      </c>
      <c r="AF88">
        <v>2120</v>
      </c>
      <c r="AG88"/>
      <c r="AH88" s="25">
        <v>0.44420000000000004</v>
      </c>
      <c r="AI88" s="25">
        <v>0.37119999999999997</v>
      </c>
      <c r="AJ88"/>
      <c r="AK88"/>
      <c r="AL88"/>
      <c r="AM88"/>
      <c r="AN88"/>
    </row>
    <row r="89" spans="1:40" s="5" customFormat="1">
      <c r="A89" s="39" t="s">
        <v>1142</v>
      </c>
      <c r="B89" s="36" t="s">
        <v>1143</v>
      </c>
      <c r="C89" s="18">
        <v>867</v>
      </c>
      <c r="D89"/>
      <c r="E89" s="36" t="s">
        <v>1143</v>
      </c>
      <c r="F89" s="18">
        <v>981</v>
      </c>
      <c r="G89" t="b">
        <f>IF(B89=E89,TRUE,FALSE)</f>
        <v>1</v>
      </c>
      <c r="H89"/>
      <c r="I89"/>
      <c r="J89" s="24">
        <f>F89-C89</f>
        <v>114</v>
      </c>
      <c r="K89" s="4">
        <f>F89/C89-1</f>
        <v>0.13148788927335642</v>
      </c>
      <c r="L89"/>
      <c r="M89" s="5">
        <v>1887.39</v>
      </c>
      <c r="N89" s="5">
        <v>2112.75</v>
      </c>
      <c r="O89"/>
      <c r="P89"/>
      <c r="Q89" s="122">
        <v>6352.08</v>
      </c>
      <c r="R89"/>
      <c r="S89"/>
      <c r="T89" s="99">
        <f>N89-M89</f>
        <v>225.3599999999999</v>
      </c>
      <c r="U89" s="4">
        <f>IF(M89=0,0,N89/M89-1)</f>
        <v>0.11940298507462677</v>
      </c>
      <c r="V89"/>
      <c r="W89"/>
      <c r="X89"/>
      <c r="Y89"/>
      <c r="Z89" s="13"/>
      <c r="AA89">
        <v>12127.79</v>
      </c>
      <c r="AB89">
        <v>13722.65</v>
      </c>
      <c r="AC89" s="4">
        <f>AB89/AA89-1</f>
        <v>0.13150458574892854</v>
      </c>
      <c r="AD89"/>
      <c r="AE89">
        <v>4608</v>
      </c>
      <c r="AF89">
        <v>4544</v>
      </c>
      <c r="AG89"/>
      <c r="AH89" s="25">
        <v>0.18820000000000001</v>
      </c>
      <c r="AI89" s="25">
        <v>0.2157</v>
      </c>
      <c r="AJ89"/>
      <c r="AK89"/>
      <c r="AL89" t="s">
        <v>1144</v>
      </c>
      <c r="AM89"/>
      <c r="AN89"/>
    </row>
    <row r="90" spans="1:40">
      <c r="A90" s="136" t="s">
        <v>1145</v>
      </c>
      <c r="B90" t="s">
        <v>1146</v>
      </c>
      <c r="C90" s="18">
        <v>1978</v>
      </c>
      <c r="E90" t="s">
        <v>1146</v>
      </c>
      <c r="F90" s="18">
        <v>2095</v>
      </c>
      <c r="G90" t="b">
        <f>IF(B90=E90,TRUE,FALSE)</f>
        <v>1</v>
      </c>
      <c r="J90" s="24">
        <f>F90-C90</f>
        <v>117</v>
      </c>
      <c r="K90" s="4">
        <f>F90/C90-1</f>
        <v>5.9150657229524839E-2</v>
      </c>
      <c r="M90" s="5">
        <v>2891</v>
      </c>
      <c r="N90" s="5">
        <v>5181.5400000000009</v>
      </c>
      <c r="Q90" s="122">
        <v>8614.4399999999987</v>
      </c>
      <c r="T90" s="99">
        <f>N90-M90</f>
        <v>2290.5400000000009</v>
      </c>
      <c r="U90" s="4">
        <f>IF(M90=0,0,N90/M90-1)</f>
        <v>0.79230024213075101</v>
      </c>
      <c r="AA90">
        <v>48114.11</v>
      </c>
      <c r="AB90">
        <v>49932.659999999996</v>
      </c>
      <c r="AC90" s="4">
        <f>AB90/AA90-1</f>
        <v>3.7796604779761989E-2</v>
      </c>
      <c r="AD90" s="107"/>
      <c r="AE90">
        <v>1831</v>
      </c>
      <c r="AF90">
        <v>0</v>
      </c>
      <c r="AH90" s="25">
        <v>0.1464</v>
      </c>
      <c r="AI90" s="25">
        <v>0</v>
      </c>
    </row>
    <row r="91" spans="1:40" s="5" customFormat="1">
      <c r="A91" t="s">
        <v>1147</v>
      </c>
      <c r="B91" t="s">
        <v>1148</v>
      </c>
      <c r="C91" s="18">
        <v>565</v>
      </c>
      <c r="D91"/>
      <c r="E91" t="s">
        <v>1148</v>
      </c>
      <c r="F91" s="18">
        <v>695</v>
      </c>
      <c r="G91" t="b">
        <f>IF(B91=E91,TRUE,FALSE)</f>
        <v>1</v>
      </c>
      <c r="H91"/>
      <c r="I91"/>
      <c r="J91" s="24">
        <f>F91-C91</f>
        <v>130</v>
      </c>
      <c r="K91" s="4">
        <f>F91/C91-1</f>
        <v>0.23008849557522115</v>
      </c>
      <c r="L91"/>
      <c r="M91" s="5">
        <v>143.05000000000001</v>
      </c>
      <c r="N91" s="5">
        <v>0</v>
      </c>
      <c r="O91"/>
      <c r="P91"/>
      <c r="Q91" s="122">
        <v>0</v>
      </c>
      <c r="R91"/>
      <c r="S91"/>
      <c r="T91" s="99">
        <f>N91-M91</f>
        <v>-143.05000000000001</v>
      </c>
      <c r="U91" s="4">
        <f>IF(M91=0,0,N91/M91-1)</f>
        <v>-1</v>
      </c>
      <c r="V91"/>
      <c r="W91"/>
      <c r="X91"/>
      <c r="Y91"/>
      <c r="Z91" s="13"/>
      <c r="AA91">
        <v>13530.550000000001</v>
      </c>
      <c r="AB91">
        <v>15114.599999999999</v>
      </c>
      <c r="AC91" s="4">
        <f>AB91/AA91-1</f>
        <v>0.11707210719445982</v>
      </c>
      <c r="AD91"/>
      <c r="AE91">
        <v>2061</v>
      </c>
      <c r="AF91">
        <v>2066</v>
      </c>
      <c r="AG91"/>
      <c r="AH91" s="25">
        <v>8.929999999999999E-2</v>
      </c>
      <c r="AI91" s="25">
        <v>0.29330000000000001</v>
      </c>
      <c r="AJ91"/>
      <c r="AK91"/>
      <c r="AL91"/>
      <c r="AM91"/>
      <c r="AN91"/>
    </row>
    <row r="92" spans="1:40" s="5" customFormat="1">
      <c r="A92" s="136" t="s">
        <v>1149</v>
      </c>
      <c r="B92" s="5" t="s">
        <v>1150</v>
      </c>
      <c r="C92" s="173">
        <v>1076</v>
      </c>
      <c r="D92"/>
      <c r="E92" t="s">
        <v>1150</v>
      </c>
      <c r="F92" s="173">
        <v>1214</v>
      </c>
      <c r="G92" t="b">
        <f>IF(B92=E92,TRUE,FALSE)</f>
        <v>1</v>
      </c>
      <c r="H92"/>
      <c r="I92"/>
      <c r="J92" s="24">
        <f>F92-C92</f>
        <v>138</v>
      </c>
      <c r="K92" s="4">
        <f>F92/C92-1</f>
        <v>0.12825278810408913</v>
      </c>
      <c r="L92"/>
      <c r="M92">
        <v>1973</v>
      </c>
      <c r="N92">
        <v>2639.5</v>
      </c>
      <c r="O92"/>
      <c r="P92"/>
      <c r="Q92" s="173">
        <v>5949.630000000001</v>
      </c>
      <c r="R92"/>
      <c r="S92"/>
      <c r="T92" s="99">
        <f>N92-M92</f>
        <v>666.5</v>
      </c>
      <c r="U92" s="4">
        <f>IF(M92=0,0,N92/M92-1)</f>
        <v>0.33781044095286372</v>
      </c>
      <c r="V92"/>
      <c r="W92"/>
      <c r="X92"/>
      <c r="Y92"/>
      <c r="Z92" s="13"/>
      <c r="AA92" s="173">
        <v>24694.199999999997</v>
      </c>
      <c r="AB92" s="173">
        <v>27850.720000000001</v>
      </c>
      <c r="AC92" s="4">
        <f>AB92/AA92-1</f>
        <v>0.12782434741761239</v>
      </c>
      <c r="AD92"/>
      <c r="AE92">
        <v>1936</v>
      </c>
      <c r="AF92">
        <v>699</v>
      </c>
      <c r="AG92"/>
      <c r="AH92" s="25">
        <v>2.0999999999999999E-3</v>
      </c>
      <c r="AI92" s="25">
        <v>2.8999999999999998E-3</v>
      </c>
      <c r="AJ92"/>
      <c r="AK92"/>
      <c r="AL92"/>
      <c r="AM92"/>
      <c r="AN92"/>
    </row>
    <row r="93" spans="1:40" s="5" customFormat="1">
      <c r="A93" t="s">
        <v>1151</v>
      </c>
      <c r="B93" t="s">
        <v>1152</v>
      </c>
      <c r="C93" s="18">
        <v>1</v>
      </c>
      <c r="D93"/>
      <c r="E93" t="s">
        <v>1152</v>
      </c>
      <c r="F93" s="18">
        <v>143</v>
      </c>
      <c r="G93" t="b">
        <f>IF(B93=E93,TRUE,FALSE)</f>
        <v>1</v>
      </c>
      <c r="H93"/>
      <c r="I93"/>
      <c r="J93" s="24">
        <f>F93-C93</f>
        <v>142</v>
      </c>
      <c r="K93" s="4">
        <f>F93/C93-1</f>
        <v>142</v>
      </c>
      <c r="L93"/>
      <c r="M93" s="5">
        <v>0</v>
      </c>
      <c r="N93" s="5">
        <v>100.22</v>
      </c>
      <c r="O93"/>
      <c r="P93"/>
      <c r="Q93" s="122">
        <v>708.24</v>
      </c>
      <c r="R93"/>
      <c r="S93"/>
      <c r="T93" s="99">
        <f>N93-M93</f>
        <v>100.22</v>
      </c>
      <c r="U93" s="4">
        <f>IF(M93=0,0,N93/M93-1)</f>
        <v>0</v>
      </c>
      <c r="V93"/>
      <c r="W93"/>
      <c r="X93"/>
      <c r="Y93"/>
      <c r="Z93" s="13"/>
      <c r="AA93">
        <v>29.95</v>
      </c>
      <c r="AB93">
        <v>4274.75</v>
      </c>
      <c r="AC93" s="4">
        <f>AB93/AA93-1</f>
        <v>141.72954924874793</v>
      </c>
      <c r="AD93"/>
      <c r="AE93">
        <v>0</v>
      </c>
      <c r="AF93">
        <v>298</v>
      </c>
      <c r="AG93"/>
      <c r="AH93" s="25">
        <v>0</v>
      </c>
      <c r="AI93" s="25">
        <v>0.47320000000000001</v>
      </c>
      <c r="AN93"/>
    </row>
    <row r="94" spans="1:40" s="5" customFormat="1" ht="15.75" customHeight="1">
      <c r="A94" s="136" t="s">
        <v>1153</v>
      </c>
      <c r="B94" t="s">
        <v>1154</v>
      </c>
      <c r="C94" s="18">
        <v>1512</v>
      </c>
      <c r="D94"/>
      <c r="E94" t="s">
        <v>1154</v>
      </c>
      <c r="F94" s="18">
        <v>1664</v>
      </c>
      <c r="G94" t="b">
        <f>IF(B94=E94,TRUE,FALSE)</f>
        <v>1</v>
      </c>
      <c r="H94"/>
      <c r="I94"/>
      <c r="J94" s="24">
        <f>F94-C94</f>
        <v>152</v>
      </c>
      <c r="K94" s="4">
        <f>F94/C94-1</f>
        <v>0.10052910052910047</v>
      </c>
      <c r="L94"/>
      <c r="M94">
        <v>2407</v>
      </c>
      <c r="N94">
        <v>3502.3800000000006</v>
      </c>
      <c r="O94"/>
      <c r="P94"/>
      <c r="Q94" s="122">
        <v>9437.69</v>
      </c>
      <c r="R94"/>
      <c r="S94"/>
      <c r="T94" s="99">
        <f>N94-M94</f>
        <v>1095.3800000000006</v>
      </c>
      <c r="U94" s="4">
        <f>IF(M94=0,0,N94/M94-1)</f>
        <v>0.45508101371001275</v>
      </c>
      <c r="V94"/>
      <c r="W94"/>
      <c r="X94"/>
      <c r="Y94"/>
      <c r="Z94" s="13"/>
      <c r="AA94">
        <v>33248.050000000003</v>
      </c>
      <c r="AB94">
        <v>36548.94</v>
      </c>
      <c r="AC94" s="4">
        <f>AB94/AA94-1</f>
        <v>9.9280709695756642E-2</v>
      </c>
      <c r="AD94"/>
      <c r="AE94">
        <v>1555</v>
      </c>
      <c r="AF94">
        <v>656</v>
      </c>
      <c r="AG94"/>
      <c r="AH94" s="25">
        <v>3.2199999999999999E-2</v>
      </c>
      <c r="AI94" s="25">
        <v>3.0000000000000001E-3</v>
      </c>
      <c r="AJ94"/>
      <c r="AK94"/>
      <c r="AL94"/>
      <c r="AM94"/>
      <c r="AN94"/>
    </row>
    <row r="95" spans="1:40" s="5" customFormat="1">
      <c r="A95" s="40" t="s">
        <v>1155</v>
      </c>
      <c r="B95" s="36" t="s">
        <v>1156</v>
      </c>
      <c r="C95" s="18">
        <v>944</v>
      </c>
      <c r="D95"/>
      <c r="E95" s="36" t="s">
        <v>1156</v>
      </c>
      <c r="F95" s="18">
        <v>1101</v>
      </c>
      <c r="G95" t="b">
        <f>IF(B95=E95,TRUE,FALSE)</f>
        <v>1</v>
      </c>
      <c r="H95"/>
      <c r="I95"/>
      <c r="J95" s="24">
        <f>F95-C95</f>
        <v>157</v>
      </c>
      <c r="K95" s="4">
        <f>F95/C95-1</f>
        <v>0.16631355932203395</v>
      </c>
      <c r="L95"/>
      <c r="M95" s="5">
        <v>2008.17</v>
      </c>
      <c r="N95" s="5">
        <v>1676.9</v>
      </c>
      <c r="O95"/>
      <c r="P95"/>
      <c r="Q95" s="122">
        <v>5951.2300000000005</v>
      </c>
      <c r="R95"/>
      <c r="S95"/>
      <c r="T95" s="99">
        <f>N95-M95</f>
        <v>-331.27</v>
      </c>
      <c r="U95" s="4">
        <f>IF(M95=0,0,N95/M95-1)</f>
        <v>-0.16496113376855548</v>
      </c>
      <c r="V95"/>
      <c r="W95"/>
      <c r="X95"/>
      <c r="Y95"/>
      <c r="Z95" s="13"/>
      <c r="AA95">
        <v>18866.96</v>
      </c>
      <c r="AB95">
        <v>20037.79</v>
      </c>
      <c r="AC95" s="4">
        <f>AB95/AA95-1</f>
        <v>6.2057162362139984E-2</v>
      </c>
      <c r="AD95"/>
      <c r="AE95">
        <v>2981</v>
      </c>
      <c r="AF95">
        <v>2695</v>
      </c>
      <c r="AG95"/>
      <c r="AH95" s="25">
        <v>0.31730000000000003</v>
      </c>
      <c r="AI95" s="25">
        <v>0.2271</v>
      </c>
      <c r="AJ95"/>
      <c r="AK95"/>
      <c r="AL95"/>
      <c r="AM95"/>
      <c r="AN95"/>
    </row>
    <row r="96" spans="1:40" s="5" customFormat="1">
      <c r="A96" s="136" t="s">
        <v>1157</v>
      </c>
      <c r="B96" s="5" t="s">
        <v>1158</v>
      </c>
      <c r="C96">
        <v>1073</v>
      </c>
      <c r="E96" t="s">
        <v>1158</v>
      </c>
      <c r="F96">
        <v>1238</v>
      </c>
      <c r="G96" t="b">
        <f>IF(B96=E96,TRUE,FALSE)</f>
        <v>1</v>
      </c>
      <c r="J96" s="24">
        <f>F96-C96</f>
        <v>165</v>
      </c>
      <c r="K96" s="4">
        <f>F96/C96-1</f>
        <v>0.15377446411929174</v>
      </c>
      <c r="M96">
        <v>1909</v>
      </c>
      <c r="N96">
        <v>2106.6999999999998</v>
      </c>
      <c r="Q96" s="122">
        <v>5539.8899999999994</v>
      </c>
      <c r="T96" s="99">
        <f>N96-M96</f>
        <v>197.69999999999982</v>
      </c>
      <c r="U96" s="4">
        <f>IF(M96=0,0,N96/M96-1)</f>
        <v>0.1035620743844945</v>
      </c>
      <c r="Z96" s="14"/>
      <c r="AA96" s="173">
        <v>21329.329999999998</v>
      </c>
      <c r="AB96" s="173">
        <v>24680.66</v>
      </c>
      <c r="AC96" s="4">
        <f>AB96/AA96-1</f>
        <v>0.15712307887777066</v>
      </c>
      <c r="AD96"/>
      <c r="AE96">
        <v>1605</v>
      </c>
      <c r="AF96">
        <v>1395</v>
      </c>
      <c r="AG96"/>
      <c r="AH96" s="25">
        <v>2.5000000000000001E-3</v>
      </c>
      <c r="AI96" s="25">
        <v>0</v>
      </c>
      <c r="AJ96"/>
      <c r="AK96"/>
      <c r="AL96"/>
      <c r="AM96"/>
      <c r="AN96"/>
    </row>
    <row r="97" spans="1:40" s="5" customFormat="1">
      <c r="A97" s="26" t="s">
        <v>1159</v>
      </c>
      <c r="B97" s="36" t="s">
        <v>1160</v>
      </c>
      <c r="C97" s="18">
        <v>914</v>
      </c>
      <c r="D97"/>
      <c r="E97" s="36" t="s">
        <v>1160</v>
      </c>
      <c r="F97" s="18">
        <v>1085</v>
      </c>
      <c r="G97" t="b">
        <f>IF(B97=E97,TRUE,FALSE)</f>
        <v>1</v>
      </c>
      <c r="H97"/>
      <c r="I97"/>
      <c r="J97" s="24">
        <f>F97-C97</f>
        <v>171</v>
      </c>
      <c r="K97" s="4">
        <f>F97/C97-1</f>
        <v>0.18708971553610509</v>
      </c>
      <c r="L97"/>
      <c r="M97" s="5">
        <v>1561.92</v>
      </c>
      <c r="N97" s="5">
        <v>1883.33</v>
      </c>
      <c r="O97"/>
      <c r="P97"/>
      <c r="Q97" s="122">
        <v>11833.07</v>
      </c>
      <c r="R97"/>
      <c r="S97"/>
      <c r="T97" s="99">
        <f>N97-M97</f>
        <v>321.40999999999985</v>
      </c>
      <c r="U97" s="4">
        <f>IF(M97=0,0,N97/M97-1)</f>
        <v>0.20577878508502345</v>
      </c>
      <c r="V97"/>
      <c r="W97"/>
      <c r="X97"/>
      <c r="Y97"/>
      <c r="Z97" s="13"/>
      <c r="AA97">
        <v>26485.55</v>
      </c>
      <c r="AB97">
        <v>31450.09</v>
      </c>
      <c r="AC97" s="4">
        <f>AB97/AA97-1</f>
        <v>0.18744334174672606</v>
      </c>
      <c r="AD97"/>
      <c r="AE97">
        <v>2597</v>
      </c>
      <c r="AF97">
        <v>3202</v>
      </c>
      <c r="AG97"/>
      <c r="AH97" s="25">
        <v>0.35539999999999999</v>
      </c>
      <c r="AI97" s="25">
        <v>0.33450000000000002</v>
      </c>
      <c r="AN97"/>
    </row>
    <row r="98" spans="1:40" s="5" customFormat="1">
      <c r="A98" s="136" t="s">
        <v>1161</v>
      </c>
      <c r="B98" t="s">
        <v>1162</v>
      </c>
      <c r="C98" s="173">
        <v>4378</v>
      </c>
      <c r="D98"/>
      <c r="E98" t="s">
        <v>1162</v>
      </c>
      <c r="F98" s="173">
        <v>4550</v>
      </c>
      <c r="G98" t="b">
        <f>IF(B98=E98,TRUE,FALSE)</f>
        <v>1</v>
      </c>
      <c r="H98"/>
      <c r="I98"/>
      <c r="J98" s="24">
        <f>F98-C98</f>
        <v>172</v>
      </c>
      <c r="K98" s="4">
        <f>F98/C98-1</f>
        <v>3.9287345820009145E-2</v>
      </c>
      <c r="L98"/>
      <c r="M98" s="5">
        <v>8156</v>
      </c>
      <c r="N98" s="5">
        <v>10919.270000000002</v>
      </c>
      <c r="O98"/>
      <c r="P98"/>
      <c r="Q98" s="122">
        <v>41953.75</v>
      </c>
      <c r="R98"/>
      <c r="S98"/>
      <c r="T98" s="99">
        <f>N98-M98</f>
        <v>2763.2700000000023</v>
      </c>
      <c r="U98" s="4">
        <f>IF(M98=0,0,N98/M98-1)</f>
        <v>0.33880210887690065</v>
      </c>
      <c r="V98"/>
      <c r="W98" t="s">
        <v>1163</v>
      </c>
      <c r="X98"/>
      <c r="Y98"/>
      <c r="Z98" s="13"/>
      <c r="AA98" s="173">
        <v>109406.22</v>
      </c>
      <c r="AB98" s="173">
        <v>113567.6</v>
      </c>
      <c r="AC98" s="4">
        <f>AB98/AA98-1</f>
        <v>3.8036045848216071E-2</v>
      </c>
      <c r="AD98"/>
      <c r="AE98">
        <v>1885</v>
      </c>
      <c r="AF98">
        <v>1406</v>
      </c>
      <c r="AG98"/>
      <c r="AH98" s="25">
        <v>2.0999999999999999E-3</v>
      </c>
      <c r="AI98" s="25">
        <v>2.0999999999999999E-3</v>
      </c>
      <c r="AJ98"/>
      <c r="AK98"/>
      <c r="AL98"/>
      <c r="AM98"/>
      <c r="AN98"/>
    </row>
    <row r="99" spans="1:40" s="5" customFormat="1">
      <c r="A99" t="s">
        <v>1164</v>
      </c>
      <c r="B99" t="s">
        <v>1165</v>
      </c>
      <c r="C99" s="18">
        <v>678</v>
      </c>
      <c r="E99" t="s">
        <v>1165</v>
      </c>
      <c r="F99" s="18">
        <v>853</v>
      </c>
      <c r="G99" t="b">
        <f>IF(B99=E99,TRUE,FALSE)</f>
        <v>1</v>
      </c>
      <c r="J99" s="24">
        <f>F99-C99</f>
        <v>175</v>
      </c>
      <c r="K99" s="4">
        <f>F99/C99-1</f>
        <v>0.25811209439528016</v>
      </c>
      <c r="M99" s="5">
        <v>876.65</v>
      </c>
      <c r="N99" s="5">
        <v>1296.77</v>
      </c>
      <c r="Q99" s="122">
        <v>5386.89</v>
      </c>
      <c r="T99" s="99">
        <f>N99-M99</f>
        <v>420.12</v>
      </c>
      <c r="U99" s="4">
        <f>IF(M99=0,0,N99/M99-1)</f>
        <v>0.47923344550276625</v>
      </c>
      <c r="Z99" s="14"/>
      <c r="AA99">
        <v>18292.89</v>
      </c>
      <c r="AB99">
        <v>23014.36</v>
      </c>
      <c r="AC99" s="4">
        <f>AB99/AA99-1</f>
        <v>0.25810410492819891</v>
      </c>
      <c r="AD99"/>
      <c r="AE99">
        <v>2509</v>
      </c>
      <c r="AF99">
        <v>3775</v>
      </c>
      <c r="AG99"/>
      <c r="AH99" s="25">
        <v>0.2702</v>
      </c>
      <c r="AI99" s="25">
        <v>0.22489999999999999</v>
      </c>
      <c r="AJ99"/>
      <c r="AK99"/>
      <c r="AL99"/>
      <c r="AM99"/>
      <c r="AN99"/>
    </row>
    <row r="100" spans="1:40" s="5" customFormat="1">
      <c r="A100" s="136" t="s">
        <v>1166</v>
      </c>
      <c r="B100" t="s">
        <v>1167</v>
      </c>
      <c r="C100" s="18">
        <v>1046</v>
      </c>
      <c r="D100" s="11"/>
      <c r="E100" t="s">
        <v>1167</v>
      </c>
      <c r="F100" s="18">
        <v>1232</v>
      </c>
      <c r="G100" t="b">
        <f>IF(B100=E100,TRUE,FALSE)</f>
        <v>1</v>
      </c>
      <c r="H100" s="11"/>
      <c r="I100" s="11"/>
      <c r="J100" s="24">
        <f>F100-C100</f>
        <v>186</v>
      </c>
      <c r="K100" s="4">
        <f>F100/C100-1</f>
        <v>0.17782026768642445</v>
      </c>
      <c r="L100" s="11"/>
      <c r="M100" s="5">
        <v>761.73</v>
      </c>
      <c r="N100" s="5">
        <v>1380.8899999999999</v>
      </c>
      <c r="O100" s="11"/>
      <c r="P100" s="11"/>
      <c r="Q100" s="122">
        <v>2670.77</v>
      </c>
      <c r="R100" s="11"/>
      <c r="S100" s="11"/>
      <c r="T100" s="99">
        <f>N100-M100</f>
        <v>619.15999999999985</v>
      </c>
      <c r="U100" s="4">
        <f>IF(M100=0,0,N100/M100-1)</f>
        <v>0.81283394378585561</v>
      </c>
      <c r="Z100" s="14"/>
      <c r="AA100">
        <v>26133.040000000001</v>
      </c>
      <c r="AB100">
        <v>28694.68</v>
      </c>
      <c r="AC100" s="4">
        <f>AB100/AA100-1</f>
        <v>9.8023039034111692E-2</v>
      </c>
      <c r="AD100"/>
      <c r="AE100">
        <v>2204</v>
      </c>
      <c r="AF100">
        <v>1852</v>
      </c>
      <c r="AG100"/>
      <c r="AH100" s="25">
        <v>0.47229999999999994</v>
      </c>
      <c r="AI100" s="25">
        <v>0.25489999999999996</v>
      </c>
      <c r="AN100"/>
    </row>
    <row r="101" spans="1:40" s="5" customFormat="1">
      <c r="A101" s="136" t="s">
        <v>1168</v>
      </c>
      <c r="B101" t="s">
        <v>1169</v>
      </c>
      <c r="C101" s="18">
        <v>1131</v>
      </c>
      <c r="D101"/>
      <c r="E101" t="s">
        <v>1169</v>
      </c>
      <c r="F101" s="18">
        <v>1317</v>
      </c>
      <c r="G101" t="b">
        <f>IF(B101=E101,TRUE,FALSE)</f>
        <v>1</v>
      </c>
      <c r="H101"/>
      <c r="I101"/>
      <c r="J101" s="24">
        <f>F101-C101</f>
        <v>186</v>
      </c>
      <c r="K101" s="4">
        <f>F101/C101-1</f>
        <v>0.16445623342175075</v>
      </c>
      <c r="L101"/>
      <c r="M101" s="5">
        <v>281.70999999999998</v>
      </c>
      <c r="N101" s="5">
        <v>1016.23</v>
      </c>
      <c r="O101"/>
      <c r="P101"/>
      <c r="Q101" s="122">
        <v>2497.52</v>
      </c>
      <c r="R101"/>
      <c r="S101"/>
      <c r="T101" s="99">
        <f>N101-M101</f>
        <v>734.52</v>
      </c>
      <c r="U101" s="4">
        <f>IF(M101=0,0,N101/M101-1)</f>
        <v>2.6073621809662422</v>
      </c>
      <c r="V101"/>
      <c r="W101" t="s">
        <v>1170</v>
      </c>
      <c r="X101"/>
      <c r="Y101" t="s">
        <v>1171</v>
      </c>
      <c r="Z101" s="13"/>
      <c r="AA101">
        <v>33869.25</v>
      </c>
      <c r="AB101">
        <v>36814.369999999995</v>
      </c>
      <c r="AC101" s="4">
        <f>AB101/AA101-1</f>
        <v>8.6955571794474107E-2</v>
      </c>
      <c r="AD101"/>
      <c r="AE101">
        <v>2139</v>
      </c>
      <c r="AF101">
        <v>3013</v>
      </c>
      <c r="AG101"/>
      <c r="AH101" s="25">
        <v>0.52729999999999999</v>
      </c>
      <c r="AI101" s="25">
        <v>0.1802</v>
      </c>
      <c r="AJ101"/>
      <c r="AK101"/>
      <c r="AL101"/>
      <c r="AM101"/>
      <c r="AN101"/>
    </row>
    <row r="102" spans="1:40" s="5" customFormat="1">
      <c r="A102" t="s">
        <v>1172</v>
      </c>
      <c r="B102" t="s">
        <v>1173</v>
      </c>
      <c r="C102" s="18">
        <v>897</v>
      </c>
      <c r="D102"/>
      <c r="E102" t="s">
        <v>1173</v>
      </c>
      <c r="F102" s="18">
        <v>1085</v>
      </c>
      <c r="G102" t="b">
        <f>IF(B102=E102,TRUE,FALSE)</f>
        <v>1</v>
      </c>
      <c r="H102"/>
      <c r="I102"/>
      <c r="J102" s="24">
        <f>F102-C102</f>
        <v>188</v>
      </c>
      <c r="K102" s="4">
        <f>F102/C102-1</f>
        <v>0.20958751393534003</v>
      </c>
      <c r="L102"/>
      <c r="M102" s="5">
        <v>1061.3599999999999</v>
      </c>
      <c r="N102" s="5">
        <v>1469.36</v>
      </c>
      <c r="O102"/>
      <c r="P102"/>
      <c r="Q102" s="122">
        <v>6866.69</v>
      </c>
      <c r="R102"/>
      <c r="S102"/>
      <c r="T102" s="99">
        <f>N102-M102</f>
        <v>408</v>
      </c>
      <c r="U102" s="4">
        <f>IF(M102=0,0,N102/M102-1)</f>
        <v>0.38441245194844353</v>
      </c>
      <c r="V102"/>
      <c r="W102"/>
      <c r="X102"/>
      <c r="Y102"/>
      <c r="Z102" s="13"/>
      <c r="AA102">
        <v>13045.43</v>
      </c>
      <c r="AB102">
        <v>16195.55</v>
      </c>
      <c r="AC102" s="4">
        <f>AB102/AA102-1</f>
        <v>0.24147306757998765</v>
      </c>
      <c r="AE102">
        <v>2951</v>
      </c>
      <c r="AF102">
        <v>2917</v>
      </c>
      <c r="AG102"/>
      <c r="AH102" s="25">
        <v>0.30570000000000003</v>
      </c>
      <c r="AI102" s="25">
        <v>0.36849999999999999</v>
      </c>
      <c r="AJ102"/>
      <c r="AK102"/>
      <c r="AL102"/>
      <c r="AM102"/>
      <c r="AN102"/>
    </row>
    <row r="103" spans="1:40" s="5" customFormat="1">
      <c r="A103" s="26" t="s">
        <v>1174</v>
      </c>
      <c r="B103" s="26" t="s">
        <v>1175</v>
      </c>
      <c r="C103" s="18">
        <v>774</v>
      </c>
      <c r="D103"/>
      <c r="E103" s="26" t="s">
        <v>1175</v>
      </c>
      <c r="F103" s="18">
        <v>970</v>
      </c>
      <c r="G103" t="b">
        <f>IF(B103=E103,TRUE,FALSE)</f>
        <v>1</v>
      </c>
      <c r="H103"/>
      <c r="I103"/>
      <c r="J103" s="24">
        <f>F103-C103</f>
        <v>196</v>
      </c>
      <c r="K103" s="4">
        <f>F103/C103-1</f>
        <v>0.25322997416020665</v>
      </c>
      <c r="L103"/>
      <c r="M103" s="5">
        <v>674.7</v>
      </c>
      <c r="N103" s="5">
        <v>1403.93</v>
      </c>
      <c r="O103"/>
      <c r="P103"/>
      <c r="Q103" s="122">
        <v>4131.01</v>
      </c>
      <c r="R103"/>
      <c r="S103"/>
      <c r="T103" s="99">
        <f>N103-M103</f>
        <v>729.23</v>
      </c>
      <c r="U103" s="4">
        <f>IF(M103=0,0,N103/M103-1)</f>
        <v>1.0808211056765971</v>
      </c>
      <c r="V103"/>
      <c r="W103"/>
      <c r="X103"/>
      <c r="Y103"/>
      <c r="Z103" s="13"/>
      <c r="AA103">
        <v>14694.08</v>
      </c>
      <c r="AB103">
        <v>15487.2</v>
      </c>
      <c r="AC103" s="4">
        <f>AB103/AA103-1</f>
        <v>5.3975478560073231E-2</v>
      </c>
      <c r="AD103"/>
      <c r="AE103">
        <v>2660</v>
      </c>
      <c r="AF103">
        <v>4488</v>
      </c>
      <c r="AG103"/>
      <c r="AH103" s="25">
        <v>0.2898</v>
      </c>
      <c r="AI103" s="25">
        <v>0.2157</v>
      </c>
      <c r="AN103"/>
    </row>
    <row r="104" spans="1:40" s="5" customFormat="1">
      <c r="A104" t="s">
        <v>1176</v>
      </c>
      <c r="B104" t="s">
        <v>1177</v>
      </c>
      <c r="C104" s="18">
        <v>669</v>
      </c>
      <c r="D104"/>
      <c r="E104" t="s">
        <v>1177</v>
      </c>
      <c r="F104" s="18">
        <v>870</v>
      </c>
      <c r="G104" t="b">
        <f>IF(B104=E104,TRUE,FALSE)</f>
        <v>1</v>
      </c>
      <c r="H104"/>
      <c r="I104"/>
      <c r="J104" s="24">
        <f>F104-C104</f>
        <v>201</v>
      </c>
      <c r="K104" s="4">
        <f>F104/C104-1</f>
        <v>0.30044843049327352</v>
      </c>
      <c r="L104"/>
      <c r="M104" s="5">
        <v>250.92</v>
      </c>
      <c r="N104" s="5">
        <v>291.39999999999998</v>
      </c>
      <c r="O104"/>
      <c r="P104"/>
      <c r="Q104" s="122">
        <v>3128.48</v>
      </c>
      <c r="R104"/>
      <c r="S104"/>
      <c r="T104" s="99">
        <f>N104-M104</f>
        <v>40.47999999999999</v>
      </c>
      <c r="U104" s="4">
        <f>IF(M104=0,0,N104/M104-1)</f>
        <v>0.16132631914554429</v>
      </c>
      <c r="V104"/>
      <c r="W104"/>
      <c r="X104"/>
      <c r="Y104"/>
      <c r="Z104" s="13"/>
      <c r="AA104">
        <v>23911.5</v>
      </c>
      <c r="AB104">
        <v>29060.54</v>
      </c>
      <c r="AC104" s="4">
        <f>AB104/AA104-1</f>
        <v>0.21533738995880647</v>
      </c>
      <c r="AD104"/>
      <c r="AE104">
        <v>2429</v>
      </c>
      <c r="AF104">
        <v>2824</v>
      </c>
      <c r="AG104"/>
      <c r="AH104" s="25">
        <v>0.2762</v>
      </c>
      <c r="AI104" s="25">
        <v>0.30590000000000001</v>
      </c>
      <c r="AJ104"/>
      <c r="AK104"/>
      <c r="AL104"/>
      <c r="AM104"/>
      <c r="AN104"/>
    </row>
    <row r="105" spans="1:40" s="5" customFormat="1">
      <c r="A105" s="125" t="s">
        <v>1178</v>
      </c>
      <c r="B105" s="26" t="s">
        <v>1179</v>
      </c>
      <c r="C105" s="173">
        <v>599</v>
      </c>
      <c r="D105"/>
      <c r="E105" s="26" t="s">
        <v>1179</v>
      </c>
      <c r="F105" s="173">
        <v>816</v>
      </c>
      <c r="G105" t="b">
        <f>IF(B105=E105,TRUE,FALSE)</f>
        <v>1</v>
      </c>
      <c r="H105"/>
      <c r="I105"/>
      <c r="J105" s="24">
        <f>F105-C105</f>
        <v>217</v>
      </c>
      <c r="K105" s="4">
        <f>F105/C105-1</f>
        <v>0.36227045075125219</v>
      </c>
      <c r="L105"/>
      <c r="M105" s="5">
        <v>0</v>
      </c>
      <c r="N105" s="175">
        <v>4293.9699999999993</v>
      </c>
      <c r="O105"/>
      <c r="P105"/>
      <c r="Q105" s="121">
        <v>5498.15</v>
      </c>
      <c r="R105"/>
      <c r="S105"/>
      <c r="T105" s="101">
        <f>N105-M105</f>
        <v>4293.9699999999993</v>
      </c>
      <c r="U105" s="4">
        <f>IF(M105=0,0,N105/M105-1)</f>
        <v>0</v>
      </c>
      <c r="V105"/>
      <c r="W105"/>
      <c r="X105"/>
      <c r="Y105"/>
      <c r="Z105" s="13"/>
      <c r="AA105" s="173">
        <v>14606.51</v>
      </c>
      <c r="AB105" s="173">
        <v>20121.84</v>
      </c>
      <c r="AC105" s="4">
        <f>AB105/AA105-1</f>
        <v>0.37759396323967875</v>
      </c>
      <c r="AD105"/>
      <c r="AE105"/>
      <c r="AF105">
        <v>0</v>
      </c>
      <c r="AG105"/>
      <c r="AH105" s="25"/>
      <c r="AI105" s="25">
        <v>0</v>
      </c>
      <c r="AJ105"/>
      <c r="AK105"/>
      <c r="AL105"/>
      <c r="AM105"/>
      <c r="AN105"/>
    </row>
    <row r="106" spans="1:40" s="5" customFormat="1">
      <c r="A106" s="136" t="s">
        <v>1180</v>
      </c>
      <c r="B106" t="s">
        <v>1181</v>
      </c>
      <c r="C106" s="173">
        <v>1693</v>
      </c>
      <c r="D106"/>
      <c r="E106" t="s">
        <v>1181</v>
      </c>
      <c r="F106" s="173">
        <v>1912</v>
      </c>
      <c r="G106" t="b">
        <f>IF(B106=E106,TRUE,FALSE)</f>
        <v>1</v>
      </c>
      <c r="H106"/>
      <c r="I106"/>
      <c r="J106" s="24">
        <f>F106-C106</f>
        <v>219</v>
      </c>
      <c r="K106" s="4">
        <f>F106/C106-1</f>
        <v>0.12935617247489661</v>
      </c>
      <c r="L106"/>
      <c r="M106" s="174">
        <v>3951</v>
      </c>
      <c r="N106" s="174">
        <v>5422.84</v>
      </c>
      <c r="O106"/>
      <c r="P106"/>
      <c r="Q106" s="122">
        <v>17437.920000000002</v>
      </c>
      <c r="R106"/>
      <c r="S106"/>
      <c r="T106" s="99">
        <f>N106-M106</f>
        <v>1471.8400000000001</v>
      </c>
      <c r="U106" s="4">
        <f>IF(M106=0,0,N106/M106-1)</f>
        <v>0.37252341179448245</v>
      </c>
      <c r="V106"/>
      <c r="W106"/>
      <c r="X106"/>
      <c r="Y106"/>
      <c r="Z106" s="13"/>
      <c r="AA106" s="173">
        <v>50773.07</v>
      </c>
      <c r="AB106" s="173">
        <v>57157.520000000004</v>
      </c>
      <c r="AC106" s="4">
        <f>AB106/AA106-1</f>
        <v>0.12574480920692799</v>
      </c>
      <c r="AD106"/>
      <c r="AE106">
        <v>312</v>
      </c>
      <c r="AF106">
        <v>1293</v>
      </c>
      <c r="AG106"/>
      <c r="AH106" s="25">
        <v>3.2000000000000002E-3</v>
      </c>
      <c r="AI106" s="25">
        <v>6.9999999999999993E-3</v>
      </c>
      <c r="AJ106"/>
      <c r="AK106"/>
      <c r="AL106"/>
      <c r="AM106"/>
      <c r="AN106"/>
    </row>
    <row r="107" spans="1:40" s="5" customFormat="1">
      <c r="A107" t="s">
        <v>1182</v>
      </c>
      <c r="B107" t="s">
        <v>1183</v>
      </c>
      <c r="C107" s="18">
        <v>649</v>
      </c>
      <c r="D107"/>
      <c r="E107" t="s">
        <v>1183</v>
      </c>
      <c r="F107" s="18">
        <v>874</v>
      </c>
      <c r="G107" t="b">
        <f>IF(B107=E107,TRUE,FALSE)</f>
        <v>1</v>
      </c>
      <c r="H107"/>
      <c r="I107"/>
      <c r="J107" s="24">
        <f>F107-C107</f>
        <v>225</v>
      </c>
      <c r="K107" s="4">
        <f>F107/C107-1</f>
        <v>0.3466872110939907</v>
      </c>
      <c r="L107"/>
      <c r="M107" s="5">
        <v>521.17999999999995</v>
      </c>
      <c r="N107" s="5">
        <v>1321.08</v>
      </c>
      <c r="O107"/>
      <c r="P107"/>
      <c r="Q107" s="122">
        <v>5932.28</v>
      </c>
      <c r="R107"/>
      <c r="S107"/>
      <c r="T107" s="99">
        <f>N107-M107</f>
        <v>799.9</v>
      </c>
      <c r="U107" s="4">
        <f>IF(M107=0,0,N107/M107-1)</f>
        <v>1.5347864461414482</v>
      </c>
      <c r="V107"/>
      <c r="W107"/>
      <c r="X107"/>
      <c r="Y107"/>
      <c r="Z107" s="13"/>
      <c r="AA107">
        <v>14267.33</v>
      </c>
      <c r="AB107">
        <v>18884.8</v>
      </c>
      <c r="AC107" s="4">
        <f>AB107/AA107-1</f>
        <v>0.32363939153296362</v>
      </c>
      <c r="AD107"/>
      <c r="AE107">
        <v>1838</v>
      </c>
      <c r="AF107">
        <v>3041</v>
      </c>
      <c r="AG107"/>
      <c r="AH107" s="25">
        <v>0.35470000000000002</v>
      </c>
      <c r="AI107" s="25">
        <v>0.28539999999999999</v>
      </c>
      <c r="AJ107"/>
      <c r="AK107"/>
      <c r="AL107"/>
      <c r="AM107"/>
      <c r="AN107"/>
    </row>
    <row r="108" spans="1:40" s="5" customFormat="1">
      <c r="A108" t="s">
        <v>1184</v>
      </c>
      <c r="B108" t="s">
        <v>1185</v>
      </c>
      <c r="C108" s="18">
        <v>1190</v>
      </c>
      <c r="D108"/>
      <c r="E108" t="s">
        <v>1185</v>
      </c>
      <c r="F108" s="18">
        <v>1426</v>
      </c>
      <c r="G108" t="b">
        <f>IF(B108=E108,TRUE,FALSE)</f>
        <v>1</v>
      </c>
      <c r="H108"/>
      <c r="I108"/>
      <c r="J108" s="24">
        <f>F108-C108</f>
        <v>236</v>
      </c>
      <c r="K108" s="4">
        <f>F108/C108-1</f>
        <v>0.1983193277310924</v>
      </c>
      <c r="L108"/>
      <c r="M108" s="5">
        <v>702.6</v>
      </c>
      <c r="N108" s="5">
        <v>1788.08</v>
      </c>
      <c r="O108"/>
      <c r="P108"/>
      <c r="Q108" s="122">
        <v>5119.9400000000005</v>
      </c>
      <c r="R108"/>
      <c r="S108"/>
      <c r="T108" s="99">
        <f>N108-M108</f>
        <v>1085.48</v>
      </c>
      <c r="U108" s="4">
        <f>IF(M108=0,0,N108/M108-1)</f>
        <v>1.5449473384571588</v>
      </c>
      <c r="V108"/>
      <c r="W108"/>
      <c r="X108"/>
      <c r="Y108"/>
      <c r="Z108" s="13"/>
      <c r="AA108">
        <v>23736.699999999997</v>
      </c>
      <c r="AB108">
        <v>26565.73</v>
      </c>
      <c r="AC108" s="4">
        <f>AB108/AA108-1</f>
        <v>0.11918379555709113</v>
      </c>
      <c r="AD108"/>
      <c r="AE108">
        <v>2577</v>
      </c>
      <c r="AF108">
        <v>2127</v>
      </c>
      <c r="AG108"/>
      <c r="AH108" s="25">
        <v>0.46060000000000001</v>
      </c>
      <c r="AI108" s="25">
        <v>0.3014</v>
      </c>
      <c r="AJ108"/>
      <c r="AK108"/>
      <c r="AL108"/>
      <c r="AM108"/>
      <c r="AN108"/>
    </row>
    <row r="109" spans="1:40" s="5" customFormat="1">
      <c r="A109" s="136" t="s">
        <v>1186</v>
      </c>
      <c r="B109" t="s">
        <v>1187</v>
      </c>
      <c r="C109" s="18">
        <v>1141</v>
      </c>
      <c r="E109" t="s">
        <v>1187</v>
      </c>
      <c r="F109" s="18">
        <v>1379</v>
      </c>
      <c r="G109" t="b">
        <f>IF(B109=E109,TRUE,FALSE)</f>
        <v>1</v>
      </c>
      <c r="J109" s="24">
        <f>F109-C109</f>
        <v>238</v>
      </c>
      <c r="K109" s="4">
        <f>F109/C109-1</f>
        <v>0.20858895705521463</v>
      </c>
      <c r="M109" s="5">
        <v>2366.52</v>
      </c>
      <c r="N109" s="5">
        <v>1129</v>
      </c>
      <c r="Q109" s="122">
        <v>6112.0599999999995</v>
      </c>
      <c r="T109" s="99">
        <f>N109-M109</f>
        <v>-1237.52</v>
      </c>
      <c r="U109" s="4">
        <f>IF(M109=0,0,N109/M109-1)</f>
        <v>-0.52292818146476683</v>
      </c>
      <c r="Z109" s="14"/>
      <c r="AA109">
        <v>28086.01</v>
      </c>
      <c r="AB109">
        <v>32123.32</v>
      </c>
      <c r="AC109" s="4">
        <f>AB109/AA109-1</f>
        <v>0.14374807955989488</v>
      </c>
      <c r="AD109"/>
      <c r="AE109">
        <v>5245</v>
      </c>
      <c r="AF109">
        <v>3948</v>
      </c>
      <c r="AG109"/>
      <c r="AH109" s="25">
        <v>0.23089999999999999</v>
      </c>
      <c r="AI109" s="25">
        <v>0.13320000000000001</v>
      </c>
      <c r="AJ109"/>
      <c r="AK109"/>
      <c r="AL109"/>
      <c r="AM109"/>
      <c r="AN109"/>
    </row>
    <row r="110" spans="1:40">
      <c r="A110" t="s">
        <v>1188</v>
      </c>
      <c r="B110" t="s">
        <v>1189</v>
      </c>
      <c r="C110" s="18">
        <v>1144</v>
      </c>
      <c r="E110" t="s">
        <v>1189</v>
      </c>
      <c r="F110" s="18">
        <v>1401</v>
      </c>
      <c r="G110" t="b">
        <f>IF(B110=E110,TRUE,FALSE)</f>
        <v>1</v>
      </c>
      <c r="J110" s="24">
        <f>F110-C110</f>
        <v>257</v>
      </c>
      <c r="K110" s="4">
        <f>F110/C110-1</f>
        <v>0.22465034965034958</v>
      </c>
      <c r="M110" s="5">
        <v>539.51</v>
      </c>
      <c r="N110" s="5">
        <v>1248.6400000000001</v>
      </c>
      <c r="Q110" s="122">
        <v>4889.2299999999996</v>
      </c>
      <c r="T110" s="99">
        <f>N110-M110</f>
        <v>709.13000000000011</v>
      </c>
      <c r="U110" s="4">
        <f>IF(M110=0,0,N110/M110-1)</f>
        <v>1.3143963967303667</v>
      </c>
      <c r="AA110">
        <v>22866.76</v>
      </c>
      <c r="AB110">
        <v>24617.59</v>
      </c>
      <c r="AC110" s="4">
        <f>AB110/AA110-1</f>
        <v>7.6566597104268386E-2</v>
      </c>
      <c r="AE110">
        <v>1863</v>
      </c>
      <c r="AF110">
        <v>3150</v>
      </c>
      <c r="AH110" s="25">
        <v>0.61460000000000004</v>
      </c>
      <c r="AI110" s="25">
        <v>0.44290000000000002</v>
      </c>
    </row>
    <row r="111" spans="1:40">
      <c r="A111" t="s">
        <v>1190</v>
      </c>
      <c r="B111" t="s">
        <v>1191</v>
      </c>
      <c r="C111" s="18">
        <v>560</v>
      </c>
      <c r="E111" t="s">
        <v>1191</v>
      </c>
      <c r="F111" s="18">
        <v>817</v>
      </c>
      <c r="G111" t="b">
        <f>IF(B111=E111,TRUE,FALSE)</f>
        <v>1</v>
      </c>
      <c r="J111" s="24">
        <f>F111-C111</f>
        <v>257</v>
      </c>
      <c r="K111" s="4">
        <f>F111/C111-1</f>
        <v>0.45892857142857135</v>
      </c>
      <c r="M111" s="5">
        <v>483.16</v>
      </c>
      <c r="N111" s="5">
        <v>150.06</v>
      </c>
      <c r="Q111" s="122">
        <v>436.77</v>
      </c>
      <c r="T111" s="99">
        <f>N111-M111</f>
        <v>-333.1</v>
      </c>
      <c r="U111" s="4">
        <f>IF(M111=0,0,N111/M111-1)</f>
        <v>-0.68941965394486293</v>
      </c>
      <c r="AA111">
        <v>10918.32</v>
      </c>
      <c r="AB111">
        <v>14260.85</v>
      </c>
      <c r="AC111" s="4">
        <f>AB111/AA111-1</f>
        <v>0.30613958924083562</v>
      </c>
      <c r="AE111">
        <v>1665</v>
      </c>
      <c r="AF111">
        <v>2214</v>
      </c>
      <c r="AH111" s="25">
        <v>0.17960000000000001</v>
      </c>
      <c r="AI111" s="25">
        <v>0.32880000000000004</v>
      </c>
    </row>
    <row r="112" spans="1:40">
      <c r="A112" t="s">
        <v>1192</v>
      </c>
      <c r="B112" t="s">
        <v>1193</v>
      </c>
      <c r="C112" s="18">
        <v>1020</v>
      </c>
      <c r="E112" t="s">
        <v>1193</v>
      </c>
      <c r="F112" s="18">
        <v>1290</v>
      </c>
      <c r="G112" t="b">
        <f>IF(B112=E112,TRUE,FALSE)</f>
        <v>1</v>
      </c>
      <c r="J112" s="24">
        <f>F112-C112</f>
        <v>270</v>
      </c>
      <c r="K112" s="4">
        <f>F112/C112-1</f>
        <v>0.26470588235294112</v>
      </c>
      <c r="M112" s="5">
        <v>0</v>
      </c>
      <c r="N112" s="5">
        <v>0</v>
      </c>
      <c r="Q112" s="122">
        <v>0</v>
      </c>
      <c r="T112" s="99">
        <f>N112-M112</f>
        <v>0</v>
      </c>
      <c r="U112" s="4">
        <f>IF(M112=0,0,N112/M112-1)</f>
        <v>0</v>
      </c>
      <c r="AA112">
        <v>40766.6</v>
      </c>
      <c r="AB112">
        <v>51559.1</v>
      </c>
      <c r="AC112" s="4">
        <f>AB112/AA112-1</f>
        <v>0.26473878125720574</v>
      </c>
      <c r="AE112">
        <v>2673</v>
      </c>
      <c r="AF112">
        <v>3358</v>
      </c>
      <c r="AH112" s="25">
        <v>0.38229999999999997</v>
      </c>
      <c r="AI112" s="25">
        <v>0.38</v>
      </c>
    </row>
    <row r="113" spans="1:35">
      <c r="A113" s="39" t="s">
        <v>1194</v>
      </c>
      <c r="B113" s="36" t="s">
        <v>1195</v>
      </c>
      <c r="C113" s="18">
        <v>190</v>
      </c>
      <c r="E113" s="36" t="s">
        <v>1195</v>
      </c>
      <c r="F113" s="18">
        <v>462</v>
      </c>
      <c r="G113" t="b">
        <f>IF(B113=E113,TRUE,FALSE)</f>
        <v>1</v>
      </c>
      <c r="J113" s="24">
        <f>F113-C113</f>
        <v>272</v>
      </c>
      <c r="K113" s="4">
        <f>F113/C113-1</f>
        <v>1.4315789473684211</v>
      </c>
      <c r="M113" s="5">
        <v>542.53</v>
      </c>
      <c r="N113" s="5">
        <v>1037.49</v>
      </c>
      <c r="Q113" s="122">
        <v>4089.03</v>
      </c>
      <c r="T113" s="99">
        <f>N113-M113</f>
        <v>494.96000000000004</v>
      </c>
      <c r="U113" s="4">
        <f>IF(M113=0,0,N113/M113-1)</f>
        <v>0.91231821281772452</v>
      </c>
      <c r="AA113">
        <v>3797.3</v>
      </c>
      <c r="AB113">
        <v>8106.38</v>
      </c>
      <c r="AC113" s="4">
        <f>AB113/AA113-1</f>
        <v>1.1347747083454034</v>
      </c>
      <c r="AE113">
        <v>1327</v>
      </c>
      <c r="AF113">
        <v>2083</v>
      </c>
      <c r="AH113" s="25">
        <v>0.14319999999999999</v>
      </c>
      <c r="AI113" s="25">
        <v>0.22039999999999998</v>
      </c>
    </row>
    <row r="114" spans="1:35">
      <c r="A114" t="s">
        <v>1196</v>
      </c>
      <c r="B114" t="s">
        <v>1197</v>
      </c>
      <c r="C114" s="18">
        <v>697</v>
      </c>
      <c r="E114" t="s">
        <v>1197</v>
      </c>
      <c r="F114" s="18">
        <v>998</v>
      </c>
      <c r="G114" t="b">
        <f>IF(B114=E114,TRUE,FALSE)</f>
        <v>1</v>
      </c>
      <c r="J114" s="24">
        <f>F114-C114</f>
        <v>301</v>
      </c>
      <c r="K114" s="4">
        <f>F114/C114-1</f>
        <v>0.43185078909612629</v>
      </c>
      <c r="M114" s="5">
        <v>1443.02</v>
      </c>
      <c r="N114" s="5">
        <v>1804.71</v>
      </c>
      <c r="Q114" s="122">
        <v>6588.66</v>
      </c>
      <c r="T114" s="99">
        <f>N114-M114</f>
        <v>361.69000000000005</v>
      </c>
      <c r="U114" s="4">
        <f>IF(M114=0,0,N114/M114-1)</f>
        <v>0.25064794666740586</v>
      </c>
      <c r="Y114" t="s">
        <v>1198</v>
      </c>
      <c r="AA114">
        <v>13234.89</v>
      </c>
      <c r="AB114">
        <v>17537.09</v>
      </c>
      <c r="AC114" s="4">
        <f>AB114/AA114-1</f>
        <v>0.32506503643022344</v>
      </c>
      <c r="AE114">
        <v>2619</v>
      </c>
      <c r="AF114">
        <v>3388</v>
      </c>
      <c r="AH114" s="25">
        <v>0.26539999999999997</v>
      </c>
      <c r="AI114" s="25">
        <v>0.29370000000000002</v>
      </c>
    </row>
    <row r="115" spans="1:35">
      <c r="A115" s="5" t="s">
        <v>1199</v>
      </c>
      <c r="B115" s="26" t="s">
        <v>1200</v>
      </c>
      <c r="C115" s="18">
        <v>582</v>
      </c>
      <c r="D115" s="5"/>
      <c r="E115" s="26" t="s">
        <v>1200</v>
      </c>
      <c r="F115" s="18">
        <v>901</v>
      </c>
      <c r="G115" t="b">
        <f>IF(B115=E115,TRUE,FALSE)</f>
        <v>1</v>
      </c>
      <c r="H115" s="5"/>
      <c r="I115" s="5"/>
      <c r="J115" s="24">
        <f>F115-C115</f>
        <v>319</v>
      </c>
      <c r="K115" s="4">
        <f>F115/C115-1</f>
        <v>0.54810996563573888</v>
      </c>
      <c r="L115" s="5"/>
      <c r="M115" s="5">
        <v>372.58</v>
      </c>
      <c r="N115" s="5">
        <v>733.1</v>
      </c>
      <c r="O115" s="5"/>
      <c r="P115" s="5"/>
      <c r="Q115" s="122">
        <v>3964.0199999999995</v>
      </c>
      <c r="R115" s="5"/>
      <c r="S115" s="5"/>
      <c r="T115" s="99">
        <f>N115-M115</f>
        <v>360.52000000000004</v>
      </c>
      <c r="U115" s="4">
        <f>IF(M115=0,0,N115/M115-1)</f>
        <v>0.96763111278114788</v>
      </c>
      <c r="V115" s="5"/>
      <c r="W115" s="5"/>
      <c r="X115" s="5"/>
      <c r="Y115" s="5"/>
      <c r="Z115" s="14"/>
      <c r="AA115">
        <v>8139.94</v>
      </c>
      <c r="AB115">
        <v>11240.69</v>
      </c>
      <c r="AC115" s="4">
        <f>AB115/AA115-1</f>
        <v>0.38093032626776124</v>
      </c>
      <c r="AE115">
        <v>2113</v>
      </c>
      <c r="AF115">
        <v>3289</v>
      </c>
      <c r="AH115" s="25">
        <v>0.27500000000000002</v>
      </c>
      <c r="AI115" s="25">
        <v>0.27360000000000001</v>
      </c>
    </row>
    <row r="116" spans="1:35">
      <c r="A116" s="125" t="s">
        <v>1201</v>
      </c>
      <c r="B116" s="26" t="s">
        <v>1202</v>
      </c>
      <c r="C116" s="173">
        <v>0</v>
      </c>
      <c r="E116" s="26" t="s">
        <v>1202</v>
      </c>
      <c r="F116" s="173">
        <v>319</v>
      </c>
      <c r="G116" t="b">
        <f>IF(B116=E116,TRUE,FALSE)</f>
        <v>1</v>
      </c>
      <c r="J116" s="24">
        <f>F116-C116</f>
        <v>319</v>
      </c>
      <c r="K116" s="4" t="e">
        <f>F116/C116-1</f>
        <v>#DIV/0!</v>
      </c>
      <c r="M116" s="5">
        <v>0</v>
      </c>
      <c r="N116" s="175">
        <v>1330.38</v>
      </c>
      <c r="Q116" s="121">
        <v>6633.17</v>
      </c>
      <c r="T116" s="101">
        <f>N116-M116</f>
        <v>1330.38</v>
      </c>
      <c r="U116" s="4">
        <f>IF(M116=0,0,N116/M116-1)</f>
        <v>0</v>
      </c>
      <c r="AA116">
        <v>0</v>
      </c>
      <c r="AB116" s="173">
        <v>8609.27</v>
      </c>
      <c r="AC116" s="4" t="e">
        <f>AB116/AA116-1</f>
        <v>#DIV/0!</v>
      </c>
      <c r="AF116">
        <v>2436</v>
      </c>
      <c r="AH116" s="25"/>
      <c r="AI116" s="25">
        <v>0.13100000000000001</v>
      </c>
    </row>
    <row r="117" spans="1:35">
      <c r="A117" t="s">
        <v>1203</v>
      </c>
      <c r="B117" t="s">
        <v>1204</v>
      </c>
      <c r="C117" s="18">
        <v>801</v>
      </c>
      <c r="E117" t="s">
        <v>1204</v>
      </c>
      <c r="F117" s="18">
        <v>1125</v>
      </c>
      <c r="G117" t="b">
        <f>IF(B117=E117,TRUE,FALSE)</f>
        <v>1</v>
      </c>
      <c r="J117" s="24">
        <f>F117-C117</f>
        <v>324</v>
      </c>
      <c r="K117" s="4">
        <f>F117/C117-1</f>
        <v>0.40449438202247201</v>
      </c>
      <c r="M117" s="5">
        <v>475.22</v>
      </c>
      <c r="N117" s="5">
        <v>1720.45</v>
      </c>
      <c r="Q117" s="122">
        <v>5361.2</v>
      </c>
      <c r="T117" s="99">
        <f>N117-M117</f>
        <v>1245.23</v>
      </c>
      <c r="U117" s="4">
        <f>IF(M117=0,0,N117/M117-1)</f>
        <v>2.6203232187197507</v>
      </c>
      <c r="AA117">
        <v>17609.59</v>
      </c>
      <c r="AB117">
        <v>21504.31</v>
      </c>
      <c r="AC117" s="4">
        <f>AB117/AA117-1</f>
        <v>0.22117039635789371</v>
      </c>
      <c r="AE117">
        <v>1933</v>
      </c>
      <c r="AF117">
        <v>4434</v>
      </c>
      <c r="AH117" s="25">
        <v>0.41539999999999999</v>
      </c>
      <c r="AI117" s="25">
        <v>0.25259999999999999</v>
      </c>
    </row>
    <row r="118" spans="1:35">
      <c r="A118" s="26" t="s">
        <v>1205</v>
      </c>
      <c r="B118" s="26" t="s">
        <v>1206</v>
      </c>
      <c r="C118" s="18">
        <v>526</v>
      </c>
      <c r="E118" s="26" t="s">
        <v>1206</v>
      </c>
      <c r="F118" s="18">
        <v>850</v>
      </c>
      <c r="G118" t="b">
        <f>IF(B118=E118,TRUE,FALSE)</f>
        <v>1</v>
      </c>
      <c r="J118" s="24">
        <f>F118-C118</f>
        <v>324</v>
      </c>
      <c r="K118" s="4">
        <f>F118/C118-1</f>
        <v>0.61596958174904937</v>
      </c>
      <c r="M118" s="5">
        <v>789.28</v>
      </c>
      <c r="N118" s="5">
        <v>1342.65</v>
      </c>
      <c r="Q118" s="122">
        <v>6925.57</v>
      </c>
      <c r="T118" s="99">
        <f>N118-M118</f>
        <v>553.37000000000012</v>
      </c>
      <c r="U118" s="4">
        <f>IF(M118=0,0,N118/M118-1)</f>
        <v>0.70110733833367145</v>
      </c>
      <c r="AA118">
        <v>7357.76</v>
      </c>
      <c r="AB118">
        <v>10347.870000000001</v>
      </c>
      <c r="AC118" s="4">
        <f>AB118/AA118-1</f>
        <v>0.40638862914800167</v>
      </c>
      <c r="AE118">
        <v>1508</v>
      </c>
      <c r="AF118">
        <v>2484</v>
      </c>
      <c r="AH118" s="25">
        <v>0.3488</v>
      </c>
      <c r="AI118" s="25">
        <v>0.34139999999999998</v>
      </c>
    </row>
    <row r="119" spans="1:35">
      <c r="A119" t="s">
        <v>1207</v>
      </c>
      <c r="B119" t="s">
        <v>1208</v>
      </c>
      <c r="C119" s="18">
        <v>1449</v>
      </c>
      <c r="E119" t="s">
        <v>1208</v>
      </c>
      <c r="F119" s="18">
        <v>1791</v>
      </c>
      <c r="G119" t="b">
        <f>IF(B119=E119,TRUE,FALSE)</f>
        <v>1</v>
      </c>
      <c r="J119" s="24">
        <f>F119-C119</f>
        <v>342</v>
      </c>
      <c r="K119" s="4">
        <f>F119/C119-1</f>
        <v>0.2360248447204969</v>
      </c>
      <c r="M119" s="5">
        <v>1229.9100000000001</v>
      </c>
      <c r="N119" s="5">
        <v>1660.62</v>
      </c>
      <c r="Q119" s="122">
        <v>7862.93</v>
      </c>
      <c r="T119" s="99">
        <f>N119-M119</f>
        <v>430.70999999999981</v>
      </c>
      <c r="U119" s="4">
        <f>IF(M119=0,0,N119/M119-1)</f>
        <v>0.35019635583091424</v>
      </c>
      <c r="AA119">
        <v>28883.8</v>
      </c>
      <c r="AB119">
        <v>34499.300000000003</v>
      </c>
      <c r="AC119" s="4">
        <f>AB119/AA119-1</f>
        <v>0.19441693959936024</v>
      </c>
      <c r="AD119" s="5"/>
      <c r="AE119">
        <v>5927</v>
      </c>
      <c r="AF119">
        <v>7876</v>
      </c>
      <c r="AH119" s="25">
        <v>0.24399999999999999</v>
      </c>
      <c r="AI119" s="25">
        <v>0.22640000000000002</v>
      </c>
    </row>
    <row r="120" spans="1:35">
      <c r="A120" s="136" t="s">
        <v>1209</v>
      </c>
      <c r="B120" t="s">
        <v>1210</v>
      </c>
      <c r="C120" s="173">
        <v>3286</v>
      </c>
      <c r="E120" t="s">
        <v>1210</v>
      </c>
      <c r="F120" s="173">
        <v>3628</v>
      </c>
      <c r="G120" t="b">
        <f>IF(B120=E120,TRUE,FALSE)</f>
        <v>1</v>
      </c>
      <c r="J120" s="24">
        <f>F120-C120</f>
        <v>342</v>
      </c>
      <c r="K120" s="4">
        <f>F120/C120-1</f>
        <v>0.10407790626902003</v>
      </c>
      <c r="M120">
        <v>5160</v>
      </c>
      <c r="N120">
        <v>7911.329999999999</v>
      </c>
      <c r="Q120" s="122">
        <v>17999.940000000006</v>
      </c>
      <c r="T120" s="99">
        <f>N120-M120</f>
        <v>2751.329999999999</v>
      </c>
      <c r="U120" s="4">
        <f>IF(M120=0,0,N120/M120-1)</f>
        <v>0.53320348837209286</v>
      </c>
      <c r="AA120" s="173">
        <v>75545.14</v>
      </c>
      <c r="AB120" s="173">
        <v>83288.12</v>
      </c>
      <c r="AC120" s="4">
        <f>AB120/AA120-1</f>
        <v>0.1024947468493671</v>
      </c>
      <c r="AE120">
        <v>8908</v>
      </c>
      <c r="AF120">
        <v>10334</v>
      </c>
      <c r="AH120" s="25">
        <v>0</v>
      </c>
      <c r="AI120" s="25">
        <v>0</v>
      </c>
    </row>
    <row r="121" spans="1:35">
      <c r="A121" t="s">
        <v>1211</v>
      </c>
      <c r="B121" t="s">
        <v>1212</v>
      </c>
      <c r="C121" s="18">
        <v>908</v>
      </c>
      <c r="E121" t="s">
        <v>1212</v>
      </c>
      <c r="F121" s="18">
        <v>1267</v>
      </c>
      <c r="G121" t="b">
        <f>IF(B121=E121,TRUE,FALSE)</f>
        <v>1</v>
      </c>
      <c r="J121" s="24">
        <f>F121-C121</f>
        <v>359</v>
      </c>
      <c r="K121" s="4">
        <f>F121/C121-1</f>
        <v>0.39537444933920707</v>
      </c>
      <c r="M121" s="5">
        <v>832.32</v>
      </c>
      <c r="N121" s="5">
        <v>1144.73</v>
      </c>
      <c r="Q121" s="122">
        <v>5654.28</v>
      </c>
      <c r="T121" s="99">
        <f>N121-M121</f>
        <v>312.40999999999997</v>
      </c>
      <c r="U121" s="4">
        <f>IF(M121=0,0,N121/M121-1)</f>
        <v>0.37534842368319876</v>
      </c>
      <c r="AA121">
        <v>18111.599999999999</v>
      </c>
      <c r="AB121">
        <v>23326.85</v>
      </c>
      <c r="AC121" s="4">
        <f>AB121/AA121-1</f>
        <v>0.28795081605159134</v>
      </c>
      <c r="AD121" s="5"/>
      <c r="AE121">
        <v>2889</v>
      </c>
      <c r="AF121">
        <v>2770</v>
      </c>
      <c r="AH121" s="25">
        <v>0.31359999999999999</v>
      </c>
      <c r="AI121" s="25">
        <v>0.23569999999999999</v>
      </c>
    </row>
    <row r="122" spans="1:35">
      <c r="A122" s="5" t="s">
        <v>1213</v>
      </c>
      <c r="B122" t="s">
        <v>1214</v>
      </c>
      <c r="C122" s="18">
        <v>907</v>
      </c>
      <c r="D122" s="5"/>
      <c r="E122" t="s">
        <v>1214</v>
      </c>
      <c r="F122" s="18">
        <v>1268</v>
      </c>
      <c r="G122" t="b">
        <f>IF(B122=E122,TRUE,FALSE)</f>
        <v>1</v>
      </c>
      <c r="H122" s="5"/>
      <c r="I122" s="5"/>
      <c r="J122" s="24">
        <f>F122-C122</f>
        <v>361</v>
      </c>
      <c r="K122" s="4">
        <f>F122/C122-1</f>
        <v>0.39801543550165386</v>
      </c>
      <c r="L122" s="5"/>
      <c r="M122" s="5">
        <v>1487.29</v>
      </c>
      <c r="N122" s="5">
        <v>2052.7800000000002</v>
      </c>
      <c r="O122" s="5"/>
      <c r="P122" s="5"/>
      <c r="Q122" s="122">
        <v>9177.75</v>
      </c>
      <c r="R122" s="5"/>
      <c r="S122" s="5"/>
      <c r="T122" s="99">
        <f>N122-M122</f>
        <v>565.49000000000024</v>
      </c>
      <c r="U122" s="4">
        <f>IF(M122=0,0,N122/M122-1)</f>
        <v>0.3802150219526792</v>
      </c>
      <c r="V122" s="5"/>
      <c r="W122" s="5"/>
      <c r="X122" s="5"/>
      <c r="Y122" s="5"/>
      <c r="Z122" s="14"/>
      <c r="AA122">
        <v>19941.41</v>
      </c>
      <c r="AB122">
        <v>24731.599999999999</v>
      </c>
      <c r="AC122" s="4">
        <f>AB122/AA122-1</f>
        <v>0.24021320458282536</v>
      </c>
      <c r="AD122" s="5"/>
      <c r="AE122">
        <v>3145</v>
      </c>
      <c r="AF122">
        <v>3909</v>
      </c>
      <c r="AH122" s="25">
        <v>0.28999999999999998</v>
      </c>
      <c r="AI122" s="25">
        <v>0.3231</v>
      </c>
    </row>
    <row r="123" spans="1:35">
      <c r="A123" s="26" t="s">
        <v>1215</v>
      </c>
      <c r="B123" s="26" t="s">
        <v>1216</v>
      </c>
      <c r="C123" s="18">
        <v>1571</v>
      </c>
      <c r="E123" s="26" t="s">
        <v>1216</v>
      </c>
      <c r="F123" s="18">
        <v>1940</v>
      </c>
      <c r="G123" t="b">
        <f>IF(B123=E123,TRUE,FALSE)</f>
        <v>1</v>
      </c>
      <c r="J123" s="24">
        <f>F123-C123</f>
        <v>369</v>
      </c>
      <c r="K123" s="4">
        <f>F123/C123-1</f>
        <v>0.23488224061107577</v>
      </c>
      <c r="M123" s="5">
        <v>3044.09</v>
      </c>
      <c r="N123" s="5">
        <v>3927.34</v>
      </c>
      <c r="Q123" s="122">
        <v>17333.54</v>
      </c>
      <c r="T123" s="99">
        <f>N123-M123</f>
        <v>883.25</v>
      </c>
      <c r="U123" s="4">
        <f>IF(M123=0,0,N123/M123-1)</f>
        <v>0.29015239365458978</v>
      </c>
      <c r="AA123">
        <v>34523.21</v>
      </c>
      <c r="AB123">
        <v>39271.33</v>
      </c>
      <c r="AC123" s="4">
        <f>AB123/AA123-1</f>
        <v>0.1375341400756187</v>
      </c>
      <c r="AE123">
        <v>4605</v>
      </c>
      <c r="AF123">
        <v>6102</v>
      </c>
      <c r="AH123" s="25">
        <v>0.34049999999999997</v>
      </c>
      <c r="AI123" s="25">
        <v>0.31709999999999999</v>
      </c>
    </row>
    <row r="124" spans="1:35">
      <c r="A124" s="136" t="s">
        <v>1217</v>
      </c>
      <c r="B124" t="s">
        <v>1218</v>
      </c>
      <c r="C124" s="18">
        <v>1107</v>
      </c>
      <c r="E124" t="s">
        <v>1218</v>
      </c>
      <c r="F124" s="18">
        <v>1488</v>
      </c>
      <c r="G124" t="b">
        <f>IF(B124=E124,TRUE,FALSE)</f>
        <v>1</v>
      </c>
      <c r="J124" s="24">
        <f>F124-C124</f>
        <v>381</v>
      </c>
      <c r="K124" s="4">
        <f>F124/C124-1</f>
        <v>0.34417344173441733</v>
      </c>
      <c r="M124" s="5">
        <v>2351</v>
      </c>
      <c r="N124" s="5">
        <v>3868.02</v>
      </c>
      <c r="Q124" s="122">
        <v>7511.9299999999985</v>
      </c>
      <c r="T124" s="99">
        <f>N124-M124</f>
        <v>1517.02</v>
      </c>
      <c r="U124" s="4">
        <f>IF(M124=0,0,N124/M124-1)</f>
        <v>0.64526584432156531</v>
      </c>
      <c r="AA124">
        <v>29261</v>
      </c>
      <c r="AB124">
        <v>36970.129999999997</v>
      </c>
      <c r="AC124" s="4">
        <f>AB124/AA124-1</f>
        <v>0.26346092067940252</v>
      </c>
      <c r="AE124">
        <v>584</v>
      </c>
      <c r="AF124">
        <v>0</v>
      </c>
      <c r="AH124" s="25">
        <v>0.17980000000000002</v>
      </c>
      <c r="AI124" s="25">
        <v>0</v>
      </c>
    </row>
    <row r="125" spans="1:35">
      <c r="A125" t="s">
        <v>1219</v>
      </c>
      <c r="B125" t="s">
        <v>1220</v>
      </c>
      <c r="C125" s="18">
        <v>804</v>
      </c>
      <c r="E125" t="s">
        <v>1220</v>
      </c>
      <c r="F125" s="18">
        <v>1196</v>
      </c>
      <c r="G125" t="b">
        <f>IF(B125=E125,TRUE,FALSE)</f>
        <v>1</v>
      </c>
      <c r="J125" s="24">
        <f>F125-C125</f>
        <v>392</v>
      </c>
      <c r="K125" s="4">
        <f>F125/C125-1</f>
        <v>0.48756218905472637</v>
      </c>
      <c r="M125" s="5">
        <v>606.24</v>
      </c>
      <c r="N125" s="5">
        <v>1402.88</v>
      </c>
      <c r="Q125" s="122">
        <v>6526.87</v>
      </c>
      <c r="T125" s="99">
        <f>N125-M125</f>
        <v>796.6400000000001</v>
      </c>
      <c r="U125" s="4">
        <f>IF(M125=0,0,N125/M125-1)</f>
        <v>1.3140670361572977</v>
      </c>
      <c r="Z125" s="107"/>
      <c r="AA125">
        <v>19278.16</v>
      </c>
      <c r="AB125">
        <v>25284.52</v>
      </c>
      <c r="AC125" s="4">
        <f>AB125/AA125-1</f>
        <v>0.31156292924220996</v>
      </c>
      <c r="AE125">
        <v>2448</v>
      </c>
      <c r="AF125">
        <v>4119</v>
      </c>
      <c r="AH125" s="25">
        <v>0.32880000000000004</v>
      </c>
      <c r="AI125" s="25">
        <v>0.28870000000000001</v>
      </c>
    </row>
    <row r="126" spans="1:35">
      <c r="A126" t="s">
        <v>1221</v>
      </c>
      <c r="B126" t="s">
        <v>1222</v>
      </c>
      <c r="C126" s="18">
        <v>1125</v>
      </c>
      <c r="E126" t="s">
        <v>1222</v>
      </c>
      <c r="F126" s="18">
        <v>1517</v>
      </c>
      <c r="G126" t="b">
        <f>IF(B126=E126,TRUE,FALSE)</f>
        <v>1</v>
      </c>
      <c r="J126" s="24">
        <f>F126-C126</f>
        <v>392</v>
      </c>
      <c r="K126" s="4">
        <f>F126/C126-1</f>
        <v>0.34844444444444433</v>
      </c>
      <c r="M126" s="5">
        <v>1738.95</v>
      </c>
      <c r="N126" s="5">
        <v>2708.44</v>
      </c>
      <c r="Q126" s="122">
        <v>6705.02</v>
      </c>
      <c r="T126" s="99">
        <f>N126-M126</f>
        <v>969.49</v>
      </c>
      <c r="U126" s="4">
        <f>IF(M126=0,0,N126/M126-1)</f>
        <v>0.5575145921389344</v>
      </c>
      <c r="Z126" s="107"/>
      <c r="AA126">
        <v>22485.95</v>
      </c>
      <c r="AB126">
        <v>27606.43</v>
      </c>
      <c r="AC126" s="4">
        <f>AB126/AA126-1</f>
        <v>0.22771908680753983</v>
      </c>
      <c r="AE126">
        <v>3976</v>
      </c>
      <c r="AF126">
        <v>4274</v>
      </c>
      <c r="AH126" s="25">
        <v>0.28350000000000003</v>
      </c>
      <c r="AI126" s="25">
        <v>0.20149999999999998</v>
      </c>
    </row>
    <row r="127" spans="1:35">
      <c r="A127" s="136" t="s">
        <v>1223</v>
      </c>
      <c r="B127" t="s">
        <v>1224</v>
      </c>
      <c r="C127" s="18">
        <v>5032</v>
      </c>
      <c r="E127" t="s">
        <v>1224</v>
      </c>
      <c r="F127" s="18">
        <v>5432</v>
      </c>
      <c r="G127" t="b">
        <f>IF(B127=E127,TRUE,FALSE)</f>
        <v>1</v>
      </c>
      <c r="J127" s="24">
        <f>F127-C127</f>
        <v>400</v>
      </c>
      <c r="K127" s="4">
        <f>F127/C127-1</f>
        <v>7.9491255961844143E-2</v>
      </c>
      <c r="M127" s="5">
        <v>5022</v>
      </c>
      <c r="N127" s="5">
        <v>8987.9399999999987</v>
      </c>
      <c r="Q127" s="122">
        <v>12620.08</v>
      </c>
      <c r="T127" s="99">
        <f>N127-M127</f>
        <v>3965.9399999999987</v>
      </c>
      <c r="U127" s="4">
        <f>IF(M127=0,0,N127/M127-1)</f>
        <v>0.78971326164874522</v>
      </c>
      <c r="W127" t="s">
        <v>1225</v>
      </c>
      <c r="Y127" t="s">
        <v>1226</v>
      </c>
      <c r="Z127" s="107"/>
      <c r="AA127">
        <v>109560.23</v>
      </c>
      <c r="AB127">
        <v>119427.25</v>
      </c>
      <c r="AC127" s="4">
        <f>AB127/AA127-1</f>
        <v>9.0060234448211762E-2</v>
      </c>
      <c r="AE127">
        <v>2060</v>
      </c>
      <c r="AF127">
        <v>3040</v>
      </c>
      <c r="AH127" s="25">
        <v>0.22089999999999999</v>
      </c>
      <c r="AI127" s="25">
        <v>8.8999999999999999E-3</v>
      </c>
    </row>
    <row r="128" spans="1:35">
      <c r="A128" t="s">
        <v>1227</v>
      </c>
      <c r="B128" t="s">
        <v>1228</v>
      </c>
      <c r="C128" s="18">
        <v>1965</v>
      </c>
      <c r="E128" t="s">
        <v>1228</v>
      </c>
      <c r="F128" s="18">
        <v>2386</v>
      </c>
      <c r="G128" t="b">
        <f>IF(B128=E128,TRUE,FALSE)</f>
        <v>1</v>
      </c>
      <c r="J128" s="24">
        <f>F128-C128</f>
        <v>421</v>
      </c>
      <c r="K128" s="4">
        <f>F128/C128-1</f>
        <v>0.21424936386768456</v>
      </c>
      <c r="M128" s="5">
        <v>1444.44</v>
      </c>
      <c r="N128" s="5">
        <v>2494.4699999999998</v>
      </c>
      <c r="Q128" s="122">
        <v>12537.37</v>
      </c>
      <c r="T128" s="99">
        <f>N128-M128</f>
        <v>1050.0299999999997</v>
      </c>
      <c r="U128" s="4">
        <f>IF(M128=0,0,N128/M128-1)</f>
        <v>0.72694608291102414</v>
      </c>
      <c r="W128" t="s">
        <v>1229</v>
      </c>
      <c r="Z128" s="107"/>
      <c r="AA128">
        <v>37214.089999999997</v>
      </c>
      <c r="AB128">
        <v>42222.7</v>
      </c>
      <c r="AC128" s="4">
        <f>AB128/AA128-1</f>
        <v>0.13458907634178341</v>
      </c>
      <c r="AE128">
        <v>5097</v>
      </c>
      <c r="AF128">
        <v>6671</v>
      </c>
      <c r="AH128" s="25">
        <v>0.38650000000000001</v>
      </c>
      <c r="AI128" s="25">
        <v>0.35539999999999999</v>
      </c>
    </row>
    <row r="129" spans="1:39">
      <c r="A129" s="26" t="s">
        <v>1230</v>
      </c>
      <c r="B129" s="36" t="s">
        <v>1231</v>
      </c>
      <c r="C129" s="18">
        <v>587</v>
      </c>
      <c r="E129" s="36" t="s">
        <v>1231</v>
      </c>
      <c r="F129" s="18">
        <v>1045</v>
      </c>
      <c r="G129" t="b">
        <f>IF(B129=E129,TRUE,FALSE)</f>
        <v>1</v>
      </c>
      <c r="J129" s="24">
        <f>F129-C129</f>
        <v>458</v>
      </c>
      <c r="K129" s="4">
        <f>F129/C129-1</f>
        <v>0.7802385008517887</v>
      </c>
      <c r="M129" s="5">
        <v>352.05</v>
      </c>
      <c r="N129" s="5">
        <v>824.63</v>
      </c>
      <c r="Q129" s="122">
        <v>2725.4</v>
      </c>
      <c r="T129" s="99">
        <f>N129-M129</f>
        <v>472.58</v>
      </c>
      <c r="U129" s="4">
        <f>IF(M129=0,0,N129/M129-1)</f>
        <v>1.3423661411731289</v>
      </c>
      <c r="Z129" s="107"/>
      <c r="AA129">
        <v>8206.4500000000007</v>
      </c>
      <c r="AB129">
        <v>11857.67</v>
      </c>
      <c r="AC129" s="4">
        <f>AB129/AA129-1</f>
        <v>0.4449207635457475</v>
      </c>
      <c r="AE129">
        <v>2672</v>
      </c>
      <c r="AF129">
        <v>5680</v>
      </c>
      <c r="AH129" s="25">
        <v>0.21929999999999999</v>
      </c>
      <c r="AI129" s="25">
        <v>0.18329999999999999</v>
      </c>
    </row>
    <row r="130" spans="1:39">
      <c r="A130" s="125" t="s">
        <v>1232</v>
      </c>
      <c r="B130" s="36" t="s">
        <v>1233</v>
      </c>
      <c r="C130">
        <v>814</v>
      </c>
      <c r="E130" s="36" t="s">
        <v>1233</v>
      </c>
      <c r="F130">
        <v>1278</v>
      </c>
      <c r="G130" t="b">
        <f>IF(B130=E130,TRUE,FALSE)</f>
        <v>1</v>
      </c>
      <c r="J130" s="24">
        <f>F130-C130</f>
        <v>464</v>
      </c>
      <c r="K130" s="4">
        <f>F130/C130-1</f>
        <v>0.57002457002457008</v>
      </c>
      <c r="M130" s="116">
        <v>1971.0500000000002</v>
      </c>
      <c r="N130" s="116">
        <v>2258.25</v>
      </c>
      <c r="Q130" s="122">
        <v>10158.200000000001</v>
      </c>
      <c r="T130" s="99">
        <f>N130-M130</f>
        <v>287.19999999999982</v>
      </c>
      <c r="U130" s="4">
        <f>IF(M130=0,0,N130/M130-1)</f>
        <v>0.14570913979858435</v>
      </c>
      <c r="Z130" s="107"/>
      <c r="AA130">
        <v>22017.919999999998</v>
      </c>
      <c r="AB130">
        <v>32240.07</v>
      </c>
      <c r="AC130" s="4">
        <f>AB130/AA130-1</f>
        <v>0.46426501685899502</v>
      </c>
      <c r="AE130">
        <v>4004</v>
      </c>
      <c r="AF130">
        <v>7769</v>
      </c>
      <c r="AH130" s="25">
        <v>0.20430000000000001</v>
      </c>
      <c r="AI130" s="25">
        <v>0.1636</v>
      </c>
    </row>
    <row r="131" spans="1:39">
      <c r="A131" s="136" t="s">
        <v>1234</v>
      </c>
      <c r="B131" t="s">
        <v>1235</v>
      </c>
      <c r="C131" s="18">
        <v>2854</v>
      </c>
      <c r="E131" t="s">
        <v>1235</v>
      </c>
      <c r="F131" s="18">
        <v>3341</v>
      </c>
      <c r="G131" t="b">
        <f>IF(B131=E131,TRUE,FALSE)</f>
        <v>1</v>
      </c>
      <c r="J131" s="24">
        <f>F131-C131</f>
        <v>487</v>
      </c>
      <c r="K131" s="4">
        <f>F131/C131-1</f>
        <v>0.17063770147161872</v>
      </c>
      <c r="M131" s="5">
        <v>4530</v>
      </c>
      <c r="N131" s="5">
        <v>6150.74</v>
      </c>
      <c r="Q131" s="122">
        <v>17814.420000000002</v>
      </c>
      <c r="T131" s="99">
        <f>N131-M131</f>
        <v>1620.7399999999998</v>
      </c>
      <c r="U131" s="4">
        <f>IF(M131=0,0,N131/M131-1)</f>
        <v>0.35777924944812356</v>
      </c>
      <c r="Z131" s="107"/>
      <c r="AA131">
        <v>64753.11</v>
      </c>
      <c r="AB131">
        <v>76269.899999999994</v>
      </c>
      <c r="AC131" s="4">
        <f>AB131/AA131-1</f>
        <v>0.17785693999871199</v>
      </c>
      <c r="AE131">
        <v>1241</v>
      </c>
      <c r="AF131">
        <v>6990</v>
      </c>
      <c r="AH131" s="25">
        <v>0.2772</v>
      </c>
      <c r="AI131" s="25">
        <v>4.2800000000000005E-2</v>
      </c>
    </row>
    <row r="132" spans="1:39">
      <c r="A132" s="136" t="s">
        <v>1236</v>
      </c>
      <c r="B132" t="s">
        <v>1237</v>
      </c>
      <c r="C132" s="173">
        <v>1560</v>
      </c>
      <c r="E132" t="s">
        <v>1237</v>
      </c>
      <c r="F132" s="173">
        <v>2055</v>
      </c>
      <c r="G132" t="b">
        <f>IF(B132=E132,TRUE,FALSE)</f>
        <v>1</v>
      </c>
      <c r="J132" s="24">
        <f>F132-C132</f>
        <v>495</v>
      </c>
      <c r="K132" s="4">
        <f>F132/C132-1</f>
        <v>0.31730769230769229</v>
      </c>
      <c r="M132">
        <v>4006</v>
      </c>
      <c r="N132">
        <v>7421.9800000000005</v>
      </c>
      <c r="Q132" s="122">
        <v>15754.869999999999</v>
      </c>
      <c r="T132" s="99">
        <f>N132-M132</f>
        <v>3415.9800000000005</v>
      </c>
      <c r="U132" s="4">
        <f>IF(M132=0,0,N132/M132-1)</f>
        <v>0.85271592611083391</v>
      </c>
      <c r="Z132" s="107"/>
      <c r="AA132" s="173">
        <v>48906</v>
      </c>
      <c r="AB132" s="173">
        <v>61839.89</v>
      </c>
      <c r="AC132" s="4">
        <f>AB132/AA132-1</f>
        <v>0.26446427841164688</v>
      </c>
      <c r="AE132">
        <v>2225</v>
      </c>
      <c r="AF132">
        <v>256</v>
      </c>
      <c r="AH132" s="25">
        <v>5.4000000000000003E-3</v>
      </c>
      <c r="AI132" s="25">
        <v>1.1699999999999999E-2</v>
      </c>
    </row>
    <row r="133" spans="1:39" ht="16.5">
      <c r="A133" s="23" t="s">
        <v>1238</v>
      </c>
      <c r="B133" s="22" t="s">
        <v>1239</v>
      </c>
      <c r="C133" s="18">
        <v>778</v>
      </c>
      <c r="D133" s="5"/>
      <c r="E133" s="22" t="s">
        <v>1239</v>
      </c>
      <c r="F133" s="18">
        <v>1281</v>
      </c>
      <c r="G133" t="b">
        <f>IF(B133=E133,TRUE,FALSE)</f>
        <v>1</v>
      </c>
      <c r="H133" s="5"/>
      <c r="I133" s="5"/>
      <c r="J133" s="24">
        <f>F133-C133</f>
        <v>503</v>
      </c>
      <c r="K133" s="4">
        <f>F133/C133-1</f>
        <v>0.64652956298200515</v>
      </c>
      <c r="L133" s="5"/>
      <c r="M133" s="5">
        <v>1062.94</v>
      </c>
      <c r="N133" s="5">
        <v>2116.31</v>
      </c>
      <c r="O133" s="5"/>
      <c r="P133" s="5"/>
      <c r="Q133" s="122">
        <v>8186.36</v>
      </c>
      <c r="R133" s="5"/>
      <c r="S133" s="5"/>
      <c r="T133" s="99">
        <f>N133-M133</f>
        <v>1053.3699999999999</v>
      </c>
      <c r="U133" s="4">
        <f>IF(M133=0,0,N133/M133-1)</f>
        <v>0.99099666961446542</v>
      </c>
      <c r="V133" s="5"/>
      <c r="W133" s="5"/>
      <c r="X133" s="5"/>
      <c r="Y133" s="5"/>
      <c r="Z133" s="134"/>
      <c r="AA133">
        <v>11643.029999999999</v>
      </c>
      <c r="AB133">
        <v>16773.39</v>
      </c>
      <c r="AC133" s="4">
        <f>AB133/AA133-1</f>
        <v>0.44063787519228259</v>
      </c>
      <c r="AE133">
        <v>1655</v>
      </c>
      <c r="AF133">
        <v>2572</v>
      </c>
      <c r="AH133" s="25">
        <v>0.46829999999999999</v>
      </c>
      <c r="AI133" s="25">
        <v>0.49490000000000001</v>
      </c>
    </row>
    <row r="134" spans="1:39">
      <c r="A134" s="136" t="s">
        <v>1240</v>
      </c>
      <c r="B134" t="s">
        <v>1241</v>
      </c>
      <c r="C134" s="18">
        <v>1052</v>
      </c>
      <c r="E134" t="s">
        <v>1241</v>
      </c>
      <c r="F134" s="18">
        <v>1573</v>
      </c>
      <c r="G134" t="b">
        <f>IF(B134=E134,TRUE,FALSE)</f>
        <v>1</v>
      </c>
      <c r="J134" s="24">
        <f>F134-C134</f>
        <v>521</v>
      </c>
      <c r="K134" s="4">
        <f>F134/C134-1</f>
        <v>0.49524714828897332</v>
      </c>
      <c r="M134" s="5">
        <v>1049.0899999999999</v>
      </c>
      <c r="N134" s="5">
        <v>2537.96</v>
      </c>
      <c r="Q134" s="122">
        <v>10466.19</v>
      </c>
      <c r="T134" s="99">
        <f>N134-M134</f>
        <v>1488.8700000000001</v>
      </c>
      <c r="U134" s="4">
        <f>IF(M134=0,0,N134/M134-1)</f>
        <v>1.4192014031208</v>
      </c>
      <c r="W134" t="s">
        <v>1242</v>
      </c>
      <c r="Y134" t="s">
        <v>1243</v>
      </c>
      <c r="Z134" s="107"/>
      <c r="AA134">
        <v>26286.23</v>
      </c>
      <c r="AB134">
        <v>35470.020000000004</v>
      </c>
      <c r="AC134" s="4">
        <f>AB134/AA134-1</f>
        <v>0.34937646060313732</v>
      </c>
      <c r="AE134">
        <v>2874</v>
      </c>
      <c r="AF134">
        <v>4913</v>
      </c>
      <c r="AH134" s="25">
        <v>0.3674</v>
      </c>
      <c r="AI134" s="25">
        <v>0.31259999999999999</v>
      </c>
    </row>
    <row r="135" spans="1:39">
      <c r="A135" t="s">
        <v>1244</v>
      </c>
      <c r="B135" t="s">
        <v>1245</v>
      </c>
      <c r="C135" s="18">
        <v>744</v>
      </c>
      <c r="D135" s="5"/>
      <c r="E135" t="s">
        <v>1245</v>
      </c>
      <c r="F135" s="18">
        <v>1296</v>
      </c>
      <c r="G135" t="b">
        <f>IF(B135=E135,TRUE,FALSE)</f>
        <v>1</v>
      </c>
      <c r="H135" s="5"/>
      <c r="I135" s="5"/>
      <c r="J135" s="24">
        <f>F135-C135</f>
        <v>552</v>
      </c>
      <c r="K135" s="4">
        <f>F135/C135-1</f>
        <v>0.74193548387096775</v>
      </c>
      <c r="L135" s="5"/>
      <c r="M135" s="5">
        <v>2007.17</v>
      </c>
      <c r="N135" s="5">
        <v>2358.59</v>
      </c>
      <c r="O135" s="5"/>
      <c r="P135" s="5"/>
      <c r="Q135" s="122">
        <v>11921.33</v>
      </c>
      <c r="R135" s="5"/>
      <c r="S135" s="5"/>
      <c r="T135" s="99">
        <f>N135-M135</f>
        <v>351.42000000000007</v>
      </c>
      <c r="U135" s="4">
        <f>IF(M135=0,0,N135/M135-1)</f>
        <v>0.17508232984749683</v>
      </c>
      <c r="V135" s="5"/>
      <c r="W135" s="5"/>
      <c r="X135" s="5"/>
      <c r="Y135" s="5"/>
      <c r="Z135" s="134"/>
      <c r="AA135">
        <v>14125.71</v>
      </c>
      <c r="AB135">
        <v>21280.91</v>
      </c>
      <c r="AC135" s="4">
        <f>AB135/AA135-1</f>
        <v>0.50653737051093373</v>
      </c>
      <c r="AE135">
        <v>2376</v>
      </c>
      <c r="AF135">
        <v>4302</v>
      </c>
      <c r="AH135" s="25">
        <v>0.31440000000000001</v>
      </c>
      <c r="AI135" s="25">
        <v>0.30059999999999998</v>
      </c>
    </row>
    <row r="136" spans="1:39">
      <c r="A136" t="s">
        <v>1246</v>
      </c>
      <c r="B136" t="s">
        <v>1247</v>
      </c>
      <c r="C136" s="18">
        <v>2600</v>
      </c>
      <c r="E136" t="s">
        <v>1247</v>
      </c>
      <c r="F136" s="18">
        <v>3156</v>
      </c>
      <c r="G136" t="b">
        <f>IF(B136=E136,TRUE,FALSE)</f>
        <v>1</v>
      </c>
      <c r="J136" s="24">
        <f>F136-C136</f>
        <v>556</v>
      </c>
      <c r="K136" s="4">
        <f>F136/C136-1</f>
        <v>0.2138461538461538</v>
      </c>
      <c r="M136" s="5">
        <v>5006.87</v>
      </c>
      <c r="N136" s="5">
        <v>6710.67</v>
      </c>
      <c r="Q136" s="122">
        <v>33550.97</v>
      </c>
      <c r="T136" s="99">
        <f>N136-M136</f>
        <v>1703.8000000000002</v>
      </c>
      <c r="U136" s="4">
        <f>IF(M136=0,0,N136/M136-1)</f>
        <v>0.34029243818992705</v>
      </c>
      <c r="W136" t="s">
        <v>1248</v>
      </c>
      <c r="Z136" s="107"/>
      <c r="AA136">
        <v>70161.149999999994</v>
      </c>
      <c r="AB136">
        <v>85098.41</v>
      </c>
      <c r="AC136" s="4">
        <f>AB136/AA136-1</f>
        <v>0.21289930395952772</v>
      </c>
      <c r="AD136" s="5"/>
      <c r="AE136">
        <v>11300</v>
      </c>
      <c r="AF136">
        <v>18737</v>
      </c>
      <c r="AH136" s="25">
        <v>0.23010000000000003</v>
      </c>
      <c r="AI136" s="25">
        <v>0.1678</v>
      </c>
    </row>
    <row r="137" spans="1:39">
      <c r="A137" s="136" t="s">
        <v>1249</v>
      </c>
      <c r="B137" t="s">
        <v>1250</v>
      </c>
      <c r="C137" s="173">
        <v>647</v>
      </c>
      <c r="E137" t="s">
        <v>1250</v>
      </c>
      <c r="F137" s="173">
        <v>1227</v>
      </c>
      <c r="G137" t="b">
        <f>IF(B137=E137,TRUE,FALSE)</f>
        <v>1</v>
      </c>
      <c r="J137" s="24">
        <f>F137-C137</f>
        <v>580</v>
      </c>
      <c r="K137" s="4">
        <f>F137/C137-1</f>
        <v>0.89644513137557968</v>
      </c>
      <c r="M137" s="5">
        <v>724.68</v>
      </c>
      <c r="N137" s="5">
        <v>924.1500000000002</v>
      </c>
      <c r="Q137" s="122">
        <v>2946.3399999999992</v>
      </c>
      <c r="T137" s="99">
        <f>N137-M137</f>
        <v>199.47000000000025</v>
      </c>
      <c r="U137" s="4">
        <f>IF(M137=0,0,N137/M137-1)</f>
        <v>0.27525252525252553</v>
      </c>
      <c r="Z137" s="107"/>
      <c r="AA137">
        <v>99.75</v>
      </c>
      <c r="AB137">
        <v>24886.05</v>
      </c>
      <c r="AC137" s="4">
        <f>AB137/AA137-1</f>
        <v>248.48421052631579</v>
      </c>
      <c r="AE137">
        <v>1223</v>
      </c>
      <c r="AF137">
        <v>1153</v>
      </c>
      <c r="AH137" s="25">
        <v>4.0999999999999995E-3</v>
      </c>
      <c r="AI137" s="25">
        <v>7.8000000000000005E-3</v>
      </c>
    </row>
    <row r="138" spans="1:39">
      <c r="A138" s="39" t="s">
        <v>1251</v>
      </c>
      <c r="B138" s="36" t="s">
        <v>1252</v>
      </c>
      <c r="C138" s="18">
        <v>1110</v>
      </c>
      <c r="E138" s="36" t="s">
        <v>1252</v>
      </c>
      <c r="F138" s="18">
        <v>1696</v>
      </c>
      <c r="G138" t="b">
        <f>IF(B138=E138,TRUE,FALSE)</f>
        <v>1</v>
      </c>
      <c r="J138" s="24">
        <f>F138-C138</f>
        <v>586</v>
      </c>
      <c r="K138" s="4">
        <f>F138/C138-1</f>
        <v>0.52792792792792786</v>
      </c>
      <c r="M138" s="5">
        <v>2090.77</v>
      </c>
      <c r="N138" s="5">
        <v>2340.8999999999996</v>
      </c>
      <c r="Q138" s="122">
        <v>11313.279999999999</v>
      </c>
      <c r="T138" s="99">
        <f>N138-M138</f>
        <v>250.12999999999965</v>
      </c>
      <c r="U138" s="4">
        <f>IF(M138=0,0,N138/M138-1)</f>
        <v>0.1196353496558682</v>
      </c>
      <c r="Z138" s="107"/>
      <c r="AA138">
        <v>15499.099999999999</v>
      </c>
      <c r="AB138">
        <v>21215.919999999998</v>
      </c>
      <c r="AC138" s="4">
        <f>AB138/AA138-1</f>
        <v>0.36884851378467132</v>
      </c>
      <c r="AE138">
        <v>2809</v>
      </c>
      <c r="AF138">
        <v>4361</v>
      </c>
      <c r="AH138" s="25">
        <v>0.39549999999999996</v>
      </c>
      <c r="AI138" s="25">
        <v>0.38819999999999999</v>
      </c>
      <c r="AL138" t="s">
        <v>1253</v>
      </c>
    </row>
    <row r="139" spans="1:39">
      <c r="A139" s="26" t="s">
        <v>1254</v>
      </c>
      <c r="B139" s="26" t="s">
        <v>1255</v>
      </c>
      <c r="C139" s="18">
        <v>562</v>
      </c>
      <c r="E139" s="26" t="s">
        <v>1255</v>
      </c>
      <c r="F139" s="18">
        <v>1183</v>
      </c>
      <c r="G139" t="b">
        <f>IF(B139=E139,TRUE,FALSE)</f>
        <v>1</v>
      </c>
      <c r="J139" s="24">
        <f>F139-C139</f>
        <v>621</v>
      </c>
      <c r="K139" s="4">
        <f>F139/C139-1</f>
        <v>1.104982206405694</v>
      </c>
      <c r="M139" s="5">
        <v>282.58</v>
      </c>
      <c r="N139" s="5">
        <v>717.84</v>
      </c>
      <c r="Q139" s="122">
        <v>4098.8599999999997</v>
      </c>
      <c r="T139" s="99">
        <f>N139-M139</f>
        <v>435.26000000000005</v>
      </c>
      <c r="U139" s="4">
        <f>IF(M139=0,0,N139/M139-1)</f>
        <v>1.5403071696510726</v>
      </c>
      <c r="Z139" s="107"/>
      <c r="AA139">
        <v>10646.86</v>
      </c>
      <c r="AB139">
        <v>19599.599999999999</v>
      </c>
      <c r="AC139" s="4">
        <f>AB139/AA139-1</f>
        <v>0.84088078550859113</v>
      </c>
      <c r="AE139">
        <v>1996</v>
      </c>
      <c r="AF139">
        <v>4122</v>
      </c>
      <c r="AH139" s="25">
        <v>0.28160000000000002</v>
      </c>
      <c r="AI139" s="25">
        <v>0.28649999999999998</v>
      </c>
    </row>
    <row r="140" spans="1:39">
      <c r="A140" s="39" t="s">
        <v>1256</v>
      </c>
      <c r="B140" s="36" t="s">
        <v>1257</v>
      </c>
      <c r="C140">
        <v>597</v>
      </c>
      <c r="E140" s="36" t="s">
        <v>1257</v>
      </c>
      <c r="F140">
        <v>1226</v>
      </c>
      <c r="G140" t="b">
        <f>IF(B140=E140,TRUE,FALSE)</f>
        <v>1</v>
      </c>
      <c r="J140" s="24">
        <f>F140-C140</f>
        <v>629</v>
      </c>
      <c r="K140" s="4">
        <f>F140/C140-1</f>
        <v>1.0536013400335009</v>
      </c>
      <c r="M140" s="5">
        <v>1748.35</v>
      </c>
      <c r="N140" s="5">
        <v>2316.1799999999998</v>
      </c>
      <c r="Q140" s="122">
        <v>9245.59</v>
      </c>
      <c r="T140" s="99">
        <f>N140-M140</f>
        <v>567.82999999999993</v>
      </c>
      <c r="U140" s="4">
        <f>IF(M140=0,0,N140/M140-1)</f>
        <v>0.32478050733548769</v>
      </c>
      <c r="Z140" s="107"/>
      <c r="AA140">
        <v>8923.2000000000007</v>
      </c>
      <c r="AB140">
        <v>15747.88</v>
      </c>
      <c r="AC140" s="4">
        <f>AB140/AA140-1</f>
        <v>0.76482427828581656</v>
      </c>
      <c r="AE140">
        <v>2025</v>
      </c>
      <c r="AF140">
        <v>3554</v>
      </c>
      <c r="AH140" s="25">
        <v>0.29480000000000001</v>
      </c>
      <c r="AI140" s="25">
        <v>0.34499999999999997</v>
      </c>
    </row>
    <row r="141" spans="1:39">
      <c r="A141" s="136" t="s">
        <v>1258</v>
      </c>
      <c r="B141" t="s">
        <v>1259</v>
      </c>
      <c r="C141" s="18">
        <v>1369</v>
      </c>
      <c r="D141" s="5"/>
      <c r="E141" t="s">
        <v>1259</v>
      </c>
      <c r="F141" s="18">
        <v>2015</v>
      </c>
      <c r="G141" t="b">
        <f>IF(B141=E141,TRUE,FALSE)</f>
        <v>1</v>
      </c>
      <c r="H141" s="5"/>
      <c r="I141" s="5"/>
      <c r="J141" s="24">
        <f>F141-C141</f>
        <v>646</v>
      </c>
      <c r="K141" s="4">
        <f>F141/C141-1</f>
        <v>0.47187728268809348</v>
      </c>
      <c r="L141" s="5"/>
      <c r="M141" s="5">
        <v>2989.29</v>
      </c>
      <c r="N141" s="5">
        <v>2334.8000000000002</v>
      </c>
      <c r="O141" s="5"/>
      <c r="P141" s="5"/>
      <c r="Q141" s="122">
        <v>8148.15</v>
      </c>
      <c r="R141" s="5"/>
      <c r="S141" s="5"/>
      <c r="T141" s="99">
        <f>N141-M141</f>
        <v>-654.48999999999978</v>
      </c>
      <c r="U141" s="4">
        <f>IF(M141=0,0,N141/M141-1)</f>
        <v>-0.2189449668650415</v>
      </c>
      <c r="V141" s="5"/>
      <c r="W141" s="5"/>
      <c r="X141" s="5"/>
      <c r="Y141" s="5"/>
      <c r="Z141" s="134"/>
      <c r="AA141">
        <v>35145.949999999997</v>
      </c>
      <c r="AB141">
        <v>47106.3</v>
      </c>
      <c r="AC141" s="4">
        <f>AB141/AA141-1</f>
        <v>0.34030521297617522</v>
      </c>
      <c r="AE141">
        <v>2901</v>
      </c>
      <c r="AF141">
        <v>2982</v>
      </c>
      <c r="AH141" s="25">
        <v>0.47189999999999999</v>
      </c>
      <c r="AI141" s="25">
        <v>0.35920000000000002</v>
      </c>
    </row>
    <row r="142" spans="1:39">
      <c r="A142" t="s">
        <v>1260</v>
      </c>
      <c r="B142" t="s">
        <v>1261</v>
      </c>
      <c r="C142" s="18">
        <v>1962</v>
      </c>
      <c r="E142" t="s">
        <v>1261</v>
      </c>
      <c r="F142" s="18">
        <v>2713</v>
      </c>
      <c r="G142" t="b">
        <f>IF(B142=E142,TRUE,FALSE)</f>
        <v>1</v>
      </c>
      <c r="J142" s="24">
        <f>F142-C142</f>
        <v>751</v>
      </c>
      <c r="K142" s="4">
        <f>F142/C142-1</f>
        <v>0.38277268093781847</v>
      </c>
      <c r="M142" s="5">
        <v>1850.14</v>
      </c>
      <c r="N142" s="5">
        <v>3215.89</v>
      </c>
      <c r="Q142" s="122">
        <v>16302.69</v>
      </c>
      <c r="T142" s="99">
        <f>N142-M142</f>
        <v>1365.7499999999998</v>
      </c>
      <c r="U142" s="4">
        <f>IF(M142=0,0,N142/M142-1)</f>
        <v>0.73818738041445497</v>
      </c>
      <c r="Z142" s="107"/>
      <c r="AA142">
        <v>42958.12</v>
      </c>
      <c r="AB142">
        <v>55436.86</v>
      </c>
      <c r="AC142" s="4">
        <f>AB142/AA142-1</f>
        <v>0.29048617583823488</v>
      </c>
      <c r="AE142">
        <v>5563</v>
      </c>
      <c r="AF142">
        <v>7858</v>
      </c>
      <c r="AH142" s="25">
        <v>0.35320000000000001</v>
      </c>
      <c r="AI142" s="25">
        <v>0.34409999999999996</v>
      </c>
    </row>
    <row r="143" spans="1:39">
      <c r="A143" s="136" t="s">
        <v>1262</v>
      </c>
      <c r="B143" t="s">
        <v>1263</v>
      </c>
      <c r="C143" s="18">
        <v>4884</v>
      </c>
      <c r="E143" t="s">
        <v>1263</v>
      </c>
      <c r="F143" s="18">
        <v>5635</v>
      </c>
      <c r="G143" t="b">
        <f>IF(B143=E143,TRUE,FALSE)</f>
        <v>1</v>
      </c>
      <c r="J143" s="24">
        <f>F143-C143</f>
        <v>751</v>
      </c>
      <c r="K143" s="4">
        <f>F143/C143-1</f>
        <v>0.15376740376740372</v>
      </c>
      <c r="M143">
        <v>10808</v>
      </c>
      <c r="N143">
        <v>16254.08</v>
      </c>
      <c r="Q143" s="122">
        <v>53329.71</v>
      </c>
      <c r="T143" s="99">
        <f>N143-M143</f>
        <v>5446.08</v>
      </c>
      <c r="U143" s="4">
        <f>IF(M143=0,0,N143/M143-1)</f>
        <v>0.50389341228719475</v>
      </c>
      <c r="Z143" s="107"/>
      <c r="AA143" s="173">
        <v>143568</v>
      </c>
      <c r="AB143" s="173">
        <v>168713.55000000002</v>
      </c>
      <c r="AC143" s="4">
        <f>AB143/AA143-1</f>
        <v>0.17514731695085262</v>
      </c>
      <c r="AE143">
        <v>7900</v>
      </c>
      <c r="AF143">
        <v>11479</v>
      </c>
      <c r="AH143" s="25">
        <v>2E-3</v>
      </c>
      <c r="AI143" s="25">
        <v>2.3999999999999998E-3</v>
      </c>
    </row>
    <row r="144" spans="1:39">
      <c r="A144" t="s">
        <v>1264</v>
      </c>
      <c r="B144" t="s">
        <v>1265</v>
      </c>
      <c r="C144" s="18">
        <v>1021</v>
      </c>
      <c r="E144" t="s">
        <v>1265</v>
      </c>
      <c r="F144" s="18">
        <v>1773</v>
      </c>
      <c r="G144" t="b">
        <f>IF(B144=E144,TRUE,FALSE)</f>
        <v>1</v>
      </c>
      <c r="J144" s="24">
        <f>F144-C144</f>
        <v>752</v>
      </c>
      <c r="K144" s="4">
        <f>F144/C144-1</f>
        <v>0.73653281096963763</v>
      </c>
      <c r="M144" s="5">
        <v>1023.7800000000001</v>
      </c>
      <c r="N144" s="5">
        <v>1607.72</v>
      </c>
      <c r="Q144" s="122">
        <v>8677.2199999999993</v>
      </c>
      <c r="T144" s="99">
        <f>N144-M144</f>
        <v>583.93999999999994</v>
      </c>
      <c r="U144" s="4">
        <f>IF(M144=0,0,N144/M144-1)</f>
        <v>0.57037644806501375</v>
      </c>
      <c r="Z144" s="107"/>
      <c r="AA144">
        <v>25504.019999999997</v>
      </c>
      <c r="AB144">
        <v>38888.44</v>
      </c>
      <c r="AC144" s="4">
        <f>AB144/AA144-1</f>
        <v>0.52479648306423887</v>
      </c>
      <c r="AE144">
        <v>3853</v>
      </c>
      <c r="AF144">
        <v>7496</v>
      </c>
      <c r="AH144" s="25">
        <v>0.22289999999999999</v>
      </c>
      <c r="AI144" s="25">
        <v>0.21780000000000002</v>
      </c>
      <c r="AJ144" s="5"/>
      <c r="AK144" s="5"/>
      <c r="AL144" s="5"/>
      <c r="AM144" s="5"/>
    </row>
    <row r="145" spans="1:38">
      <c r="A145" t="s">
        <v>1266</v>
      </c>
      <c r="B145" t="s">
        <v>1267</v>
      </c>
      <c r="C145" s="18">
        <v>1559</v>
      </c>
      <c r="E145" t="s">
        <v>1267</v>
      </c>
      <c r="F145" s="18">
        <v>2335</v>
      </c>
      <c r="G145" t="b">
        <f>IF(B145=E145,TRUE,FALSE)</f>
        <v>1</v>
      </c>
      <c r="J145" s="24">
        <f>F145-C145</f>
        <v>776</v>
      </c>
      <c r="K145" s="4">
        <f>F145/C145-1</f>
        <v>0.49775497113534306</v>
      </c>
      <c r="M145" s="5">
        <v>854.14</v>
      </c>
      <c r="N145" s="5">
        <v>1891.33</v>
      </c>
      <c r="Q145" s="122">
        <v>7758.14</v>
      </c>
      <c r="T145" s="99">
        <f>N145-M145</f>
        <v>1037.19</v>
      </c>
      <c r="U145" s="4">
        <f>IF(M145=0,0,N145/M145-1)</f>
        <v>1.2143091296508768</v>
      </c>
      <c r="Z145" s="107"/>
      <c r="AA145">
        <v>31141.620000000003</v>
      </c>
      <c r="AB145">
        <v>41380.85</v>
      </c>
      <c r="AC145" s="4">
        <f>AB145/AA145-1</f>
        <v>0.32879567601171655</v>
      </c>
      <c r="AE145">
        <v>5771</v>
      </c>
      <c r="AF145">
        <v>9606</v>
      </c>
      <c r="AH145" s="25">
        <v>0.27079999999999999</v>
      </c>
      <c r="AI145" s="25">
        <v>0.24230000000000002</v>
      </c>
    </row>
    <row r="146" spans="1:38">
      <c r="A146" t="s">
        <v>1268</v>
      </c>
      <c r="B146" t="s">
        <v>1269</v>
      </c>
      <c r="C146" s="18">
        <v>751</v>
      </c>
      <c r="E146" t="s">
        <v>1269</v>
      </c>
      <c r="F146" s="18">
        <v>1548</v>
      </c>
      <c r="G146" t="b">
        <f>IF(B146=E146,TRUE,FALSE)</f>
        <v>1</v>
      </c>
      <c r="J146" s="24">
        <f>F146-C146</f>
        <v>797</v>
      </c>
      <c r="K146" s="4">
        <f>F146/C146-1</f>
        <v>1.0612516644474033</v>
      </c>
      <c r="M146" s="5">
        <v>747.38</v>
      </c>
      <c r="N146" s="5">
        <v>1794.91</v>
      </c>
      <c r="Q146" s="122">
        <v>8889.7900000000009</v>
      </c>
      <c r="T146" s="99">
        <f>N146-M146</f>
        <v>1047.5300000000002</v>
      </c>
      <c r="U146" s="4">
        <f>IF(M146=0,0,N146/M146-1)</f>
        <v>1.401602932912307</v>
      </c>
      <c r="Z146" s="107"/>
      <c r="AA146">
        <v>12756.939999999999</v>
      </c>
      <c r="AB146">
        <v>22877.91</v>
      </c>
      <c r="AC146" s="4">
        <f>AB146/AA146-1</f>
        <v>0.79336972659587657</v>
      </c>
      <c r="AD146" s="5"/>
      <c r="AE146">
        <v>2209</v>
      </c>
      <c r="AF146">
        <v>4626</v>
      </c>
      <c r="AH146" s="25">
        <v>0.33770000000000006</v>
      </c>
      <c r="AI146" s="25">
        <v>0.33380000000000004</v>
      </c>
    </row>
    <row r="147" spans="1:38">
      <c r="A147" t="s">
        <v>1270</v>
      </c>
      <c r="B147" t="s">
        <v>1271</v>
      </c>
      <c r="C147" s="18">
        <v>1079</v>
      </c>
      <c r="E147" t="s">
        <v>1271</v>
      </c>
      <c r="F147" s="18">
        <v>1903</v>
      </c>
      <c r="G147" t="b">
        <f>IF(B147=E147,TRUE,FALSE)</f>
        <v>1</v>
      </c>
      <c r="J147" s="24">
        <f>F147-C147</f>
        <v>824</v>
      </c>
      <c r="K147" s="4">
        <f>F147/C147-1</f>
        <v>0.7636700648748842</v>
      </c>
      <c r="M147" s="5">
        <v>1812.68</v>
      </c>
      <c r="N147" s="5">
        <v>2642.32</v>
      </c>
      <c r="Q147" s="122">
        <v>11415.26</v>
      </c>
      <c r="T147" s="99">
        <f>N147-M147</f>
        <v>829.6400000000001</v>
      </c>
      <c r="U147" s="4">
        <f>IF(M147=0,0,N147/M147-1)</f>
        <v>0.45768696074320903</v>
      </c>
      <c r="Z147" s="107"/>
      <c r="AA147">
        <v>18329.490000000002</v>
      </c>
      <c r="AB147">
        <v>28310.55</v>
      </c>
      <c r="AC147" s="4">
        <f>AB147/AA147-1</f>
        <v>0.54453560901039788</v>
      </c>
      <c r="AE147">
        <v>4195</v>
      </c>
      <c r="AF147">
        <v>7765</v>
      </c>
      <c r="AH147" s="25">
        <v>0.25629999999999997</v>
      </c>
      <c r="AI147" s="25">
        <v>0.2447</v>
      </c>
      <c r="AL147" t="s">
        <v>1272</v>
      </c>
    </row>
    <row r="148" spans="1:38" ht="12" customHeight="1">
      <c r="A148" t="s">
        <v>1273</v>
      </c>
      <c r="B148" s="26" t="s">
        <v>1274</v>
      </c>
      <c r="C148" s="18">
        <v>735</v>
      </c>
      <c r="E148" t="s">
        <v>1274</v>
      </c>
      <c r="F148" s="18">
        <v>1621</v>
      </c>
      <c r="G148" t="b">
        <f>IF(B148=E148,TRUE,FALSE)</f>
        <v>1</v>
      </c>
      <c r="J148" s="24">
        <f>F148-C148</f>
        <v>886</v>
      </c>
      <c r="K148" s="4">
        <f>F148/C148-1</f>
        <v>1.2054421768707484</v>
      </c>
      <c r="M148" s="5">
        <v>1713.28</v>
      </c>
      <c r="N148" s="5">
        <v>2059.08</v>
      </c>
      <c r="Q148" s="122">
        <v>7933.39</v>
      </c>
      <c r="T148" s="99">
        <f>N148-M148</f>
        <v>345.79999999999995</v>
      </c>
      <c r="U148" s="4">
        <f>IF(M148=0,0,N148/M148-1)</f>
        <v>0.20183507657825928</v>
      </c>
      <c r="Z148" s="107"/>
      <c r="AA148">
        <v>10985.55</v>
      </c>
      <c r="AB148">
        <v>20889.63</v>
      </c>
      <c r="AC148" s="4">
        <f>AB148/AA148-1</f>
        <v>0.90155522481805672</v>
      </c>
      <c r="AE148">
        <v>4043</v>
      </c>
      <c r="AF148">
        <v>7533</v>
      </c>
      <c r="AH148" s="25">
        <v>0.1825</v>
      </c>
      <c r="AI148" s="25">
        <v>0.2152</v>
      </c>
    </row>
    <row r="149" spans="1:38" ht="14.25" customHeight="1">
      <c r="A149" t="s">
        <v>1275</v>
      </c>
      <c r="B149" t="s">
        <v>1276</v>
      </c>
      <c r="C149" s="18">
        <v>1228</v>
      </c>
      <c r="E149" t="s">
        <v>1276</v>
      </c>
      <c r="F149" s="18">
        <v>2126</v>
      </c>
      <c r="G149" t="b">
        <f>IF(B149=E149,TRUE,FALSE)</f>
        <v>1</v>
      </c>
      <c r="J149" s="24">
        <f>F149-C149</f>
        <v>898</v>
      </c>
      <c r="K149" s="4">
        <f>F149/C149-1</f>
        <v>0.73127035830618903</v>
      </c>
      <c r="M149" s="5">
        <v>1526.12</v>
      </c>
      <c r="N149" s="5">
        <v>5961.82</v>
      </c>
      <c r="Q149" s="122">
        <v>35435.949999999997</v>
      </c>
      <c r="T149" s="99">
        <f>N149-M149</f>
        <v>4435.7</v>
      </c>
      <c r="U149" s="4">
        <f>IF(M149=0,0,N149/M149-1)</f>
        <v>2.9065211123633792</v>
      </c>
      <c r="Z149" s="107"/>
      <c r="AA149">
        <v>35583.769999999997</v>
      </c>
      <c r="AB149">
        <v>63415.39</v>
      </c>
      <c r="AC149" s="4">
        <f>AB149/AA149-1</f>
        <v>0.78214365706612887</v>
      </c>
      <c r="AE149">
        <v>3725</v>
      </c>
      <c r="AF149">
        <v>7234</v>
      </c>
      <c r="AH149" s="25">
        <v>0.32909999999999995</v>
      </c>
      <c r="AI149" s="25">
        <v>0.29320000000000002</v>
      </c>
      <c r="AJ149" t="s">
        <v>1277</v>
      </c>
    </row>
    <row r="150" spans="1:38" ht="14.25" customHeight="1">
      <c r="A150" t="s">
        <v>1278</v>
      </c>
      <c r="B150" t="s">
        <v>1279</v>
      </c>
      <c r="C150" s="18">
        <v>1090</v>
      </c>
      <c r="E150" t="s">
        <v>1279</v>
      </c>
      <c r="F150" s="18">
        <v>2041</v>
      </c>
      <c r="G150" t="b">
        <f>IF(B150=E150,TRUE,FALSE)</f>
        <v>1</v>
      </c>
      <c r="J150" s="24">
        <f>F150-C150</f>
        <v>951</v>
      </c>
      <c r="K150" s="4">
        <f>F150/C150-1</f>
        <v>0.87247706422018356</v>
      </c>
      <c r="M150" s="5">
        <v>2096.52</v>
      </c>
      <c r="N150" s="5">
        <v>2692.73</v>
      </c>
      <c r="Q150" s="122">
        <v>18437.689999999999</v>
      </c>
      <c r="T150" s="99">
        <f>N150-M150</f>
        <v>596.21</v>
      </c>
      <c r="U150" s="4">
        <f>IF(M150=0,0,N150/M150-1)</f>
        <v>0.28438078339343287</v>
      </c>
      <c r="Y150" t="s">
        <v>1280</v>
      </c>
      <c r="Z150" s="107"/>
      <c r="AA150">
        <v>32636.799999999999</v>
      </c>
      <c r="AB150">
        <v>61103.05</v>
      </c>
      <c r="AC150" s="4">
        <f>AB150/AA150-1</f>
        <v>0.87221326845769198</v>
      </c>
      <c r="AE150">
        <v>5555</v>
      </c>
      <c r="AF150">
        <v>8404</v>
      </c>
      <c r="AH150" s="25">
        <v>0.19570000000000001</v>
      </c>
      <c r="AI150" s="25">
        <v>0.2419</v>
      </c>
    </row>
    <row r="151" spans="1:38" ht="14.25" customHeight="1">
      <c r="A151" s="136" t="s">
        <v>1281</v>
      </c>
      <c r="B151" s="5" t="s">
        <v>1282</v>
      </c>
      <c r="C151" s="18">
        <v>2015</v>
      </c>
      <c r="D151" s="5"/>
      <c r="E151" t="s">
        <v>1282</v>
      </c>
      <c r="F151" s="18">
        <v>2969</v>
      </c>
      <c r="G151" t="b">
        <f>IF(B151=E151,TRUE,FALSE)</f>
        <v>1</v>
      </c>
      <c r="H151" s="5"/>
      <c r="I151" s="5"/>
      <c r="J151" s="24">
        <f>F151-C151</f>
        <v>954</v>
      </c>
      <c r="K151" s="4">
        <f>F151/C151-1</f>
        <v>0.47344913151364754</v>
      </c>
      <c r="L151" s="5"/>
      <c r="M151" s="5">
        <v>2722.53</v>
      </c>
      <c r="N151" s="5">
        <v>4276.13</v>
      </c>
      <c r="O151" s="5"/>
      <c r="P151" s="5"/>
      <c r="Q151" s="122">
        <v>15738.109999999997</v>
      </c>
      <c r="R151" s="5"/>
      <c r="S151" s="5"/>
      <c r="T151" s="99">
        <f>N151-M151</f>
        <v>1553.6</v>
      </c>
      <c r="U151" s="4">
        <f>IF(M151=0,0,N151/M151-1)</f>
        <v>0.57064568618160316</v>
      </c>
      <c r="V151" s="5"/>
      <c r="W151" s="5"/>
      <c r="X151" s="5"/>
      <c r="Y151" s="5"/>
      <c r="Z151" s="134"/>
      <c r="AA151">
        <v>57473.25</v>
      </c>
      <c r="AB151">
        <v>81472.72</v>
      </c>
      <c r="AC151" s="4">
        <f>AB151/AA151-1</f>
        <v>0.41757635073708199</v>
      </c>
      <c r="AE151">
        <v>6415</v>
      </c>
      <c r="AF151">
        <v>6639</v>
      </c>
      <c r="AH151" s="25">
        <v>0.30959999999999999</v>
      </c>
      <c r="AI151" s="25">
        <v>0.17710000000000001</v>
      </c>
      <c r="AJ151" t="s">
        <v>1283</v>
      </c>
    </row>
    <row r="152" spans="1:38" ht="14.25" customHeight="1">
      <c r="A152" t="s">
        <v>1284</v>
      </c>
      <c r="B152" t="s">
        <v>1285</v>
      </c>
      <c r="C152" s="18">
        <v>1212</v>
      </c>
      <c r="D152" s="5"/>
      <c r="E152" t="s">
        <v>1285</v>
      </c>
      <c r="F152" s="18">
        <v>2195</v>
      </c>
      <c r="G152" t="b">
        <f>IF(B152=E152,TRUE,FALSE)</f>
        <v>1</v>
      </c>
      <c r="H152" s="5"/>
      <c r="I152" s="5"/>
      <c r="J152" s="24">
        <f>F152-C152</f>
        <v>983</v>
      </c>
      <c r="K152" s="4">
        <f>F152/C152-1</f>
        <v>0.81105610561056096</v>
      </c>
      <c r="L152" s="5"/>
      <c r="M152" s="5">
        <v>1698.32</v>
      </c>
      <c r="N152" s="5">
        <v>3429.94</v>
      </c>
      <c r="O152" s="5"/>
      <c r="P152" s="5"/>
      <c r="Q152" s="122">
        <v>17633.07</v>
      </c>
      <c r="R152" s="5"/>
      <c r="S152" s="5"/>
      <c r="T152" s="99">
        <f>N152-M152</f>
        <v>1731.6200000000001</v>
      </c>
      <c r="U152" s="4">
        <f>IF(M152=0,0,N152/M152-1)</f>
        <v>1.0196076122285556</v>
      </c>
      <c r="V152" s="5"/>
      <c r="W152" s="5"/>
      <c r="X152" s="5"/>
      <c r="Y152" s="5"/>
      <c r="Z152" s="134"/>
      <c r="AA152">
        <v>27455.61</v>
      </c>
      <c r="AB152">
        <v>45928.86</v>
      </c>
      <c r="AC152" s="4">
        <f>AB152/AA152-1</f>
        <v>0.67284063257017412</v>
      </c>
      <c r="AE152">
        <v>3570</v>
      </c>
      <c r="AF152">
        <v>7327</v>
      </c>
      <c r="AH152" s="25">
        <v>0.34009999999999996</v>
      </c>
      <c r="AI152" s="25">
        <v>0.29830000000000001</v>
      </c>
    </row>
    <row r="153" spans="1:38" ht="14.25" customHeight="1">
      <c r="A153" s="136" t="s">
        <v>1286</v>
      </c>
      <c r="B153" t="s">
        <v>1287</v>
      </c>
      <c r="C153" s="18">
        <v>3228</v>
      </c>
      <c r="E153" t="s">
        <v>1287</v>
      </c>
      <c r="F153" s="18">
        <v>4224</v>
      </c>
      <c r="G153" t="b">
        <f>IF(B153=E153,TRUE,FALSE)</f>
        <v>1</v>
      </c>
      <c r="J153" s="24">
        <f>F153-C153</f>
        <v>996</v>
      </c>
      <c r="K153" s="4">
        <f>F153/C153-1</f>
        <v>0.30855018587360594</v>
      </c>
      <c r="M153" s="5">
        <v>4437.17</v>
      </c>
      <c r="N153" s="5">
        <v>5826.63</v>
      </c>
      <c r="Q153" s="122">
        <v>27113.87</v>
      </c>
      <c r="T153" s="99">
        <f>N153-M153</f>
        <v>1389.46</v>
      </c>
      <c r="U153" s="4">
        <f>IF(M153=0,0,N153/M153-1)</f>
        <v>0.31314103358672307</v>
      </c>
      <c r="W153" t="s">
        <v>1288</v>
      </c>
      <c r="Y153" t="s">
        <v>1289</v>
      </c>
      <c r="Z153" s="107" t="s">
        <v>1290</v>
      </c>
      <c r="AA153">
        <v>87121.71</v>
      </c>
      <c r="AB153">
        <v>107629.19</v>
      </c>
      <c r="AC153" s="4">
        <f>AB153/AA153-1</f>
        <v>0.23538886002122772</v>
      </c>
      <c r="AE153">
        <v>7728</v>
      </c>
      <c r="AF153">
        <v>11188</v>
      </c>
      <c r="AH153" s="25">
        <v>0.40700000000000003</v>
      </c>
      <c r="AI153" s="25">
        <v>0.31420000000000003</v>
      </c>
      <c r="AJ153" t="s">
        <v>1291</v>
      </c>
    </row>
    <row r="154" spans="1:38" ht="14.25" customHeight="1">
      <c r="A154" s="115" t="s">
        <v>1292</v>
      </c>
      <c r="B154" s="36" t="s">
        <v>1293</v>
      </c>
      <c r="C154">
        <v>903</v>
      </c>
      <c r="E154" s="36" t="s">
        <v>1293</v>
      </c>
      <c r="F154">
        <v>2122</v>
      </c>
      <c r="G154" t="b">
        <f>IF(B154=E154,TRUE,FALSE)</f>
        <v>1</v>
      </c>
      <c r="J154" s="24">
        <f>F154-C154</f>
        <v>1219</v>
      </c>
      <c r="K154" s="4">
        <f>F154/C154-1</f>
        <v>1.3499446290143964</v>
      </c>
      <c r="M154" s="116">
        <v>1441.65</v>
      </c>
      <c r="N154" s="116">
        <v>2404.0100000000002</v>
      </c>
      <c r="Q154" s="122">
        <v>12640.66</v>
      </c>
      <c r="T154" s="99">
        <f>N154-M154</f>
        <v>962.36000000000013</v>
      </c>
      <c r="U154" s="4">
        <f>IF(M154=0,0,N154/M154-1)</f>
        <v>0.66754066521000244</v>
      </c>
      <c r="Z154" s="107"/>
      <c r="AA154">
        <v>13534.470000000001</v>
      </c>
      <c r="AB154">
        <v>27265.279999999999</v>
      </c>
      <c r="AC154" s="4">
        <f>AB154/AA154-1</f>
        <v>1.0145066633565998</v>
      </c>
      <c r="AE154">
        <v>2609</v>
      </c>
      <c r="AF154">
        <v>7090</v>
      </c>
      <c r="AH154" s="25">
        <v>0.34649999999999997</v>
      </c>
      <c r="AI154" s="25">
        <v>0.29870000000000002</v>
      </c>
    </row>
    <row r="155" spans="1:38" ht="14.25" customHeight="1">
      <c r="A155" s="136" t="s">
        <v>1294</v>
      </c>
      <c r="B155" t="s">
        <v>1295</v>
      </c>
      <c r="C155" s="173">
        <v>3813</v>
      </c>
      <c r="E155" t="s">
        <v>1295</v>
      </c>
      <c r="F155" s="173">
        <v>5134</v>
      </c>
      <c r="G155" t="b">
        <f>IF(B155=E155,TRUE,FALSE)</f>
        <v>1</v>
      </c>
      <c r="J155" s="24">
        <f>F155-C155</f>
        <v>1321</v>
      </c>
      <c r="K155" s="4">
        <f>F155/C155-1</f>
        <v>0.34644636768948334</v>
      </c>
      <c r="M155" s="144">
        <v>6392</v>
      </c>
      <c r="N155" s="144">
        <v>10907.24</v>
      </c>
      <c r="Q155" s="122">
        <v>38191.689999999995</v>
      </c>
      <c r="T155" s="99">
        <f>N155-M155</f>
        <v>4515.24</v>
      </c>
      <c r="U155" s="4">
        <f>IF(M155=0,0,N155/M155-1)</f>
        <v>0.70638923654568209</v>
      </c>
      <c r="Z155" s="107"/>
      <c r="AA155" s="173">
        <v>102912.87</v>
      </c>
      <c r="AB155" s="173">
        <v>138248.80000000002</v>
      </c>
      <c r="AC155" s="4">
        <f>AB155/AA155-1</f>
        <v>0.34335773552909399</v>
      </c>
      <c r="AE155">
        <v>1040</v>
      </c>
      <c r="AF155">
        <v>8291</v>
      </c>
      <c r="AH155" s="25">
        <v>2.8999999999999998E-3</v>
      </c>
      <c r="AI155" s="25">
        <v>1.7000000000000001E-3</v>
      </c>
      <c r="AJ155" t="s">
        <v>1296</v>
      </c>
    </row>
    <row r="156" spans="1:38" ht="14.25" customHeight="1">
      <c r="A156" t="s">
        <v>1297</v>
      </c>
      <c r="B156" t="s">
        <v>1298</v>
      </c>
      <c r="C156" s="18">
        <v>2963</v>
      </c>
      <c r="D156" s="5"/>
      <c r="E156" t="s">
        <v>1298</v>
      </c>
      <c r="F156" s="18">
        <v>4364</v>
      </c>
      <c r="G156" t="b">
        <f>IF(B156=E156,TRUE,FALSE)</f>
        <v>1</v>
      </c>
      <c r="H156" s="5"/>
      <c r="I156" s="5"/>
      <c r="J156" s="24">
        <f>F156-C156</f>
        <v>1401</v>
      </c>
      <c r="K156" s="4">
        <f>F156/C156-1</f>
        <v>0.47283158960512983</v>
      </c>
      <c r="L156" s="5"/>
      <c r="M156" s="5">
        <v>2415.9299999999998</v>
      </c>
      <c r="N156" s="5">
        <v>3654.83</v>
      </c>
      <c r="O156" s="5"/>
      <c r="P156" s="5"/>
      <c r="Q156" s="122">
        <v>19906.32</v>
      </c>
      <c r="R156" s="5"/>
      <c r="S156" s="5"/>
      <c r="T156" s="99">
        <f>N156-M156</f>
        <v>1238.9000000000001</v>
      </c>
      <c r="U156" s="4">
        <f>IF(M156=0,0,N156/M156-1)</f>
        <v>0.51280459284830271</v>
      </c>
      <c r="V156" s="5"/>
      <c r="W156" s="5"/>
      <c r="X156" s="5"/>
      <c r="Y156" s="5"/>
      <c r="Z156" s="134"/>
      <c r="AA156">
        <v>74028.37</v>
      </c>
      <c r="AB156">
        <v>95869.75</v>
      </c>
      <c r="AC156" s="4">
        <f>AB156/AA156-1</f>
        <v>0.29504067156956193</v>
      </c>
      <c r="AE156">
        <v>10028</v>
      </c>
      <c r="AF156">
        <v>16377</v>
      </c>
      <c r="AH156" s="25">
        <v>0.29570000000000002</v>
      </c>
      <c r="AI156" s="25">
        <v>0.26489999999999997</v>
      </c>
    </row>
    <row r="157" spans="1:38">
      <c r="A157" t="s">
        <v>1299</v>
      </c>
      <c r="B157" t="s">
        <v>1300</v>
      </c>
      <c r="C157" s="18">
        <v>1529</v>
      </c>
      <c r="D157" s="5"/>
      <c r="E157" t="s">
        <v>1300</v>
      </c>
      <c r="F157" s="18">
        <v>3074</v>
      </c>
      <c r="G157" t="b">
        <f>IF(B157=E157,TRUE,FALSE)</f>
        <v>1</v>
      </c>
      <c r="H157" s="5"/>
      <c r="I157" s="5"/>
      <c r="J157" s="24">
        <f>F157-C157</f>
        <v>1545</v>
      </c>
      <c r="K157" s="4">
        <f>F157/C157-1</f>
        <v>1.010464355788097</v>
      </c>
      <c r="L157" s="5"/>
      <c r="M157" s="5">
        <v>2270.6999999999998</v>
      </c>
      <c r="N157" s="5">
        <v>3469.7</v>
      </c>
      <c r="O157" s="5"/>
      <c r="P157" s="5"/>
      <c r="Q157" s="122">
        <v>18986.75</v>
      </c>
      <c r="R157" s="5"/>
      <c r="S157" s="5"/>
      <c r="T157" s="99">
        <f>N157-M157</f>
        <v>1199</v>
      </c>
      <c r="U157" s="4">
        <f>IF(M157=0,0,N157/M157-1)</f>
        <v>0.52803100365526046</v>
      </c>
      <c r="V157" s="5"/>
      <c r="W157" s="5"/>
      <c r="X157" s="5"/>
      <c r="Y157" s="5"/>
      <c r="Z157" s="134"/>
      <c r="AA157">
        <v>38202.21</v>
      </c>
      <c r="AB157">
        <v>66668.77</v>
      </c>
      <c r="AC157" s="4">
        <f>AB157/AA157-1</f>
        <v>0.74515479601834578</v>
      </c>
      <c r="AE157">
        <v>4999</v>
      </c>
      <c r="AF157">
        <v>10398</v>
      </c>
      <c r="AH157" s="25">
        <v>0.30609999999999998</v>
      </c>
      <c r="AI157" s="25">
        <v>0.29480000000000001</v>
      </c>
    </row>
    <row r="158" spans="1:38">
      <c r="A158" s="119" t="s">
        <v>1301</v>
      </c>
      <c r="B158" s="36" t="s">
        <v>1302</v>
      </c>
      <c r="C158" s="18">
        <v>1480</v>
      </c>
      <c r="E158" s="36" t="s">
        <v>1302</v>
      </c>
      <c r="F158" s="18">
        <v>3110</v>
      </c>
      <c r="G158" t="b">
        <f>IF(B158=E158,TRUE,FALSE)</f>
        <v>1</v>
      </c>
      <c r="J158" s="24">
        <f>F158-C158</f>
        <v>1630</v>
      </c>
      <c r="K158" s="4">
        <f>F158/C158-1</f>
        <v>1.1013513513513513</v>
      </c>
      <c r="M158" s="116">
        <v>3410.32</v>
      </c>
      <c r="N158" s="116">
        <v>3914.49</v>
      </c>
      <c r="Q158" s="121">
        <v>19844.330000000002</v>
      </c>
      <c r="T158" s="99">
        <f>N158-M158</f>
        <v>504.16999999999962</v>
      </c>
      <c r="U158" s="4">
        <f>IF(M158=0,0,N158/M158-1)</f>
        <v>0.14783656665650136</v>
      </c>
      <c r="Z158" s="107"/>
      <c r="AA158">
        <v>23644.25</v>
      </c>
      <c r="AB158">
        <v>43351.14</v>
      </c>
      <c r="AC158" s="4">
        <f>AB158/AA158-1</f>
        <v>0.83347494634001928</v>
      </c>
      <c r="AE158">
        <v>5268</v>
      </c>
      <c r="AF158">
        <v>9838</v>
      </c>
      <c r="AH158" s="25">
        <v>0.28110000000000002</v>
      </c>
      <c r="AI158" s="25">
        <v>0.31590000000000001</v>
      </c>
      <c r="AL158" t="s">
        <v>1303</v>
      </c>
    </row>
    <row r="159" spans="1:38">
      <c r="A159" t="s">
        <v>1304</v>
      </c>
      <c r="B159" t="s">
        <v>1305</v>
      </c>
      <c r="C159" s="18">
        <v>2754</v>
      </c>
      <c r="D159" s="5"/>
      <c r="E159" t="s">
        <v>1305</v>
      </c>
      <c r="F159" s="18">
        <v>4521</v>
      </c>
      <c r="G159" t="b">
        <f>IF(B159=E159,TRUE,FALSE)</f>
        <v>1</v>
      </c>
      <c r="H159" s="5"/>
      <c r="I159" s="5"/>
      <c r="J159" s="24">
        <f>F159-C159</f>
        <v>1767</v>
      </c>
      <c r="K159" s="4">
        <f>F159/C159-1</f>
        <v>0.64161220043572986</v>
      </c>
      <c r="L159" s="5"/>
      <c r="M159" s="5">
        <v>1805.48</v>
      </c>
      <c r="N159" s="5">
        <v>3287.96</v>
      </c>
      <c r="O159" s="5"/>
      <c r="P159" s="5"/>
      <c r="Q159" s="122">
        <v>24461.77</v>
      </c>
      <c r="R159" s="5"/>
      <c r="S159" s="5"/>
      <c r="T159" s="99">
        <f>N159-M159</f>
        <v>1482.48</v>
      </c>
      <c r="U159" s="4">
        <f>IF(M159=0,0,N159/M159-1)</f>
        <v>0.82110020603939127</v>
      </c>
      <c r="V159" s="5"/>
      <c r="W159" s="5"/>
      <c r="X159" s="5"/>
      <c r="Y159" s="5"/>
      <c r="Z159" s="134"/>
      <c r="AA159">
        <v>60443.48</v>
      </c>
      <c r="AB159">
        <v>86729.05</v>
      </c>
      <c r="AC159" s="4">
        <f>AB159/AA159-1</f>
        <v>0.43487850137020567</v>
      </c>
      <c r="AE159">
        <v>8333</v>
      </c>
      <c r="AF159">
        <v>14532</v>
      </c>
      <c r="AH159" s="25">
        <v>0.33490000000000003</v>
      </c>
      <c r="AI159" s="25">
        <v>0.31010000000000004</v>
      </c>
    </row>
    <row r="160" spans="1:38">
      <c r="A160" s="115" t="s">
        <v>1306</v>
      </c>
      <c r="B160" s="36" t="s">
        <v>1307</v>
      </c>
      <c r="C160">
        <v>1376</v>
      </c>
      <c r="E160" s="36" t="s">
        <v>1307</v>
      </c>
      <c r="F160">
        <v>3593</v>
      </c>
      <c r="G160" t="b">
        <f>IF(B160=E160,TRUE,FALSE)</f>
        <v>1</v>
      </c>
      <c r="J160" s="24">
        <f>F160-C160</f>
        <v>2217</v>
      </c>
      <c r="K160" s="4">
        <f>F160/C160-1</f>
        <v>1.6111918604651163</v>
      </c>
      <c r="M160" s="116">
        <v>1728.05</v>
      </c>
      <c r="N160" s="116">
        <v>3322.23</v>
      </c>
      <c r="Q160" s="122">
        <v>25422.94</v>
      </c>
      <c r="T160" s="99">
        <f>N160-M160</f>
        <v>1594.18</v>
      </c>
      <c r="U160" s="4">
        <f>IF(M160=0,0,N160/M160-1)</f>
        <v>0.92253117675993179</v>
      </c>
      <c r="Z160" s="107"/>
      <c r="AA160">
        <v>50788.44</v>
      </c>
      <c r="AB160">
        <v>114531.99</v>
      </c>
      <c r="AC160" s="4">
        <f>AB160/AA160-1</f>
        <v>1.2550798961338447</v>
      </c>
      <c r="AE160">
        <v>4974</v>
      </c>
      <c r="AF160">
        <v>13540</v>
      </c>
      <c r="AH160" s="25">
        <v>0.27579999999999999</v>
      </c>
      <c r="AI160" s="25">
        <v>0.26479999999999998</v>
      </c>
    </row>
    <row r="161" spans="1:35" ht="15.75" customHeight="1">
      <c r="A161" t="s">
        <v>1308</v>
      </c>
      <c r="B161" t="s">
        <v>1309</v>
      </c>
      <c r="C161" s="18">
        <v>73015</v>
      </c>
      <c r="E161" t="s">
        <v>1309</v>
      </c>
      <c r="F161" s="18">
        <v>81285</v>
      </c>
      <c r="G161" t="b">
        <f>IF(B161=E161,TRUE,FALSE)</f>
        <v>1</v>
      </c>
      <c r="J161" s="24">
        <f>F161-C161</f>
        <v>8270</v>
      </c>
      <c r="K161" s="4">
        <f>F161/C161-1</f>
        <v>0.11326439772649466</v>
      </c>
      <c r="M161" s="5">
        <v>77160.66</v>
      </c>
      <c r="N161" s="121">
        <v>95568.51</v>
      </c>
      <c r="Q161" s="122">
        <v>310660.13</v>
      </c>
      <c r="T161" s="99">
        <f>N161-M161</f>
        <v>18407.849999999991</v>
      </c>
      <c r="U161" s="4">
        <f>IF(M161=0,0,N161/M161-1)</f>
        <v>0.23856522222593735</v>
      </c>
      <c r="W161" t="s">
        <v>1310</v>
      </c>
      <c r="Z161" s="107"/>
      <c r="AA161">
        <v>1292159.1200000001</v>
      </c>
      <c r="AB161">
        <v>1511740.64</v>
      </c>
      <c r="AC161" s="4">
        <f>AB161/AA161-1</f>
        <v>0.1699338081520485</v>
      </c>
      <c r="AE161">
        <v>221188</v>
      </c>
      <c r="AF161">
        <v>223737</v>
      </c>
      <c r="AH161" s="25">
        <v>0.33039999999999997</v>
      </c>
      <c r="AI161" s="25">
        <v>0.3624</v>
      </c>
    </row>
    <row r="162" spans="1:35">
      <c r="A162" s="125"/>
      <c r="B162" s="26"/>
      <c r="C162" s="173"/>
      <c r="E162" s="26"/>
      <c r="F162" s="173"/>
      <c r="K162" s="4"/>
      <c r="N162" s="4"/>
      <c r="Z162" s="107"/>
      <c r="AB162" s="173"/>
    </row>
    <row r="163" spans="1:35">
      <c r="A163" s="125"/>
      <c r="B163" s="26"/>
      <c r="C163" s="173"/>
      <c r="E163" s="26"/>
      <c r="F163" s="173"/>
      <c r="K163" s="4"/>
      <c r="N163" s="4"/>
      <c r="Z163" s="107"/>
      <c r="AB163" s="173"/>
    </row>
    <row r="164" spans="1:35">
      <c r="A164" s="125"/>
      <c r="B164" s="26"/>
      <c r="C164" s="173"/>
      <c r="E164" s="26"/>
      <c r="F164" s="173"/>
      <c r="K164" s="4"/>
      <c r="N164" s="4"/>
      <c r="Z164" s="107"/>
      <c r="AB164" s="173"/>
    </row>
    <row r="165" spans="1:35">
      <c r="A165" s="125"/>
      <c r="B165" s="26"/>
      <c r="E165" s="26"/>
      <c r="F165" s="173"/>
      <c r="K165" s="4"/>
      <c r="N165" s="4"/>
      <c r="Z165" s="107"/>
      <c r="AB165" s="173"/>
    </row>
    <row r="166" spans="1:35">
      <c r="C166" s="3" t="s">
        <v>937</v>
      </c>
      <c r="D166" s="3"/>
      <c r="E166" s="3"/>
      <c r="F166" s="3" t="s">
        <v>937</v>
      </c>
      <c r="G166" s="3"/>
      <c r="H166" s="3"/>
      <c r="I166" s="3"/>
      <c r="J166" s="3" t="s">
        <v>938</v>
      </c>
      <c r="K166" s="30"/>
      <c r="L166" s="3"/>
      <c r="M166" s="32" t="s">
        <v>939</v>
      </c>
      <c r="N166" s="32" t="s">
        <v>939</v>
      </c>
      <c r="O166" s="3"/>
      <c r="Q166" s="123" t="s">
        <v>1311</v>
      </c>
      <c r="R166" s="3"/>
      <c r="T166" s="100" t="s">
        <v>941</v>
      </c>
      <c r="U166" s="3"/>
      <c r="V166" s="3"/>
      <c r="W166" s="3"/>
      <c r="X166" s="3"/>
      <c r="Y166" s="33"/>
      <c r="Z166" s="34" t="s">
        <v>3</v>
      </c>
      <c r="AA166" s="34" t="s">
        <v>3</v>
      </c>
      <c r="AB166" s="34" t="s">
        <v>3</v>
      </c>
    </row>
    <row r="167" spans="1:35">
      <c r="C167" s="18">
        <f>SUM(C3:C161)</f>
        <v>263793</v>
      </c>
      <c r="F167" s="18">
        <f>SUM(F3:F161)</f>
        <v>303748</v>
      </c>
      <c r="J167" s="18">
        <f>SUM(J3:J161)</f>
        <v>39992</v>
      </c>
      <c r="K167" s="4"/>
      <c r="M167" s="18">
        <f>SUM(M3:M161)</f>
        <v>334683.15000000002</v>
      </c>
      <c r="N167" s="5">
        <f>SUM(N3:N161)</f>
        <v>438939.62999999995</v>
      </c>
      <c r="Q167" s="117">
        <f>SUM(Q3:Q161)</f>
        <v>1668574.4399999995</v>
      </c>
      <c r="T167" s="102">
        <f>SUM(T3:T161)</f>
        <v>104256.48000000001</v>
      </c>
      <c r="U167" s="4">
        <f>IF(M167=0,0,N167/M167-1)</f>
        <v>0.31150800391355205</v>
      </c>
      <c r="AA167" s="29">
        <f>SUM(AA3:AA162)</f>
        <v>5833893.9500000011</v>
      </c>
      <c r="AB167" s="29">
        <f>SUM(AB3:AB162)</f>
        <v>6719364.8999999994</v>
      </c>
      <c r="AC167" s="4">
        <f>AB167/AA167-1</f>
        <v>0.15178043303306854</v>
      </c>
    </row>
    <row r="168" spans="1:35">
      <c r="K168" s="4"/>
      <c r="P168" s="121"/>
      <c r="U168" s="4"/>
    </row>
    <row r="169" spans="1:35">
      <c r="F169" s="24">
        <f>F167-C167</f>
        <v>39955</v>
      </c>
      <c r="K169" s="4"/>
      <c r="N169" s="32" t="s">
        <v>942</v>
      </c>
      <c r="Q169" s="25">
        <f>N167/Q167</f>
        <v>0.26306265964376158</v>
      </c>
      <c r="U169" s="4"/>
      <c r="AA169" s="3" t="s">
        <v>943</v>
      </c>
      <c r="AB169" s="3" t="s">
        <v>943</v>
      </c>
    </row>
    <row r="170" spans="1:35">
      <c r="F170" s="4">
        <f>F167/C167-1</f>
        <v>0.15146345809024497</v>
      </c>
      <c r="K170" s="4"/>
      <c r="U170" s="4"/>
      <c r="AA170" s="31">
        <f>M167/AA167</f>
        <v>5.7368740821899918E-2</v>
      </c>
      <c r="AB170" s="31">
        <f>N167/AB167</f>
        <v>6.5324571076650406E-2</v>
      </c>
    </row>
    <row r="171" spans="1:35">
      <c r="K171" s="4"/>
      <c r="U171" s="4"/>
    </row>
    <row r="172" spans="1:35">
      <c r="K172" s="4"/>
    </row>
    <row r="173" spans="1:35">
      <c r="K173" s="4"/>
      <c r="U173" s="4"/>
    </row>
    <row r="174" spans="1:35">
      <c r="K174" s="4"/>
      <c r="U174" s="4"/>
    </row>
    <row r="175" spans="1:35">
      <c r="K175" s="4"/>
      <c r="U175" s="4"/>
    </row>
    <row r="176" spans="1:35">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4"/>
      <c r="U202" s="4"/>
    </row>
    <row r="203" spans="11:21">
      <c r="K203" s="4"/>
      <c r="U203" s="4"/>
    </row>
    <row r="204" spans="11:21">
      <c r="K204" s="4"/>
      <c r="U204" s="4"/>
    </row>
    <row r="205" spans="11:21">
      <c r="K205" s="4"/>
      <c r="U205" s="4"/>
    </row>
    <row r="206" spans="11:21">
      <c r="K206" s="4"/>
      <c r="U206" s="4"/>
    </row>
    <row r="207" spans="11:21">
      <c r="K207" s="4"/>
      <c r="U207" s="4"/>
    </row>
    <row r="208" spans="11:21">
      <c r="K208" s="4"/>
      <c r="U208" s="4"/>
    </row>
    <row r="209" spans="3:21">
      <c r="K209" s="4"/>
      <c r="U209" s="4"/>
    </row>
    <row r="210" spans="3:21">
      <c r="K210" s="4"/>
      <c r="U210" s="4"/>
    </row>
    <row r="211" spans="3:21">
      <c r="K211" s="4"/>
      <c r="U211" s="4"/>
    </row>
    <row r="212" spans="3:21">
      <c r="K212" s="4"/>
      <c r="U212" s="4"/>
    </row>
    <row r="213" spans="3:21">
      <c r="K213" s="4"/>
      <c r="U213" s="4"/>
    </row>
    <row r="214" spans="3:21">
      <c r="K214" s="6"/>
      <c r="M214" s="10"/>
      <c r="N214" s="10"/>
      <c r="T214" s="103"/>
      <c r="U214" s="6"/>
    </row>
    <row r="215" spans="3:21" ht="15" customHeight="1">
      <c r="K215" s="6"/>
      <c r="M215" s="10"/>
      <c r="N215" s="10"/>
      <c r="T215" s="103"/>
      <c r="U215" s="6"/>
    </row>
    <row r="216" spans="3:21" ht="15" customHeight="1">
      <c r="K216" s="6"/>
      <c r="M216" s="10"/>
      <c r="N216" s="10"/>
      <c r="T216" s="103"/>
      <c r="U216" s="6"/>
    </row>
    <row r="217" spans="3:21" ht="15" customHeight="1">
      <c r="K217" s="6"/>
      <c r="M217" s="10"/>
      <c r="N217" s="10"/>
      <c r="T217" s="103"/>
      <c r="U217" s="6"/>
    </row>
    <row r="218" spans="3:21" ht="15" customHeight="1">
      <c r="K218" s="6"/>
      <c r="M218" s="10"/>
      <c r="N218" s="10"/>
      <c r="T218" s="103"/>
      <c r="U218" s="6"/>
    </row>
    <row r="219" spans="3:21" ht="15" customHeight="1">
      <c r="K219" s="6"/>
      <c r="M219" s="10"/>
      <c r="N219" s="10"/>
      <c r="T219" s="103"/>
      <c r="U219" s="6"/>
    </row>
    <row r="220" spans="3:21" ht="15" customHeight="1">
      <c r="K220" s="6"/>
      <c r="M220" s="10"/>
      <c r="N220" s="10"/>
      <c r="T220" s="103"/>
      <c r="U220" s="6"/>
    </row>
    <row r="221" spans="3:21" ht="15" customHeight="1">
      <c r="K221" s="6"/>
      <c r="M221" s="10"/>
      <c r="N221" s="10"/>
      <c r="T221" s="103"/>
      <c r="U221" s="6"/>
    </row>
    <row r="222" spans="3:21" ht="15" customHeight="1">
      <c r="K222" s="6"/>
      <c r="M222" s="10"/>
      <c r="N222" s="10"/>
      <c r="T222" s="103"/>
      <c r="U222" s="6"/>
    </row>
    <row r="223" spans="3:21">
      <c r="M223" s="10"/>
      <c r="N223" s="10"/>
      <c r="T223" s="103"/>
    </row>
    <row r="224" spans="3:21" ht="15" customHeight="1">
      <c r="C224" s="8"/>
      <c r="F224" s="8"/>
      <c r="J224" s="8"/>
      <c r="M224" s="10"/>
      <c r="N224" s="10"/>
      <c r="T224" s="103"/>
    </row>
    <row r="225" spans="3:20">
      <c r="M225" s="10"/>
      <c r="N225" s="10"/>
      <c r="T225" s="103"/>
    </row>
    <row r="226" spans="3:20" ht="15" customHeight="1">
      <c r="M226" s="10"/>
      <c r="N226" s="10"/>
      <c r="T226" s="103"/>
    </row>
    <row r="227" spans="3:20" ht="15" customHeight="1">
      <c r="C227" s="9"/>
      <c r="F227" s="9"/>
      <c r="M227" s="7"/>
      <c r="N227" s="7"/>
    </row>
    <row r="229" spans="3:20" ht="15" customHeight="1">
      <c r="C229" s="8"/>
      <c r="F229" s="8"/>
    </row>
    <row r="232" spans="3:20" ht="15" customHeight="1">
      <c r="C232" s="9"/>
      <c r="F232" s="9"/>
      <c r="M232" s="7"/>
      <c r="N232" s="7"/>
    </row>
  </sheetData>
  <autoFilter ref="A2:AN2" xr:uid="{97EDC353-A3BB-4027-BC75-3196C26C68C7}">
    <sortState xmlns:xlrd2="http://schemas.microsoft.com/office/spreadsheetml/2017/richdata2" ref="A3:AN161">
      <sortCondition ref="J2"/>
    </sortState>
  </autoFilter>
  <mergeCells count="9">
    <mergeCell ref="AE1:AF1"/>
    <mergeCell ref="AH1:AI1"/>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23">
    <cfRule type="cellIs" dxfId="27" priority="1" operator="greaterThan">
      <formula>500</formula>
    </cfRule>
  </conditionalFormatting>
  <conditionalFormatting sqref="J3:J222">
    <cfRule type="cellIs" dxfId="26" priority="2" operator="lessThan">
      <formula>-100</formula>
    </cfRule>
  </conditionalFormatting>
  <conditionalFormatting sqref="J225:J1048576">
    <cfRule type="cellIs" dxfId="25" priority="19" operator="greaterThan">
      <formula>500</formula>
    </cfRule>
  </conditionalFormatting>
  <conditionalFormatting sqref="K2">
    <cfRule type="cellIs" dxfId="24" priority="20" operator="lessThan">
      <formula>-20%</formula>
    </cfRule>
  </conditionalFormatting>
  <conditionalFormatting sqref="K3:K222">
    <cfRule type="cellIs" dxfId="23" priority="5" operator="greaterThan">
      <formula>0.2</formula>
    </cfRule>
  </conditionalFormatting>
  <conditionalFormatting sqref="K3:K1048576">
    <cfRule type="cellIs" dxfId="22" priority="3" operator="lessThan">
      <formula>-0.2</formula>
    </cfRule>
  </conditionalFormatting>
  <conditionalFormatting sqref="U3:U161 U167:U171 U173:U222">
    <cfRule type="cellIs" dxfId="21" priority="12" operator="greaterThan">
      <formula>0.5</formula>
    </cfRule>
  </conditionalFormatting>
  <conditionalFormatting sqref="AC3:AC156">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67">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L204"/>
  <sheetViews>
    <sheetView zoomScaleNormal="100" workbookViewId="0">
      <pane xSplit="2" ySplit="2" topLeftCell="C3" activePane="bottomRight" state="frozen"/>
      <selection pane="bottomRight" activeCell="AB11" sqref="AB11"/>
      <selection pane="bottomLeft" activeCell="O135" sqref="O135"/>
      <selection pane="topRight" activeCell="O135" sqref="O135"/>
    </sheetView>
  </sheetViews>
  <sheetFormatPr defaultRowHeight="15" customHeight="1"/>
  <cols>
    <col min="1" max="1" width="66" customWidth="1"/>
    <col min="2" max="2" width="14.5703125" customWidth="1"/>
    <col min="3" max="3" width="18.85546875" customWidth="1"/>
    <col min="4" max="4" width="2" customWidth="1"/>
    <col min="5" max="5" width="13" customWidth="1"/>
    <col min="6" max="6" width="16.140625"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99" bestFit="1" customWidth="1"/>
    <col min="22" max="23" width="0.85546875" customWidth="1"/>
    <col min="24" max="24" width="19.140625" hidden="1" customWidth="1"/>
    <col min="25" max="26" width="7" hidden="1" customWidth="1"/>
    <col min="27" max="27" width="7" style="15" hidden="1" customWidth="1"/>
    <col min="28" max="29" width="13.28515625" customWidth="1"/>
    <col min="30" max="30" width="8.28515625" customWidth="1"/>
    <col min="31" max="31" width="3.140625" customWidth="1"/>
    <col min="32" max="32" width="11.140625" customWidth="1"/>
    <col min="33" max="33" width="10.5703125" bestFit="1" customWidth="1"/>
    <col min="34" max="34" width="3.140625" customWidth="1"/>
    <col min="35" max="35" width="11" customWidth="1"/>
    <col min="36" max="36" width="10.85546875" customWidth="1"/>
  </cols>
  <sheetData>
    <row r="1" spans="1:38">
      <c r="B1" s="194">
        <v>46054</v>
      </c>
      <c r="C1" s="195"/>
      <c r="E1" s="194">
        <v>46082</v>
      </c>
      <c r="F1" s="195"/>
      <c r="J1" s="196"/>
      <c r="K1" s="196"/>
      <c r="L1" s="1"/>
      <c r="N1" s="197" t="s">
        <v>0</v>
      </c>
      <c r="O1" s="197"/>
      <c r="Q1" s="141" t="s">
        <v>1</v>
      </c>
      <c r="R1" s="1"/>
      <c r="T1" s="191" t="s">
        <v>2</v>
      </c>
      <c r="U1" s="191"/>
      <c r="X1" s="196" t="s">
        <v>944</v>
      </c>
      <c r="Y1" s="196"/>
      <c r="Z1" s="196"/>
      <c r="AA1" s="196"/>
      <c r="AB1" s="193" t="s">
        <v>3</v>
      </c>
      <c r="AC1" s="193"/>
      <c r="AF1" s="195" t="s">
        <v>4</v>
      </c>
      <c r="AG1" s="195"/>
      <c r="AH1" s="2"/>
      <c r="AI1" s="195" t="s">
        <v>5</v>
      </c>
      <c r="AJ1" s="195"/>
    </row>
    <row r="2" spans="1:38">
      <c r="A2" s="3" t="s">
        <v>6</v>
      </c>
      <c r="B2" s="3" t="s">
        <v>7</v>
      </c>
      <c r="C2" s="3" t="s">
        <v>8</v>
      </c>
      <c r="D2" s="3"/>
      <c r="E2" s="3" t="s">
        <v>7</v>
      </c>
      <c r="F2" s="3" t="s">
        <v>8</v>
      </c>
      <c r="G2" s="3" t="s">
        <v>9</v>
      </c>
      <c r="H2" s="3"/>
      <c r="I2" s="3"/>
      <c r="J2" s="3" t="s">
        <v>10</v>
      </c>
      <c r="K2" s="3" t="s">
        <v>11</v>
      </c>
      <c r="L2" s="3"/>
      <c r="M2" s="3"/>
      <c r="N2" s="3" t="s">
        <v>16</v>
      </c>
      <c r="O2" s="3" t="s">
        <v>17</v>
      </c>
      <c r="P2" s="3"/>
      <c r="Q2" s="32" t="s">
        <v>14</v>
      </c>
      <c r="R2" s="3"/>
      <c r="S2" s="3"/>
      <c r="T2" s="100" t="s">
        <v>15</v>
      </c>
      <c r="U2" s="3" t="s">
        <v>11</v>
      </c>
      <c r="V2" s="3"/>
      <c r="W2" s="3"/>
      <c r="X2" s="3" t="s">
        <v>20</v>
      </c>
      <c r="Y2" s="3" t="s">
        <v>18</v>
      </c>
      <c r="Z2" s="3" t="s">
        <v>1312</v>
      </c>
      <c r="AA2" s="33"/>
      <c r="AB2" s="3" t="s">
        <v>16</v>
      </c>
      <c r="AC2" s="3" t="s">
        <v>17</v>
      </c>
      <c r="AD2" s="3" t="s">
        <v>11</v>
      </c>
      <c r="AE2" s="3"/>
      <c r="AF2" s="3" t="s">
        <v>16</v>
      </c>
      <c r="AG2" s="3" t="s">
        <v>17</v>
      </c>
      <c r="AI2" s="3" t="s">
        <v>16</v>
      </c>
      <c r="AJ2" s="3" t="s">
        <v>17</v>
      </c>
      <c r="AK2" s="3" t="s">
        <v>19</v>
      </c>
      <c r="AL2" t="s">
        <v>21</v>
      </c>
    </row>
    <row r="3" spans="1:38" ht="13.9" customHeight="1">
      <c r="A3" s="39" t="s">
        <v>1313</v>
      </c>
      <c r="B3" s="124" t="s">
        <v>1314</v>
      </c>
      <c r="C3">
        <v>1601</v>
      </c>
      <c r="E3" s="124" t="s">
        <v>1314</v>
      </c>
      <c r="F3">
        <v>505</v>
      </c>
      <c r="G3" t="b">
        <f>IF(B3=E3,TRUE,FALSE)</f>
        <v>1</v>
      </c>
      <c r="J3">
        <f>F3-C3</f>
        <v>-1096</v>
      </c>
      <c r="K3" s="4">
        <f>F3/C3-1</f>
        <v>-0.68457214241099318</v>
      </c>
      <c r="L3" s="4"/>
      <c r="N3" s="5">
        <v>2122.41</v>
      </c>
      <c r="O3" s="5">
        <v>1717.65</v>
      </c>
      <c r="Q3" s="5">
        <v>7301.25</v>
      </c>
      <c r="T3" s="99">
        <f>O3-N3</f>
        <v>-404.75999999999976</v>
      </c>
      <c r="U3" s="4">
        <f>IF(N3=0,0,O3/N3-1)</f>
        <v>-0.19070773319009982</v>
      </c>
      <c r="AB3" s="17">
        <v>28683</v>
      </c>
      <c r="AC3" s="17">
        <v>12617.7</v>
      </c>
      <c r="AD3" s="4">
        <f>AC3/AB3-1</f>
        <v>-0.56009831607572425</v>
      </c>
      <c r="AF3" s="18">
        <v>5494</v>
      </c>
      <c r="AG3" s="18">
        <v>2389</v>
      </c>
      <c r="AI3" s="25">
        <v>0.29160000000000003</v>
      </c>
      <c r="AJ3" s="25">
        <v>0.2114</v>
      </c>
      <c r="AK3" t="s">
        <v>1315</v>
      </c>
    </row>
    <row r="4" spans="1:38" ht="13.9" customHeight="1">
      <c r="A4" s="39" t="s">
        <v>1316</v>
      </c>
      <c r="B4" s="36" t="s">
        <v>1317</v>
      </c>
      <c r="C4">
        <v>1376</v>
      </c>
      <c r="E4" s="36" t="s">
        <v>1317</v>
      </c>
      <c r="F4">
        <v>487</v>
      </c>
      <c r="G4" t="b">
        <f>IF(B4=E4,TRUE,FALSE)</f>
        <v>1</v>
      </c>
      <c r="J4">
        <f>F4-C4</f>
        <v>-889</v>
      </c>
      <c r="K4" s="4">
        <f>F4/C4-1</f>
        <v>-0.64607558139534882</v>
      </c>
      <c r="L4" s="4"/>
      <c r="N4" s="5">
        <v>1318.34</v>
      </c>
      <c r="O4" s="5">
        <v>1254.21</v>
      </c>
      <c r="Q4" s="5">
        <v>4702.22</v>
      </c>
      <c r="T4" s="99">
        <f>O4-N4</f>
        <v>-64.129999999999882</v>
      </c>
      <c r="U4" s="4">
        <f>IF(N4=0,0,O4/N4-1)</f>
        <v>-4.8644507486687694E-2</v>
      </c>
      <c r="AB4" s="17">
        <v>33957.64</v>
      </c>
      <c r="AC4" s="17">
        <v>14604.53</v>
      </c>
      <c r="AD4" s="4"/>
      <c r="AF4" s="18">
        <v>5986</v>
      </c>
      <c r="AG4" s="18">
        <v>2976</v>
      </c>
      <c r="AI4" s="25">
        <v>0.22989999999999999</v>
      </c>
      <c r="AJ4" s="25">
        <v>0.1636</v>
      </c>
    </row>
    <row r="5" spans="1:38" ht="13.9" customHeight="1">
      <c r="A5" s="40" t="s">
        <v>1318</v>
      </c>
      <c r="B5" s="36" t="s">
        <v>1319</v>
      </c>
      <c r="C5">
        <v>978</v>
      </c>
      <c r="E5" s="36" t="s">
        <v>1319</v>
      </c>
      <c r="F5">
        <v>564</v>
      </c>
      <c r="G5" t="b">
        <f>IF(B5=E5,TRUE,FALSE)</f>
        <v>1</v>
      </c>
      <c r="J5">
        <f>F5-C5</f>
        <v>-414</v>
      </c>
      <c r="K5" s="4">
        <f>F5/C5-1</f>
        <v>-0.42331288343558282</v>
      </c>
      <c r="L5" s="4"/>
      <c r="N5" s="5">
        <v>1453.32</v>
      </c>
      <c r="O5" s="5">
        <v>850.55</v>
      </c>
      <c r="Q5" s="5">
        <v>3318.35</v>
      </c>
      <c r="T5" s="99">
        <f>O5-N5</f>
        <v>-602.77</v>
      </c>
      <c r="U5" s="4">
        <f>IF(N5=0,0,O5/N5-1)</f>
        <v>-0.41475380508078052</v>
      </c>
      <c r="AB5" s="17">
        <v>14242.17</v>
      </c>
      <c r="AC5" s="17">
        <v>9581.85</v>
      </c>
      <c r="AD5" s="4">
        <f>AC5/AB5-1</f>
        <v>-0.32721979866832085</v>
      </c>
      <c r="AF5" s="18">
        <v>3798</v>
      </c>
      <c r="AG5" s="18">
        <v>2195</v>
      </c>
      <c r="AI5" s="25">
        <v>0.25800000000000001</v>
      </c>
      <c r="AJ5" s="25">
        <v>0.25690000000000002</v>
      </c>
    </row>
    <row r="6" spans="1:38" ht="13.9" customHeight="1">
      <c r="A6" s="40" t="s">
        <v>1320</v>
      </c>
      <c r="B6" s="36" t="s">
        <v>1321</v>
      </c>
      <c r="C6">
        <v>1989</v>
      </c>
      <c r="E6" s="36" t="s">
        <v>1321</v>
      </c>
      <c r="F6">
        <v>1672</v>
      </c>
      <c r="G6" t="b">
        <f>IF(B6=E6,TRUE,FALSE)</f>
        <v>1</v>
      </c>
      <c r="J6">
        <f>F6-C6</f>
        <v>-317</v>
      </c>
      <c r="K6" s="4">
        <f>F6/C6-1</f>
        <v>-0.15937657114127701</v>
      </c>
      <c r="L6" s="4"/>
      <c r="N6" s="5">
        <v>2772.58</v>
      </c>
      <c r="O6" s="5">
        <v>2804.15</v>
      </c>
      <c r="Q6" s="5">
        <v>11606.97</v>
      </c>
      <c r="T6" s="99">
        <f>O6-N6</f>
        <v>31.570000000000164</v>
      </c>
      <c r="U6" s="4">
        <f>IF(N7=0,0,O6/N7-1)</f>
        <v>0.24326637020221975</v>
      </c>
      <c r="AB6" s="17">
        <v>41083.71</v>
      </c>
      <c r="AC6" s="17">
        <v>37658.1</v>
      </c>
      <c r="AD6" s="4">
        <f>AC6/AB6-1</f>
        <v>-8.3381223360791901E-2</v>
      </c>
      <c r="AF6" s="18">
        <v>13394</v>
      </c>
      <c r="AG6" s="18">
        <v>9466</v>
      </c>
      <c r="AI6" s="25">
        <v>0.14859999999999998</v>
      </c>
      <c r="AJ6" s="25">
        <v>0.1759</v>
      </c>
    </row>
    <row r="7" spans="1:38" ht="13.9" customHeight="1">
      <c r="A7" s="39" t="s">
        <v>1155</v>
      </c>
      <c r="B7" s="36" t="s">
        <v>1322</v>
      </c>
      <c r="C7">
        <v>1799</v>
      </c>
      <c r="E7" s="36" t="s">
        <v>1322</v>
      </c>
      <c r="F7">
        <v>1494</v>
      </c>
      <c r="G7" t="b">
        <f>IF(B7=E7,TRUE,FALSE)</f>
        <v>1</v>
      </c>
      <c r="J7">
        <f>F7-C7</f>
        <v>-305</v>
      </c>
      <c r="K7" s="4">
        <f>F7/C7-1</f>
        <v>-0.16953863257365198</v>
      </c>
      <c r="L7" s="4"/>
      <c r="N7" s="5">
        <v>2255.4699999999998</v>
      </c>
      <c r="O7" s="5">
        <v>2912.24</v>
      </c>
      <c r="Q7" s="5">
        <v>16397.63</v>
      </c>
      <c r="T7" s="99">
        <f>O7-N7</f>
        <v>656.77</v>
      </c>
      <c r="U7" s="4">
        <f>IF(N7=0,0,O7/N7-1)</f>
        <v>0.29118986286671955</v>
      </c>
      <c r="AB7" s="17">
        <v>26194.03</v>
      </c>
      <c r="AC7" s="17">
        <v>24088.27</v>
      </c>
      <c r="AD7" s="4">
        <f>AC7/AB7-1</f>
        <v>-8.0390837148770156E-2</v>
      </c>
      <c r="AF7" s="18">
        <v>6297</v>
      </c>
      <c r="AG7" s="18">
        <v>5239</v>
      </c>
      <c r="AI7" s="25">
        <v>0.28620000000000001</v>
      </c>
      <c r="AJ7" s="25">
        <v>0.28420000000000001</v>
      </c>
    </row>
    <row r="8" spans="1:38" ht="13.9" customHeight="1">
      <c r="A8" s="39" t="s">
        <v>1323</v>
      </c>
      <c r="B8" s="36" t="s">
        <v>1324</v>
      </c>
      <c r="C8">
        <v>992</v>
      </c>
      <c r="E8" s="36" t="s">
        <v>1324</v>
      </c>
      <c r="F8">
        <v>694</v>
      </c>
      <c r="G8" t="b">
        <f>IF(B8=E8,TRUE,FALSE)</f>
        <v>1</v>
      </c>
      <c r="J8">
        <f>F8-C8</f>
        <v>-298</v>
      </c>
      <c r="K8" s="4">
        <f>F8/C8-1</f>
        <v>-0.30040322580645162</v>
      </c>
      <c r="L8" s="4"/>
      <c r="N8" s="5">
        <v>1237.26</v>
      </c>
      <c r="O8" s="5">
        <v>611.66999999999996</v>
      </c>
      <c r="Q8" s="5">
        <v>3319.63</v>
      </c>
      <c r="T8" s="99">
        <f>O8-N8</f>
        <v>-625.59</v>
      </c>
      <c r="U8" s="4">
        <f>IF(N8=0,0,O8/N8-1)</f>
        <v>-0.50562533339799232</v>
      </c>
      <c r="AB8" s="17">
        <v>20032.48</v>
      </c>
      <c r="AC8" s="17">
        <v>16266.74</v>
      </c>
      <c r="AD8" s="4">
        <f>AC8/AB8-1</f>
        <v>-0.18798171769047067</v>
      </c>
      <c r="AF8" s="18">
        <v>4720</v>
      </c>
      <c r="AG8" s="18">
        <v>3198</v>
      </c>
      <c r="AI8" s="25">
        <v>0.2104</v>
      </c>
      <c r="AJ8" s="25">
        <v>0.2167</v>
      </c>
    </row>
    <row r="9" spans="1:38" ht="13.9" customHeight="1">
      <c r="A9" s="39" t="s">
        <v>1325</v>
      </c>
      <c r="B9" t="s">
        <v>1326</v>
      </c>
      <c r="C9">
        <v>4506</v>
      </c>
      <c r="E9" t="s">
        <v>1326</v>
      </c>
      <c r="F9">
        <v>4246</v>
      </c>
      <c r="G9" t="b">
        <f>IF(B9=E9,TRUE,FALSE)</f>
        <v>1</v>
      </c>
      <c r="J9">
        <f>F9-C9</f>
        <v>-260</v>
      </c>
      <c r="K9" s="4">
        <f>F9/C9-1</f>
        <v>-5.7700843320017792E-2</v>
      </c>
      <c r="L9" s="4"/>
      <c r="N9" s="5">
        <v>7557.34</v>
      </c>
      <c r="O9" s="5">
        <v>7843.72</v>
      </c>
      <c r="Q9" s="5">
        <v>57307.6</v>
      </c>
      <c r="T9" s="99">
        <f>O9-N9</f>
        <v>286.38000000000011</v>
      </c>
      <c r="U9" s="4">
        <f>IF(N9=0,0,O9/N9-1)</f>
        <v>3.7894285555499785E-2</v>
      </c>
      <c r="AB9" s="17">
        <v>135098.94</v>
      </c>
      <c r="AC9" s="17">
        <v>127153.39</v>
      </c>
      <c r="AD9" s="4">
        <f>AC9/AB9-1</f>
        <v>-5.8812822661672981E-2</v>
      </c>
      <c r="AF9" s="18">
        <v>13775</v>
      </c>
      <c r="AG9" s="18">
        <v>13454</v>
      </c>
      <c r="AI9" s="25">
        <v>0.32729999999999998</v>
      </c>
      <c r="AJ9" s="25">
        <v>0.314</v>
      </c>
      <c r="AK9" t="s">
        <v>1327</v>
      </c>
    </row>
    <row r="10" spans="1:38" ht="13.9" customHeight="1">
      <c r="A10" s="125" t="s">
        <v>1328</v>
      </c>
      <c r="B10" s="36" t="s">
        <v>1329</v>
      </c>
      <c r="C10">
        <v>805</v>
      </c>
      <c r="E10" s="36" t="s">
        <v>1329</v>
      </c>
      <c r="F10">
        <v>564</v>
      </c>
      <c r="G10" t="b">
        <f>IF(B10=E10,TRUE,FALSE)</f>
        <v>1</v>
      </c>
      <c r="J10">
        <f>F10-C10</f>
        <v>-241</v>
      </c>
      <c r="K10" s="4">
        <f>F10/C10-1</f>
        <v>-0.29937888198757767</v>
      </c>
      <c r="L10" s="4"/>
      <c r="N10" s="5">
        <v>1748.29</v>
      </c>
      <c r="O10" s="5">
        <v>1731.46</v>
      </c>
      <c r="Q10" s="5">
        <v>5794.69</v>
      </c>
      <c r="T10" s="99">
        <f>O10-N10</f>
        <v>-16.829999999999927</v>
      </c>
      <c r="U10" s="4">
        <f>IF(N10=0,0,O10/N10-1)</f>
        <v>-9.6265493710997463E-3</v>
      </c>
      <c r="AB10" s="17">
        <v>12198.35</v>
      </c>
      <c r="AC10" s="17">
        <v>9511.75</v>
      </c>
      <c r="AD10" s="4">
        <f>AC10/AB10-1</f>
        <v>-0.22024290170391903</v>
      </c>
      <c r="AF10" s="18">
        <v>4012</v>
      </c>
      <c r="AG10" s="18">
        <v>3190</v>
      </c>
      <c r="AI10" s="25">
        <v>0.2006</v>
      </c>
      <c r="AJ10" s="25">
        <v>0.17679999999999998</v>
      </c>
    </row>
    <row r="11" spans="1:38" ht="13.9" customHeight="1">
      <c r="A11" s="125" t="s">
        <v>1330</v>
      </c>
      <c r="B11" s="36" t="s">
        <v>1331</v>
      </c>
      <c r="C11">
        <v>429</v>
      </c>
      <c r="E11" s="36" t="s">
        <v>1331</v>
      </c>
      <c r="F11">
        <v>248</v>
      </c>
      <c r="G11" t="b">
        <f>IF(B11=E11,TRUE,FALSE)</f>
        <v>1</v>
      </c>
      <c r="J11">
        <f>F11-C11</f>
        <v>-181</v>
      </c>
      <c r="K11" s="4">
        <f>F11/C11-1</f>
        <v>-0.42191142191142195</v>
      </c>
      <c r="L11" s="4"/>
      <c r="N11" s="5">
        <v>1428.15</v>
      </c>
      <c r="O11" s="5">
        <v>1358.06</v>
      </c>
      <c r="Q11" s="5">
        <v>3356.34</v>
      </c>
      <c r="T11" s="99">
        <f>O11-N11</f>
        <v>-70.090000000000146</v>
      </c>
      <c r="U11" s="4">
        <f>IF(N11=0,0,O11/N11-1)</f>
        <v>-4.9077477855967611E-2</v>
      </c>
      <c r="AB11" s="17">
        <v>6461.7199999999993</v>
      </c>
      <c r="AC11" s="17">
        <v>4957.32</v>
      </c>
      <c r="AD11" s="4">
        <f>AC11/AB11-1</f>
        <v>-0.23281726846721917</v>
      </c>
      <c r="AF11" s="18">
        <v>2845</v>
      </c>
      <c r="AG11" s="18">
        <v>2625</v>
      </c>
      <c r="AI11" s="25">
        <v>0.15179999999999999</v>
      </c>
      <c r="AJ11" s="25">
        <v>9.4100000000000003E-2</v>
      </c>
    </row>
    <row r="12" spans="1:38" ht="13.9" customHeight="1">
      <c r="A12" t="s">
        <v>1332</v>
      </c>
      <c r="B12" t="s">
        <v>1333</v>
      </c>
      <c r="C12">
        <v>273</v>
      </c>
      <c r="E12" t="s">
        <v>1333</v>
      </c>
      <c r="F12">
        <v>148</v>
      </c>
      <c r="G12" t="b">
        <f>IF(B12=E12,TRUE,FALSE)</f>
        <v>1</v>
      </c>
      <c r="J12">
        <f>F12-C12</f>
        <v>-125</v>
      </c>
      <c r="K12" s="4">
        <f>F12/C12-1</f>
        <v>-0.45787545787545791</v>
      </c>
      <c r="L12" s="4"/>
      <c r="N12" s="5">
        <v>525.30999999999995</v>
      </c>
      <c r="O12" s="5">
        <v>239.01</v>
      </c>
      <c r="Q12" s="5">
        <v>1084.0999999999999</v>
      </c>
      <c r="T12" s="99">
        <f>O12-N12</f>
        <v>-286.29999999999995</v>
      </c>
      <c r="U12" s="4">
        <f>IF(N12=0,0,O12/N12-1)</f>
        <v>-0.54501151700900419</v>
      </c>
      <c r="AB12" s="17">
        <v>8114.35</v>
      </c>
      <c r="AC12" s="17">
        <v>4400.8500000000004</v>
      </c>
      <c r="AD12" s="4">
        <f>AC12/AB12-1</f>
        <v>-0.45764602217059902</v>
      </c>
      <c r="AF12" s="18">
        <v>1065</v>
      </c>
      <c r="AG12" s="18">
        <v>713</v>
      </c>
      <c r="AI12" s="25">
        <v>0.25629999999999997</v>
      </c>
      <c r="AJ12" s="25">
        <v>0.20760000000000001</v>
      </c>
    </row>
    <row r="13" spans="1:38" ht="13.9" customHeight="1">
      <c r="A13" s="127" t="s">
        <v>1334</v>
      </c>
      <c r="B13" s="127" t="s">
        <v>1335</v>
      </c>
      <c r="C13">
        <v>838</v>
      </c>
      <c r="E13" s="127" t="s">
        <v>1335</v>
      </c>
      <c r="F13">
        <v>770</v>
      </c>
      <c r="G13" t="b">
        <f>IF(B13=E13,TRUE,FALSE)</f>
        <v>1</v>
      </c>
      <c r="J13">
        <f>F13-C13</f>
        <v>-68</v>
      </c>
      <c r="K13" s="4">
        <f>F13/C13-1</f>
        <v>-8.1145584725537012E-2</v>
      </c>
      <c r="L13" s="4"/>
      <c r="N13" s="5">
        <v>1870.14</v>
      </c>
      <c r="O13" s="5">
        <v>2071.19</v>
      </c>
      <c r="Q13" s="5">
        <v>10631.22</v>
      </c>
      <c r="T13" s="99">
        <f>O13-N13</f>
        <v>201.04999999999995</v>
      </c>
      <c r="U13" s="4">
        <f>IF(N13=0,0,O13/N13-1)</f>
        <v>0.107505320457292</v>
      </c>
      <c r="AB13" s="17">
        <v>16470.37</v>
      </c>
      <c r="AC13" s="17">
        <v>16577.05</v>
      </c>
      <c r="AD13" s="4">
        <f>AC13/AB13-1</f>
        <v>6.477085821387174E-3</v>
      </c>
      <c r="AF13" s="18">
        <v>4669</v>
      </c>
      <c r="AG13" s="18">
        <v>3835</v>
      </c>
      <c r="AI13" s="25">
        <v>0.1797</v>
      </c>
      <c r="AJ13" s="25">
        <v>0.2</v>
      </c>
    </row>
    <row r="14" spans="1:38" ht="13.9" customHeight="1">
      <c r="A14" t="s">
        <v>1336</v>
      </c>
      <c r="B14" t="s">
        <v>1337</v>
      </c>
      <c r="C14">
        <v>671</v>
      </c>
      <c r="E14" t="s">
        <v>1337</v>
      </c>
      <c r="F14">
        <v>628</v>
      </c>
      <c r="G14" t="b">
        <f>IF(B14=E14,TRUE,FALSE)</f>
        <v>1</v>
      </c>
      <c r="J14">
        <f>F14-C14</f>
        <v>-43</v>
      </c>
      <c r="K14" s="4">
        <f>F14/C14-1</f>
        <v>-6.4083457526080467E-2</v>
      </c>
      <c r="L14" s="4"/>
      <c r="N14" s="5">
        <v>1124.75</v>
      </c>
      <c r="O14" s="5">
        <v>1189.26</v>
      </c>
      <c r="Q14" s="5">
        <v>7772.93</v>
      </c>
      <c r="T14" s="99">
        <f>O14-N14</f>
        <v>64.509999999999991</v>
      </c>
      <c r="U14" s="4">
        <f>IF(N14=0,0,O14/N14-1)</f>
        <v>5.7354967770615772E-2</v>
      </c>
      <c r="X14" t="s">
        <v>1338</v>
      </c>
      <c r="AB14" s="17">
        <v>16089.85</v>
      </c>
      <c r="AC14" s="17">
        <v>15057.56</v>
      </c>
      <c r="AD14" s="4">
        <f>AC14/AB14-1</f>
        <v>-6.4157838637401876E-2</v>
      </c>
      <c r="AF14" s="18">
        <v>1574</v>
      </c>
      <c r="AG14" s="18">
        <v>1395</v>
      </c>
      <c r="AI14" s="25">
        <v>0.42570000000000002</v>
      </c>
      <c r="AJ14" s="25">
        <v>0.44729999999999998</v>
      </c>
    </row>
    <row r="15" spans="1:38" ht="13.9" customHeight="1">
      <c r="A15" t="s">
        <v>1339</v>
      </c>
      <c r="B15" t="s">
        <v>1340</v>
      </c>
      <c r="C15">
        <v>917</v>
      </c>
      <c r="E15" t="s">
        <v>1340</v>
      </c>
      <c r="F15">
        <v>883</v>
      </c>
      <c r="G15" t="b">
        <f>IF(B15=E15,TRUE,FALSE)</f>
        <v>1</v>
      </c>
      <c r="J15">
        <f>F15-C15</f>
        <v>-34</v>
      </c>
      <c r="K15" s="4">
        <f>F15/C15-1</f>
        <v>-3.7077426390403456E-2</v>
      </c>
      <c r="N15" s="5">
        <v>474.48</v>
      </c>
      <c r="O15" s="5">
        <v>413.18</v>
      </c>
      <c r="Q15" s="5">
        <v>2582.79</v>
      </c>
      <c r="T15" s="99">
        <f>O15-N15</f>
        <v>-61.300000000000011</v>
      </c>
      <c r="U15" s="4">
        <f>IF(N15=0,0,O15/N15-1)</f>
        <v>-0.12919406508177378</v>
      </c>
      <c r="X15" s="5"/>
      <c r="Y15" s="5"/>
      <c r="Z15" s="5"/>
      <c r="AA15" s="16"/>
      <c r="AB15" s="17">
        <v>20122.55</v>
      </c>
      <c r="AC15" s="17">
        <v>19414.310000000001</v>
      </c>
      <c r="AD15" s="4">
        <f>AC15/AB15-1</f>
        <v>-3.5196334460592671E-2</v>
      </c>
      <c r="AF15" s="18">
        <v>2441</v>
      </c>
      <c r="AG15" s="18">
        <v>2163</v>
      </c>
      <c r="AI15" s="25">
        <v>0.37770000000000004</v>
      </c>
      <c r="AJ15" s="25">
        <v>0.40409999999999996</v>
      </c>
    </row>
    <row r="16" spans="1:38" ht="13.9" customHeight="1">
      <c r="A16" t="s">
        <v>1341</v>
      </c>
      <c r="B16" t="s">
        <v>1342</v>
      </c>
      <c r="C16">
        <v>178</v>
      </c>
      <c r="E16" t="s">
        <v>1342</v>
      </c>
      <c r="F16">
        <v>149</v>
      </c>
      <c r="G16" t="b">
        <f>IF(B16=E16,TRUE,FALSE)</f>
        <v>1</v>
      </c>
      <c r="J16">
        <f>F16-C16</f>
        <v>-29</v>
      </c>
      <c r="K16" s="4">
        <f>F16/C16-1</f>
        <v>-0.1629213483146067</v>
      </c>
      <c r="L16" s="4"/>
      <c r="N16" s="5">
        <v>79.37</v>
      </c>
      <c r="O16" s="5">
        <v>127.53</v>
      </c>
      <c r="Q16" s="5">
        <v>785.49</v>
      </c>
      <c r="T16" s="99">
        <f>O16-N16</f>
        <v>48.16</v>
      </c>
      <c r="U16" s="4">
        <f>IF(N16=0,0,O16/N16-1)</f>
        <v>0.60677837974045601</v>
      </c>
      <c r="AB16" s="17">
        <v>3760.3599999999997</v>
      </c>
      <c r="AC16" s="17">
        <v>3270.55</v>
      </c>
      <c r="AD16" s="4">
        <f>AC16/AB16-1</f>
        <v>-0.13025614568817867</v>
      </c>
      <c r="AF16" s="18">
        <v>485</v>
      </c>
      <c r="AG16" s="18">
        <v>518</v>
      </c>
      <c r="AI16" s="25">
        <v>0.16289999999999999</v>
      </c>
      <c r="AJ16" s="25">
        <v>0.2838</v>
      </c>
    </row>
    <row r="17" spans="1:36" ht="13.9" customHeight="1">
      <c r="A17" t="s">
        <v>1343</v>
      </c>
      <c r="B17" t="s">
        <v>1344</v>
      </c>
      <c r="C17">
        <v>86</v>
      </c>
      <c r="E17" t="s">
        <v>1344</v>
      </c>
      <c r="F17">
        <v>70</v>
      </c>
      <c r="G17" t="b">
        <f>IF(B17=E17,TRUE,FALSE)</f>
        <v>1</v>
      </c>
      <c r="J17">
        <f>F17-C17</f>
        <v>-16</v>
      </c>
      <c r="K17" s="4">
        <f>F17/C17-1</f>
        <v>-0.18604651162790697</v>
      </c>
      <c r="L17" s="4"/>
      <c r="N17" s="5">
        <v>475.26</v>
      </c>
      <c r="O17" s="5">
        <v>413.53</v>
      </c>
      <c r="Q17" s="5">
        <v>1813.97</v>
      </c>
      <c r="T17" s="99">
        <f>O17-N17</f>
        <v>-61.730000000000018</v>
      </c>
      <c r="U17" s="4">
        <f>IF(N17=0,0,O17/N17-1)</f>
        <v>-0.12988679880486476</v>
      </c>
      <c r="AB17" s="17">
        <v>1846.14</v>
      </c>
      <c r="AC17" s="17">
        <v>1444.55</v>
      </c>
      <c r="AD17" s="4">
        <f>AC17/AB17-1</f>
        <v>-0.21752954813827774</v>
      </c>
      <c r="AF17" s="18">
        <v>805</v>
      </c>
      <c r="AG17" s="18">
        <v>614</v>
      </c>
      <c r="AI17" s="25">
        <v>0.10679999999999999</v>
      </c>
      <c r="AJ17" s="25">
        <v>0.114</v>
      </c>
    </row>
    <row r="18" spans="1:36" ht="13.9" customHeight="1">
      <c r="A18" t="s">
        <v>1345</v>
      </c>
      <c r="B18" t="s">
        <v>1346</v>
      </c>
      <c r="C18">
        <v>867</v>
      </c>
      <c r="E18" t="s">
        <v>1346</v>
      </c>
      <c r="F18">
        <v>853</v>
      </c>
      <c r="G18" t="b">
        <f>IF(B18=E18,TRUE,FALSE)</f>
        <v>1</v>
      </c>
      <c r="J18">
        <f>F18-C18</f>
        <v>-14</v>
      </c>
      <c r="K18" s="4">
        <f>F18/C18-1</f>
        <v>-1.6147635524798143E-2</v>
      </c>
      <c r="L18" s="4"/>
      <c r="N18" s="5">
        <v>1824.28</v>
      </c>
      <c r="O18" s="5">
        <v>1809.44</v>
      </c>
      <c r="Q18" s="5">
        <v>10139.299999999999</v>
      </c>
      <c r="T18" s="99">
        <f>O18-N18</f>
        <v>-14.839999999999918</v>
      </c>
      <c r="U18" s="4">
        <f>IF(N18=0,0,O18/N18-1)</f>
        <v>-8.1347161619926833E-3</v>
      </c>
      <c r="AB18" s="17">
        <v>20791.650000000001</v>
      </c>
      <c r="AC18" s="17">
        <v>20474.5</v>
      </c>
      <c r="AD18" s="4">
        <f>AC18/AB18-1</f>
        <v>-1.5253719642260299E-2</v>
      </c>
      <c r="AF18" s="18">
        <v>3169</v>
      </c>
      <c r="AG18" s="18">
        <v>3042</v>
      </c>
      <c r="AI18" s="25">
        <v>0.27360000000000001</v>
      </c>
      <c r="AJ18" s="25">
        <v>0.27940000000000004</v>
      </c>
    </row>
    <row r="19" spans="1:36" ht="13.9" customHeight="1">
      <c r="A19" t="s">
        <v>1347</v>
      </c>
      <c r="B19" t="s">
        <v>1348</v>
      </c>
      <c r="C19">
        <v>7</v>
      </c>
      <c r="E19" t="s">
        <v>1348</v>
      </c>
      <c r="F19">
        <v>3</v>
      </c>
      <c r="G19" t="b">
        <f>IF(B19=E19,TRUE,FALSE)</f>
        <v>1</v>
      </c>
      <c r="J19">
        <f>F19-C19</f>
        <v>-4</v>
      </c>
      <c r="K19" s="4">
        <f>F19/C19-1</f>
        <v>-0.5714285714285714</v>
      </c>
      <c r="L19" s="4"/>
      <c r="N19" s="5">
        <v>0</v>
      </c>
      <c r="O19" s="5">
        <v>0</v>
      </c>
      <c r="Q19" s="5">
        <v>0</v>
      </c>
      <c r="T19" s="99">
        <f>O19-N19</f>
        <v>0</v>
      </c>
      <c r="U19" s="4">
        <f>IF(N19=0,0,O19/N19-1)</f>
        <v>0</v>
      </c>
      <c r="AB19" s="17">
        <v>139.65</v>
      </c>
      <c r="AC19" s="17">
        <v>59.85</v>
      </c>
      <c r="AD19" s="4">
        <f>AC19/AB19-1</f>
        <v>-0.5714285714285714</v>
      </c>
      <c r="AF19" s="18">
        <v>21</v>
      </c>
      <c r="AG19" s="18">
        <v>7</v>
      </c>
      <c r="AI19" s="25">
        <v>0.33329999999999999</v>
      </c>
      <c r="AJ19" s="25">
        <v>0.42859999999999998</v>
      </c>
    </row>
    <row r="20" spans="1:36" ht="13.9" customHeight="1">
      <c r="A20" t="s">
        <v>1349</v>
      </c>
      <c r="B20" t="s">
        <v>1350</v>
      </c>
      <c r="C20">
        <v>4</v>
      </c>
      <c r="E20" t="s">
        <v>1350</v>
      </c>
      <c r="F20">
        <v>1</v>
      </c>
      <c r="G20" t="b">
        <f>IF(B20=E20,TRUE,FALSE)</f>
        <v>1</v>
      </c>
      <c r="J20">
        <f>F20-C20</f>
        <v>-3</v>
      </c>
      <c r="K20" s="4">
        <f>F20/C20-1</f>
        <v>-0.75</v>
      </c>
      <c r="L20" s="4"/>
      <c r="N20" s="5">
        <v>4.82</v>
      </c>
      <c r="O20" s="5">
        <v>0</v>
      </c>
      <c r="Q20" s="5">
        <v>0</v>
      </c>
      <c r="T20" s="99">
        <f>O20-N20</f>
        <v>-4.82</v>
      </c>
      <c r="U20" s="4">
        <f>IF(N20=0,0,O20/N20-1)</f>
        <v>-1</v>
      </c>
      <c r="AB20" s="17">
        <v>87.96</v>
      </c>
      <c r="AC20" s="17">
        <v>21.99</v>
      </c>
      <c r="AD20" s="4">
        <f>AC20/AB20-1</f>
        <v>-0.75</v>
      </c>
      <c r="AF20" s="18">
        <v>33</v>
      </c>
      <c r="AG20" s="18">
        <v>41</v>
      </c>
      <c r="AI20" s="25">
        <v>0.12119999999999999</v>
      </c>
      <c r="AJ20" s="25">
        <v>2.4399999999999998E-2</v>
      </c>
    </row>
    <row r="21" spans="1:36" ht="13.9" customHeight="1">
      <c r="A21" t="s">
        <v>1351</v>
      </c>
      <c r="B21" t="s">
        <v>1352</v>
      </c>
      <c r="C21">
        <v>140</v>
      </c>
      <c r="E21" t="s">
        <v>1352</v>
      </c>
      <c r="F21">
        <v>137</v>
      </c>
      <c r="G21" t="b">
        <f>IF(B21=E21,TRUE,FALSE)</f>
        <v>1</v>
      </c>
      <c r="J21">
        <f>F21-C21</f>
        <v>-3</v>
      </c>
      <c r="K21" s="4">
        <f>F21/C21-1</f>
        <v>-2.1428571428571463E-2</v>
      </c>
      <c r="L21" s="4"/>
      <c r="N21" s="5">
        <v>1792.21</v>
      </c>
      <c r="O21" s="5">
        <v>1668.53</v>
      </c>
      <c r="Q21" s="5">
        <v>6487.75</v>
      </c>
      <c r="T21" s="99">
        <f>O21-N21</f>
        <v>-123.68000000000006</v>
      </c>
      <c r="U21" s="4">
        <f>IF(N21=0,0,O21/N21-1)</f>
        <v>-6.9009770060428188E-2</v>
      </c>
      <c r="AB21" s="17">
        <v>2298.6</v>
      </c>
      <c r="AC21" s="17">
        <v>2444.0300000000002</v>
      </c>
      <c r="AD21" s="4">
        <f>AC21/AB21-1</f>
        <v>6.3268946315148566E-2</v>
      </c>
      <c r="AF21" s="18">
        <v>2479</v>
      </c>
      <c r="AG21" s="18">
        <v>2528</v>
      </c>
      <c r="AI21" s="25">
        <v>5.6500000000000002E-2</v>
      </c>
      <c r="AJ21" s="25">
        <v>5.4199999999999998E-2</v>
      </c>
    </row>
    <row r="22" spans="1:36" ht="13.9" customHeight="1">
      <c r="A22" t="s">
        <v>1353</v>
      </c>
      <c r="B22" t="s">
        <v>1354</v>
      </c>
      <c r="C22">
        <v>1</v>
      </c>
      <c r="E22" t="s">
        <v>1354</v>
      </c>
      <c r="F22">
        <v>0</v>
      </c>
      <c r="G22" t="b">
        <f>IF(B22=E22,TRUE,FALSE)</f>
        <v>1</v>
      </c>
      <c r="J22">
        <f>F22-C22</f>
        <v>-1</v>
      </c>
      <c r="K22" s="4">
        <f>F22/C22-1</f>
        <v>-1</v>
      </c>
      <c r="L22" s="4"/>
      <c r="N22" s="5">
        <v>0</v>
      </c>
      <c r="O22" s="5">
        <v>0</v>
      </c>
      <c r="Q22" s="5">
        <v>0</v>
      </c>
      <c r="T22" s="99">
        <f>O22-N22</f>
        <v>0</v>
      </c>
      <c r="U22" s="4">
        <f>IF(N22=0,0,O22/N22-1)</f>
        <v>0</v>
      </c>
      <c r="AB22" s="17">
        <v>9.99</v>
      </c>
      <c r="AC22" s="17">
        <v>0</v>
      </c>
      <c r="AD22" s="4">
        <f>AC22/AB22-1</f>
        <v>-1</v>
      </c>
      <c r="AF22" s="18">
        <v>18</v>
      </c>
      <c r="AG22" s="18">
        <v>0</v>
      </c>
      <c r="AI22" s="25">
        <v>5.5599999999999997E-2</v>
      </c>
      <c r="AJ22" s="25">
        <v>0</v>
      </c>
    </row>
    <row r="23" spans="1:36" ht="13.9" customHeight="1">
      <c r="A23" t="s">
        <v>1355</v>
      </c>
      <c r="B23" t="s">
        <v>1356</v>
      </c>
      <c r="C23">
        <v>1</v>
      </c>
      <c r="E23" t="s">
        <v>1356</v>
      </c>
      <c r="F23">
        <v>0</v>
      </c>
      <c r="G23" t="b">
        <f>IF(B23=E23,TRUE,FALSE)</f>
        <v>1</v>
      </c>
      <c r="J23">
        <f>F23-C23</f>
        <v>-1</v>
      </c>
      <c r="K23" s="4">
        <f>F23/C23-1</f>
        <v>-1</v>
      </c>
      <c r="N23" s="5">
        <v>0</v>
      </c>
      <c r="O23" s="5">
        <v>0</v>
      </c>
      <c r="Q23" s="5">
        <v>0</v>
      </c>
      <c r="T23" s="99">
        <f>O23-N23</f>
        <v>0</v>
      </c>
      <c r="U23" s="4">
        <f>IF(N23=0,0,O23/N23-1)</f>
        <v>0</v>
      </c>
      <c r="AB23" s="17">
        <v>19.989999999999998</v>
      </c>
      <c r="AC23" s="17">
        <v>0</v>
      </c>
      <c r="AD23" s="4">
        <f>AC23/AB23-1</f>
        <v>-1</v>
      </c>
      <c r="AF23" s="18">
        <v>7</v>
      </c>
      <c r="AG23" s="18" t="e">
        <v>#N/A</v>
      </c>
      <c r="AI23" s="25">
        <v>0.1429</v>
      </c>
      <c r="AJ23" s="25" t="e">
        <v>#N/A</v>
      </c>
    </row>
    <row r="24" spans="1:36" ht="13.9" customHeight="1">
      <c r="A24" s="126" t="s">
        <v>1357</v>
      </c>
      <c r="B24" s="26" t="s">
        <v>1358</v>
      </c>
      <c r="C24">
        <v>0</v>
      </c>
      <c r="E24" s="26" t="s">
        <v>1358</v>
      </c>
      <c r="F24">
        <v>0</v>
      </c>
      <c r="G24" t="b">
        <f>IF(B24=E24,TRUE,FALSE)</f>
        <v>1</v>
      </c>
      <c r="J24">
        <f>F24-C24</f>
        <v>0</v>
      </c>
      <c r="K24" s="4" t="e">
        <f>F24/C24-1</f>
        <v>#DIV/0!</v>
      </c>
      <c r="L24" s="4"/>
      <c r="N24" s="5">
        <v>0</v>
      </c>
      <c r="O24" s="5">
        <v>0</v>
      </c>
      <c r="Q24" s="5">
        <v>0</v>
      </c>
      <c r="T24" s="99">
        <f>O24-N24</f>
        <v>0</v>
      </c>
      <c r="U24" s="4">
        <f>IF(N24=0,0,O24/N24-1)</f>
        <v>0</v>
      </c>
      <c r="AB24" s="17">
        <v>0</v>
      </c>
      <c r="AC24" s="17">
        <v>0</v>
      </c>
      <c r="AD24" s="4" t="e">
        <f>AC24/AB24-1</f>
        <v>#DIV/0!</v>
      </c>
      <c r="AF24" s="18"/>
      <c r="AG24" s="18">
        <v>10</v>
      </c>
      <c r="AI24" s="25"/>
      <c r="AJ24" s="25">
        <v>0</v>
      </c>
    </row>
    <row r="25" spans="1:36" ht="13.9" customHeight="1">
      <c r="A25" s="126" t="s">
        <v>1359</v>
      </c>
      <c r="B25" s="26" t="s">
        <v>1360</v>
      </c>
      <c r="C25">
        <v>0</v>
      </c>
      <c r="E25" s="26" t="s">
        <v>1360</v>
      </c>
      <c r="F25">
        <v>0</v>
      </c>
      <c r="G25" t="b">
        <f>IF(B25=E25,TRUE,FALSE)</f>
        <v>1</v>
      </c>
      <c r="J25">
        <f>F25-C25</f>
        <v>0</v>
      </c>
      <c r="K25" s="4" t="e">
        <f>F25/C25-1</f>
        <v>#DIV/0!</v>
      </c>
      <c r="L25" s="4"/>
      <c r="N25" s="5">
        <v>0</v>
      </c>
      <c r="O25" s="5">
        <v>0</v>
      </c>
      <c r="Q25" s="5">
        <v>0</v>
      </c>
      <c r="T25" s="99">
        <f>O25-N25</f>
        <v>0</v>
      </c>
      <c r="U25" s="4">
        <f>IF(N25=0,0,O25/N25-1)</f>
        <v>0</v>
      </c>
      <c r="AB25" s="17">
        <v>0</v>
      </c>
      <c r="AC25" s="17">
        <v>0</v>
      </c>
      <c r="AD25" s="4" t="e">
        <f>AC25/AB25-1</f>
        <v>#DIV/0!</v>
      </c>
      <c r="AF25" s="18"/>
      <c r="AG25" s="18" t="e">
        <v>#N/A</v>
      </c>
      <c r="AI25" s="25"/>
      <c r="AJ25" s="25" t="e">
        <v>#N/A</v>
      </c>
    </row>
    <row r="26" spans="1:36">
      <c r="A26" s="26" t="s">
        <v>1361</v>
      </c>
      <c r="B26" s="26" t="s">
        <v>1362</v>
      </c>
      <c r="C26">
        <v>0</v>
      </c>
      <c r="E26" s="26" t="s">
        <v>1362</v>
      </c>
      <c r="F26">
        <v>1</v>
      </c>
      <c r="G26" t="b">
        <f>IF(B26=E26,TRUE,FALSE)</f>
        <v>1</v>
      </c>
      <c r="J26">
        <f>F26-C26</f>
        <v>1</v>
      </c>
      <c r="K26" s="4" t="e">
        <f>F26/C26-1</f>
        <v>#DIV/0!</v>
      </c>
      <c r="L26" s="4"/>
      <c r="N26" s="5">
        <v>0</v>
      </c>
      <c r="O26" s="5">
        <v>0</v>
      </c>
      <c r="Q26" s="5">
        <v>0</v>
      </c>
      <c r="T26" s="99">
        <f>O26-N26</f>
        <v>0</v>
      </c>
      <c r="U26" s="4">
        <f>IF(N26=0,0,O26/N26-1)</f>
        <v>0</v>
      </c>
      <c r="AB26" s="17">
        <v>0</v>
      </c>
      <c r="AC26" s="17">
        <v>23.99</v>
      </c>
      <c r="AD26" s="4" t="e">
        <f>AC26/AB26-1</f>
        <v>#DIV/0!</v>
      </c>
      <c r="AF26" s="18">
        <v>0</v>
      </c>
      <c r="AG26" s="18">
        <v>0</v>
      </c>
      <c r="AI26" s="25">
        <v>0</v>
      </c>
      <c r="AJ26" s="25">
        <v>0</v>
      </c>
    </row>
    <row r="27" spans="1:36">
      <c r="A27" t="s">
        <v>1363</v>
      </c>
      <c r="B27" t="s">
        <v>1364</v>
      </c>
      <c r="C27">
        <v>11</v>
      </c>
      <c r="E27" t="s">
        <v>1364</v>
      </c>
      <c r="F27">
        <v>13</v>
      </c>
      <c r="G27" t="b">
        <f>IF(B27=E27,TRUE,FALSE)</f>
        <v>1</v>
      </c>
      <c r="J27">
        <f>F27-C27</f>
        <v>2</v>
      </c>
      <c r="K27" s="4">
        <f>F27/C27-1</f>
        <v>0.18181818181818188</v>
      </c>
      <c r="L27" s="4"/>
      <c r="N27" s="5">
        <v>12.11</v>
      </c>
      <c r="O27" s="5">
        <v>27.6</v>
      </c>
      <c r="Q27" s="5">
        <v>215.4</v>
      </c>
      <c r="T27" s="99">
        <f>O27-N27</f>
        <v>15.490000000000002</v>
      </c>
      <c r="U27" s="4">
        <f>IF(N27=0,0,O27/N27-1)</f>
        <v>1.2791081750619324</v>
      </c>
      <c r="AB27" s="17">
        <v>428.45</v>
      </c>
      <c r="AC27" s="17">
        <v>506.35</v>
      </c>
      <c r="AD27" s="4">
        <f>AC27/AB27-1</f>
        <v>0.18181818181818188</v>
      </c>
      <c r="AF27" s="18">
        <v>99</v>
      </c>
      <c r="AG27" s="18">
        <v>108</v>
      </c>
      <c r="AI27" s="25">
        <v>0.10099999999999999</v>
      </c>
      <c r="AJ27" s="25">
        <v>0.12039999999999999</v>
      </c>
    </row>
    <row r="28" spans="1:36">
      <c r="A28" t="s">
        <v>1365</v>
      </c>
      <c r="B28" t="s">
        <v>1366</v>
      </c>
      <c r="C28">
        <v>346</v>
      </c>
      <c r="E28" t="s">
        <v>1366</v>
      </c>
      <c r="F28">
        <v>349</v>
      </c>
      <c r="G28" t="b">
        <f>IF(B28=E28,TRUE,FALSE)</f>
        <v>1</v>
      </c>
      <c r="J28">
        <f>F28-C28</f>
        <v>3</v>
      </c>
      <c r="K28" s="4">
        <f>F28/C28-1</f>
        <v>8.6705202312138407E-3</v>
      </c>
      <c r="L28" s="4"/>
      <c r="N28" s="5">
        <v>228.36</v>
      </c>
      <c r="O28" s="5">
        <v>130.24</v>
      </c>
      <c r="Q28" s="5">
        <v>885.36</v>
      </c>
      <c r="T28" s="99">
        <f>O28-N28</f>
        <v>-98.12</v>
      </c>
      <c r="U28" s="4">
        <f>IF(N28=0,0,O28/N28-1)</f>
        <v>-0.4296724470134875</v>
      </c>
      <c r="AB28" s="17">
        <v>7608.54</v>
      </c>
      <c r="AC28" s="17">
        <v>7674.29</v>
      </c>
      <c r="AD28" s="4">
        <f>AC28/AB28-1</f>
        <v>8.6416053539837279E-3</v>
      </c>
      <c r="AF28" s="18">
        <v>1213</v>
      </c>
      <c r="AG28" s="18">
        <v>947</v>
      </c>
      <c r="AI28" s="25">
        <v>0.28689999999999999</v>
      </c>
      <c r="AJ28" s="25">
        <v>0.3664</v>
      </c>
    </row>
    <row r="29" spans="1:36">
      <c r="A29" s="39" t="s">
        <v>1367</v>
      </c>
      <c r="B29" s="26" t="s">
        <v>1368</v>
      </c>
      <c r="C29">
        <v>0</v>
      </c>
      <c r="E29" s="26" t="s">
        <v>1368</v>
      </c>
      <c r="F29">
        <v>4</v>
      </c>
      <c r="G29" t="b">
        <f>IF(B29=E29,TRUE,FALSE)</f>
        <v>1</v>
      </c>
      <c r="J29">
        <f>F29-C29</f>
        <v>4</v>
      </c>
      <c r="K29" s="4" t="e">
        <f>F29/C29-1</f>
        <v>#DIV/0!</v>
      </c>
      <c r="L29" s="4"/>
      <c r="N29" s="5">
        <v>0</v>
      </c>
      <c r="O29" s="5">
        <v>0</v>
      </c>
      <c r="Q29" s="5">
        <v>0</v>
      </c>
      <c r="T29" s="99">
        <f>O29-N29</f>
        <v>0</v>
      </c>
      <c r="U29" s="4">
        <f>IF(N29=0,0,O29/N29-1)</f>
        <v>0</v>
      </c>
      <c r="AB29" s="17">
        <v>0</v>
      </c>
      <c r="AC29" s="17">
        <v>79.959999999999994</v>
      </c>
      <c r="AD29" s="4" t="e">
        <f>AC29/AB29-1</f>
        <v>#DIV/0!</v>
      </c>
      <c r="AF29" s="18"/>
      <c r="AG29" s="18">
        <v>28</v>
      </c>
      <c r="AI29" s="25"/>
      <c r="AJ29" s="25">
        <v>0.1429</v>
      </c>
    </row>
    <row r="30" spans="1:36">
      <c r="A30" t="s">
        <v>1369</v>
      </c>
      <c r="B30" t="s">
        <v>1370</v>
      </c>
      <c r="C30">
        <v>46</v>
      </c>
      <c r="E30" t="s">
        <v>1370</v>
      </c>
      <c r="F30">
        <v>60</v>
      </c>
      <c r="G30" t="b">
        <f>IF(B30=E30,TRUE,FALSE)</f>
        <v>1</v>
      </c>
      <c r="J30">
        <f>F30-C30</f>
        <v>14</v>
      </c>
      <c r="K30" s="4">
        <f>F30/C30-1</f>
        <v>0.30434782608695654</v>
      </c>
      <c r="L30" s="4"/>
      <c r="N30" s="5">
        <v>399.42</v>
      </c>
      <c r="O30" s="5">
        <v>553.54999999999995</v>
      </c>
      <c r="Q30" s="5">
        <v>2027.64</v>
      </c>
      <c r="T30" s="99">
        <f>O30-N30</f>
        <v>154.12999999999994</v>
      </c>
      <c r="U30" s="4">
        <f>IF(N30=0,0,O30/N30-1)</f>
        <v>0.38588453257222954</v>
      </c>
      <c r="AB30" s="17">
        <v>1020.1400000000001</v>
      </c>
      <c r="AC30" s="17">
        <v>1446.6</v>
      </c>
      <c r="AD30" s="4">
        <f>AC30/AB30-1</f>
        <v>0.41804066108573301</v>
      </c>
      <c r="AF30" s="18">
        <v>864</v>
      </c>
      <c r="AG30" s="18">
        <v>923</v>
      </c>
      <c r="AI30" s="25">
        <v>5.3200000000000004E-2</v>
      </c>
      <c r="AJ30" s="25">
        <v>6.5000000000000002E-2</v>
      </c>
    </row>
    <row r="31" spans="1:36">
      <c r="A31" t="s">
        <v>1371</v>
      </c>
      <c r="B31" t="s">
        <v>1372</v>
      </c>
      <c r="C31">
        <v>320</v>
      </c>
      <c r="E31" t="s">
        <v>1372</v>
      </c>
      <c r="F31">
        <v>341</v>
      </c>
      <c r="G31" t="b">
        <f>IF(B31=E31,TRUE,FALSE)</f>
        <v>1</v>
      </c>
      <c r="J31">
        <f>F31-C31</f>
        <v>21</v>
      </c>
      <c r="K31" s="4">
        <f>F31/C31-1</f>
        <v>6.5625000000000044E-2</v>
      </c>
      <c r="L31" s="4"/>
      <c r="N31" s="5">
        <v>355.18</v>
      </c>
      <c r="O31" s="5">
        <v>407.64</v>
      </c>
      <c r="Q31" s="5">
        <v>4790.92</v>
      </c>
      <c r="T31" s="99">
        <f>O31-N31</f>
        <v>52.45999999999998</v>
      </c>
      <c r="U31" s="4">
        <f>IF(N31=0,0,O31/N31-1)</f>
        <v>0.14769975786924938</v>
      </c>
      <c r="AB31" s="17">
        <v>9563.2099999999991</v>
      </c>
      <c r="AC31" s="17">
        <v>10219.09</v>
      </c>
      <c r="AD31" s="4">
        <f>AC31/AB31-1</f>
        <v>6.858366594480314E-2</v>
      </c>
      <c r="AF31" s="18">
        <v>1467</v>
      </c>
      <c r="AG31" s="18">
        <v>1559</v>
      </c>
      <c r="AI31" s="25">
        <v>0.21809999999999999</v>
      </c>
      <c r="AJ31" s="25">
        <v>0.21739999999999998</v>
      </c>
    </row>
    <row r="32" spans="1:36">
      <c r="A32" t="s">
        <v>1373</v>
      </c>
      <c r="B32" t="s">
        <v>1374</v>
      </c>
      <c r="C32">
        <v>705</v>
      </c>
      <c r="E32" t="s">
        <v>1374</v>
      </c>
      <c r="F32">
        <v>729</v>
      </c>
      <c r="G32" t="b">
        <f>IF(B32=E32,TRUE,FALSE)</f>
        <v>1</v>
      </c>
      <c r="J32">
        <f>F32-C32</f>
        <v>24</v>
      </c>
      <c r="K32" s="4">
        <f>F32/C32-1</f>
        <v>3.4042553191489411E-2</v>
      </c>
      <c r="L32" s="4"/>
      <c r="N32" s="5">
        <v>1096.06</v>
      </c>
      <c r="O32" s="5">
        <v>1402.3400000000001</v>
      </c>
      <c r="Q32" s="5">
        <v>8962.92</v>
      </c>
      <c r="T32" s="99">
        <f>O32-N32</f>
        <v>306.2800000000002</v>
      </c>
      <c r="U32" s="4">
        <f>IF(N32=0,0,O32/N32-1)</f>
        <v>0.27943725708446632</v>
      </c>
      <c r="X32" s="5"/>
      <c r="Y32" s="5"/>
      <c r="Z32" s="5"/>
      <c r="AA32" s="16"/>
      <c r="AB32" s="17">
        <v>18278.5</v>
      </c>
      <c r="AC32" s="17">
        <v>18936.73</v>
      </c>
      <c r="AD32" s="4">
        <f>AC32/AB32-1</f>
        <v>3.6011160653226515E-2</v>
      </c>
      <c r="AF32" s="18">
        <v>2372</v>
      </c>
      <c r="AG32" s="18">
        <v>2675</v>
      </c>
      <c r="AI32" s="25">
        <v>0.29719999999999996</v>
      </c>
      <c r="AJ32" s="25">
        <v>0.27140000000000003</v>
      </c>
    </row>
    <row r="33" spans="1:36">
      <c r="A33" t="s">
        <v>1375</v>
      </c>
      <c r="B33" t="s">
        <v>1376</v>
      </c>
      <c r="C33">
        <v>441</v>
      </c>
      <c r="E33" t="s">
        <v>1376</v>
      </c>
      <c r="F33">
        <v>472</v>
      </c>
      <c r="G33" t="b">
        <f>IF(B33=E33,TRUE,FALSE)</f>
        <v>1</v>
      </c>
      <c r="J33">
        <f>F33-C33</f>
        <v>31</v>
      </c>
      <c r="K33" s="4">
        <f>F33/C33-1</f>
        <v>7.029478458049887E-2</v>
      </c>
      <c r="L33" s="4"/>
      <c r="N33" s="5">
        <v>664.76</v>
      </c>
      <c r="O33" s="5">
        <v>812.03</v>
      </c>
      <c r="Q33" s="5">
        <v>2529.6799999999998</v>
      </c>
      <c r="T33" s="99">
        <f>O33-N33</f>
        <v>147.26999999999998</v>
      </c>
      <c r="U33" s="4">
        <f>IF(N33=0,0,O33/N33-1)</f>
        <v>0.2215386003971358</v>
      </c>
      <c r="AB33" s="17">
        <v>7489.49</v>
      </c>
      <c r="AC33" s="17">
        <v>8018.09</v>
      </c>
      <c r="AD33" s="4">
        <f>AC33/AB33-1</f>
        <v>7.0578904571606316E-2</v>
      </c>
      <c r="AF33" s="18">
        <v>1637</v>
      </c>
      <c r="AG33" s="18">
        <v>1626</v>
      </c>
      <c r="AI33" s="25">
        <v>0.27179999999999999</v>
      </c>
      <c r="AJ33" s="25">
        <v>0.28970000000000001</v>
      </c>
    </row>
    <row r="34" spans="1:36">
      <c r="A34" s="26" t="s">
        <v>1377</v>
      </c>
      <c r="B34" s="26" t="s">
        <v>1378</v>
      </c>
      <c r="C34">
        <v>149</v>
      </c>
      <c r="E34" s="26" t="s">
        <v>1378</v>
      </c>
      <c r="F34">
        <v>181</v>
      </c>
      <c r="G34" t="b">
        <f>IF(B34=E34,TRUE,FALSE)</f>
        <v>1</v>
      </c>
      <c r="J34">
        <f>F34-C34</f>
        <v>32</v>
      </c>
      <c r="K34" s="4">
        <f>F34/C34-1</f>
        <v>0.21476510067114085</v>
      </c>
      <c r="L34" s="4"/>
      <c r="N34" s="5">
        <v>0</v>
      </c>
      <c r="O34" s="5">
        <v>0</v>
      </c>
      <c r="Q34" s="5">
        <v>0</v>
      </c>
      <c r="T34" s="99">
        <f>O34-N34</f>
        <v>0</v>
      </c>
      <c r="U34" s="4">
        <f>IF(N34=0,0,O34/N34-1)</f>
        <v>0</v>
      </c>
      <c r="AB34" s="17">
        <v>4020.16</v>
      </c>
      <c r="AC34" s="17">
        <v>4884.1099999999997</v>
      </c>
      <c r="AD34" s="4">
        <f>AC34/AB34-1</f>
        <v>0.21490438191514771</v>
      </c>
      <c r="AF34" s="18">
        <v>377</v>
      </c>
      <c r="AG34" s="18">
        <v>377</v>
      </c>
      <c r="AI34" s="25">
        <v>0.3926</v>
      </c>
      <c r="AJ34" s="25">
        <v>0.48009999999999997</v>
      </c>
    </row>
    <row r="35" spans="1:36">
      <c r="A35" t="s">
        <v>1379</v>
      </c>
      <c r="B35" t="s">
        <v>1380</v>
      </c>
      <c r="C35">
        <v>291</v>
      </c>
      <c r="E35" t="s">
        <v>1380</v>
      </c>
      <c r="F35">
        <v>325</v>
      </c>
      <c r="G35" t="b">
        <f>IF(B35=E35,TRUE,FALSE)</f>
        <v>1</v>
      </c>
      <c r="J35">
        <f>F35-C35</f>
        <v>34</v>
      </c>
      <c r="K35" s="4">
        <f>F35/C35-1</f>
        <v>0.11683848797250862</v>
      </c>
      <c r="L35" s="4"/>
      <c r="N35" s="5">
        <v>118.89</v>
      </c>
      <c r="O35" s="5">
        <v>138.41</v>
      </c>
      <c r="Q35" s="5">
        <v>1182.75</v>
      </c>
      <c r="T35" s="99">
        <f>O35-N35</f>
        <v>19.519999999999996</v>
      </c>
      <c r="U35" s="4">
        <f>IF(N35=0,0,O35/N35-1)</f>
        <v>0.16418538144503314</v>
      </c>
      <c r="AB35" s="17">
        <v>11295.11</v>
      </c>
      <c r="AC35" s="17">
        <v>12657.97</v>
      </c>
      <c r="AD35" s="4">
        <f>AC35/AB35-1</f>
        <v>0.12065929415472709</v>
      </c>
      <c r="AF35" s="18">
        <v>604</v>
      </c>
      <c r="AG35" s="18">
        <v>615</v>
      </c>
      <c r="AI35" s="25">
        <v>0.48009999999999997</v>
      </c>
      <c r="AJ35" s="25">
        <v>0.5252</v>
      </c>
    </row>
    <row r="36" spans="1:36">
      <c r="A36" s="39" t="s">
        <v>1381</v>
      </c>
      <c r="B36" s="26" t="s">
        <v>1382</v>
      </c>
      <c r="C36" s="18">
        <v>0</v>
      </c>
      <c r="E36" s="26" t="s">
        <v>1382</v>
      </c>
      <c r="F36" s="18">
        <v>35</v>
      </c>
      <c r="G36" t="b">
        <f>IF(B36=E36,TRUE,FALSE)</f>
        <v>1</v>
      </c>
      <c r="J36">
        <f>F36-C36</f>
        <v>35</v>
      </c>
      <c r="K36" s="4" t="e">
        <f>F36/C36-1</f>
        <v>#DIV/0!</v>
      </c>
      <c r="L36" s="4"/>
      <c r="N36" s="5">
        <v>0</v>
      </c>
      <c r="O36" s="5">
        <v>243.26</v>
      </c>
      <c r="Q36" s="5">
        <v>274.20999999999998</v>
      </c>
      <c r="T36" s="99">
        <f>O36-N36</f>
        <v>243.26</v>
      </c>
      <c r="U36" s="4">
        <f>IF(N36=0,0,O36/N36-1)</f>
        <v>0</v>
      </c>
      <c r="AB36" s="17">
        <v>0</v>
      </c>
      <c r="AC36" s="17">
        <v>1569.65</v>
      </c>
      <c r="AD36" s="4" t="e">
        <f>AC36/AB36-1</f>
        <v>#DIV/0!</v>
      </c>
      <c r="AG36">
        <v>227</v>
      </c>
      <c r="AJ36">
        <v>0.1542</v>
      </c>
    </row>
    <row r="37" spans="1:36">
      <c r="A37" t="s">
        <v>1383</v>
      </c>
      <c r="B37" t="s">
        <v>1384</v>
      </c>
      <c r="C37">
        <v>805</v>
      </c>
      <c r="E37" t="s">
        <v>1384</v>
      </c>
      <c r="F37">
        <v>853</v>
      </c>
      <c r="G37" t="b">
        <f>IF(B37=E37,TRUE,FALSE)</f>
        <v>1</v>
      </c>
      <c r="J37">
        <f>F37-C37</f>
        <v>48</v>
      </c>
      <c r="K37" s="4">
        <f>F37/C37-1</f>
        <v>5.9627329192546652E-2</v>
      </c>
      <c r="L37" s="4"/>
      <c r="N37" s="5">
        <v>541.24</v>
      </c>
      <c r="O37" s="5">
        <v>526.52</v>
      </c>
      <c r="Q37" s="5">
        <v>3624.37</v>
      </c>
      <c r="T37" s="99">
        <f>O37-N37</f>
        <v>-14.720000000000027</v>
      </c>
      <c r="U37" s="4">
        <f>IF(N37=0,0,O37/N37-1)</f>
        <v>-2.7196807331313355E-2</v>
      </c>
      <c r="AB37" s="17">
        <v>23299.82</v>
      </c>
      <c r="AC37" s="17">
        <v>24687.68</v>
      </c>
      <c r="AD37" s="4">
        <f>AC37/AB37-1</f>
        <v>5.9565267027813951E-2</v>
      </c>
      <c r="AF37" s="18">
        <v>2329</v>
      </c>
      <c r="AG37" s="18">
        <v>2367</v>
      </c>
      <c r="AI37" s="25">
        <v>0.34610000000000002</v>
      </c>
      <c r="AJ37" s="25">
        <v>0.35659999999999997</v>
      </c>
    </row>
    <row r="38" spans="1:36">
      <c r="A38" s="39" t="s">
        <v>1385</v>
      </c>
      <c r="B38" s="36" t="s">
        <v>1386</v>
      </c>
      <c r="C38">
        <v>1039</v>
      </c>
      <c r="E38" s="36" t="s">
        <v>1386</v>
      </c>
      <c r="F38">
        <v>1087</v>
      </c>
      <c r="G38" t="b">
        <f>IF(B38=E38,TRUE,FALSE)</f>
        <v>1</v>
      </c>
      <c r="J38">
        <f>F38-C38</f>
        <v>48</v>
      </c>
      <c r="K38" s="4">
        <f>F38/C38-1</f>
        <v>4.6198267564966367E-2</v>
      </c>
      <c r="L38" s="4"/>
      <c r="N38" s="5">
        <v>980.41</v>
      </c>
      <c r="O38" s="5">
        <v>1240.75</v>
      </c>
      <c r="Q38" s="5">
        <v>5295.03</v>
      </c>
      <c r="T38" s="99">
        <f>O38-N38</f>
        <v>260.34000000000003</v>
      </c>
      <c r="U38" s="4">
        <f>IF(N39=0,0,O38/N39-1)</f>
        <v>2.867192370028675</v>
      </c>
      <c r="AB38" s="17">
        <v>14937.77</v>
      </c>
      <c r="AC38" s="17">
        <v>15915.69</v>
      </c>
      <c r="AD38" s="4">
        <f>AC38/AB38-1</f>
        <v>6.5466264375472427E-2</v>
      </c>
      <c r="AF38" s="18">
        <v>3630</v>
      </c>
      <c r="AG38" s="18">
        <v>3915</v>
      </c>
      <c r="AI38" s="25">
        <v>0.28600000000000003</v>
      </c>
      <c r="AJ38" s="25">
        <v>0.27739999999999998</v>
      </c>
    </row>
    <row r="39" spans="1:36">
      <c r="A39" t="s">
        <v>1387</v>
      </c>
      <c r="B39" t="s">
        <v>1388</v>
      </c>
      <c r="C39">
        <v>625</v>
      </c>
      <c r="E39" t="s">
        <v>1388</v>
      </c>
      <c r="F39">
        <v>675</v>
      </c>
      <c r="G39" t="b">
        <f>IF(B39=E39,TRUE,FALSE)</f>
        <v>1</v>
      </c>
      <c r="J39">
        <f>F39-C39</f>
        <v>50</v>
      </c>
      <c r="K39" s="4">
        <f>F39/C39-1</f>
        <v>8.0000000000000071E-2</v>
      </c>
      <c r="L39" s="4"/>
      <c r="N39" s="5">
        <v>320.83999999999997</v>
      </c>
      <c r="O39" s="5">
        <v>643.54999999999995</v>
      </c>
      <c r="Q39" s="5">
        <v>3073.29</v>
      </c>
      <c r="T39" s="99">
        <f>O39-N39</f>
        <v>322.70999999999998</v>
      </c>
      <c r="U39" s="4">
        <f>IF(N39=0,0,O39/N39-1)</f>
        <v>1.0058284503179156</v>
      </c>
      <c r="X39" t="s">
        <v>1389</v>
      </c>
      <c r="AB39" s="17">
        <v>12482.83</v>
      </c>
      <c r="AC39" s="17">
        <v>11614.07</v>
      </c>
      <c r="AD39" s="4">
        <f>AC39/AB39-1</f>
        <v>-6.9596397611759508E-2</v>
      </c>
      <c r="AF39" s="18">
        <v>1870</v>
      </c>
      <c r="AG39" s="18">
        <v>2618</v>
      </c>
      <c r="AI39" s="25">
        <v>0.22620000000000001</v>
      </c>
      <c r="AJ39" s="25">
        <v>0.25780000000000003</v>
      </c>
    </row>
    <row r="40" spans="1:36">
      <c r="A40" s="40" t="s">
        <v>1390</v>
      </c>
      <c r="B40" s="36" t="s">
        <v>1391</v>
      </c>
      <c r="C40">
        <v>2380</v>
      </c>
      <c r="E40" s="36" t="s">
        <v>1391</v>
      </c>
      <c r="F40">
        <v>2435</v>
      </c>
      <c r="G40" t="b">
        <f>IF(B40=E40,TRUE,FALSE)</f>
        <v>1</v>
      </c>
      <c r="J40">
        <f>F40-C40</f>
        <v>55</v>
      </c>
      <c r="K40" s="4">
        <f>F40/C40-1</f>
        <v>2.3109243697478909E-2</v>
      </c>
      <c r="L40" s="4"/>
      <c r="N40" s="5">
        <v>3307.95</v>
      </c>
      <c r="O40" s="5">
        <v>4331.17</v>
      </c>
      <c r="Q40" s="5">
        <v>16264.69</v>
      </c>
      <c r="T40" s="99">
        <f>O40-N40</f>
        <v>1023.2200000000003</v>
      </c>
      <c r="U40" s="4">
        <f>IF(N41=0,0,O40/N41-1)</f>
        <v>4.1629772675797785</v>
      </c>
      <c r="AB40" s="17">
        <v>41823.199999999997</v>
      </c>
      <c r="AC40" s="17">
        <v>45635.06</v>
      </c>
      <c r="AD40" s="4">
        <f>AC40/AB40-1</f>
        <v>9.1142236844622193E-2</v>
      </c>
      <c r="AF40" s="18">
        <v>10087</v>
      </c>
      <c r="AG40" s="18">
        <v>9846</v>
      </c>
      <c r="AI40" s="25">
        <v>0.23559999999999998</v>
      </c>
      <c r="AJ40" s="25">
        <v>0.247</v>
      </c>
    </row>
    <row r="41" spans="1:36">
      <c r="A41" s="39" t="s">
        <v>1392</v>
      </c>
      <c r="B41" s="36" t="s">
        <v>1393</v>
      </c>
      <c r="C41">
        <v>301</v>
      </c>
      <c r="E41" s="36" t="s">
        <v>1393</v>
      </c>
      <c r="F41">
        <v>365</v>
      </c>
      <c r="G41" t="b">
        <f>IF(B41=E41,TRUE,FALSE)</f>
        <v>1</v>
      </c>
      <c r="J41">
        <f>F41-C41</f>
        <v>64</v>
      </c>
      <c r="K41" s="4">
        <f>F41/C41-1</f>
        <v>0.21262458471760803</v>
      </c>
      <c r="L41" s="4"/>
      <c r="N41" s="5">
        <v>838.89</v>
      </c>
      <c r="O41" s="5">
        <v>941.58</v>
      </c>
      <c r="Q41" s="5">
        <v>5499.5</v>
      </c>
      <c r="T41" s="99">
        <f>O41-N41</f>
        <v>102.69000000000005</v>
      </c>
      <c r="U41" s="4">
        <f>IF(N41=0,0,O41/N41-1)</f>
        <v>0.12241175839502216</v>
      </c>
      <c r="AB41" s="17">
        <v>7520.74</v>
      </c>
      <c r="AC41" s="17">
        <v>9120.1</v>
      </c>
      <c r="AD41" s="4">
        <f>AC41/AB41-1</f>
        <v>0.21265992442233084</v>
      </c>
      <c r="AF41" s="18">
        <v>1842</v>
      </c>
      <c r="AG41" s="18">
        <v>2100</v>
      </c>
      <c r="AI41" s="25">
        <v>0.16339999999999999</v>
      </c>
      <c r="AJ41" s="25">
        <v>0.17329999999999998</v>
      </c>
    </row>
    <row r="42" spans="1:36">
      <c r="A42" t="s">
        <v>1394</v>
      </c>
      <c r="B42" t="s">
        <v>1395</v>
      </c>
      <c r="C42">
        <v>840</v>
      </c>
      <c r="E42" t="s">
        <v>1395</v>
      </c>
      <c r="F42">
        <v>906</v>
      </c>
      <c r="G42" t="b">
        <f>IF(B42=E42,TRUE,FALSE)</f>
        <v>1</v>
      </c>
      <c r="J42">
        <f>F42-C42</f>
        <v>66</v>
      </c>
      <c r="K42" s="4">
        <f>F42/C42-1</f>
        <v>7.8571428571428514E-2</v>
      </c>
      <c r="L42" s="4"/>
      <c r="N42" s="5">
        <v>1642.13</v>
      </c>
      <c r="O42" s="5">
        <v>1840.71</v>
      </c>
      <c r="Q42" s="5">
        <v>9693.5300000000007</v>
      </c>
      <c r="T42" s="99">
        <f>O42-N42</f>
        <v>198.57999999999993</v>
      </c>
      <c r="U42" s="4">
        <f>IF(N42=0,0,O42/N42-1)</f>
        <v>0.12092830652871567</v>
      </c>
      <c r="X42" t="s">
        <v>1396</v>
      </c>
      <c r="AB42" s="17">
        <v>16789</v>
      </c>
      <c r="AC42" s="17">
        <v>18108.34</v>
      </c>
      <c r="AD42" s="4">
        <f>AC42/AB42-1</f>
        <v>7.8583596402406419E-2</v>
      </c>
      <c r="AF42" s="18">
        <v>3938</v>
      </c>
      <c r="AG42" s="18">
        <v>4420</v>
      </c>
      <c r="AI42" s="25">
        <v>0.21379999999999999</v>
      </c>
      <c r="AJ42" s="25">
        <v>0.20430000000000001</v>
      </c>
    </row>
    <row r="43" spans="1:36">
      <c r="A43" t="s">
        <v>1397</v>
      </c>
      <c r="B43" t="s">
        <v>1398</v>
      </c>
      <c r="C43">
        <v>663</v>
      </c>
      <c r="E43" t="s">
        <v>1398</v>
      </c>
      <c r="F43">
        <v>730</v>
      </c>
      <c r="G43" t="b">
        <f>IF(B43=E43,TRUE,FALSE)</f>
        <v>1</v>
      </c>
      <c r="J43">
        <f>F43-C43</f>
        <v>67</v>
      </c>
      <c r="K43" s="4">
        <f>F43/C43-1</f>
        <v>0.10105580693815996</v>
      </c>
      <c r="L43" s="4"/>
      <c r="N43" s="5">
        <v>461.96</v>
      </c>
      <c r="O43" s="5">
        <v>669.34</v>
      </c>
      <c r="Q43" s="5">
        <v>2343.35</v>
      </c>
      <c r="T43" s="99">
        <f>O43-N43</f>
        <v>207.38000000000005</v>
      </c>
      <c r="U43" s="4">
        <f>IF(N43=0,0,O43/N43-1)</f>
        <v>0.44891332582907628</v>
      </c>
      <c r="AB43" s="17">
        <v>13249.97</v>
      </c>
      <c r="AC43" s="17">
        <v>14585.9</v>
      </c>
      <c r="AD43" s="4">
        <f>AC43/AB43-1</f>
        <v>0.10082513394369963</v>
      </c>
      <c r="AF43" s="18">
        <v>1585</v>
      </c>
      <c r="AG43" s="18">
        <v>1868</v>
      </c>
      <c r="AI43" s="25">
        <v>0.42080000000000001</v>
      </c>
      <c r="AJ43" s="25">
        <v>0.38539999999999996</v>
      </c>
    </row>
    <row r="44" spans="1:36">
      <c r="A44" t="s">
        <v>1399</v>
      </c>
      <c r="B44" t="s">
        <v>1400</v>
      </c>
      <c r="C44">
        <v>723</v>
      </c>
      <c r="E44" t="s">
        <v>1400</v>
      </c>
      <c r="F44">
        <v>791</v>
      </c>
      <c r="G44" t="b">
        <f>IF(B44=E44,TRUE,FALSE)</f>
        <v>1</v>
      </c>
      <c r="J44">
        <f>F44-C44</f>
        <v>68</v>
      </c>
      <c r="K44" s="4">
        <f>F44/C44-1</f>
        <v>9.4052558782849349E-2</v>
      </c>
      <c r="N44" s="5">
        <v>526.25</v>
      </c>
      <c r="O44" s="5">
        <v>663.67</v>
      </c>
      <c r="Q44" s="5">
        <v>4715.9799999999996</v>
      </c>
      <c r="T44" s="99">
        <f>O44-N44</f>
        <v>137.41999999999996</v>
      </c>
      <c r="U44" s="4">
        <f>IF(N44=0,0,O44/N44-1)</f>
        <v>0.26113064133016617</v>
      </c>
      <c r="X44" s="5"/>
      <c r="Y44" s="5"/>
      <c r="Z44" s="5"/>
      <c r="AA44" s="16"/>
      <c r="AB44" s="17">
        <v>28904.77</v>
      </c>
      <c r="AC44" s="17">
        <v>31618.89</v>
      </c>
      <c r="AD44" s="4">
        <f>AC44/AB44-1</f>
        <v>9.3898688693942134E-2</v>
      </c>
      <c r="AF44" s="18">
        <v>1982</v>
      </c>
      <c r="AG44" s="18">
        <v>1942</v>
      </c>
      <c r="AI44" s="25">
        <v>0.36479999999999996</v>
      </c>
      <c r="AJ44" s="25">
        <v>0.4047</v>
      </c>
    </row>
    <row r="45" spans="1:36">
      <c r="A45" t="s">
        <v>1401</v>
      </c>
      <c r="B45" t="s">
        <v>1402</v>
      </c>
      <c r="C45">
        <v>404</v>
      </c>
      <c r="E45" t="s">
        <v>1402</v>
      </c>
      <c r="F45">
        <v>485</v>
      </c>
      <c r="G45" t="b">
        <f>IF(B45=E45,TRUE,FALSE)</f>
        <v>1</v>
      </c>
      <c r="J45">
        <f>F45-C45</f>
        <v>81</v>
      </c>
      <c r="K45" s="4">
        <f>F45/C45-1</f>
        <v>0.20049504950495045</v>
      </c>
      <c r="L45" s="4"/>
      <c r="N45" s="5">
        <v>1385.56</v>
      </c>
      <c r="O45" s="5">
        <v>1447.91</v>
      </c>
      <c r="Q45" s="5">
        <v>5584.06</v>
      </c>
      <c r="T45" s="99">
        <f>O45-N45</f>
        <v>62.350000000000136</v>
      </c>
      <c r="U45" s="4">
        <f>IF(N45=0,0,O45/N45-1)</f>
        <v>4.499985565403164E-2</v>
      </c>
      <c r="AB45" s="17">
        <v>7792.54</v>
      </c>
      <c r="AC45" s="17">
        <v>9721.35</v>
      </c>
      <c r="AD45" s="4">
        <f>AC45/AB45-1</f>
        <v>0.24752006406126892</v>
      </c>
      <c r="AF45" s="18">
        <v>3465</v>
      </c>
      <c r="AG45" s="18">
        <v>3991</v>
      </c>
      <c r="AI45" s="25">
        <v>0.11630000000000001</v>
      </c>
      <c r="AJ45" s="25">
        <v>0.1215</v>
      </c>
    </row>
    <row r="46" spans="1:36">
      <c r="A46" s="39" t="s">
        <v>1403</v>
      </c>
      <c r="B46" s="36" t="s">
        <v>1404</v>
      </c>
      <c r="C46">
        <v>1168</v>
      </c>
      <c r="E46" s="36" t="s">
        <v>1404</v>
      </c>
      <c r="F46">
        <v>1260</v>
      </c>
      <c r="G46" t="b">
        <f>IF(B46=E46,TRUE,FALSE)</f>
        <v>1</v>
      </c>
      <c r="J46">
        <f>F46-C46</f>
        <v>92</v>
      </c>
      <c r="K46" s="4">
        <f>F46/C46-1</f>
        <v>7.8767123287671215E-2</v>
      </c>
      <c r="L46" s="4"/>
      <c r="N46" s="5">
        <v>3566.51</v>
      </c>
      <c r="O46" s="5">
        <v>3025.22</v>
      </c>
      <c r="Q46" s="5">
        <v>7975.6</v>
      </c>
      <c r="T46" s="99">
        <f>O46-N46</f>
        <v>-541.29000000000042</v>
      </c>
      <c r="U46" s="4">
        <f>IF(N46=0,0,O46/N46-1)</f>
        <v>-0.1517702179441528</v>
      </c>
      <c r="AB46" s="17">
        <v>23345.32</v>
      </c>
      <c r="AC46" s="17">
        <v>25183</v>
      </c>
      <c r="AD46" s="4">
        <f>AC46/AB46-1</f>
        <v>7.8717276096450961E-2</v>
      </c>
      <c r="AF46" s="18">
        <v>6356</v>
      </c>
      <c r="AG46" s="18">
        <v>5372</v>
      </c>
      <c r="AI46" s="25">
        <v>0.18379999999999999</v>
      </c>
      <c r="AJ46" s="25">
        <v>0.23379999999999998</v>
      </c>
    </row>
    <row r="47" spans="1:36">
      <c r="A47" t="s">
        <v>1405</v>
      </c>
      <c r="B47" t="s">
        <v>1406</v>
      </c>
      <c r="C47">
        <v>101</v>
      </c>
      <c r="E47" t="s">
        <v>1406</v>
      </c>
      <c r="F47">
        <v>197</v>
      </c>
      <c r="G47" t="b">
        <f>IF(B47=E47,TRUE,FALSE)</f>
        <v>1</v>
      </c>
      <c r="J47">
        <f>F47-C47</f>
        <v>96</v>
      </c>
      <c r="K47" s="4">
        <f>F47/C47-1</f>
        <v>0.95049504950495045</v>
      </c>
      <c r="L47" s="4"/>
      <c r="N47" s="5">
        <v>277.7</v>
      </c>
      <c r="O47" s="5">
        <v>594.44000000000005</v>
      </c>
      <c r="Q47" s="5">
        <v>2987.03</v>
      </c>
      <c r="T47" s="99">
        <f>O47-N47</f>
        <v>316.74000000000007</v>
      </c>
      <c r="U47" s="4">
        <f>IF(N47=0,0,O47/N47-1)</f>
        <v>1.1405833633417362</v>
      </c>
      <c r="AB47" s="17">
        <v>1646.99</v>
      </c>
      <c r="AC47" s="17">
        <v>3169.83</v>
      </c>
      <c r="AD47" s="4">
        <f>AC47/AB47-1</f>
        <v>0.92462006448126588</v>
      </c>
      <c r="AF47" s="18">
        <v>415</v>
      </c>
      <c r="AG47" s="18">
        <v>682</v>
      </c>
      <c r="AI47" s="25">
        <v>0.24340000000000001</v>
      </c>
      <c r="AJ47" s="25">
        <v>0.28889999999999999</v>
      </c>
    </row>
    <row r="48" spans="1:36">
      <c r="A48" s="39" t="s">
        <v>1407</v>
      </c>
      <c r="B48" s="36" t="s">
        <v>1408</v>
      </c>
      <c r="C48">
        <v>3</v>
      </c>
      <c r="D48" s="5"/>
      <c r="E48" s="36" t="s">
        <v>1408</v>
      </c>
      <c r="F48">
        <v>111</v>
      </c>
      <c r="G48" t="b">
        <f>IF(B48=E48,TRUE,FALSE)</f>
        <v>1</v>
      </c>
      <c r="H48" s="5"/>
      <c r="I48" s="5"/>
      <c r="J48">
        <f>F48-C48</f>
        <v>108</v>
      </c>
      <c r="K48" s="4">
        <f>F48/C48-1</f>
        <v>36</v>
      </c>
      <c r="L48" s="5"/>
      <c r="M48" s="5"/>
      <c r="N48" s="5">
        <v>48.61</v>
      </c>
      <c r="O48" s="5">
        <v>259.79000000000002</v>
      </c>
      <c r="Q48" s="5">
        <v>2089.34</v>
      </c>
      <c r="T48" s="99">
        <f>O48-N49</f>
        <v>-753.40000000000009</v>
      </c>
      <c r="U48" s="4">
        <f>IF(N49=0,0,O48/N49-1)</f>
        <v>-0.74359202123984636</v>
      </c>
      <c r="X48" s="5"/>
      <c r="Y48" s="5"/>
      <c r="Z48" s="5"/>
      <c r="AA48" s="16"/>
      <c r="AB48" s="17">
        <v>74.97</v>
      </c>
      <c r="AC48" s="17">
        <v>2773.14</v>
      </c>
      <c r="AD48" s="4">
        <f>AC48/AB48-1</f>
        <v>35.989995998399358</v>
      </c>
      <c r="AF48" s="18">
        <v>117</v>
      </c>
      <c r="AG48" s="18">
        <v>822</v>
      </c>
      <c r="AI48" s="25">
        <v>2.5600000000000001E-2</v>
      </c>
      <c r="AJ48" s="25">
        <v>0.13500000000000001</v>
      </c>
    </row>
    <row r="49" spans="1:36">
      <c r="A49" t="s">
        <v>1409</v>
      </c>
      <c r="B49" t="s">
        <v>1410</v>
      </c>
      <c r="C49">
        <v>110</v>
      </c>
      <c r="E49" t="s">
        <v>1410</v>
      </c>
      <c r="F49">
        <v>219</v>
      </c>
      <c r="G49" t="b">
        <f>IF(B49=E49,TRUE,FALSE)</f>
        <v>1</v>
      </c>
      <c r="J49">
        <f>F49-C49</f>
        <v>109</v>
      </c>
      <c r="K49" s="4">
        <f>F49/C49-1</f>
        <v>0.99090909090909096</v>
      </c>
      <c r="L49" s="4"/>
      <c r="N49" s="5">
        <v>1013.19</v>
      </c>
      <c r="O49" s="5">
        <v>1458.15</v>
      </c>
      <c r="Q49" s="5">
        <v>4995.2700000000004</v>
      </c>
      <c r="T49" s="99">
        <f>O49-N49</f>
        <v>444.96000000000004</v>
      </c>
      <c r="U49" s="4">
        <f>IF(N49=0,0,O49/N49-1)</f>
        <v>0.43916738222840723</v>
      </c>
      <c r="AB49" s="17">
        <v>2418.6799999999998</v>
      </c>
      <c r="AC49" s="17">
        <v>4358.21</v>
      </c>
      <c r="AD49" s="4">
        <f>AC49/AB49-1</f>
        <v>0.80189607554533882</v>
      </c>
      <c r="AF49" s="18">
        <v>1620</v>
      </c>
      <c r="AG49" s="18">
        <v>2365</v>
      </c>
      <c r="AI49" s="25">
        <v>6.7900000000000002E-2</v>
      </c>
      <c r="AJ49" s="25">
        <v>9.2600000000000002E-2</v>
      </c>
    </row>
    <row r="50" spans="1:36">
      <c r="A50" s="26" t="s">
        <v>1411</v>
      </c>
      <c r="B50" t="s">
        <v>1412</v>
      </c>
      <c r="C50">
        <v>396</v>
      </c>
      <c r="E50" t="s">
        <v>1412</v>
      </c>
      <c r="F50">
        <v>513</v>
      </c>
      <c r="G50" t="b">
        <f>IF(B50=E50,TRUE,FALSE)</f>
        <v>1</v>
      </c>
      <c r="J50">
        <f>F50-C50</f>
        <v>117</v>
      </c>
      <c r="K50" s="4">
        <f>F50/C50-1</f>
        <v>0.29545454545454541</v>
      </c>
      <c r="L50" s="4"/>
      <c r="N50" s="5">
        <v>1651.88</v>
      </c>
      <c r="O50" s="5">
        <v>2224.87</v>
      </c>
      <c r="Q50" s="5">
        <v>9779.8799999999992</v>
      </c>
      <c r="T50" s="99">
        <f>O50-N50</f>
        <v>572.98999999999978</v>
      </c>
      <c r="U50" s="4">
        <f>IF(N50=0,0,O50/N50-1)</f>
        <v>0.34687144344625498</v>
      </c>
      <c r="AB50" s="17">
        <v>10670.04</v>
      </c>
      <c r="AC50" s="17">
        <v>13823.73</v>
      </c>
      <c r="AD50" s="4">
        <f>AC50/AB50-1</f>
        <v>0.29556496507979335</v>
      </c>
      <c r="AF50" s="18">
        <v>2242</v>
      </c>
      <c r="AG50" s="18">
        <v>2563</v>
      </c>
      <c r="AI50" s="25">
        <v>0.17620000000000002</v>
      </c>
      <c r="AJ50" s="25">
        <v>0.19899999999999998</v>
      </c>
    </row>
    <row r="51" spans="1:36">
      <c r="A51" s="39" t="s">
        <v>1413</v>
      </c>
      <c r="B51" s="36" t="s">
        <v>1414</v>
      </c>
      <c r="C51">
        <v>33</v>
      </c>
      <c r="D51" s="5"/>
      <c r="E51" s="36" t="s">
        <v>1414</v>
      </c>
      <c r="F51">
        <v>168</v>
      </c>
      <c r="G51" t="b">
        <f>IF(B51=E51,TRUE,FALSE)</f>
        <v>1</v>
      </c>
      <c r="H51" s="5"/>
      <c r="I51" s="5"/>
      <c r="J51">
        <f>F51-C51</f>
        <v>135</v>
      </c>
      <c r="K51" s="4">
        <f>F51/C51-1</f>
        <v>4.0909090909090908</v>
      </c>
      <c r="L51" s="5"/>
      <c r="M51" s="5"/>
      <c r="N51" s="5">
        <v>122.33</v>
      </c>
      <c r="O51" s="5">
        <v>1641.44</v>
      </c>
      <c r="Q51" s="5">
        <v>3929.99</v>
      </c>
      <c r="T51" s="99">
        <f>O51-N51</f>
        <v>1519.1100000000001</v>
      </c>
      <c r="U51" s="4">
        <f>IF(N51=0,0,O51/N51-1)</f>
        <v>12.418131284231178</v>
      </c>
      <c r="X51" s="5"/>
      <c r="Y51" s="5"/>
      <c r="Z51" s="5"/>
      <c r="AA51" s="16"/>
      <c r="AB51" s="17">
        <v>791.67</v>
      </c>
      <c r="AC51" s="17">
        <v>3182.88</v>
      </c>
      <c r="AD51" s="4">
        <f>AC51/AB51-1</f>
        <v>3.0204630717344347</v>
      </c>
      <c r="AF51" s="18">
        <v>294</v>
      </c>
      <c r="AG51" s="18">
        <v>2045</v>
      </c>
      <c r="AI51" s="25">
        <v>0.11220000000000001</v>
      </c>
      <c r="AJ51" s="25">
        <v>8.2200000000000009E-2</v>
      </c>
    </row>
    <row r="52" spans="1:36" ht="13.9" customHeight="1">
      <c r="A52" t="s">
        <v>1415</v>
      </c>
      <c r="B52" t="s">
        <v>1416</v>
      </c>
      <c r="C52">
        <v>1095</v>
      </c>
      <c r="E52" t="s">
        <v>1416</v>
      </c>
      <c r="F52">
        <v>1232</v>
      </c>
      <c r="G52" t="b">
        <f>IF(B52=E52,TRUE,FALSE)</f>
        <v>1</v>
      </c>
      <c r="J52">
        <f>F52-C52</f>
        <v>137</v>
      </c>
      <c r="K52" s="4">
        <f>F52/C52-1</f>
        <v>0.12511415525114145</v>
      </c>
      <c r="L52" s="4"/>
      <c r="N52" s="5">
        <v>2367.73</v>
      </c>
      <c r="O52" s="5">
        <v>2593.09</v>
      </c>
      <c r="Q52" s="5">
        <v>20681.900000000001</v>
      </c>
      <c r="T52" s="99">
        <f>O52-N52</f>
        <v>225.36000000000013</v>
      </c>
      <c r="U52" s="4">
        <f>IF(N52=0,0,O52/N52-1)</f>
        <v>9.5179771342171593E-2</v>
      </c>
      <c r="Y52" t="s">
        <v>1417</v>
      </c>
      <c r="AB52" s="17">
        <v>29542.979999999996</v>
      </c>
      <c r="AC52" s="17">
        <v>33238.720000000001</v>
      </c>
      <c r="AD52" s="4">
        <f>AC52/AB52-1</f>
        <v>0.12509706197546788</v>
      </c>
      <c r="AF52" s="18">
        <v>3141</v>
      </c>
      <c r="AG52" s="18">
        <v>3241</v>
      </c>
      <c r="AI52" s="25">
        <v>0.35049999999999998</v>
      </c>
      <c r="AJ52" s="25">
        <v>0.37829999999999997</v>
      </c>
    </row>
    <row r="53" spans="1:36" ht="13.9" customHeight="1">
      <c r="A53" s="39" t="s">
        <v>1418</v>
      </c>
      <c r="B53" s="36" t="s">
        <v>1419</v>
      </c>
      <c r="C53">
        <v>858</v>
      </c>
      <c r="E53" s="36" t="s">
        <v>1419</v>
      </c>
      <c r="F53">
        <v>997</v>
      </c>
      <c r="G53" t="b">
        <f>IF(B53=E53,TRUE,FALSE)</f>
        <v>1</v>
      </c>
      <c r="J53">
        <f>F53-C53</f>
        <v>139</v>
      </c>
      <c r="K53" s="4">
        <f>F53/C53-1</f>
        <v>0.16200466200466201</v>
      </c>
      <c r="L53" s="4"/>
      <c r="N53" s="5">
        <v>1707.71</v>
      </c>
      <c r="O53" s="5">
        <v>1787.64</v>
      </c>
      <c r="Q53" s="5">
        <v>8520.8799999999992</v>
      </c>
      <c r="T53" s="99">
        <f>O53-N53</f>
        <v>79.930000000000064</v>
      </c>
      <c r="U53" s="4">
        <f>IF(N53=0,0,O53/N53-1)</f>
        <v>4.6805370935346202E-2</v>
      </c>
      <c r="AB53" s="17">
        <v>17168.810000000001</v>
      </c>
      <c r="AC53" s="17">
        <v>19045.23</v>
      </c>
      <c r="AD53" s="4">
        <f>AC53/AB53-1</f>
        <v>0.10929237378711743</v>
      </c>
      <c r="AF53" s="18">
        <v>3490</v>
      </c>
      <c r="AG53" s="18">
        <v>3973</v>
      </c>
      <c r="AI53" s="25">
        <v>0.24579999999999999</v>
      </c>
      <c r="AJ53" s="25">
        <v>0.25090000000000001</v>
      </c>
    </row>
    <row r="54" spans="1:36" ht="13.9" customHeight="1">
      <c r="A54" s="39" t="s">
        <v>1420</v>
      </c>
      <c r="B54" t="s">
        <v>1421</v>
      </c>
      <c r="C54">
        <v>424</v>
      </c>
      <c r="E54" t="s">
        <v>1421</v>
      </c>
      <c r="F54">
        <v>588</v>
      </c>
      <c r="G54" t="b">
        <f>IF(B54=E54,TRUE,FALSE)</f>
        <v>1</v>
      </c>
      <c r="J54">
        <f>F54-C54</f>
        <v>164</v>
      </c>
      <c r="K54" s="4">
        <f>F54/C54-1</f>
        <v>0.3867924528301887</v>
      </c>
      <c r="L54" s="4"/>
      <c r="N54" s="5">
        <v>1069.5999999999999</v>
      </c>
      <c r="O54" s="5">
        <v>1337.94</v>
      </c>
      <c r="Q54" s="5">
        <v>6200.94</v>
      </c>
      <c r="T54" s="99">
        <f>O54-N54</f>
        <v>268.34000000000015</v>
      </c>
      <c r="U54" s="4">
        <f>IF(N54=0,0,O54/N54-1)</f>
        <v>0.25087883320867621</v>
      </c>
      <c r="AB54" s="17">
        <v>8051.19</v>
      </c>
      <c r="AC54" s="17">
        <v>10199.02</v>
      </c>
      <c r="AD54" s="4">
        <f>AC54/AB54-1</f>
        <v>0.26677174430115302</v>
      </c>
      <c r="AF54" s="18">
        <v>1762</v>
      </c>
      <c r="AG54" s="18">
        <v>2275</v>
      </c>
      <c r="AI54" s="25">
        <v>0.24010000000000001</v>
      </c>
      <c r="AJ54" s="25">
        <v>0.25800000000000001</v>
      </c>
    </row>
    <row r="55" spans="1:36" ht="13.9" customHeight="1">
      <c r="A55" t="s">
        <v>1422</v>
      </c>
      <c r="B55" t="s">
        <v>1423</v>
      </c>
      <c r="C55">
        <v>754</v>
      </c>
      <c r="E55" t="s">
        <v>1423</v>
      </c>
      <c r="F55">
        <v>938</v>
      </c>
      <c r="G55" t="b">
        <f>IF(B55=E55,TRUE,FALSE)</f>
        <v>1</v>
      </c>
      <c r="J55">
        <f>F55-C55</f>
        <v>184</v>
      </c>
      <c r="K55" s="4">
        <f>F55/C55-1</f>
        <v>0.24403183023872677</v>
      </c>
      <c r="L55" s="4"/>
      <c r="N55" s="5">
        <v>865.54</v>
      </c>
      <c r="O55" s="5">
        <v>1358.1</v>
      </c>
      <c r="Q55" s="5">
        <v>6266.76</v>
      </c>
      <c r="T55" s="99">
        <f>O55-N55</f>
        <v>492.55999999999995</v>
      </c>
      <c r="U55" s="4">
        <f>IF(N55=0,0,O55/N55-1)</f>
        <v>0.56907826328072653</v>
      </c>
      <c r="AB55" s="17">
        <v>12806.550000000001</v>
      </c>
      <c r="AC55" s="17">
        <v>15933.39</v>
      </c>
      <c r="AD55" s="4">
        <f>AC55/AB55-1</f>
        <v>0.24415943403961249</v>
      </c>
      <c r="AF55" s="18">
        <v>2802</v>
      </c>
      <c r="AG55" s="18">
        <v>3340</v>
      </c>
      <c r="AI55" s="25">
        <v>0.26950000000000002</v>
      </c>
      <c r="AJ55" s="25">
        <v>0.27960000000000002</v>
      </c>
    </row>
    <row r="56" spans="1:36" ht="13.9" customHeight="1">
      <c r="A56" t="s">
        <v>1424</v>
      </c>
      <c r="B56" t="s">
        <v>1425</v>
      </c>
      <c r="C56">
        <v>4594</v>
      </c>
      <c r="E56" t="s">
        <v>1425</v>
      </c>
      <c r="F56">
        <v>4781</v>
      </c>
      <c r="G56" t="b">
        <f>IF(B56=E56,TRUE,FALSE)</f>
        <v>1</v>
      </c>
      <c r="J56">
        <f>F56-C56</f>
        <v>187</v>
      </c>
      <c r="K56" s="4">
        <f>F56/C56-1</f>
        <v>4.070526774053107E-2</v>
      </c>
      <c r="L56" s="4"/>
      <c r="N56" s="5">
        <v>3305.76</v>
      </c>
      <c r="O56" s="5">
        <v>3851.3</v>
      </c>
      <c r="Q56" s="5">
        <v>27221.119999999999</v>
      </c>
      <c r="T56" s="99">
        <f>O56-N56</f>
        <v>545.54</v>
      </c>
      <c r="U56" s="4">
        <f>IF(N56=0,0,O56/N56-1)</f>
        <v>0.16502710420599187</v>
      </c>
      <c r="AB56" s="17">
        <v>155849.13</v>
      </c>
      <c r="AC56" s="17">
        <v>162256.34</v>
      </c>
      <c r="AD56" s="4">
        <f>AC56/AB56-1</f>
        <v>4.1111618653244975E-2</v>
      </c>
      <c r="AF56" s="18">
        <v>12448</v>
      </c>
      <c r="AG56" s="18">
        <v>12466</v>
      </c>
      <c r="AI56" s="25">
        <v>0.37009999999999998</v>
      </c>
      <c r="AJ56" s="25">
        <v>0.37979999999999997</v>
      </c>
    </row>
    <row r="57" spans="1:36" ht="13.9" customHeight="1">
      <c r="A57" s="36" t="s">
        <v>1426</v>
      </c>
      <c r="B57" s="36" t="s">
        <v>1427</v>
      </c>
      <c r="C57">
        <v>662</v>
      </c>
      <c r="E57" s="36" t="s">
        <v>1427</v>
      </c>
      <c r="F57">
        <v>863</v>
      </c>
      <c r="G57" t="b">
        <f>IF(B57=E57,TRUE,FALSE)</f>
        <v>1</v>
      </c>
      <c r="J57">
        <f>F57-C57</f>
        <v>201</v>
      </c>
      <c r="K57" s="4">
        <f>F57/C57-1</f>
        <v>0.3036253776435045</v>
      </c>
      <c r="L57" s="4"/>
      <c r="N57" s="5">
        <v>1352.63</v>
      </c>
      <c r="O57" s="5">
        <v>1771.13</v>
      </c>
      <c r="Q57" s="5">
        <v>9342.73</v>
      </c>
      <c r="T57" s="99">
        <f>O57-N57</f>
        <v>418.5</v>
      </c>
      <c r="U57" s="4">
        <f>IF(N57=0,0,O57/N57-1)</f>
        <v>0.30939724832363624</v>
      </c>
      <c r="AB57" s="17">
        <v>15878.26</v>
      </c>
      <c r="AC57" s="17">
        <v>19015.13</v>
      </c>
      <c r="AD57" s="4">
        <f>AC57/AB57-1</f>
        <v>0.19755754093962441</v>
      </c>
      <c r="AF57" s="18">
        <v>3380</v>
      </c>
      <c r="AG57" s="18">
        <v>4666</v>
      </c>
      <c r="AI57" s="25">
        <v>0.19640000000000002</v>
      </c>
      <c r="AJ57" s="25">
        <v>0.18390000000000001</v>
      </c>
    </row>
    <row r="58" spans="1:36" ht="13.9" customHeight="1">
      <c r="A58" s="127" t="s">
        <v>1428</v>
      </c>
      <c r="B58" s="127" t="s">
        <v>1429</v>
      </c>
      <c r="C58">
        <v>459</v>
      </c>
      <c r="E58" s="127" t="s">
        <v>1429</v>
      </c>
      <c r="F58">
        <v>685</v>
      </c>
      <c r="G58" t="b">
        <f>IF(B58=E58,TRUE,FALSE)</f>
        <v>1</v>
      </c>
      <c r="J58">
        <f>F58-C58</f>
        <v>226</v>
      </c>
      <c r="K58" s="4">
        <f>F58/C58-1</f>
        <v>0.49237472766884527</v>
      </c>
      <c r="L58" s="4"/>
      <c r="N58" s="5">
        <v>109.37</v>
      </c>
      <c r="O58" s="5">
        <v>275.73</v>
      </c>
      <c r="Q58" s="5">
        <v>4011.01</v>
      </c>
      <c r="T58" s="99">
        <f>O58-N58</f>
        <v>166.36</v>
      </c>
      <c r="U58" s="4">
        <f>IF(N58=0,0,O58/N58-1)</f>
        <v>1.5210752491542472</v>
      </c>
      <c r="AB58" s="17">
        <v>17891.34</v>
      </c>
      <c r="AC58" s="17">
        <v>24686.39</v>
      </c>
      <c r="AD58" s="4">
        <f>AC58/AB58-1</f>
        <v>0.37979547647073941</v>
      </c>
      <c r="AF58" s="18">
        <v>959</v>
      </c>
      <c r="AG58" s="18">
        <v>1490</v>
      </c>
      <c r="AI58" s="25">
        <v>0.4703</v>
      </c>
      <c r="AJ58" s="25">
        <v>0.45909999999999995</v>
      </c>
    </row>
    <row r="59" spans="1:36" ht="13.9" customHeight="1">
      <c r="A59" t="s">
        <v>1430</v>
      </c>
      <c r="B59" t="s">
        <v>1431</v>
      </c>
      <c r="C59">
        <v>2673</v>
      </c>
      <c r="E59" t="s">
        <v>1431</v>
      </c>
      <c r="F59">
        <v>2905</v>
      </c>
      <c r="G59" t="b">
        <f>IF(B59=E59,TRUE,FALSE)</f>
        <v>1</v>
      </c>
      <c r="J59">
        <f>F59-C59</f>
        <v>232</v>
      </c>
      <c r="K59" s="4">
        <f>F59/C59-1</f>
        <v>8.6793864571642398E-2</v>
      </c>
      <c r="L59" s="6"/>
      <c r="N59" s="5">
        <v>3599.6</v>
      </c>
      <c r="O59" s="5">
        <v>3193.43</v>
      </c>
      <c r="Q59" s="5">
        <v>16272.65</v>
      </c>
      <c r="T59" s="99">
        <f>O59-N59</f>
        <v>-406.17000000000007</v>
      </c>
      <c r="U59" s="4">
        <f>IF(N59=0,0,O59/N59-1)</f>
        <v>-0.11283753750416714</v>
      </c>
      <c r="AB59" s="17">
        <v>66682.850000000006</v>
      </c>
      <c r="AC59" s="17">
        <v>72468</v>
      </c>
      <c r="AD59" s="4">
        <f>AC59/AB59-1</f>
        <v>8.6756189934893202E-2</v>
      </c>
      <c r="AF59" s="18">
        <v>8090</v>
      </c>
      <c r="AG59" s="18">
        <v>7420</v>
      </c>
      <c r="AI59" s="25">
        <v>0.33049999999999996</v>
      </c>
      <c r="AJ59" s="25">
        <v>0.38979999999999998</v>
      </c>
    </row>
    <row r="60" spans="1:36" ht="13.9" customHeight="1">
      <c r="A60" t="s">
        <v>1432</v>
      </c>
      <c r="B60" t="s">
        <v>1433</v>
      </c>
      <c r="C60">
        <v>685</v>
      </c>
      <c r="E60" t="s">
        <v>1433</v>
      </c>
      <c r="F60">
        <v>925</v>
      </c>
      <c r="G60" t="b">
        <f>IF(B60=E60,TRUE,FALSE)</f>
        <v>1</v>
      </c>
      <c r="J60">
        <f>F60-C60</f>
        <v>240</v>
      </c>
      <c r="K60" s="4">
        <f>F60/C60-1</f>
        <v>0.35036496350364965</v>
      </c>
      <c r="L60" s="4"/>
      <c r="N60" s="5">
        <v>635.62</v>
      </c>
      <c r="O60" s="5">
        <v>1022.49</v>
      </c>
      <c r="Q60" s="5">
        <v>5506.9</v>
      </c>
      <c r="T60" s="99">
        <f>O60-N60</f>
        <v>386.87</v>
      </c>
      <c r="U60" s="4">
        <f>IF(N60=0,0,O60/N60-1)</f>
        <v>0.60864982222082387</v>
      </c>
      <c r="AB60" s="17">
        <v>15035.53</v>
      </c>
      <c r="AC60" s="17">
        <v>17915.37</v>
      </c>
      <c r="AD60" s="4">
        <f>AC60/AB60-1</f>
        <v>0.19153564922553423</v>
      </c>
      <c r="AF60" s="18">
        <v>1940</v>
      </c>
      <c r="AG60" s="18">
        <v>2841</v>
      </c>
      <c r="AI60" s="25">
        <v>0.35460000000000003</v>
      </c>
      <c r="AJ60" s="25">
        <v>0.32520000000000004</v>
      </c>
    </row>
    <row r="61" spans="1:36" ht="13.9" customHeight="1">
      <c r="A61" t="s">
        <v>1434</v>
      </c>
      <c r="B61" t="s">
        <v>1435</v>
      </c>
      <c r="C61">
        <v>878</v>
      </c>
      <c r="E61" t="s">
        <v>1435</v>
      </c>
      <c r="F61">
        <v>1147</v>
      </c>
      <c r="G61" t="b">
        <f>IF(B61=E61,TRUE,FALSE)</f>
        <v>1</v>
      </c>
      <c r="J61">
        <f>F61-C61</f>
        <v>269</v>
      </c>
      <c r="K61" s="4">
        <f>F61/C61-1</f>
        <v>0.30637813211845111</v>
      </c>
      <c r="L61" s="4"/>
      <c r="N61" s="5">
        <v>737.25</v>
      </c>
      <c r="O61" s="5">
        <v>955.01</v>
      </c>
      <c r="Q61" s="5">
        <v>4249.6000000000004</v>
      </c>
      <c r="T61" s="99">
        <f>O61-N61</f>
        <v>217.76</v>
      </c>
      <c r="U61" s="4">
        <f>IF(N61=0,0,O61/N61-1)</f>
        <v>0.29536792132926415</v>
      </c>
      <c r="AB61" s="17">
        <v>17538.5</v>
      </c>
      <c r="AC61" s="17">
        <v>21576.73</v>
      </c>
      <c r="AD61" s="4">
        <f>AC61/AB61-1</f>
        <v>0.23024945120734386</v>
      </c>
      <c r="AF61" s="18">
        <v>2572</v>
      </c>
      <c r="AG61" s="18">
        <v>3410</v>
      </c>
      <c r="AI61" s="25">
        <v>0.34289999999999998</v>
      </c>
      <c r="AJ61" s="25">
        <v>0.33579999999999999</v>
      </c>
    </row>
    <row r="62" spans="1:36" ht="14.25" customHeight="1">
      <c r="A62" t="s">
        <v>1436</v>
      </c>
      <c r="B62" t="s">
        <v>1437</v>
      </c>
      <c r="C62">
        <v>773</v>
      </c>
      <c r="E62" t="s">
        <v>1437</v>
      </c>
      <c r="F62">
        <v>1052</v>
      </c>
      <c r="G62" t="b">
        <f>IF(B62=E62,TRUE,FALSE)</f>
        <v>1</v>
      </c>
      <c r="J62">
        <f>F62-C62</f>
        <v>279</v>
      </c>
      <c r="K62" s="4">
        <f>F62/C62-1</f>
        <v>0.36093143596377741</v>
      </c>
      <c r="L62" s="4"/>
      <c r="N62" s="5">
        <v>678.24</v>
      </c>
      <c r="O62" s="5">
        <v>747.66</v>
      </c>
      <c r="Q62" s="5">
        <v>4900.74</v>
      </c>
      <c r="T62" s="99">
        <f>O62-N62</f>
        <v>69.419999999999959</v>
      </c>
      <c r="U62" s="4" t="e">
        <f>IF(#REF!=0,0,O62/#REF!-1)</f>
        <v>#REF!</v>
      </c>
      <c r="AB62" s="17">
        <v>18515.48</v>
      </c>
      <c r="AC62" s="17">
        <v>25108.89</v>
      </c>
      <c r="AD62" s="4">
        <f>AC62/AB62-1</f>
        <v>0.35610256930957229</v>
      </c>
      <c r="AF62" s="18">
        <v>1856</v>
      </c>
      <c r="AG62" s="18">
        <v>2326</v>
      </c>
      <c r="AI62" s="25">
        <v>0.41920000000000002</v>
      </c>
      <c r="AJ62" s="25">
        <v>0.45100000000000001</v>
      </c>
    </row>
    <row r="63" spans="1:36" ht="13.9" customHeight="1">
      <c r="A63" s="39" t="s">
        <v>1438</v>
      </c>
      <c r="B63" s="36" t="s">
        <v>1439</v>
      </c>
      <c r="C63">
        <v>1655</v>
      </c>
      <c r="E63" s="36" t="s">
        <v>1439</v>
      </c>
      <c r="F63">
        <v>1937</v>
      </c>
      <c r="G63" t="b">
        <f>IF(B63=E63,TRUE,FALSE)</f>
        <v>1</v>
      </c>
      <c r="J63">
        <f>F63-C63</f>
        <v>282</v>
      </c>
      <c r="K63" s="4">
        <f>F63/C63-1</f>
        <v>0.17039274924471304</v>
      </c>
      <c r="L63" s="4"/>
      <c r="N63" s="5">
        <v>2081.36</v>
      </c>
      <c r="O63" s="5">
        <v>2977.51</v>
      </c>
      <c r="Q63" s="5">
        <v>9821.4599999999991</v>
      </c>
      <c r="T63" s="99">
        <f>O63-N63</f>
        <v>896.15000000000009</v>
      </c>
      <c r="U63" s="4">
        <f>IF(N64=0,0,O63/N64-1)</f>
        <v>2.6118611788395989</v>
      </c>
      <c r="AB63" s="17">
        <v>36387.949999999997</v>
      </c>
      <c r="AC63" s="17">
        <v>44275.95</v>
      </c>
      <c r="AD63" s="4">
        <f>AC63/AB63-1</f>
        <v>0.21677505877632575</v>
      </c>
      <c r="AF63" s="18">
        <v>7819</v>
      </c>
      <c r="AG63" s="18">
        <v>8384</v>
      </c>
      <c r="AI63" s="25">
        <v>0.21149999999999999</v>
      </c>
      <c r="AJ63" s="25">
        <v>0.23</v>
      </c>
    </row>
    <row r="64" spans="1:36" ht="13.9" customHeight="1">
      <c r="A64" t="s">
        <v>1440</v>
      </c>
      <c r="B64" t="s">
        <v>1441</v>
      </c>
      <c r="C64">
        <v>735</v>
      </c>
      <c r="E64" t="s">
        <v>1441</v>
      </c>
      <c r="F64">
        <v>1022</v>
      </c>
      <c r="G64" t="b">
        <f>IF(B64=E64,TRUE,FALSE)</f>
        <v>1</v>
      </c>
      <c r="J64">
        <f>F64-C64</f>
        <v>287</v>
      </c>
      <c r="K64" s="4">
        <f>F64/C64-1</f>
        <v>0.39047619047619042</v>
      </c>
      <c r="N64" s="5">
        <v>824.37</v>
      </c>
      <c r="O64" s="5">
        <v>1622.07</v>
      </c>
      <c r="Q64" s="5">
        <v>5765.2</v>
      </c>
      <c r="T64" s="99">
        <f>O64-N64</f>
        <v>797.69999999999993</v>
      </c>
      <c r="U64" s="4">
        <f>IF(N64=0,0,O64/N64-1)</f>
        <v>0.96764802212598711</v>
      </c>
      <c r="AB64" s="17">
        <v>14660.25</v>
      </c>
      <c r="AC64" s="17">
        <v>17886.169999999998</v>
      </c>
      <c r="AD64" s="4">
        <f>AC64/AB64-1</f>
        <v>0.22004536075442083</v>
      </c>
      <c r="AF64" s="18">
        <v>2486</v>
      </c>
      <c r="AG64" s="18">
        <v>3641</v>
      </c>
      <c r="AI64" s="25">
        <v>0.29609999999999997</v>
      </c>
      <c r="AJ64" s="25">
        <v>0.28010000000000002</v>
      </c>
    </row>
    <row r="65" spans="1:36">
      <c r="A65" t="s">
        <v>1442</v>
      </c>
      <c r="B65" t="s">
        <v>1443</v>
      </c>
      <c r="C65">
        <v>502</v>
      </c>
      <c r="E65" t="s">
        <v>1443</v>
      </c>
      <c r="F65">
        <v>793</v>
      </c>
      <c r="G65" t="b">
        <f>IF(B65=E65,TRUE,FALSE)</f>
        <v>1</v>
      </c>
      <c r="J65">
        <f>F65-C65</f>
        <v>291</v>
      </c>
      <c r="K65" s="4">
        <f>F65/C65-1</f>
        <v>0.57968127490039834</v>
      </c>
      <c r="L65" s="6"/>
      <c r="N65" s="5">
        <v>1072.6400000000001</v>
      </c>
      <c r="O65" s="5">
        <v>2023.33</v>
      </c>
      <c r="Q65" s="5">
        <v>9667.44</v>
      </c>
      <c r="T65" s="99">
        <f>O65-N65</f>
        <v>950.68999999999983</v>
      </c>
      <c r="U65" s="4">
        <f>IF(N65=0,0,O65/N65-1)</f>
        <v>0.88630854713603791</v>
      </c>
      <c r="AB65" s="17">
        <v>11034.58</v>
      </c>
      <c r="AC65" s="17">
        <v>17432.57</v>
      </c>
      <c r="AD65" s="4">
        <f>AC65/AB65-1</f>
        <v>0.57981273415028034</v>
      </c>
      <c r="AF65" s="18">
        <v>1491</v>
      </c>
      <c r="AG65" s="18">
        <v>2409</v>
      </c>
      <c r="AI65" s="25">
        <v>0.33939999999999998</v>
      </c>
      <c r="AJ65" s="25">
        <v>0.32880000000000004</v>
      </c>
    </row>
    <row r="66" spans="1:36">
      <c r="A66" t="s">
        <v>1444</v>
      </c>
      <c r="B66" t="s">
        <v>1445</v>
      </c>
      <c r="C66">
        <v>896</v>
      </c>
      <c r="E66" t="s">
        <v>1445</v>
      </c>
      <c r="F66">
        <v>1196</v>
      </c>
      <c r="G66" t="b">
        <f>IF(B66=E66,TRUE,FALSE)</f>
        <v>1</v>
      </c>
      <c r="J66">
        <f>F66-C66</f>
        <v>300</v>
      </c>
      <c r="K66" s="4">
        <f>F66/C66-1</f>
        <v>0.3348214285714286</v>
      </c>
      <c r="L66" s="4"/>
      <c r="N66" s="5">
        <v>793.08</v>
      </c>
      <c r="O66" s="5">
        <v>1693.8</v>
      </c>
      <c r="Q66" s="5">
        <v>5948.2</v>
      </c>
      <c r="T66" s="99">
        <f>O66-N66</f>
        <v>900.71999999999991</v>
      </c>
      <c r="U66" s="4">
        <f>IF(N66=0,0,O66/N66-1)</f>
        <v>1.1357240127099408</v>
      </c>
      <c r="AB66" s="17">
        <v>22386.54</v>
      </c>
      <c r="AC66" s="17">
        <v>26446.04</v>
      </c>
      <c r="AD66" s="4">
        <f>AC66/AB66-1</f>
        <v>0.18133664246462389</v>
      </c>
      <c r="AF66" s="18">
        <v>2944</v>
      </c>
      <c r="AG66" s="18">
        <v>4623</v>
      </c>
      <c r="AI66" s="25">
        <v>0.30159999999999998</v>
      </c>
      <c r="AJ66" s="25">
        <v>0.25650000000000001</v>
      </c>
    </row>
    <row r="67" spans="1:36">
      <c r="A67" t="s">
        <v>1446</v>
      </c>
      <c r="B67" t="s">
        <v>1447</v>
      </c>
      <c r="C67">
        <v>892</v>
      </c>
      <c r="E67" t="s">
        <v>1447</v>
      </c>
      <c r="F67">
        <v>1194</v>
      </c>
      <c r="G67" t="b">
        <f>IF(B67=E67,TRUE,FALSE)</f>
        <v>1</v>
      </c>
      <c r="J67">
        <f>F67-C67</f>
        <v>302</v>
      </c>
      <c r="K67" s="4">
        <f>F67/C67-1</f>
        <v>0.33856502242152464</v>
      </c>
      <c r="L67" s="4"/>
      <c r="N67" s="5">
        <v>2250.62</v>
      </c>
      <c r="O67" s="5">
        <v>2918.31</v>
      </c>
      <c r="Q67" s="5">
        <v>11270.66</v>
      </c>
      <c r="T67" s="99">
        <f>O67-N67</f>
        <v>667.69</v>
      </c>
      <c r="U67" s="4">
        <f>IF(N67=0,0,O67/N67-1)</f>
        <v>0.29666936222018836</v>
      </c>
      <c r="AB67" s="17">
        <v>26745.98</v>
      </c>
      <c r="AC67" s="17">
        <v>31497.66</v>
      </c>
      <c r="AD67" s="4">
        <f>AC67/AB67-1</f>
        <v>0.17765959594675529</v>
      </c>
      <c r="AF67" s="18">
        <v>4953</v>
      </c>
      <c r="AG67" s="18">
        <v>6242</v>
      </c>
      <c r="AI67" s="25">
        <v>0.18739999999999998</v>
      </c>
      <c r="AJ67" s="25">
        <v>0.18899999999999997</v>
      </c>
    </row>
    <row r="68" spans="1:36">
      <c r="A68" t="s">
        <v>1448</v>
      </c>
      <c r="B68" t="s">
        <v>1449</v>
      </c>
      <c r="C68">
        <v>1078</v>
      </c>
      <c r="E68" t="s">
        <v>1449</v>
      </c>
      <c r="F68">
        <v>1398</v>
      </c>
      <c r="G68" t="b">
        <f>IF(B68=E68,TRUE,FALSE)</f>
        <v>1</v>
      </c>
      <c r="J68">
        <f>F68-C68</f>
        <v>320</v>
      </c>
      <c r="K68" s="4">
        <f>F68/C68-1</f>
        <v>0.29684601113172548</v>
      </c>
      <c r="L68" s="4"/>
      <c r="N68" s="5">
        <v>83.9</v>
      </c>
      <c r="O68" s="5">
        <v>815.65</v>
      </c>
      <c r="Q68" s="5">
        <v>5911</v>
      </c>
      <c r="T68" s="99">
        <f>O68-N68</f>
        <v>731.75</v>
      </c>
      <c r="U68" s="4">
        <f>IF(N68=0,0,O68/N68-1)</f>
        <v>8.7216924910607858</v>
      </c>
      <c r="AB68" s="17">
        <v>23701.040000000001</v>
      </c>
      <c r="AC68" s="17">
        <v>26400.98</v>
      </c>
      <c r="AD68" s="4">
        <f>AC68/AB68-1</f>
        <v>0.11391652011894826</v>
      </c>
      <c r="AF68" s="18">
        <v>2996</v>
      </c>
      <c r="AG68" s="18">
        <v>5889</v>
      </c>
      <c r="AI68" s="25">
        <v>0.24170000000000003</v>
      </c>
      <c r="AJ68" s="25">
        <v>0.23719999999999999</v>
      </c>
    </row>
    <row r="69" spans="1:36">
      <c r="A69" s="36" t="s">
        <v>1450</v>
      </c>
      <c r="B69" s="36" t="s">
        <v>1451</v>
      </c>
      <c r="C69">
        <v>591</v>
      </c>
      <c r="E69" s="36" t="s">
        <v>1451</v>
      </c>
      <c r="F69">
        <v>917</v>
      </c>
      <c r="G69" t="b">
        <f>IF(B69=E69,TRUE,FALSE)</f>
        <v>1</v>
      </c>
      <c r="J69">
        <f>F69-C69</f>
        <v>326</v>
      </c>
      <c r="K69" s="4">
        <f>F69/C69-1</f>
        <v>0.55160744500846026</v>
      </c>
      <c r="L69" s="4"/>
      <c r="N69" s="5">
        <v>1729.16</v>
      </c>
      <c r="O69" s="5">
        <v>2323.89</v>
      </c>
      <c r="Q69" s="5">
        <v>13168.43</v>
      </c>
      <c r="T69" s="99">
        <f>O69-N69</f>
        <v>594.72999999999979</v>
      </c>
      <c r="U69" s="4">
        <f>IF(N69=0,0,O69/N69-1)</f>
        <v>0.34394156700363165</v>
      </c>
      <c r="AB69" s="17">
        <v>14765.84</v>
      </c>
      <c r="AC69" s="17">
        <v>20958.830000000002</v>
      </c>
      <c r="AD69" s="4">
        <f>AC69/AB69-1</f>
        <v>0.41941332155840794</v>
      </c>
      <c r="AF69" s="18">
        <v>2795</v>
      </c>
      <c r="AG69" s="18">
        <v>4217</v>
      </c>
      <c r="AI69" s="25">
        <v>0.21249999999999999</v>
      </c>
      <c r="AJ69" s="25">
        <v>0.217</v>
      </c>
    </row>
    <row r="70" spans="1:36">
      <c r="A70" s="39" t="s">
        <v>1452</v>
      </c>
      <c r="B70" s="26" t="s">
        <v>1453</v>
      </c>
      <c r="C70">
        <v>1229</v>
      </c>
      <c r="E70" s="26" t="s">
        <v>1453</v>
      </c>
      <c r="F70">
        <v>1570</v>
      </c>
      <c r="G70" t="b">
        <f>IF(B70=E70,TRUE,FALSE)</f>
        <v>1</v>
      </c>
      <c r="J70">
        <f>F70-C70</f>
        <v>341</v>
      </c>
      <c r="K70" s="4">
        <f>F70/C70-1</f>
        <v>0.27746135069161926</v>
      </c>
      <c r="L70" s="4"/>
      <c r="N70" s="5">
        <v>3216.05</v>
      </c>
      <c r="O70" s="5">
        <v>3428.33</v>
      </c>
      <c r="Q70" s="5">
        <v>18373.61</v>
      </c>
      <c r="T70" s="99">
        <f>O70-N70</f>
        <v>212.27999999999975</v>
      </c>
      <c r="U70" s="4">
        <f>IF(N71=0,0,O70/N71-1)</f>
        <v>2.0871393581385296</v>
      </c>
      <c r="AB70" s="17">
        <v>29477.71</v>
      </c>
      <c r="AC70" s="17">
        <v>37632.870000000003</v>
      </c>
      <c r="AD70" s="4">
        <f>AC70/AB70-1</f>
        <v>0.27665514044340633</v>
      </c>
      <c r="AF70" s="18">
        <v>5955</v>
      </c>
      <c r="AG70" s="18">
        <v>6141</v>
      </c>
      <c r="AI70" s="25">
        <v>0.20670000000000002</v>
      </c>
      <c r="AJ70" s="25">
        <v>0.25440000000000002</v>
      </c>
    </row>
    <row r="71" spans="1:36">
      <c r="A71" t="s">
        <v>1454</v>
      </c>
      <c r="B71" t="s">
        <v>1455</v>
      </c>
      <c r="C71">
        <v>705</v>
      </c>
      <c r="E71" t="s">
        <v>1455</v>
      </c>
      <c r="F71">
        <v>1055</v>
      </c>
      <c r="G71" t="b">
        <f>IF(B71=E71,TRUE,FALSE)</f>
        <v>1</v>
      </c>
      <c r="J71">
        <f>F71-C71</f>
        <v>350</v>
      </c>
      <c r="K71" s="4">
        <f>F71/C71-1</f>
        <v>0.49645390070921991</v>
      </c>
      <c r="N71" s="5">
        <v>1110.52</v>
      </c>
      <c r="O71" s="5">
        <v>2169.56</v>
      </c>
      <c r="Q71" s="5">
        <v>9122.36</v>
      </c>
      <c r="T71" s="99">
        <f>O71-N71</f>
        <v>1059.04</v>
      </c>
      <c r="U71" s="4">
        <f>IF(N71=0,0,O71/N71-1)</f>
        <v>0.95364333825595216</v>
      </c>
      <c r="X71" s="5"/>
      <c r="Y71" s="5"/>
      <c r="Z71" s="5"/>
      <c r="AA71" s="16"/>
      <c r="AB71" s="17">
        <v>16909.59</v>
      </c>
      <c r="AC71" s="17">
        <v>23903.29</v>
      </c>
      <c r="AD71" s="4">
        <f>AC71/AB71-1</f>
        <v>0.41359370629329284</v>
      </c>
      <c r="AF71" s="18">
        <v>4194</v>
      </c>
      <c r="AG71" s="18">
        <v>6637</v>
      </c>
      <c r="AI71" s="25">
        <v>0.16829999999999998</v>
      </c>
      <c r="AJ71" s="25">
        <v>0.1588</v>
      </c>
    </row>
    <row r="72" spans="1:36">
      <c r="A72" t="s">
        <v>1456</v>
      </c>
      <c r="B72" t="s">
        <v>1457</v>
      </c>
      <c r="C72">
        <v>1125</v>
      </c>
      <c r="E72" t="s">
        <v>1457</v>
      </c>
      <c r="F72">
        <v>1479</v>
      </c>
      <c r="G72" t="b">
        <f>IF(B72=E72,TRUE,FALSE)</f>
        <v>1</v>
      </c>
      <c r="J72">
        <f>F72-C72</f>
        <v>354</v>
      </c>
      <c r="K72" s="4">
        <f>F72/C72-1</f>
        <v>0.31466666666666665</v>
      </c>
      <c r="L72" s="4"/>
      <c r="N72" s="5">
        <v>461.95</v>
      </c>
      <c r="O72" s="5">
        <v>1069.8399999999999</v>
      </c>
      <c r="Q72" s="5">
        <v>6773.13</v>
      </c>
      <c r="T72" s="99">
        <f>O72-N72</f>
        <v>607.88999999999987</v>
      </c>
      <c r="U72" s="4">
        <f>IF(N72=0,0,O72/N72-1)</f>
        <v>1.3159216365407511</v>
      </c>
      <c r="X72" t="s">
        <v>1458</v>
      </c>
      <c r="AB72" s="17">
        <v>26941.11</v>
      </c>
      <c r="AC72" s="17">
        <v>32732.7</v>
      </c>
      <c r="AD72" s="4">
        <f>AC72/AB72-1</f>
        <v>0.21497221161266178</v>
      </c>
      <c r="AF72" s="18">
        <v>2096</v>
      </c>
      <c r="AG72" s="18">
        <v>3196</v>
      </c>
      <c r="AI72" s="25">
        <v>0.53720000000000001</v>
      </c>
      <c r="AJ72" s="25">
        <v>0.46179999999999999</v>
      </c>
    </row>
    <row r="73" spans="1:36">
      <c r="A73" t="s">
        <v>1459</v>
      </c>
      <c r="B73" t="s">
        <v>1460</v>
      </c>
      <c r="C73">
        <v>1194</v>
      </c>
      <c r="E73" t="s">
        <v>1460</v>
      </c>
      <c r="F73">
        <v>1556</v>
      </c>
      <c r="G73" t="b">
        <f>IF(B73=E73,TRUE,FALSE)</f>
        <v>1</v>
      </c>
      <c r="J73">
        <f>F73-C73</f>
        <v>362</v>
      </c>
      <c r="K73" s="4">
        <f>F73/C73-1</f>
        <v>0.30318257956448913</v>
      </c>
      <c r="L73" s="4"/>
      <c r="N73" s="5">
        <v>2198.34</v>
      </c>
      <c r="O73" s="5">
        <v>2611.15</v>
      </c>
      <c r="Q73" s="5">
        <v>11045.31</v>
      </c>
      <c r="T73" s="99">
        <f>O73-N73</f>
        <v>412.80999999999995</v>
      </c>
      <c r="U73" s="4">
        <f>IF(N73=0,0,O73/N73-1)</f>
        <v>0.18778259959787835</v>
      </c>
      <c r="AB73" s="17">
        <v>23816.9</v>
      </c>
      <c r="AC73" s="17">
        <v>31010.02</v>
      </c>
      <c r="AD73" s="4">
        <f>AC73/AB73-1</f>
        <v>0.3020174749862492</v>
      </c>
      <c r="AF73" s="18">
        <v>3355</v>
      </c>
      <c r="AG73" s="18">
        <v>4295</v>
      </c>
      <c r="AI73" s="25">
        <v>0.35680000000000001</v>
      </c>
      <c r="AJ73" s="25">
        <v>0.3604</v>
      </c>
    </row>
    <row r="74" spans="1:36">
      <c r="A74" t="s">
        <v>1461</v>
      </c>
      <c r="B74" t="s">
        <v>1462</v>
      </c>
      <c r="C74">
        <v>1798</v>
      </c>
      <c r="E74" t="s">
        <v>1462</v>
      </c>
      <c r="F74">
        <v>2163</v>
      </c>
      <c r="G74" t="b">
        <f>IF(B74=E74,TRUE,FALSE)</f>
        <v>1</v>
      </c>
      <c r="J74">
        <f>F74-C74</f>
        <v>365</v>
      </c>
      <c r="K74" s="4">
        <f>F74/C74-1</f>
        <v>0.20300333704115681</v>
      </c>
      <c r="L74" s="4"/>
      <c r="N74" s="5">
        <v>1700.85</v>
      </c>
      <c r="O74" s="5">
        <v>2216.63</v>
      </c>
      <c r="Q74" s="5">
        <v>12291.64</v>
      </c>
      <c r="T74" s="99">
        <f>O74-N74</f>
        <v>515.7800000000002</v>
      </c>
      <c r="U74" s="4">
        <f>IF(N74=0,0,O74/N74-1)</f>
        <v>0.30324837581209407</v>
      </c>
      <c r="AB74" s="17">
        <v>43128.26</v>
      </c>
      <c r="AC74" s="17">
        <v>48518.37</v>
      </c>
      <c r="AD74" s="4">
        <f>AC74/AB74-1</f>
        <v>0.1249786103125885</v>
      </c>
      <c r="AF74" s="18">
        <v>4729</v>
      </c>
      <c r="AG74" s="18">
        <v>5852</v>
      </c>
      <c r="AI74" s="25">
        <v>0.38040000000000002</v>
      </c>
      <c r="AJ74" s="25">
        <v>0.36840000000000006</v>
      </c>
    </row>
    <row r="75" spans="1:36">
      <c r="A75" s="39" t="s">
        <v>1463</v>
      </c>
      <c r="B75" s="36" t="s">
        <v>1464</v>
      </c>
      <c r="C75">
        <v>710</v>
      </c>
      <c r="E75" s="36" t="s">
        <v>1464</v>
      </c>
      <c r="F75">
        <v>1084</v>
      </c>
      <c r="G75" t="b">
        <f>IF(B75=E75,TRUE,FALSE)</f>
        <v>1</v>
      </c>
      <c r="J75">
        <f>F75-C75</f>
        <v>374</v>
      </c>
      <c r="K75" s="4">
        <f>F75/C75-1</f>
        <v>0.52676056338028165</v>
      </c>
      <c r="L75" s="4"/>
      <c r="N75" s="5">
        <v>1544.23</v>
      </c>
      <c r="O75" s="5">
        <v>2416.92</v>
      </c>
      <c r="Q75" s="5">
        <v>13651.61</v>
      </c>
      <c r="T75" s="99">
        <f>O75-N75</f>
        <v>872.69</v>
      </c>
      <c r="U75" s="4">
        <f>IF(N75=0,0,O75/N75-1)</f>
        <v>0.56512954676440685</v>
      </c>
      <c r="AB75" s="17">
        <v>16530.900000000001</v>
      </c>
      <c r="AC75" s="17">
        <v>24822.41</v>
      </c>
      <c r="AD75" s="4">
        <f>AC75/AB75-1</f>
        <v>0.50157644169403959</v>
      </c>
      <c r="AF75" s="18">
        <v>3349</v>
      </c>
      <c r="AG75" s="18">
        <v>4363</v>
      </c>
      <c r="AI75" s="25">
        <v>0.21230000000000002</v>
      </c>
      <c r="AJ75" s="25">
        <v>0.24850000000000003</v>
      </c>
    </row>
    <row r="76" spans="1:36">
      <c r="A76" s="39" t="s">
        <v>1465</v>
      </c>
      <c r="B76" s="36" t="s">
        <v>1466</v>
      </c>
      <c r="C76" s="18">
        <v>37</v>
      </c>
      <c r="E76" s="36" t="s">
        <v>1466</v>
      </c>
      <c r="F76" s="18">
        <v>421</v>
      </c>
      <c r="G76" t="b">
        <f>IF(B76=E76,TRUE,FALSE)</f>
        <v>1</v>
      </c>
      <c r="J76">
        <f>F76-C76</f>
        <v>384</v>
      </c>
      <c r="K76" s="4">
        <f>F76/C76-1</f>
        <v>10.378378378378379</v>
      </c>
      <c r="L76" s="4"/>
      <c r="N76" s="5">
        <v>51.97</v>
      </c>
      <c r="O76" s="5">
        <v>1723.95</v>
      </c>
      <c r="Q76" s="5">
        <v>9868.18</v>
      </c>
      <c r="U76" s="4"/>
      <c r="AB76" s="17">
        <v>924.63</v>
      </c>
      <c r="AC76" s="17">
        <v>8764.7900000000009</v>
      </c>
      <c r="AD76" s="4">
        <f>AC76/AB76-1</f>
        <v>8.4792403447865645</v>
      </c>
      <c r="AF76">
        <v>138</v>
      </c>
      <c r="AG76">
        <v>2295</v>
      </c>
      <c r="AI76" s="25">
        <v>0.2681</v>
      </c>
      <c r="AJ76" s="25">
        <v>0.18340000000000001</v>
      </c>
    </row>
    <row r="77" spans="1:36">
      <c r="A77" t="s">
        <v>1467</v>
      </c>
      <c r="B77" t="s">
        <v>1468</v>
      </c>
      <c r="C77">
        <v>2415</v>
      </c>
      <c r="E77" t="s">
        <v>1468</v>
      </c>
      <c r="F77">
        <v>2808</v>
      </c>
      <c r="G77" t="b">
        <f>IF(B77=E77,TRUE,FALSE)</f>
        <v>1</v>
      </c>
      <c r="J77">
        <f>F77-C77</f>
        <v>393</v>
      </c>
      <c r="K77" s="4">
        <f>F77/C77-1</f>
        <v>0.16273291925465849</v>
      </c>
      <c r="L77" s="4"/>
      <c r="N77" s="5">
        <v>1699.2</v>
      </c>
      <c r="O77" s="5">
        <v>2440.14</v>
      </c>
      <c r="Q77" s="5">
        <v>15514.14</v>
      </c>
      <c r="T77" s="99">
        <f>O77-N77</f>
        <v>740.93999999999983</v>
      </c>
      <c r="U77" s="4">
        <f>IF(N77=0,0,O77/N77-1)</f>
        <v>0.43605225988700558</v>
      </c>
      <c r="AB77" s="17">
        <v>53096.83</v>
      </c>
      <c r="AC77" s="17">
        <v>60409.15</v>
      </c>
      <c r="AD77" s="4">
        <f>AC77/AB77-1</f>
        <v>0.13771669608147974</v>
      </c>
      <c r="AF77" s="18">
        <v>5593</v>
      </c>
      <c r="AG77" s="18">
        <v>7520</v>
      </c>
      <c r="AI77" s="25">
        <v>0.4325</v>
      </c>
      <c r="AJ77" s="25">
        <v>0.3715</v>
      </c>
    </row>
    <row r="78" spans="1:36">
      <c r="A78" t="s">
        <v>1469</v>
      </c>
      <c r="B78" t="s">
        <v>1470</v>
      </c>
      <c r="C78">
        <v>713</v>
      </c>
      <c r="E78" t="s">
        <v>1470</v>
      </c>
      <c r="F78">
        <v>1118</v>
      </c>
      <c r="G78" t="b">
        <f>IF(B78=E78,TRUE,FALSE)</f>
        <v>1</v>
      </c>
      <c r="J78">
        <f>F78-C78</f>
        <v>405</v>
      </c>
      <c r="K78" s="4">
        <f>F78/C78-1</f>
        <v>0.56802244039270677</v>
      </c>
      <c r="L78" s="4"/>
      <c r="N78" s="5">
        <v>1505.32</v>
      </c>
      <c r="O78" s="5">
        <v>2233.1</v>
      </c>
      <c r="Q78" s="5">
        <v>12142.47</v>
      </c>
      <c r="T78" s="99">
        <f>O78-N78</f>
        <v>727.78</v>
      </c>
      <c r="U78" s="4">
        <f>IF(N78=0,0,O78/N78-1)</f>
        <v>0.48347195280737654</v>
      </c>
      <c r="AB78" s="17">
        <v>19184.89</v>
      </c>
      <c r="AC78" s="17">
        <v>26463.279999999999</v>
      </c>
      <c r="AD78" s="4">
        <f>AC78/AB78-1</f>
        <v>0.37938137774050307</v>
      </c>
      <c r="AF78" s="18">
        <v>2524</v>
      </c>
      <c r="AG78" s="18">
        <v>4766</v>
      </c>
      <c r="AI78" s="25">
        <v>0.28489999999999999</v>
      </c>
      <c r="AJ78" s="25">
        <v>0.23440000000000003</v>
      </c>
    </row>
    <row r="79" spans="1:36">
      <c r="A79" t="s">
        <v>1471</v>
      </c>
      <c r="B79" t="s">
        <v>1472</v>
      </c>
      <c r="C79">
        <v>494</v>
      </c>
      <c r="E79" t="s">
        <v>1472</v>
      </c>
      <c r="F79">
        <v>904</v>
      </c>
      <c r="G79" t="b">
        <f>IF(B79=E79,TRUE,FALSE)</f>
        <v>1</v>
      </c>
      <c r="J79">
        <f>F79-C79</f>
        <v>410</v>
      </c>
      <c r="K79" s="4">
        <f>F79/C79-1</f>
        <v>0.82995951417004044</v>
      </c>
      <c r="L79" s="4"/>
      <c r="N79" s="5">
        <v>1253.9100000000001</v>
      </c>
      <c r="O79" s="5">
        <v>1917.42</v>
      </c>
      <c r="Q79" s="5">
        <v>7468.25</v>
      </c>
      <c r="T79" s="99">
        <f>O79-N79</f>
        <v>663.51</v>
      </c>
      <c r="U79" s="4">
        <f>IF(N79=0,0,O79/N79-1)</f>
        <v>0.5291528100102878</v>
      </c>
      <c r="AB79" s="17">
        <v>9341.4</v>
      </c>
      <c r="AC79" s="17">
        <v>14961.97</v>
      </c>
      <c r="AD79" s="4">
        <f>AC79/AB79-1</f>
        <v>0.60168390177061259</v>
      </c>
      <c r="AF79" s="18">
        <v>2272</v>
      </c>
      <c r="AG79" s="18">
        <v>3660</v>
      </c>
      <c r="AI79" s="25">
        <v>0.2157</v>
      </c>
      <c r="AJ79" s="25">
        <v>0.2462</v>
      </c>
    </row>
    <row r="80" spans="1:36">
      <c r="A80" t="s">
        <v>1473</v>
      </c>
      <c r="B80" t="s">
        <v>1474</v>
      </c>
      <c r="C80">
        <v>976</v>
      </c>
      <c r="E80" t="s">
        <v>1474</v>
      </c>
      <c r="F80">
        <v>1394</v>
      </c>
      <c r="G80" t="b">
        <f>IF(B80=E80,TRUE,FALSE)</f>
        <v>1</v>
      </c>
      <c r="J80">
        <f>F80-C80</f>
        <v>418</v>
      </c>
      <c r="K80" s="4">
        <f>F80/C80-1</f>
        <v>0.42827868852459017</v>
      </c>
      <c r="L80" s="4"/>
      <c r="N80" s="5">
        <v>1375.1</v>
      </c>
      <c r="O80" s="5">
        <v>2889.78</v>
      </c>
      <c r="Q80" s="5">
        <v>8125.63</v>
      </c>
      <c r="T80" s="99">
        <f>O80-N80</f>
        <v>1514.6800000000003</v>
      </c>
      <c r="U80" s="4">
        <f>IF(N80=0,0,O80/N80-1)</f>
        <v>1.1015053450658137</v>
      </c>
      <c r="AB80" s="17">
        <v>19507.64</v>
      </c>
      <c r="AC80" s="17">
        <v>24324.46</v>
      </c>
      <c r="AD80" s="4">
        <f>AC80/AB80-1</f>
        <v>0.24691966839658708</v>
      </c>
      <c r="AF80" s="18">
        <v>3224</v>
      </c>
      <c r="AG80" s="18">
        <v>5045</v>
      </c>
      <c r="AI80" s="25">
        <v>0.30210000000000004</v>
      </c>
      <c r="AJ80" s="25">
        <v>0.2757</v>
      </c>
    </row>
    <row r="81" spans="1:36">
      <c r="A81" t="s">
        <v>1475</v>
      </c>
      <c r="B81" t="s">
        <v>1476</v>
      </c>
      <c r="C81">
        <v>642</v>
      </c>
      <c r="E81" t="s">
        <v>1476</v>
      </c>
      <c r="F81">
        <v>1073</v>
      </c>
      <c r="G81" t="b">
        <f>IF(B81=E81,TRUE,FALSE)</f>
        <v>1</v>
      </c>
      <c r="J81">
        <f>F81-C81</f>
        <v>431</v>
      </c>
      <c r="K81" s="4">
        <f>F81/C81-1</f>
        <v>0.67133956386292826</v>
      </c>
      <c r="L81" s="4"/>
      <c r="N81" s="5">
        <v>754.3</v>
      </c>
      <c r="O81" s="5">
        <v>1546.09</v>
      </c>
      <c r="Q81" s="5">
        <v>6243.53</v>
      </c>
      <c r="T81" s="99">
        <f>O81-N81</f>
        <v>791.79</v>
      </c>
      <c r="U81" s="4">
        <f>IF(N81=0,0,O81/N81-1)</f>
        <v>1.0497017101948827</v>
      </c>
      <c r="AB81" s="17">
        <v>12189.49</v>
      </c>
      <c r="AC81" s="17">
        <v>17698.03</v>
      </c>
      <c r="AD81" s="4">
        <f>AC81/AB81-1</f>
        <v>0.45190898060542306</v>
      </c>
      <c r="AF81" s="18">
        <v>2477</v>
      </c>
      <c r="AG81" s="18">
        <v>4024</v>
      </c>
      <c r="AI81" s="25">
        <v>0.25879999999999997</v>
      </c>
      <c r="AJ81" s="25">
        <v>0.26669999999999999</v>
      </c>
    </row>
    <row r="82" spans="1:36">
      <c r="A82" t="s">
        <v>1477</v>
      </c>
      <c r="B82" t="s">
        <v>1478</v>
      </c>
      <c r="C82">
        <v>553</v>
      </c>
      <c r="E82" t="s">
        <v>1478</v>
      </c>
      <c r="F82">
        <v>989</v>
      </c>
      <c r="G82" t="b">
        <f>IF(B82=E82,TRUE,FALSE)</f>
        <v>1</v>
      </c>
      <c r="J82">
        <f>F82-C82</f>
        <v>436</v>
      </c>
      <c r="K82" s="4">
        <f>F82/C82-1</f>
        <v>0.78842676311030746</v>
      </c>
      <c r="L82" s="4"/>
      <c r="N82" s="5">
        <v>663.13</v>
      </c>
      <c r="O82" s="5">
        <v>1632.96</v>
      </c>
      <c r="Q82" s="5">
        <v>8280.74</v>
      </c>
      <c r="T82" s="99">
        <f>O82-N82</f>
        <v>969.83</v>
      </c>
      <c r="U82" s="4">
        <f>IF(N82=0,0,O82/N82-1)</f>
        <v>1.4625035814998566</v>
      </c>
      <c r="AB82" s="17">
        <v>9394.2800000000007</v>
      </c>
      <c r="AC82" s="17">
        <v>14555.16</v>
      </c>
      <c r="AD82" s="4">
        <f>AC82/AB82-1</f>
        <v>0.54936408112170376</v>
      </c>
      <c r="AF82" s="18">
        <v>1913</v>
      </c>
      <c r="AG82" s="18">
        <v>3716</v>
      </c>
      <c r="AI82" s="25">
        <v>0.28910000000000002</v>
      </c>
      <c r="AJ82" s="25">
        <v>0.2656</v>
      </c>
    </row>
    <row r="83" spans="1:36">
      <c r="A83" t="s">
        <v>1479</v>
      </c>
      <c r="B83" t="s">
        <v>1480</v>
      </c>
      <c r="C83">
        <v>1331</v>
      </c>
      <c r="E83" t="s">
        <v>1480</v>
      </c>
      <c r="F83">
        <v>1769</v>
      </c>
      <c r="G83" t="b">
        <f>IF(B83=E83,TRUE,FALSE)</f>
        <v>1</v>
      </c>
      <c r="J83">
        <f>F83-C83</f>
        <v>438</v>
      </c>
      <c r="K83" s="4">
        <f>F83/C83-1</f>
        <v>0.32907588279489097</v>
      </c>
      <c r="L83" s="4"/>
      <c r="N83" s="5">
        <v>1042.79</v>
      </c>
      <c r="O83" s="5">
        <v>2296.31</v>
      </c>
      <c r="Q83" s="5">
        <v>8155.22</v>
      </c>
      <c r="T83" s="99">
        <f>O83-N83</f>
        <v>1253.52</v>
      </c>
      <c r="U83" s="4">
        <f>IF(N83=0,0,O83/N83-1)</f>
        <v>1.2020828738288629</v>
      </c>
      <c r="AB83" s="17">
        <v>30595.09</v>
      </c>
      <c r="AC83" s="17">
        <v>35994.33</v>
      </c>
      <c r="AD83" s="4">
        <f>AC83/AB83-1</f>
        <v>0.1764740682246726</v>
      </c>
      <c r="AF83" s="18">
        <v>2302</v>
      </c>
      <c r="AG83" s="18">
        <v>3159</v>
      </c>
      <c r="AI83" s="25">
        <v>0.57820000000000005</v>
      </c>
      <c r="AJ83" s="25">
        <v>0.55840000000000001</v>
      </c>
    </row>
    <row r="84" spans="1:36">
      <c r="A84" t="s">
        <v>1481</v>
      </c>
      <c r="B84" t="s">
        <v>1482</v>
      </c>
      <c r="C84">
        <v>3301</v>
      </c>
      <c r="E84" t="s">
        <v>1482</v>
      </c>
      <c r="F84">
        <v>3746</v>
      </c>
      <c r="G84" t="b">
        <f>IF(B84=E84,TRUE,FALSE)</f>
        <v>1</v>
      </c>
      <c r="J84">
        <f>F84-C84</f>
        <v>445</v>
      </c>
      <c r="K84" s="4">
        <f>F84/C84-1</f>
        <v>0.13480763405028773</v>
      </c>
      <c r="L84" s="4"/>
      <c r="N84" s="5">
        <v>2008.76</v>
      </c>
      <c r="O84" s="5">
        <v>2581.3000000000002</v>
      </c>
      <c r="Q84" s="5">
        <v>8912</v>
      </c>
      <c r="T84" s="99">
        <f>O84-N84</f>
        <v>572.54000000000019</v>
      </c>
      <c r="U84" s="4">
        <f>IF(N84=0,0,O84/N84-1)</f>
        <v>0.2850216053684862</v>
      </c>
      <c r="AB84" s="17">
        <v>32955.11</v>
      </c>
      <c r="AC84" s="17">
        <v>37420.54</v>
      </c>
      <c r="AD84" s="4">
        <f>AC84/AB84-1</f>
        <v>0.13550038218655613</v>
      </c>
      <c r="AE84" s="107"/>
      <c r="AF84" s="18">
        <v>8066</v>
      </c>
      <c r="AG84" s="18">
        <v>9059</v>
      </c>
      <c r="AI84" s="25">
        <v>0.40850000000000003</v>
      </c>
      <c r="AJ84" s="25">
        <v>0.41310000000000002</v>
      </c>
    </row>
    <row r="85" spans="1:36">
      <c r="A85" t="s">
        <v>1483</v>
      </c>
      <c r="B85" t="s">
        <v>1484</v>
      </c>
      <c r="C85">
        <v>1129</v>
      </c>
      <c r="E85" t="s">
        <v>1484</v>
      </c>
      <c r="F85">
        <v>1579</v>
      </c>
      <c r="G85" t="b">
        <f>IF(B85=E85,TRUE,FALSE)</f>
        <v>1</v>
      </c>
      <c r="J85">
        <f>F85-C85</f>
        <v>450</v>
      </c>
      <c r="K85" s="4">
        <f>F85/C85-1</f>
        <v>0.39858281665190431</v>
      </c>
      <c r="L85" s="4"/>
      <c r="N85" s="5">
        <v>1998.38</v>
      </c>
      <c r="O85" s="5">
        <v>2598.64</v>
      </c>
      <c r="Q85" s="5">
        <v>12259.9</v>
      </c>
      <c r="T85" s="99">
        <f>O85-N85</f>
        <v>600.25999999999976</v>
      </c>
      <c r="U85" s="4">
        <f>IF(N85=0,0,O85/N85-1)</f>
        <v>0.30037330237492355</v>
      </c>
      <c r="AB85" s="17">
        <v>24620.51</v>
      </c>
      <c r="AC85" s="17">
        <v>31969.93</v>
      </c>
      <c r="AD85" s="4">
        <f>AC85/AB85-1</f>
        <v>0.29850803253060154</v>
      </c>
      <c r="AF85" s="18">
        <v>3868</v>
      </c>
      <c r="AG85" s="18">
        <v>5102</v>
      </c>
      <c r="AI85" s="25">
        <v>0.29109999999999997</v>
      </c>
      <c r="AJ85" s="25">
        <v>0.30909999999999999</v>
      </c>
    </row>
    <row r="86" spans="1:36">
      <c r="A86" s="39" t="s">
        <v>1485</v>
      </c>
      <c r="B86" s="36" t="s">
        <v>1486</v>
      </c>
      <c r="C86">
        <v>45</v>
      </c>
      <c r="D86" s="5"/>
      <c r="E86" s="36" t="s">
        <v>1486</v>
      </c>
      <c r="F86">
        <v>495</v>
      </c>
      <c r="G86" t="b">
        <f>IF(B86=E86,TRUE,FALSE)</f>
        <v>1</v>
      </c>
      <c r="H86" s="5"/>
      <c r="I86" s="5"/>
      <c r="J86">
        <f>F86-C86</f>
        <v>450</v>
      </c>
      <c r="K86" s="4">
        <f>F86/C86-1</f>
        <v>10</v>
      </c>
      <c r="L86" s="5"/>
      <c r="M86" s="5"/>
      <c r="N86" s="5">
        <v>153.22999999999999</v>
      </c>
      <c r="O86" s="5">
        <v>1437.74</v>
      </c>
      <c r="Q86" s="5">
        <v>7158.94</v>
      </c>
      <c r="T86" s="99">
        <f>O86-N86</f>
        <v>1284.51</v>
      </c>
      <c r="U86" s="4">
        <f>IF(N86=0,0,O86/N86-1)</f>
        <v>8.3828884683156044</v>
      </c>
      <c r="X86" s="5"/>
      <c r="Y86" s="5"/>
      <c r="Z86" s="5"/>
      <c r="AA86" s="16"/>
      <c r="AB86" s="17">
        <v>989.55</v>
      </c>
      <c r="AC86" s="17">
        <v>8723.23</v>
      </c>
      <c r="AD86" s="4">
        <f>AC86/AB86-1</f>
        <v>7.8153504118033457</v>
      </c>
      <c r="AF86" s="18">
        <v>331</v>
      </c>
      <c r="AG86" s="18">
        <v>3724</v>
      </c>
      <c r="AI86" s="25">
        <v>0.13600000000000001</v>
      </c>
      <c r="AJ86" s="25">
        <v>0.13289999999999999</v>
      </c>
    </row>
    <row r="87" spans="1:36">
      <c r="A87" t="s">
        <v>1487</v>
      </c>
      <c r="B87" t="s">
        <v>1488</v>
      </c>
      <c r="C87">
        <v>1254</v>
      </c>
      <c r="E87" t="s">
        <v>1488</v>
      </c>
      <c r="F87">
        <v>1717</v>
      </c>
      <c r="G87" t="b">
        <f>IF(B87=E87,TRUE,FALSE)</f>
        <v>1</v>
      </c>
      <c r="J87">
        <f>F87-C87</f>
        <v>463</v>
      </c>
      <c r="K87" s="4">
        <f>F87/C87-1</f>
        <v>0.36921850079744822</v>
      </c>
      <c r="L87" s="4"/>
      <c r="N87" s="5">
        <v>1681.97</v>
      </c>
      <c r="O87" s="5">
        <v>2941.39</v>
      </c>
      <c r="Q87" s="5">
        <v>15170.77</v>
      </c>
      <c r="T87" s="99">
        <f>O87-N87</f>
        <v>1259.4199999999998</v>
      </c>
      <c r="U87" s="4">
        <f>IF(N87=0,0,O87/N87-1)</f>
        <v>0.74877673204635031</v>
      </c>
      <c r="AB87" s="17">
        <v>31331.71</v>
      </c>
      <c r="AC87" s="17">
        <v>37856.06</v>
      </c>
      <c r="AD87" s="4">
        <f>AC87/AB87-1</f>
        <v>0.20823472450115221</v>
      </c>
      <c r="AF87" s="18">
        <v>4150</v>
      </c>
      <c r="AG87" s="18">
        <v>7181</v>
      </c>
      <c r="AI87" s="25">
        <v>0.30219999999999997</v>
      </c>
      <c r="AJ87" s="25">
        <v>0.23800000000000002</v>
      </c>
    </row>
    <row r="88" spans="1:36" ht="15" customHeight="1">
      <c r="A88" t="s">
        <v>1489</v>
      </c>
      <c r="B88" t="s">
        <v>1490</v>
      </c>
      <c r="C88">
        <v>968</v>
      </c>
      <c r="E88" t="s">
        <v>1490</v>
      </c>
      <c r="F88">
        <v>1439</v>
      </c>
      <c r="G88" t="b">
        <f>IF(B88=E88,TRUE,FALSE)</f>
        <v>1</v>
      </c>
      <c r="J88">
        <f>F88-C88</f>
        <v>471</v>
      </c>
      <c r="K88" s="4">
        <f>F88/C88-1</f>
        <v>0.48657024793388426</v>
      </c>
      <c r="L88" s="4"/>
      <c r="N88" s="5">
        <v>1611.78</v>
      </c>
      <c r="O88" s="5">
        <v>2477.2199999999998</v>
      </c>
      <c r="Q88" s="5">
        <v>11031.95</v>
      </c>
      <c r="T88" s="99">
        <f>O88-N88</f>
        <v>865.43999999999983</v>
      </c>
      <c r="U88" s="4">
        <f>IF(N88=0,0,O88/N88-1)</f>
        <v>0.53694672970256474</v>
      </c>
      <c r="X88" s="5"/>
      <c r="Y88" s="5"/>
      <c r="Z88" s="5"/>
      <c r="AA88" s="16"/>
      <c r="AB88" s="17">
        <v>24187.82</v>
      </c>
      <c r="AC88" s="17">
        <v>31459.360000000001</v>
      </c>
      <c r="AD88" s="4">
        <f>AC88/AB88-1</f>
        <v>0.30062816739995579</v>
      </c>
      <c r="AF88" s="18">
        <v>2834</v>
      </c>
      <c r="AG88" s="18">
        <v>4693</v>
      </c>
      <c r="AI88" s="25">
        <v>0.34259999999999996</v>
      </c>
      <c r="AJ88" s="25">
        <v>0.30530000000000002</v>
      </c>
    </row>
    <row r="89" spans="1:36" ht="15" customHeight="1">
      <c r="A89" t="s">
        <v>1491</v>
      </c>
      <c r="B89" t="s">
        <v>1492</v>
      </c>
      <c r="C89">
        <v>1733</v>
      </c>
      <c r="E89" t="s">
        <v>1492</v>
      </c>
      <c r="F89">
        <v>2219</v>
      </c>
      <c r="G89" t="b">
        <f>IF(B89=E89,TRUE,FALSE)</f>
        <v>1</v>
      </c>
      <c r="J89">
        <f>F89-C89</f>
        <v>486</v>
      </c>
      <c r="K89" s="4">
        <f>F89/C89-1</f>
        <v>0.28043854587420647</v>
      </c>
      <c r="L89" s="4"/>
      <c r="N89" s="5">
        <v>3406.51</v>
      </c>
      <c r="O89" s="5">
        <v>4430.62</v>
      </c>
      <c r="Q89" s="5">
        <v>23016.79</v>
      </c>
      <c r="T89" s="99">
        <f>O89-N89</f>
        <v>1024.1099999999997</v>
      </c>
      <c r="U89" s="4">
        <f>IF(N89=0,0,O89/N89-1)</f>
        <v>0.30063319937413935</v>
      </c>
      <c r="AB89" s="17">
        <v>67418.350000000006</v>
      </c>
      <c r="AC89" s="17">
        <v>81720.639999999999</v>
      </c>
      <c r="AD89" s="4">
        <f>AC89/AB89-1</f>
        <v>0.21214239150023695</v>
      </c>
      <c r="AF89" s="18">
        <v>3925</v>
      </c>
      <c r="AG89" s="18">
        <v>6385</v>
      </c>
      <c r="AI89" s="25">
        <v>0.43920000000000003</v>
      </c>
      <c r="AJ89" s="25">
        <v>0.34600000000000003</v>
      </c>
    </row>
    <row r="90" spans="1:36" ht="15" customHeight="1">
      <c r="A90" t="s">
        <v>1493</v>
      </c>
      <c r="B90" t="s">
        <v>1494</v>
      </c>
      <c r="C90">
        <v>1627</v>
      </c>
      <c r="E90" t="s">
        <v>1494</v>
      </c>
      <c r="F90">
        <v>2118</v>
      </c>
      <c r="G90" t="b">
        <f>IF(B90=E90,TRUE,FALSE)</f>
        <v>1</v>
      </c>
      <c r="J90">
        <f>F90-C90</f>
        <v>491</v>
      </c>
      <c r="K90" s="4">
        <f>F90/C90-1</f>
        <v>0.30178242163491098</v>
      </c>
      <c r="L90" s="4"/>
      <c r="N90" s="5">
        <v>2065.5300000000002</v>
      </c>
      <c r="O90" s="5">
        <v>2822.29</v>
      </c>
      <c r="Q90" s="5">
        <v>11204.9</v>
      </c>
      <c r="T90" s="99">
        <f>O90-N90</f>
        <v>756.75999999999976</v>
      </c>
      <c r="U90" s="4">
        <f>IF(N90=0,0,O90/N90-1)</f>
        <v>0.36637570018348797</v>
      </c>
      <c r="AB90" s="17">
        <v>32520.93</v>
      </c>
      <c r="AC90" s="17">
        <v>37658.019999999997</v>
      </c>
      <c r="AD90" s="4">
        <f>AC90/AB90-1</f>
        <v>0.15796257979092232</v>
      </c>
      <c r="AF90" s="18">
        <v>4573</v>
      </c>
      <c r="AG90" s="18">
        <v>6199</v>
      </c>
      <c r="AI90" s="25">
        <v>0.35489999999999999</v>
      </c>
      <c r="AJ90" s="25">
        <v>0.3397</v>
      </c>
    </row>
    <row r="91" spans="1:36" ht="15" customHeight="1">
      <c r="A91" t="s">
        <v>1495</v>
      </c>
      <c r="B91" t="s">
        <v>1496</v>
      </c>
      <c r="C91">
        <v>602</v>
      </c>
      <c r="E91" t="s">
        <v>1496</v>
      </c>
      <c r="F91">
        <v>1097</v>
      </c>
      <c r="G91" t="b">
        <f>IF(B91=E91,TRUE,FALSE)</f>
        <v>1</v>
      </c>
      <c r="J91">
        <f>F91-C91</f>
        <v>495</v>
      </c>
      <c r="K91" s="4">
        <f>F91/C91-1</f>
        <v>0.82225913621262459</v>
      </c>
      <c r="N91" s="5">
        <v>313.58999999999997</v>
      </c>
      <c r="O91" s="5">
        <v>1524.91</v>
      </c>
      <c r="Q91" s="5">
        <v>5360.14</v>
      </c>
      <c r="T91" s="99">
        <f>O91-N91</f>
        <v>1211.3200000000002</v>
      </c>
      <c r="U91" s="4">
        <f>IF(N91=0,0,O91/N91-1)</f>
        <v>3.8627507254695628</v>
      </c>
      <c r="AB91" s="17">
        <v>11407.330000000002</v>
      </c>
      <c r="AC91" s="17">
        <v>16662.580000000002</v>
      </c>
      <c r="AD91" s="4">
        <f>AC91/AB91-1</f>
        <v>0.46069062611496281</v>
      </c>
      <c r="AF91" s="18">
        <v>1441</v>
      </c>
      <c r="AG91" s="18">
        <v>3942</v>
      </c>
      <c r="AI91" s="25">
        <v>0.41570000000000001</v>
      </c>
      <c r="AJ91" s="25">
        <v>0.27779999999999999</v>
      </c>
    </row>
    <row r="92" spans="1:36" ht="15" customHeight="1">
      <c r="A92" t="s">
        <v>1497</v>
      </c>
      <c r="B92" t="s">
        <v>1498</v>
      </c>
      <c r="C92">
        <v>1520</v>
      </c>
      <c r="E92" t="s">
        <v>1498</v>
      </c>
      <c r="F92">
        <v>2016</v>
      </c>
      <c r="G92" t="b">
        <f>IF(B92=E92,TRUE,FALSE)</f>
        <v>1</v>
      </c>
      <c r="J92">
        <f>F92-C92</f>
        <v>496</v>
      </c>
      <c r="K92" s="4">
        <f>F92/C92-1</f>
        <v>0.32631578947368411</v>
      </c>
      <c r="L92" s="6"/>
      <c r="N92" s="5">
        <v>2198.29</v>
      </c>
      <c r="O92" s="5">
        <v>3044.22</v>
      </c>
      <c r="Q92" s="5">
        <v>14791.54</v>
      </c>
      <c r="T92" s="99">
        <f>O92-N92</f>
        <v>845.92999999999984</v>
      </c>
      <c r="U92" s="4">
        <f>IF(N92=0,0,O92/N92-1)</f>
        <v>0.38481274081217665</v>
      </c>
      <c r="AB92" s="17">
        <v>45575.8</v>
      </c>
      <c r="AC92" s="17">
        <v>56114.49</v>
      </c>
      <c r="AD92" s="4">
        <f>AC92/AB92-1</f>
        <v>0.23123433927654569</v>
      </c>
      <c r="AF92" s="18">
        <v>4765</v>
      </c>
      <c r="AG92" s="18">
        <v>9087</v>
      </c>
      <c r="AI92" s="25">
        <v>0.32030000000000003</v>
      </c>
      <c r="AJ92" s="25">
        <v>0.22089999999999999</v>
      </c>
    </row>
    <row r="93" spans="1:36" ht="15" customHeight="1">
      <c r="A93" t="s">
        <v>1499</v>
      </c>
      <c r="B93" t="s">
        <v>1500</v>
      </c>
      <c r="C93">
        <v>899</v>
      </c>
      <c r="E93" t="s">
        <v>1500</v>
      </c>
      <c r="F93">
        <v>1396</v>
      </c>
      <c r="G93" t="b">
        <f>IF(B93=E93,TRUE,FALSE)</f>
        <v>1</v>
      </c>
      <c r="J93">
        <f>F93-C93</f>
        <v>497</v>
      </c>
      <c r="K93" s="4">
        <f>F93/C93-1</f>
        <v>0.55283648498331472</v>
      </c>
      <c r="L93" s="4"/>
      <c r="N93" s="5">
        <v>908.39</v>
      </c>
      <c r="O93" s="5">
        <v>2483.2800000000002</v>
      </c>
      <c r="Q93" s="5">
        <v>10756.39</v>
      </c>
      <c r="T93" s="99">
        <f>O93-N93</f>
        <v>1574.8900000000003</v>
      </c>
      <c r="U93" s="4">
        <f>IF(N93=0,0,O93/N93-1)</f>
        <v>1.7337156948006918</v>
      </c>
      <c r="AB93" s="17">
        <v>21564.13</v>
      </c>
      <c r="AC93" s="17">
        <v>29402.84</v>
      </c>
      <c r="AD93" s="4">
        <f>AC93/AB93-1</f>
        <v>0.36350689779740697</v>
      </c>
      <c r="AF93" s="18">
        <v>2822</v>
      </c>
      <c r="AG93" s="18">
        <v>5763</v>
      </c>
      <c r="AI93" s="25">
        <v>0.31859999999999999</v>
      </c>
      <c r="AJ93" s="25">
        <v>0.2412</v>
      </c>
    </row>
    <row r="94" spans="1:36" ht="15" customHeight="1">
      <c r="A94" t="s">
        <v>1501</v>
      </c>
      <c r="B94" t="s">
        <v>1502</v>
      </c>
      <c r="C94">
        <v>825</v>
      </c>
      <c r="E94" t="s">
        <v>1502</v>
      </c>
      <c r="F94">
        <v>1327</v>
      </c>
      <c r="G94" t="b">
        <f>IF(B94=E94,TRUE,FALSE)</f>
        <v>1</v>
      </c>
      <c r="J94">
        <f>F94-C94</f>
        <v>502</v>
      </c>
      <c r="K94" s="4">
        <f>F94/C94-1</f>
        <v>0.60848484848484841</v>
      </c>
      <c r="L94" s="4"/>
      <c r="N94" s="5">
        <v>618.23</v>
      </c>
      <c r="O94" s="5">
        <v>1091.68</v>
      </c>
      <c r="Q94" s="5">
        <v>9761.56</v>
      </c>
      <c r="T94" s="99">
        <f>O94-N94</f>
        <v>473.45000000000005</v>
      </c>
      <c r="U94" s="4">
        <f>IF(N94=0,0,O94/N94-1)</f>
        <v>0.7658153114536661</v>
      </c>
      <c r="AB94" s="17">
        <v>32983.75</v>
      </c>
      <c r="AC94" s="17">
        <v>48053.13</v>
      </c>
      <c r="AD94" s="4">
        <f>AC94/AB94-1</f>
        <v>0.4568728540569218</v>
      </c>
      <c r="AF94" s="18">
        <v>2583</v>
      </c>
      <c r="AG94" s="18">
        <v>3655</v>
      </c>
      <c r="AI94" s="25">
        <v>0.33020000000000005</v>
      </c>
      <c r="AJ94" s="25">
        <v>0.35460000000000003</v>
      </c>
    </row>
    <row r="95" spans="1:36" ht="15" customHeight="1">
      <c r="A95" t="s">
        <v>1503</v>
      </c>
      <c r="B95" t="s">
        <v>1504</v>
      </c>
      <c r="C95">
        <v>1703</v>
      </c>
      <c r="E95" t="s">
        <v>1504</v>
      </c>
      <c r="F95">
        <v>2238</v>
      </c>
      <c r="G95" t="b">
        <f>IF(B95=E95,TRUE,FALSE)</f>
        <v>1</v>
      </c>
      <c r="J95">
        <f>F95-C95</f>
        <v>535</v>
      </c>
      <c r="K95" s="4">
        <f>F95/C95-1</f>
        <v>0.31415149735760428</v>
      </c>
      <c r="N95" s="5">
        <v>1393.83</v>
      </c>
      <c r="O95" s="5">
        <v>2897.32</v>
      </c>
      <c r="Q95" s="5">
        <v>16760.400000000001</v>
      </c>
      <c r="T95" s="99">
        <f>O95-N95</f>
        <v>1503.4900000000002</v>
      </c>
      <c r="U95" s="4">
        <f>IF(N95=0,0,O95/N95-1)</f>
        <v>1.0786753047358717</v>
      </c>
      <c r="X95" s="5"/>
      <c r="Y95" s="5"/>
      <c r="Z95" s="5"/>
      <c r="AA95" s="16"/>
      <c r="AB95" s="17">
        <v>50990.75</v>
      </c>
      <c r="AC95" s="17">
        <v>66542.37</v>
      </c>
      <c r="AD95" s="4">
        <f>AC95/AB95-1</f>
        <v>0.30498904213019018</v>
      </c>
      <c r="AF95" s="18">
        <v>5093</v>
      </c>
      <c r="AG95" s="18">
        <v>8093</v>
      </c>
      <c r="AI95" s="25">
        <v>0.33649999999999997</v>
      </c>
      <c r="AJ95" s="25">
        <v>0.27489999999999998</v>
      </c>
    </row>
    <row r="96" spans="1:36" ht="15" customHeight="1">
      <c r="A96" t="s">
        <v>1505</v>
      </c>
      <c r="B96" t="s">
        <v>1506</v>
      </c>
      <c r="C96">
        <v>886</v>
      </c>
      <c r="E96" t="s">
        <v>1506</v>
      </c>
      <c r="F96">
        <v>1423</v>
      </c>
      <c r="G96" t="b">
        <f>IF(B96=E96,TRUE,FALSE)</f>
        <v>1</v>
      </c>
      <c r="J96">
        <f>F96-C96</f>
        <v>537</v>
      </c>
      <c r="K96" s="4">
        <f>F96/C96-1</f>
        <v>0.60609480812641081</v>
      </c>
      <c r="L96" s="4"/>
      <c r="N96" s="5">
        <v>850.99</v>
      </c>
      <c r="O96" s="5">
        <v>1940.58</v>
      </c>
      <c r="Q96" s="5">
        <v>7868.02</v>
      </c>
      <c r="T96" s="99">
        <f>O96-N96</f>
        <v>1089.5899999999999</v>
      </c>
      <c r="U96" s="4">
        <f>IF(N96=0,0,O96/N96-1)</f>
        <v>1.2803793229062621</v>
      </c>
      <c r="AB96" s="17">
        <v>17709.14</v>
      </c>
      <c r="AC96" s="17">
        <v>25000.77</v>
      </c>
      <c r="AD96" s="4">
        <f>AC96/AB96-1</f>
        <v>0.41174387914941102</v>
      </c>
      <c r="AF96" s="18">
        <v>2050</v>
      </c>
      <c r="AG96" s="18">
        <v>4492</v>
      </c>
      <c r="AI96" s="25">
        <v>0.42930000000000001</v>
      </c>
      <c r="AJ96" s="25">
        <v>0.31540000000000001</v>
      </c>
    </row>
    <row r="97" spans="1:36" ht="15" customHeight="1">
      <c r="A97" t="s">
        <v>1507</v>
      </c>
      <c r="B97" t="s">
        <v>1508</v>
      </c>
      <c r="C97">
        <v>817</v>
      </c>
      <c r="E97" t="s">
        <v>1508</v>
      </c>
      <c r="F97">
        <v>1372</v>
      </c>
      <c r="G97" t="b">
        <f>IF(B97=E97,TRUE,FALSE)</f>
        <v>1</v>
      </c>
      <c r="J97">
        <f>F97-C97</f>
        <v>555</v>
      </c>
      <c r="K97" s="4">
        <f>F97/C97-1</f>
        <v>0.67931456548347624</v>
      </c>
      <c r="L97" s="4"/>
      <c r="N97" s="5">
        <v>573.85</v>
      </c>
      <c r="O97" s="5">
        <v>1065.72</v>
      </c>
      <c r="Q97" s="5">
        <v>5990.42</v>
      </c>
      <c r="T97" s="99">
        <f>O97-N97</f>
        <v>491.87</v>
      </c>
      <c r="U97" s="4">
        <f>IF(N97=0,0,O97/N97-1)</f>
        <v>0.8571403676919056</v>
      </c>
      <c r="AB97" s="17">
        <v>13879.64</v>
      </c>
      <c r="AC97" s="17">
        <v>20310.8</v>
      </c>
      <c r="AD97" s="4">
        <f>AC97/AB97-1</f>
        <v>0.46335207541405965</v>
      </c>
      <c r="AF97" s="18">
        <v>4913</v>
      </c>
      <c r="AG97" s="18">
        <v>7694</v>
      </c>
      <c r="AI97" s="25">
        <v>0.16570000000000001</v>
      </c>
      <c r="AJ97" s="25">
        <v>0.17809999999999998</v>
      </c>
    </row>
    <row r="98" spans="1:36" ht="15" customHeight="1">
      <c r="A98" t="s">
        <v>1509</v>
      </c>
      <c r="B98" t="s">
        <v>1510</v>
      </c>
      <c r="C98">
        <v>1076</v>
      </c>
      <c r="E98" t="s">
        <v>1510</v>
      </c>
      <c r="F98">
        <v>1685</v>
      </c>
      <c r="G98" t="b">
        <f>IF(B98=E98,TRUE,FALSE)</f>
        <v>1</v>
      </c>
      <c r="J98">
        <f>F98-C98</f>
        <v>609</v>
      </c>
      <c r="K98" s="4">
        <f>F98/C98-1</f>
        <v>0.56598513011152418</v>
      </c>
      <c r="L98" s="4"/>
      <c r="N98" s="5">
        <v>1047.74</v>
      </c>
      <c r="O98" s="5">
        <v>2103.59</v>
      </c>
      <c r="Q98" s="5">
        <v>13049.06</v>
      </c>
      <c r="T98" s="99">
        <f>O98-N98</f>
        <v>1055.8500000000001</v>
      </c>
      <c r="U98" s="4">
        <f>IF(N98=0,0,O98/N98-1)</f>
        <v>1.0077404699639225</v>
      </c>
      <c r="AB98" s="17">
        <v>18261.7</v>
      </c>
      <c r="AC98" s="17">
        <v>24903.45</v>
      </c>
      <c r="AD98" s="4">
        <f>AC98/AB98-1</f>
        <v>0.36369834133733447</v>
      </c>
      <c r="AF98" s="18">
        <v>2781</v>
      </c>
      <c r="AG98" s="18">
        <v>5475</v>
      </c>
      <c r="AI98" s="25">
        <v>0.38579999999999998</v>
      </c>
      <c r="AJ98" s="25">
        <v>0.30649999999999999</v>
      </c>
    </row>
    <row r="99" spans="1:36" ht="15" customHeight="1">
      <c r="A99" t="s">
        <v>1511</v>
      </c>
      <c r="B99" t="s">
        <v>1512</v>
      </c>
      <c r="C99">
        <v>910</v>
      </c>
      <c r="E99" t="s">
        <v>1512</v>
      </c>
      <c r="F99">
        <v>1524</v>
      </c>
      <c r="G99" t="b">
        <f>IF(B99=E99,TRUE,FALSE)</f>
        <v>1</v>
      </c>
      <c r="J99">
        <f>F99-C99</f>
        <v>614</v>
      </c>
      <c r="K99" s="4">
        <f>F99/C99-1</f>
        <v>0.67472527472527477</v>
      </c>
      <c r="L99" s="4"/>
      <c r="N99" s="5">
        <v>880.31</v>
      </c>
      <c r="O99" s="5">
        <v>1629.57</v>
      </c>
      <c r="Q99" s="5">
        <v>7982.59</v>
      </c>
      <c r="T99" s="99">
        <f>O99-N99</f>
        <v>749.26</v>
      </c>
      <c r="U99" s="4">
        <f>IF(N99=0,0,O99/N99-1)</f>
        <v>0.85113198759527897</v>
      </c>
      <c r="AB99" s="17">
        <v>18188.099999999999</v>
      </c>
      <c r="AC99" s="17">
        <v>26446.37</v>
      </c>
      <c r="AD99" s="4">
        <f>AC99/AB99-1</f>
        <v>0.45404797642414563</v>
      </c>
      <c r="AF99" s="18">
        <v>3595</v>
      </c>
      <c r="AG99" s="18">
        <v>7100</v>
      </c>
      <c r="AI99" s="25">
        <v>0.25340000000000001</v>
      </c>
      <c r="AJ99" s="25">
        <v>0.2137</v>
      </c>
    </row>
    <row r="100" spans="1:36" ht="15" customHeight="1">
      <c r="A100" t="s">
        <v>1513</v>
      </c>
      <c r="B100" t="s">
        <v>1514</v>
      </c>
      <c r="C100">
        <v>1734</v>
      </c>
      <c r="E100" t="s">
        <v>1514</v>
      </c>
      <c r="F100">
        <v>2358</v>
      </c>
      <c r="G100" t="b">
        <f>IF(B100=E100,TRUE,FALSE)</f>
        <v>1</v>
      </c>
      <c r="J100">
        <f>F100-C100</f>
        <v>624</v>
      </c>
      <c r="K100" s="4">
        <f>F100/C100-1</f>
        <v>0.35986159169550169</v>
      </c>
      <c r="L100" s="6"/>
      <c r="N100" s="5">
        <v>2029.05</v>
      </c>
      <c r="O100" s="5">
        <v>2823.67</v>
      </c>
      <c r="Q100" s="5">
        <v>14050.27</v>
      </c>
      <c r="T100" s="99">
        <f>O100-N100</f>
        <v>794.62000000000012</v>
      </c>
      <c r="U100" s="4">
        <f>IF(N100=0,0,O100/N100-1)</f>
        <v>0.3916216948818414</v>
      </c>
      <c r="AB100" s="17">
        <v>34581.9</v>
      </c>
      <c r="AC100" s="17">
        <v>47017.39</v>
      </c>
      <c r="AD100" s="4">
        <f>AC100/AB100-1</f>
        <v>0.35959533744531091</v>
      </c>
      <c r="AF100" s="18">
        <v>5645</v>
      </c>
      <c r="AG100" s="18">
        <v>9501</v>
      </c>
      <c r="AI100" s="25">
        <v>0.30820000000000003</v>
      </c>
      <c r="AJ100" s="25">
        <v>0.247</v>
      </c>
    </row>
    <row r="101" spans="1:36" ht="15" customHeight="1">
      <c r="A101" t="s">
        <v>1515</v>
      </c>
      <c r="B101" t="s">
        <v>1516</v>
      </c>
      <c r="C101">
        <v>1734</v>
      </c>
      <c r="E101" t="s">
        <v>1516</v>
      </c>
      <c r="F101">
        <v>2365</v>
      </c>
      <c r="G101" t="b">
        <f>IF(B101=E101,TRUE,FALSE)</f>
        <v>1</v>
      </c>
      <c r="J101">
        <f>F101-C101</f>
        <v>631</v>
      </c>
      <c r="K101" s="4">
        <f>F101/C101-1</f>
        <v>0.36389850057670126</v>
      </c>
      <c r="L101" s="4"/>
      <c r="N101" s="5">
        <v>2299.4699999999998</v>
      </c>
      <c r="O101" s="5">
        <v>3359.12</v>
      </c>
      <c r="Q101" s="5">
        <v>18238.73</v>
      </c>
      <c r="T101" s="99">
        <f>O101-N101</f>
        <v>1059.6500000000001</v>
      </c>
      <c r="U101" s="4">
        <f>IF(N101=0,0,O101/N101-1)</f>
        <v>0.46082358108607635</v>
      </c>
      <c r="AB101" s="17">
        <v>43319.41</v>
      </c>
      <c r="AC101" s="17">
        <v>51971.12</v>
      </c>
      <c r="AD101" s="4">
        <f>AC101/AB101-1</f>
        <v>0.19971901741044018</v>
      </c>
      <c r="AF101" s="18">
        <v>4103</v>
      </c>
      <c r="AG101" s="18">
        <v>7028</v>
      </c>
      <c r="AI101" s="25">
        <v>0.4229</v>
      </c>
      <c r="AJ101" s="25">
        <v>0.33549999999999996</v>
      </c>
    </row>
    <row r="102" spans="1:36" ht="15" customHeight="1">
      <c r="A102" t="s">
        <v>1517</v>
      </c>
      <c r="B102" t="s">
        <v>1518</v>
      </c>
      <c r="C102">
        <v>732</v>
      </c>
      <c r="D102" s="5"/>
      <c r="E102" t="s">
        <v>1518</v>
      </c>
      <c r="F102">
        <v>1366</v>
      </c>
      <c r="G102" t="b">
        <f>IF(B102=E102,TRUE,FALSE)</f>
        <v>1</v>
      </c>
      <c r="H102" s="5"/>
      <c r="I102" s="5"/>
      <c r="J102">
        <f>F102-C102</f>
        <v>634</v>
      </c>
      <c r="K102" s="4">
        <f>F102/C102-1</f>
        <v>0.86612021857923494</v>
      </c>
      <c r="L102" s="5"/>
      <c r="M102" s="5"/>
      <c r="N102" s="5">
        <v>859.08</v>
      </c>
      <c r="O102" s="5">
        <v>2932.73</v>
      </c>
      <c r="Q102" s="5">
        <v>19472.169999999998</v>
      </c>
      <c r="T102" s="99">
        <f>O102-N102</f>
        <v>2073.65</v>
      </c>
      <c r="U102" s="4">
        <f>IF(N102=0,0,O102/N102-1)</f>
        <v>2.4138031382409086</v>
      </c>
      <c r="X102" s="5"/>
      <c r="Y102" s="5"/>
      <c r="Z102" s="5"/>
      <c r="AA102" s="16"/>
      <c r="AB102" s="17">
        <v>25605.68</v>
      </c>
      <c r="AC102" s="17">
        <v>47775.69</v>
      </c>
      <c r="AD102" s="4">
        <f>AC102/AB102-1</f>
        <v>0.86582391094475919</v>
      </c>
      <c r="AF102" s="18">
        <v>2038</v>
      </c>
      <c r="AG102" s="18">
        <v>4410</v>
      </c>
      <c r="AI102" s="25">
        <v>0.36060000000000003</v>
      </c>
      <c r="AJ102" s="25">
        <v>0.30859999999999999</v>
      </c>
    </row>
    <row r="103" spans="1:36" ht="15" customHeight="1">
      <c r="A103" t="s">
        <v>1519</v>
      </c>
      <c r="B103" t="s">
        <v>1520</v>
      </c>
      <c r="C103">
        <v>4511</v>
      </c>
      <c r="E103" t="s">
        <v>1520</v>
      </c>
      <c r="F103">
        <v>5148</v>
      </c>
      <c r="G103" t="b">
        <f>IF(B103=E103,TRUE,FALSE)</f>
        <v>1</v>
      </c>
      <c r="J103">
        <f>F103-C103</f>
        <v>637</v>
      </c>
      <c r="K103" s="4">
        <f>F103/C103-1</f>
        <v>0.14121037463976949</v>
      </c>
      <c r="L103" s="4"/>
      <c r="N103" s="5">
        <v>2866.81</v>
      </c>
      <c r="O103" s="5">
        <v>4179.87</v>
      </c>
      <c r="Q103" s="5">
        <v>27635.919999999998</v>
      </c>
      <c r="T103" s="99">
        <f>O103-N103</f>
        <v>1313.06</v>
      </c>
      <c r="U103" s="4">
        <f>IF(N103=0,0,O103/N103-1)</f>
        <v>0.45802128498226247</v>
      </c>
      <c r="X103" t="s">
        <v>1521</v>
      </c>
      <c r="AB103" s="17">
        <v>121672.97</v>
      </c>
      <c r="AC103" s="17">
        <v>130377.65</v>
      </c>
      <c r="AD103" s="4">
        <f>AC103/AB103-1</f>
        <v>7.1541608625153019E-2</v>
      </c>
      <c r="AF103" s="18">
        <v>11110</v>
      </c>
      <c r="AG103" s="18">
        <v>12708</v>
      </c>
      <c r="AI103" s="25">
        <v>0.40679999999999999</v>
      </c>
      <c r="AJ103" s="25">
        <v>0.4042</v>
      </c>
    </row>
    <row r="104" spans="1:36" ht="15" customHeight="1">
      <c r="A104" t="s">
        <v>1522</v>
      </c>
      <c r="B104" t="s">
        <v>1523</v>
      </c>
      <c r="C104">
        <v>1339</v>
      </c>
      <c r="E104" t="s">
        <v>1523</v>
      </c>
      <c r="F104">
        <v>2032</v>
      </c>
      <c r="G104" t="b">
        <f>IF(B104=E104,TRUE,FALSE)</f>
        <v>1</v>
      </c>
      <c r="J104">
        <f>F104-C104</f>
        <v>693</v>
      </c>
      <c r="K104" s="4">
        <f>F104/C104-1</f>
        <v>0.51755041075429431</v>
      </c>
      <c r="L104" s="4"/>
      <c r="N104" s="5">
        <v>942.99</v>
      </c>
      <c r="O104" s="5">
        <v>1825.67</v>
      </c>
      <c r="Q104" s="5">
        <v>14971.82</v>
      </c>
      <c r="T104" s="99">
        <f>O104-N104</f>
        <v>882.68000000000006</v>
      </c>
      <c r="U104" s="4">
        <f>IF(N104=0,0,O104/N104-1)</f>
        <v>0.93604386048632549</v>
      </c>
      <c r="AB104" s="17">
        <v>32057.59</v>
      </c>
      <c r="AC104" s="17">
        <v>43956.15</v>
      </c>
      <c r="AD104" s="4">
        <f>AC104/AB104-1</f>
        <v>0.37116202434431278</v>
      </c>
      <c r="AF104" s="18">
        <v>3660</v>
      </c>
      <c r="AG104" s="18">
        <v>4978</v>
      </c>
      <c r="AI104" s="25">
        <v>0.37790000000000001</v>
      </c>
      <c r="AJ104" s="25">
        <v>0.40560000000000002</v>
      </c>
    </row>
    <row r="105" spans="1:36" ht="15" customHeight="1">
      <c r="A105" t="s">
        <v>1524</v>
      </c>
      <c r="B105" t="s">
        <v>1525</v>
      </c>
      <c r="C105">
        <v>933</v>
      </c>
      <c r="E105" t="s">
        <v>1525</v>
      </c>
      <c r="F105">
        <v>1635</v>
      </c>
      <c r="G105" t="b">
        <f>IF(B105=E105,TRUE,FALSE)</f>
        <v>1</v>
      </c>
      <c r="J105">
        <f>F105-C105</f>
        <v>702</v>
      </c>
      <c r="K105" s="4">
        <f>F105/C105-1</f>
        <v>0.752411575562701</v>
      </c>
      <c r="L105" s="4"/>
      <c r="N105" s="5">
        <v>1549.35</v>
      </c>
      <c r="O105" s="5">
        <v>2641.85</v>
      </c>
      <c r="Q105" s="5">
        <v>19376.63</v>
      </c>
      <c r="T105" s="99">
        <f>O105-N105</f>
        <v>1092.5</v>
      </c>
      <c r="U105" s="4">
        <f>IF(N105=0,0,O105/N105-1)</f>
        <v>0.70513441120469889</v>
      </c>
      <c r="X105" s="5"/>
      <c r="Y105" s="5"/>
      <c r="Z105" s="5"/>
      <c r="AA105" s="16"/>
      <c r="AB105" s="17">
        <v>34459.550000000003</v>
      </c>
      <c r="AC105" s="17">
        <v>52891.7</v>
      </c>
      <c r="AD105" s="4">
        <f>AC105/AB105-1</f>
        <v>0.53489235930242818</v>
      </c>
      <c r="AF105" s="18">
        <v>5267</v>
      </c>
      <c r="AG105" s="18">
        <v>9375</v>
      </c>
      <c r="AI105" s="25">
        <v>0.1777</v>
      </c>
      <c r="AJ105" s="25">
        <v>0.17379999999999998</v>
      </c>
    </row>
    <row r="106" spans="1:36" ht="15" customHeight="1">
      <c r="A106" s="39" t="s">
        <v>1526</v>
      </c>
      <c r="B106" s="36" t="s">
        <v>1527</v>
      </c>
      <c r="C106">
        <v>2110</v>
      </c>
      <c r="E106" s="36" t="s">
        <v>1527</v>
      </c>
      <c r="F106">
        <v>2855</v>
      </c>
      <c r="G106" t="b">
        <f>IF(B106=E106,TRUE,FALSE)</f>
        <v>1</v>
      </c>
      <c r="J106">
        <f>F106-C106</f>
        <v>745</v>
      </c>
      <c r="K106" s="4">
        <f>F106/C106-1</f>
        <v>0.35308056872037907</v>
      </c>
      <c r="L106" s="4"/>
      <c r="N106" s="5">
        <v>2694.5</v>
      </c>
      <c r="O106" s="5">
        <v>5830.99</v>
      </c>
      <c r="Q106" s="5">
        <v>34379.35</v>
      </c>
      <c r="T106" s="99">
        <f>O106-N106</f>
        <v>3136.49</v>
      </c>
      <c r="U106" s="4">
        <f>IF(N106=0,0,O106/N106-1)</f>
        <v>1.1640341436259045</v>
      </c>
      <c r="AB106" s="17">
        <v>44743.78</v>
      </c>
      <c r="AC106" s="17">
        <v>62774.63</v>
      </c>
      <c r="AD106" s="4">
        <f>AC106/AB106-1</f>
        <v>0.40298003431985396</v>
      </c>
      <c r="AF106" s="18">
        <v>13136</v>
      </c>
      <c r="AG106" s="18">
        <v>16901</v>
      </c>
      <c r="AI106" s="25">
        <v>0.16070000000000001</v>
      </c>
      <c r="AJ106" s="25">
        <v>0.16889999999999999</v>
      </c>
    </row>
    <row r="107" spans="1:36" ht="15" customHeight="1">
      <c r="A107" t="s">
        <v>1528</v>
      </c>
      <c r="B107" t="s">
        <v>1529</v>
      </c>
      <c r="C107">
        <v>1146</v>
      </c>
      <c r="E107" t="s">
        <v>1529</v>
      </c>
      <c r="F107">
        <v>1914</v>
      </c>
      <c r="G107" t="b">
        <f>IF(B107=E107,TRUE,FALSE)</f>
        <v>1</v>
      </c>
      <c r="J107">
        <f>F107-C107</f>
        <v>768</v>
      </c>
      <c r="K107" s="4">
        <f>F107/C107-1</f>
        <v>0.67015706806282727</v>
      </c>
      <c r="L107" s="4"/>
      <c r="N107" s="5">
        <v>1716.49</v>
      </c>
      <c r="O107" s="5">
        <v>2839.86</v>
      </c>
      <c r="Q107" s="5">
        <v>11243.55</v>
      </c>
      <c r="T107" s="99">
        <f>O107-N107</f>
        <v>1123.3700000000001</v>
      </c>
      <c r="U107" s="4">
        <f>IF(N107=0,0,O107/N107-1)</f>
        <v>0.65445764321376765</v>
      </c>
      <c r="X107" t="s">
        <v>1530</v>
      </c>
      <c r="AB107" s="17">
        <v>25176.13</v>
      </c>
      <c r="AC107" s="17">
        <v>36683.9</v>
      </c>
      <c r="AD107" s="4">
        <f>AC107/AB107-1</f>
        <v>0.45709050596735867</v>
      </c>
      <c r="AF107" s="18">
        <v>5431</v>
      </c>
      <c r="AG107" s="18">
        <v>8701</v>
      </c>
      <c r="AI107" s="25">
        <v>0.2112</v>
      </c>
      <c r="AJ107" s="25">
        <v>0.2195</v>
      </c>
    </row>
    <row r="108" spans="1:36" ht="15" customHeight="1">
      <c r="A108" t="s">
        <v>1531</v>
      </c>
      <c r="B108" t="s">
        <v>1532</v>
      </c>
      <c r="C108">
        <v>1054</v>
      </c>
      <c r="E108" t="s">
        <v>1532</v>
      </c>
      <c r="F108">
        <v>1836</v>
      </c>
      <c r="G108" t="b">
        <f>IF(B108=E108,TRUE,FALSE)</f>
        <v>1</v>
      </c>
      <c r="J108">
        <f>F108-C108</f>
        <v>782</v>
      </c>
      <c r="K108" s="4">
        <f>F108/C108-1</f>
        <v>0.74193548387096775</v>
      </c>
      <c r="L108" s="6"/>
      <c r="N108" s="5">
        <v>1005.37</v>
      </c>
      <c r="O108" s="5">
        <v>2150.0100000000002</v>
      </c>
      <c r="Q108" s="5">
        <v>11731.05</v>
      </c>
      <c r="T108" s="99">
        <f>O108-N108</f>
        <v>1144.6400000000003</v>
      </c>
      <c r="U108" s="4">
        <f>IF(N108=0,0,O108/N108-1)</f>
        <v>1.1385261147637191</v>
      </c>
      <c r="X108" t="s">
        <v>1533</v>
      </c>
      <c r="AB108" s="17">
        <v>31601.66</v>
      </c>
      <c r="AC108" s="17">
        <v>47342.34</v>
      </c>
      <c r="AD108" s="4">
        <f>AC108/AB108-1</f>
        <v>0.49809661897507906</v>
      </c>
      <c r="AF108" s="18">
        <v>3252</v>
      </c>
      <c r="AG108" s="18">
        <v>7374</v>
      </c>
      <c r="AI108" s="25">
        <v>0.32439999999999997</v>
      </c>
      <c r="AJ108" s="25">
        <v>0.24780000000000002</v>
      </c>
    </row>
    <row r="109" spans="1:36" ht="15" customHeight="1">
      <c r="A109" t="s">
        <v>1534</v>
      </c>
      <c r="B109" t="s">
        <v>1535</v>
      </c>
      <c r="C109">
        <v>2792</v>
      </c>
      <c r="E109" t="s">
        <v>1535</v>
      </c>
      <c r="F109">
        <v>3589</v>
      </c>
      <c r="G109" t="b">
        <f>IF(B109=E109,TRUE,FALSE)</f>
        <v>1</v>
      </c>
      <c r="J109">
        <f>F109-C109</f>
        <v>797</v>
      </c>
      <c r="K109" s="4">
        <f>F109/C109-1</f>
        <v>0.28545845272206294</v>
      </c>
      <c r="L109" s="4"/>
      <c r="N109" s="5">
        <v>1389.16</v>
      </c>
      <c r="O109" s="5">
        <v>2305.9699999999998</v>
      </c>
      <c r="Q109" s="5">
        <v>9390.5499999999993</v>
      </c>
      <c r="T109" s="99">
        <f>O109-N109</f>
        <v>916.80999999999972</v>
      </c>
      <c r="U109" s="4">
        <f>IF(N109=0,0,O109/N109-1)</f>
        <v>0.6599743730023897</v>
      </c>
      <c r="X109" t="s">
        <v>1536</v>
      </c>
      <c r="AB109" s="17">
        <v>61385.08</v>
      </c>
      <c r="AC109" s="17">
        <v>70120.36</v>
      </c>
      <c r="AD109" s="4">
        <f>AC109/AB109-1</f>
        <v>0.14230298307015321</v>
      </c>
      <c r="AF109" s="18">
        <v>5959</v>
      </c>
      <c r="AG109" s="18">
        <v>7832</v>
      </c>
      <c r="AI109" s="25">
        <v>0.47289999999999999</v>
      </c>
      <c r="AJ109" s="25">
        <v>0.45530000000000004</v>
      </c>
    </row>
    <row r="110" spans="1:36" ht="15" customHeight="1">
      <c r="A110" t="s">
        <v>1537</v>
      </c>
      <c r="B110" t="s">
        <v>1538</v>
      </c>
      <c r="C110">
        <v>1919</v>
      </c>
      <c r="E110" t="s">
        <v>1538</v>
      </c>
      <c r="F110">
        <v>2722</v>
      </c>
      <c r="G110" t="b">
        <f>IF(B110=E110,TRUE,FALSE)</f>
        <v>1</v>
      </c>
      <c r="J110">
        <f>F110-C110</f>
        <v>803</v>
      </c>
      <c r="K110" s="4">
        <f>F110/C110-1</f>
        <v>0.41844710786868156</v>
      </c>
      <c r="L110" s="4"/>
      <c r="N110" s="5">
        <v>1936.63</v>
      </c>
      <c r="O110" s="5">
        <v>2754.61</v>
      </c>
      <c r="Q110" s="5">
        <v>17873.54</v>
      </c>
      <c r="T110" s="99">
        <f>O110-N110</f>
        <v>817.98</v>
      </c>
      <c r="U110" s="4">
        <f>IF(N110=0,0,O110/N110-1)</f>
        <v>0.42237288485668412</v>
      </c>
      <c r="AB110" s="17">
        <v>47817.15</v>
      </c>
      <c r="AC110" s="17">
        <v>66629.259999999995</v>
      </c>
      <c r="AD110" s="4">
        <f>AC110/AB110-1</f>
        <v>0.39341763363144788</v>
      </c>
      <c r="AF110" s="18">
        <v>5995</v>
      </c>
      <c r="AG110" s="18">
        <v>7927</v>
      </c>
      <c r="AI110" s="25">
        <v>0.32090000000000002</v>
      </c>
      <c r="AJ110" s="25">
        <v>0.34250000000000003</v>
      </c>
    </row>
    <row r="111" spans="1:36" ht="15" customHeight="1">
      <c r="A111" t="s">
        <v>1539</v>
      </c>
      <c r="B111" t="s">
        <v>1540</v>
      </c>
      <c r="C111">
        <v>2615</v>
      </c>
      <c r="E111" t="s">
        <v>1540</v>
      </c>
      <c r="F111">
        <v>3443</v>
      </c>
      <c r="G111" t="b">
        <f>IF(B111=E111,TRUE,FALSE)</f>
        <v>1</v>
      </c>
      <c r="J111">
        <f>F111-C111</f>
        <v>828</v>
      </c>
      <c r="K111" s="4">
        <f>F111/C111-1</f>
        <v>0.31663479923518167</v>
      </c>
      <c r="L111" s="4"/>
      <c r="N111" s="5">
        <v>3298.36</v>
      </c>
      <c r="O111" s="5">
        <v>4215.01</v>
      </c>
      <c r="Q111" s="5">
        <v>19551.97</v>
      </c>
      <c r="T111" s="99">
        <f>O111-N111</f>
        <v>916.65000000000009</v>
      </c>
      <c r="U111" s="4">
        <f>IF(N111=0,0,O111/N111-1)</f>
        <v>0.27791084053893456</v>
      </c>
      <c r="AB111" s="17">
        <v>65296.84</v>
      </c>
      <c r="AC111" s="17">
        <v>80726.429999999993</v>
      </c>
      <c r="AD111" s="4">
        <f>AC111/AB111-1</f>
        <v>0.2362991838502444</v>
      </c>
      <c r="AF111" s="18">
        <v>10457</v>
      </c>
      <c r="AG111" s="18">
        <v>12155</v>
      </c>
      <c r="AI111" s="25">
        <v>0.25109999999999999</v>
      </c>
      <c r="AJ111" s="25">
        <v>0.28170000000000001</v>
      </c>
    </row>
    <row r="112" spans="1:36" ht="15" customHeight="1">
      <c r="A112" t="s">
        <v>1541</v>
      </c>
      <c r="B112" t="s">
        <v>1542</v>
      </c>
      <c r="C112">
        <v>3133</v>
      </c>
      <c r="E112" t="s">
        <v>1542</v>
      </c>
      <c r="F112">
        <v>3975</v>
      </c>
      <c r="G112" t="b">
        <f>IF(B112=E112,TRUE,FALSE)</f>
        <v>1</v>
      </c>
      <c r="J112">
        <f>F112-C112</f>
        <v>842</v>
      </c>
      <c r="K112" s="4">
        <f>F112/C112-1</f>
        <v>0.26875199489307366</v>
      </c>
      <c r="L112" s="6"/>
      <c r="N112" s="5">
        <v>6529.81</v>
      </c>
      <c r="O112" s="5">
        <v>8236.86</v>
      </c>
      <c r="Q112" s="5">
        <v>35339.090000000004</v>
      </c>
      <c r="T112" s="99">
        <f>O112-N112</f>
        <v>1707.0500000000002</v>
      </c>
      <c r="U112" s="4">
        <f>IF(N112=0,0,O112/N112-1)</f>
        <v>0.26142414557238269</v>
      </c>
      <c r="AB112" s="17">
        <v>84417.61</v>
      </c>
      <c r="AC112" s="17">
        <v>107065.77</v>
      </c>
      <c r="AD112" s="4">
        <f>AC112/AB112-1</f>
        <v>0.2682871500389552</v>
      </c>
      <c r="AF112" s="18">
        <v>13946</v>
      </c>
      <c r="AG112" s="18">
        <v>18042</v>
      </c>
      <c r="AI112" s="25">
        <v>0.22450000000000001</v>
      </c>
      <c r="AJ112" s="25">
        <v>0.2195</v>
      </c>
    </row>
    <row r="113" spans="1:38" ht="15" customHeight="1">
      <c r="A113" s="39" t="s">
        <v>1543</v>
      </c>
      <c r="B113" s="36" t="s">
        <v>1544</v>
      </c>
      <c r="C113">
        <v>997</v>
      </c>
      <c r="E113" s="36" t="s">
        <v>1544</v>
      </c>
      <c r="F113">
        <v>1854</v>
      </c>
      <c r="G113" t="b">
        <f>IF(B113=E113,TRUE,FALSE)</f>
        <v>1</v>
      </c>
      <c r="J113">
        <f>F113-C113</f>
        <v>857</v>
      </c>
      <c r="K113" s="4">
        <f>F113/C113-1</f>
        <v>0.85957873620862579</v>
      </c>
      <c r="L113" s="4"/>
      <c r="N113" s="5">
        <v>846.18</v>
      </c>
      <c r="O113" s="5">
        <v>1634.11</v>
      </c>
      <c r="Q113" s="5">
        <v>6890.52</v>
      </c>
      <c r="T113" s="99">
        <f>O113-N113</f>
        <v>787.93</v>
      </c>
      <c r="U113" s="4">
        <f>IF(N114=0,0,O113/N114-1)</f>
        <v>-0.18935316324455187</v>
      </c>
      <c r="AB113" s="17">
        <v>19928.830000000002</v>
      </c>
      <c r="AC113" s="17">
        <v>32000.66</v>
      </c>
      <c r="AD113" s="4">
        <f>AC113/AB113-1</f>
        <v>0.60574705088055825</v>
      </c>
      <c r="AF113" s="18">
        <v>17267</v>
      </c>
      <c r="AG113" s="18">
        <v>24338</v>
      </c>
      <c r="AI113" s="25">
        <v>5.7500000000000002E-2</v>
      </c>
      <c r="AJ113" s="25">
        <v>7.6100000000000001E-2</v>
      </c>
    </row>
    <row r="114" spans="1:38" ht="15" customHeight="1">
      <c r="A114" s="26" t="s">
        <v>1545</v>
      </c>
      <c r="B114" s="26" t="s">
        <v>1546</v>
      </c>
      <c r="C114">
        <v>1595</v>
      </c>
      <c r="E114" s="26" t="s">
        <v>1546</v>
      </c>
      <c r="F114">
        <v>2461</v>
      </c>
      <c r="G114" t="b">
        <f>IF(B114=E114,TRUE,FALSE)</f>
        <v>1</v>
      </c>
      <c r="J114">
        <f>F114-C114</f>
        <v>866</v>
      </c>
      <c r="K114" s="4">
        <f>F114/C114-1</f>
        <v>0.54294670846394988</v>
      </c>
      <c r="L114" s="4"/>
      <c r="N114" s="5">
        <v>2015.81</v>
      </c>
      <c r="O114" s="5">
        <v>2622.78</v>
      </c>
      <c r="Q114" s="5">
        <v>13611.72</v>
      </c>
      <c r="T114" s="99">
        <f>O114-N114</f>
        <v>606.97000000000025</v>
      </c>
      <c r="U114" s="4">
        <f>IF(N114=0,0,O114/N114-1)</f>
        <v>0.30110476681830156</v>
      </c>
      <c r="AB114" s="17">
        <v>38195.21</v>
      </c>
      <c r="AC114" s="17">
        <v>52169.08</v>
      </c>
      <c r="AD114" s="4">
        <f>AC114/AB114-1</f>
        <v>0.36585399059201418</v>
      </c>
      <c r="AF114" s="18">
        <v>6626</v>
      </c>
      <c r="AG114" s="18">
        <v>11443</v>
      </c>
      <c r="AI114" s="25">
        <v>0.24059999999999998</v>
      </c>
      <c r="AJ114" s="25">
        <v>0.21489999999999998</v>
      </c>
    </row>
    <row r="115" spans="1:38" ht="15" customHeight="1">
      <c r="A115" t="s">
        <v>1547</v>
      </c>
      <c r="B115" t="s">
        <v>1548</v>
      </c>
      <c r="C115">
        <v>1426</v>
      </c>
      <c r="E115" t="s">
        <v>1548</v>
      </c>
      <c r="F115">
        <v>2296</v>
      </c>
      <c r="G115" t="b">
        <f>IF(B115=E115,TRUE,FALSE)</f>
        <v>1</v>
      </c>
      <c r="J115">
        <f>F115-C115</f>
        <v>870</v>
      </c>
      <c r="K115" s="4">
        <f>F115/C115-1</f>
        <v>0.61009817671809263</v>
      </c>
      <c r="L115" s="4"/>
      <c r="N115" s="5">
        <v>1695.74</v>
      </c>
      <c r="O115" s="5">
        <v>3249.78</v>
      </c>
      <c r="Q115" s="5">
        <v>14831.44</v>
      </c>
      <c r="T115" s="99">
        <f>O115-N115</f>
        <v>1554.0400000000002</v>
      </c>
      <c r="U115" s="4">
        <f>IF(N115=0,0,O115/N115-1)</f>
        <v>0.91643766143394645</v>
      </c>
      <c r="AB115" s="17">
        <v>27076.32</v>
      </c>
      <c r="AC115" s="17">
        <v>38422.019999999997</v>
      </c>
      <c r="AD115" s="4">
        <f>AC115/AB115-1</f>
        <v>0.41902666241202624</v>
      </c>
      <c r="AF115" s="18">
        <v>2701</v>
      </c>
      <c r="AG115" s="18">
        <v>4628</v>
      </c>
      <c r="AI115" s="25">
        <v>0.52800000000000002</v>
      </c>
      <c r="AJ115" s="25">
        <v>0.49520000000000003</v>
      </c>
    </row>
    <row r="116" spans="1:38" ht="15" customHeight="1">
      <c r="A116" t="s">
        <v>1549</v>
      </c>
      <c r="B116" t="s">
        <v>1550</v>
      </c>
      <c r="C116">
        <v>3173</v>
      </c>
      <c r="E116" t="s">
        <v>1550</v>
      </c>
      <c r="F116">
        <v>4060</v>
      </c>
      <c r="G116" t="b">
        <f>IF(B116=E116,TRUE,FALSE)</f>
        <v>1</v>
      </c>
      <c r="J116">
        <f>F116-C116</f>
        <v>887</v>
      </c>
      <c r="K116" s="4">
        <f>F116/C116-1</f>
        <v>0.27954617081626232</v>
      </c>
      <c r="L116" s="4"/>
      <c r="N116" s="5">
        <v>1576.55</v>
      </c>
      <c r="O116" s="5">
        <v>3497.78</v>
      </c>
      <c r="Q116" s="5">
        <v>13420.06</v>
      </c>
      <c r="T116" s="99">
        <f>O116-N116</f>
        <v>1921.2300000000002</v>
      </c>
      <c r="U116" s="4">
        <f>IF(N116=0,0,O116/N116-1)</f>
        <v>1.2186292854650982</v>
      </c>
      <c r="X116" s="5"/>
      <c r="Y116" s="5" t="s">
        <v>1551</v>
      </c>
      <c r="Z116" s="5"/>
      <c r="AA116" s="16"/>
      <c r="AB116" s="17">
        <v>63422.67</v>
      </c>
      <c r="AC116" s="17">
        <v>75630.61</v>
      </c>
      <c r="AD116" s="4">
        <f>AC116/AB116-1</f>
        <v>0.19248543147111286</v>
      </c>
      <c r="AF116" s="18">
        <v>8945</v>
      </c>
      <c r="AG116" s="18">
        <v>11888</v>
      </c>
      <c r="AI116" s="25">
        <v>0.35450000000000004</v>
      </c>
      <c r="AJ116" s="25">
        <v>0.34</v>
      </c>
    </row>
    <row r="117" spans="1:38" ht="15" customHeight="1">
      <c r="A117" t="s">
        <v>1552</v>
      </c>
      <c r="B117" t="s">
        <v>1553</v>
      </c>
      <c r="C117">
        <v>909</v>
      </c>
      <c r="E117" t="s">
        <v>1553</v>
      </c>
      <c r="F117">
        <v>1848</v>
      </c>
      <c r="G117" t="b">
        <f>IF(B117=E117,TRUE,FALSE)</f>
        <v>1</v>
      </c>
      <c r="J117">
        <f>F117-C117</f>
        <v>939</v>
      </c>
      <c r="K117" s="4">
        <f>F117/C117-1</f>
        <v>1.0330033003300332</v>
      </c>
      <c r="L117" s="4"/>
      <c r="N117" s="5">
        <v>1091.2</v>
      </c>
      <c r="O117" s="5">
        <v>1965.55</v>
      </c>
      <c r="Q117" s="5">
        <v>12541.74</v>
      </c>
      <c r="T117" s="99">
        <f>O117-N117</f>
        <v>874.34999999999991</v>
      </c>
      <c r="U117" s="4">
        <f>IF(N117=0,0,O117/N117-1)</f>
        <v>0.80127382697947191</v>
      </c>
      <c r="AB117" s="17">
        <v>21144.66</v>
      </c>
      <c r="AC117" s="17">
        <v>36728.160000000003</v>
      </c>
      <c r="AD117" s="4">
        <f>AC117/AB117-1</f>
        <v>0.73699458870466605</v>
      </c>
      <c r="AF117" s="18">
        <v>2372</v>
      </c>
      <c r="AG117" s="18">
        <v>5211</v>
      </c>
      <c r="AI117" s="25">
        <v>0.38409999999999994</v>
      </c>
      <c r="AJ117" s="25">
        <v>0.35389999999999999</v>
      </c>
    </row>
    <row r="118" spans="1:38" ht="13.5" customHeight="1">
      <c r="A118" t="s">
        <v>1554</v>
      </c>
      <c r="B118" t="s">
        <v>1555</v>
      </c>
      <c r="C118">
        <v>1118</v>
      </c>
      <c r="E118" t="s">
        <v>1555</v>
      </c>
      <c r="F118">
        <v>2059</v>
      </c>
      <c r="G118" t="b">
        <f>IF(B118=E118,TRUE,FALSE)</f>
        <v>1</v>
      </c>
      <c r="J118">
        <f>F118-C118</f>
        <v>941</v>
      </c>
      <c r="K118" s="4">
        <f>F118/C118-1</f>
        <v>0.84168157423971368</v>
      </c>
      <c r="L118" s="4"/>
      <c r="N118" s="5">
        <v>496.06</v>
      </c>
      <c r="O118" s="5">
        <v>1078.97</v>
      </c>
      <c r="Q118" s="5">
        <v>8480.9</v>
      </c>
      <c r="T118" s="99">
        <f>O118-N118</f>
        <v>582.91000000000008</v>
      </c>
      <c r="U118" s="4">
        <f>IF(N118=0,0,O118/N118-1)</f>
        <v>1.1750796274644197</v>
      </c>
      <c r="AB118" s="17">
        <v>39059.75</v>
      </c>
      <c r="AC118" s="17">
        <v>62651.360000000001</v>
      </c>
      <c r="AD118" s="4">
        <f>AC118/AB118-1</f>
        <v>0.60398773673666617</v>
      </c>
      <c r="AF118" s="18">
        <v>2706</v>
      </c>
      <c r="AG118" s="18">
        <v>5075</v>
      </c>
      <c r="AI118" s="25">
        <v>0.40579999999999999</v>
      </c>
      <c r="AJ118" s="25">
        <v>0.40329999999999999</v>
      </c>
    </row>
    <row r="119" spans="1:38" ht="13.5" customHeight="1">
      <c r="A119" t="s">
        <v>1556</v>
      </c>
      <c r="B119" t="s">
        <v>1557</v>
      </c>
      <c r="C119">
        <v>771</v>
      </c>
      <c r="E119" t="s">
        <v>1557</v>
      </c>
      <c r="F119">
        <v>1747</v>
      </c>
      <c r="G119" t="b">
        <f>IF(B119=E119,TRUE,FALSE)</f>
        <v>1</v>
      </c>
      <c r="J119">
        <f>F119-C119</f>
        <v>976</v>
      </c>
      <c r="K119" s="4">
        <f>F119/C119-1</f>
        <v>1.2658884565499351</v>
      </c>
      <c r="N119" s="5">
        <v>1556.5800000000002</v>
      </c>
      <c r="O119" s="5">
        <v>2885.52</v>
      </c>
      <c r="Q119" s="5">
        <v>9087.9600000000009</v>
      </c>
      <c r="T119" s="99">
        <f>O119-N119</f>
        <v>1328.9399999999998</v>
      </c>
      <c r="U119" s="4">
        <f>IF(N119=0,0,O119/N119-1)</f>
        <v>0.85375631191458168</v>
      </c>
      <c r="X119" s="5"/>
      <c r="Y119" s="5"/>
      <c r="Z119" s="5"/>
      <c r="AA119" s="16"/>
      <c r="AB119" s="17">
        <v>15408.29</v>
      </c>
      <c r="AC119" s="17">
        <v>32684.05</v>
      </c>
      <c r="AD119" s="4">
        <f>AC119/AB119-1</f>
        <v>1.1211990428529055</v>
      </c>
      <c r="AF119" s="18">
        <v>4356</v>
      </c>
      <c r="AG119" s="18">
        <v>14922</v>
      </c>
      <c r="AI119" s="25">
        <v>0.17699999999999999</v>
      </c>
      <c r="AJ119" s="25">
        <v>0.1168</v>
      </c>
    </row>
    <row r="120" spans="1:38" ht="13.5" customHeight="1">
      <c r="A120" t="s">
        <v>1558</v>
      </c>
      <c r="B120" t="s">
        <v>1559</v>
      </c>
      <c r="C120">
        <v>1485</v>
      </c>
      <c r="E120" t="s">
        <v>1559</v>
      </c>
      <c r="F120">
        <v>2529</v>
      </c>
      <c r="G120" t="b">
        <f>IF(B120=E120,TRUE,FALSE)</f>
        <v>1</v>
      </c>
      <c r="J120">
        <f>F120-C120</f>
        <v>1044</v>
      </c>
      <c r="K120" s="4">
        <f>F120/C120-1</f>
        <v>0.70303030303030312</v>
      </c>
      <c r="L120" s="4"/>
      <c r="N120" s="5">
        <v>992.31</v>
      </c>
      <c r="O120" s="5">
        <v>2234.86</v>
      </c>
      <c r="Q120" s="5">
        <v>9366.1299999999992</v>
      </c>
      <c r="T120" s="99">
        <f>O120-N120</f>
        <v>1242.5500000000002</v>
      </c>
      <c r="U120" s="4">
        <f>IF(N120=0,0,O120/N120-1)</f>
        <v>1.2521792584978488</v>
      </c>
      <c r="AB120" s="17">
        <v>29674.15</v>
      </c>
      <c r="AC120" s="17">
        <v>44224.72</v>
      </c>
      <c r="AD120" s="4">
        <f>AC120/AB120-1</f>
        <v>0.49034496354571222</v>
      </c>
      <c r="AF120" s="18">
        <v>3921</v>
      </c>
      <c r="AG120" s="18">
        <v>7063</v>
      </c>
      <c r="AI120" s="25">
        <v>0.3785</v>
      </c>
      <c r="AJ120" s="25">
        <v>0.35759999999999997</v>
      </c>
    </row>
    <row r="121" spans="1:38" ht="13.5" customHeight="1">
      <c r="A121" t="s">
        <v>1560</v>
      </c>
      <c r="B121" t="s">
        <v>1561</v>
      </c>
      <c r="C121">
        <v>3798</v>
      </c>
      <c r="E121" t="s">
        <v>1561</v>
      </c>
      <c r="F121">
        <v>4846</v>
      </c>
      <c r="G121" t="b">
        <f>IF(B121=E121,TRUE,FALSE)</f>
        <v>1</v>
      </c>
      <c r="J121">
        <f>F121-C121</f>
        <v>1048</v>
      </c>
      <c r="K121" s="4">
        <f>F121/C121-1</f>
        <v>0.27593470247498675</v>
      </c>
      <c r="N121" s="5">
        <v>5438.08</v>
      </c>
      <c r="O121" s="5">
        <v>7346.12</v>
      </c>
      <c r="Q121" s="5">
        <v>29500.05</v>
      </c>
      <c r="T121" s="99">
        <f>O121-N121</f>
        <v>1908.04</v>
      </c>
      <c r="U121" s="4">
        <f>IF(N121=0,0,O121/N121-1)</f>
        <v>0.35086648228786621</v>
      </c>
      <c r="X121" s="5"/>
      <c r="Y121" s="5"/>
      <c r="Z121" s="5"/>
      <c r="AA121" s="16"/>
      <c r="AB121" s="17">
        <v>64520.03</v>
      </c>
      <c r="AC121" s="17">
        <v>82205.490000000005</v>
      </c>
      <c r="AD121" s="4">
        <f>AC121/AB121-1</f>
        <v>0.27410805605639066</v>
      </c>
      <c r="AF121" s="18">
        <v>8149</v>
      </c>
      <c r="AG121" s="18">
        <v>11770</v>
      </c>
      <c r="AI121" s="25">
        <v>0.46560000000000001</v>
      </c>
      <c r="AJ121" s="25">
        <v>0.41100000000000003</v>
      </c>
    </row>
    <row r="122" spans="1:38" ht="13.5" customHeight="1">
      <c r="A122" t="s">
        <v>1562</v>
      </c>
      <c r="B122" t="s">
        <v>1563</v>
      </c>
      <c r="C122">
        <v>1776</v>
      </c>
      <c r="E122" t="s">
        <v>1563</v>
      </c>
      <c r="F122">
        <v>2856</v>
      </c>
      <c r="G122" t="b">
        <f>IF(B122=E122,TRUE,FALSE)</f>
        <v>1</v>
      </c>
      <c r="J122">
        <f>F122-C122</f>
        <v>1080</v>
      </c>
      <c r="K122" s="4">
        <f>F122/C122-1</f>
        <v>0.60810810810810811</v>
      </c>
      <c r="L122" s="4"/>
      <c r="N122" s="5">
        <v>3108.74</v>
      </c>
      <c r="O122" s="5">
        <v>4212.7700000000004</v>
      </c>
      <c r="Q122" s="5">
        <v>19337.650000000001</v>
      </c>
      <c r="T122" s="99">
        <f>O122-N122</f>
        <v>1104.0300000000007</v>
      </c>
      <c r="U122" s="4">
        <f>IF(N122=0,0,O122/N122-1)</f>
        <v>0.35513745118601125</v>
      </c>
      <c r="AB122" s="17">
        <v>42597.120000000003</v>
      </c>
      <c r="AC122" s="17">
        <v>60665.07</v>
      </c>
      <c r="AD122" s="4">
        <f>AC122/AB122-1</f>
        <v>0.42415895722527708</v>
      </c>
      <c r="AF122" s="18">
        <v>6391</v>
      </c>
      <c r="AG122" s="18">
        <v>11288</v>
      </c>
      <c r="AI122" s="25">
        <v>0.2787</v>
      </c>
      <c r="AJ122" s="25">
        <v>0.25259999999999999</v>
      </c>
      <c r="AL122" t="s">
        <v>1564</v>
      </c>
    </row>
    <row r="123" spans="1:38" ht="13.5" customHeight="1">
      <c r="A123" t="s">
        <v>1565</v>
      </c>
      <c r="B123" t="s">
        <v>1566</v>
      </c>
      <c r="C123">
        <v>1540</v>
      </c>
      <c r="E123" t="s">
        <v>1566</v>
      </c>
      <c r="F123">
        <v>2669</v>
      </c>
      <c r="G123" t="b">
        <f>IF(B123=E123,TRUE,FALSE)</f>
        <v>1</v>
      </c>
      <c r="J123">
        <f>F123-C123</f>
        <v>1129</v>
      </c>
      <c r="K123" s="4">
        <f>F123/C123-1</f>
        <v>0.73311688311688306</v>
      </c>
      <c r="L123" s="6"/>
      <c r="N123" s="5">
        <v>2256.6799999999998</v>
      </c>
      <c r="O123" s="5">
        <v>3345.87</v>
      </c>
      <c r="Q123" s="5">
        <v>21358.82</v>
      </c>
      <c r="T123" s="99">
        <f>O123-N123</f>
        <v>1089.19</v>
      </c>
      <c r="U123" s="4">
        <f>IF(N123=0,0,O123/N123-1)</f>
        <v>0.48265150575181237</v>
      </c>
      <c r="AB123" s="17">
        <v>33859.760000000002</v>
      </c>
      <c r="AC123" s="17">
        <v>51349.25</v>
      </c>
      <c r="AD123" s="4">
        <f>AC123/AB123-1</f>
        <v>0.51652728784846658</v>
      </c>
      <c r="AF123" s="18">
        <v>4934</v>
      </c>
      <c r="AG123" s="18">
        <v>9628</v>
      </c>
      <c r="AI123" s="25">
        <v>0.3125</v>
      </c>
      <c r="AJ123" s="25">
        <v>0.27649999999999997</v>
      </c>
    </row>
    <row r="124" spans="1:38" ht="13.5" customHeight="1">
      <c r="A124" t="s">
        <v>1567</v>
      </c>
      <c r="B124" t="s">
        <v>1568</v>
      </c>
      <c r="C124">
        <v>2113</v>
      </c>
      <c r="E124" t="s">
        <v>1568</v>
      </c>
      <c r="F124">
        <v>3387</v>
      </c>
      <c r="G124" t="b">
        <f>IF(B124=E124,TRUE,FALSE)</f>
        <v>1</v>
      </c>
      <c r="J124">
        <f>F124-C124</f>
        <v>1274</v>
      </c>
      <c r="K124" s="4">
        <f>F124/C124-1</f>
        <v>0.60293421675343106</v>
      </c>
      <c r="L124" s="4"/>
      <c r="N124" s="5">
        <v>2197.2800000000002</v>
      </c>
      <c r="O124" s="5">
        <v>4012.09</v>
      </c>
      <c r="Q124" s="5">
        <v>19304.39</v>
      </c>
      <c r="T124" s="99">
        <f>O124-N124</f>
        <v>1814.81</v>
      </c>
      <c r="U124" s="4">
        <f>IF(N124=0,0,O124/N124-1)</f>
        <v>0.82593479210660448</v>
      </c>
      <c r="AB124" s="17">
        <v>42146.55</v>
      </c>
      <c r="AC124" s="17">
        <v>59642.11</v>
      </c>
      <c r="AD124" s="4">
        <f>AC124/AB124-1</f>
        <v>0.41511250624309692</v>
      </c>
      <c r="AF124" s="18">
        <v>6564</v>
      </c>
      <c r="AG124" s="18">
        <v>10825</v>
      </c>
      <c r="AI124" s="25">
        <v>0.32270000000000004</v>
      </c>
      <c r="AJ124" s="25">
        <v>0.31120000000000003</v>
      </c>
    </row>
    <row r="125" spans="1:38" ht="15" customHeight="1">
      <c r="A125" t="s">
        <v>1569</v>
      </c>
      <c r="B125" t="s">
        <v>1570</v>
      </c>
      <c r="C125">
        <v>2809</v>
      </c>
      <c r="E125" t="s">
        <v>1570</v>
      </c>
      <c r="F125">
        <v>4109</v>
      </c>
      <c r="G125" t="b">
        <f>IF(B125=E125,TRUE,FALSE)</f>
        <v>1</v>
      </c>
      <c r="J125">
        <f>F125-C125</f>
        <v>1300</v>
      </c>
      <c r="K125" s="4">
        <f>F125/C125-1</f>
        <v>0.46279814880740466</v>
      </c>
      <c r="L125" s="4"/>
      <c r="N125" s="5">
        <v>2078.37</v>
      </c>
      <c r="O125" s="5">
        <v>4309.29</v>
      </c>
      <c r="Q125" s="5">
        <v>19716.669999999998</v>
      </c>
      <c r="T125" s="99">
        <f>O125-N125</f>
        <v>2230.92</v>
      </c>
      <c r="U125" s="4">
        <f>IF(N125=0,0,O125/N125-1)</f>
        <v>1.0733988654570652</v>
      </c>
      <c r="AB125" s="17">
        <v>56029.15</v>
      </c>
      <c r="AC125" s="17">
        <v>72221.77</v>
      </c>
      <c r="AD125" s="4">
        <f>AC125/AB125-1</f>
        <v>0.28900349193232455</v>
      </c>
      <c r="AF125" s="18">
        <v>9314</v>
      </c>
      <c r="AG125" s="18">
        <v>13963</v>
      </c>
      <c r="AI125" s="25">
        <v>0.30120000000000002</v>
      </c>
      <c r="AJ125" s="25">
        <v>0.29359999999999997</v>
      </c>
    </row>
    <row r="126" spans="1:38" ht="15" customHeight="1">
      <c r="A126" t="s">
        <v>1571</v>
      </c>
      <c r="B126" t="s">
        <v>1572</v>
      </c>
      <c r="C126">
        <v>3195</v>
      </c>
      <c r="E126" t="s">
        <v>1572</v>
      </c>
      <c r="F126">
        <v>4714</v>
      </c>
      <c r="G126" t="b">
        <f>IF(B126=E126,TRUE,FALSE)</f>
        <v>1</v>
      </c>
      <c r="J126">
        <f>F126-C126</f>
        <v>1519</v>
      </c>
      <c r="K126" s="4">
        <f>F126/C126-1</f>
        <v>0.47543035993740212</v>
      </c>
      <c r="L126" s="4"/>
      <c r="N126" s="5">
        <v>6768.34</v>
      </c>
      <c r="O126" s="5">
        <v>7723.72</v>
      </c>
      <c r="Q126" s="5">
        <v>34001.14</v>
      </c>
      <c r="T126" s="99">
        <f>O126-N126</f>
        <v>955.38000000000011</v>
      </c>
      <c r="U126" s="4">
        <f>IF(N126=0,0,O126/N126-1)</f>
        <v>0.14115425643510826</v>
      </c>
      <c r="AB126" s="17">
        <v>79832.3</v>
      </c>
      <c r="AC126" s="17">
        <v>104417.61</v>
      </c>
      <c r="AD126" s="4">
        <f>AC126/AB126-1</f>
        <v>0.30796194021718026</v>
      </c>
      <c r="AF126" s="18">
        <v>9831</v>
      </c>
      <c r="AG126" s="18">
        <v>15947</v>
      </c>
      <c r="AI126" s="25">
        <v>0.32530000000000003</v>
      </c>
      <c r="AJ126" s="25">
        <v>0.2949</v>
      </c>
    </row>
    <row r="127" spans="1:38" ht="15" customHeight="1">
      <c r="A127" t="s">
        <v>1573</v>
      </c>
      <c r="B127" t="s">
        <v>1574</v>
      </c>
      <c r="C127">
        <v>1488</v>
      </c>
      <c r="E127" t="s">
        <v>1574</v>
      </c>
      <c r="F127">
        <v>3032</v>
      </c>
      <c r="G127" t="b">
        <f>IF(B127=E127,TRUE,FALSE)</f>
        <v>1</v>
      </c>
      <c r="J127">
        <f>F127-C127</f>
        <v>1544</v>
      </c>
      <c r="K127" s="4">
        <f>F127/C127-1</f>
        <v>1.0376344086021505</v>
      </c>
      <c r="L127" s="4"/>
      <c r="N127" s="5">
        <v>3920.32</v>
      </c>
      <c r="O127" s="5">
        <v>6106.74</v>
      </c>
      <c r="Q127" s="5">
        <v>41904.699999999997</v>
      </c>
      <c r="T127" s="99">
        <f>O127-N127</f>
        <v>2186.4199999999996</v>
      </c>
      <c r="U127" s="4">
        <f>IF(N127=0,0,O127/N127-1)</f>
        <v>0.55771467635295058</v>
      </c>
      <c r="AB127" s="17">
        <v>44610.720000000001</v>
      </c>
      <c r="AC127" s="17">
        <v>90905.38</v>
      </c>
      <c r="AD127" s="4">
        <f>AC127/AB127-1</f>
        <v>1.0377474293174376</v>
      </c>
      <c r="AF127" s="18">
        <v>5279</v>
      </c>
      <c r="AG127" s="18">
        <v>10755</v>
      </c>
      <c r="AI127" s="25">
        <v>0.28190000000000004</v>
      </c>
      <c r="AJ127" s="25">
        <v>0.28110000000000002</v>
      </c>
    </row>
    <row r="128" spans="1:38" ht="15" customHeight="1">
      <c r="A128" t="s">
        <v>1575</v>
      </c>
      <c r="B128" t="s">
        <v>1576</v>
      </c>
      <c r="C128">
        <v>3200</v>
      </c>
      <c r="E128" t="s">
        <v>1576</v>
      </c>
      <c r="F128">
        <v>4891</v>
      </c>
      <c r="G128" t="b">
        <f>IF(B128=E128,TRUE,FALSE)</f>
        <v>1</v>
      </c>
      <c r="J128">
        <f>F128-C128</f>
        <v>1691</v>
      </c>
      <c r="K128" s="4">
        <f>F128/C128-1</f>
        <v>0.52843749999999989</v>
      </c>
      <c r="L128" s="4"/>
      <c r="N128" s="5">
        <v>2578.08</v>
      </c>
      <c r="O128" s="5">
        <v>6043.51</v>
      </c>
      <c r="Q128" s="5">
        <v>22646.71</v>
      </c>
      <c r="T128" s="99">
        <f>O128-N128</f>
        <v>3465.4300000000003</v>
      </c>
      <c r="U128" s="4">
        <f>IF(N128=0,0,O128/N128-1)</f>
        <v>1.3441902501086083</v>
      </c>
      <c r="Y128" t="s">
        <v>1577</v>
      </c>
      <c r="AB128" s="17">
        <v>60752.58</v>
      </c>
      <c r="AC128" s="17">
        <v>81071.72</v>
      </c>
      <c r="AD128" s="4">
        <f>AC128/AB128-1</f>
        <v>0.33445723621943291</v>
      </c>
      <c r="AF128" s="18">
        <v>7395</v>
      </c>
      <c r="AG128" s="18">
        <v>13417</v>
      </c>
      <c r="AI128" s="25">
        <v>0.43490000000000001</v>
      </c>
      <c r="AJ128" s="25">
        <v>0.36299999999999999</v>
      </c>
    </row>
    <row r="129" spans="1:36" ht="15" customHeight="1">
      <c r="A129" t="s">
        <v>1578</v>
      </c>
      <c r="B129" t="s">
        <v>1579</v>
      </c>
      <c r="C129">
        <v>1590</v>
      </c>
      <c r="E129" t="s">
        <v>1579</v>
      </c>
      <c r="F129">
        <v>3711</v>
      </c>
      <c r="G129" t="b">
        <f>IF(B129=E129,TRUE,FALSE)</f>
        <v>1</v>
      </c>
      <c r="J129">
        <f>F129-C129</f>
        <v>2121</v>
      </c>
      <c r="K129" s="4">
        <f>F129/C129-1</f>
        <v>1.3339622641509434</v>
      </c>
      <c r="L129" s="6"/>
      <c r="N129" s="5">
        <v>2805.35</v>
      </c>
      <c r="O129" s="5">
        <v>4877.37</v>
      </c>
      <c r="Q129" s="5">
        <v>19574.79</v>
      </c>
      <c r="T129" s="99">
        <f>O129-N129</f>
        <v>2072.02</v>
      </c>
      <c r="U129" s="4">
        <f>IF(N129=0,0,O129/N129-1)</f>
        <v>0.73859589712513585</v>
      </c>
      <c r="AB129" s="17">
        <v>34960.36</v>
      </c>
      <c r="AC129" s="17">
        <v>70469.600000000006</v>
      </c>
      <c r="AD129" s="4">
        <f>AC129/AB129-1</f>
        <v>1.01570006716178</v>
      </c>
      <c r="AF129" s="18">
        <v>7989</v>
      </c>
      <c r="AG129" s="18">
        <v>19058</v>
      </c>
      <c r="AI129" s="25">
        <v>0.1993</v>
      </c>
      <c r="AJ129" s="25">
        <v>0.19420000000000001</v>
      </c>
    </row>
    <row r="130" spans="1:36" ht="15" customHeight="1">
      <c r="A130" t="s">
        <v>1580</v>
      </c>
      <c r="B130" t="s">
        <v>1581</v>
      </c>
      <c r="C130">
        <v>1113</v>
      </c>
      <c r="E130" t="s">
        <v>1581</v>
      </c>
      <c r="F130">
        <v>3237</v>
      </c>
      <c r="G130" t="b">
        <f>IF(B130=E130,TRUE,FALSE)</f>
        <v>1</v>
      </c>
      <c r="J130">
        <f>F130-C130</f>
        <v>2124</v>
      </c>
      <c r="K130" s="4">
        <f>F130/C130-1</f>
        <v>1.9083557951482479</v>
      </c>
      <c r="L130" s="4"/>
      <c r="N130" s="5">
        <v>780.67</v>
      </c>
      <c r="O130" s="5">
        <v>3607.32</v>
      </c>
      <c r="Q130" s="5">
        <v>15193.33</v>
      </c>
      <c r="T130" s="99">
        <f>O130-N130</f>
        <v>2826.65</v>
      </c>
      <c r="U130" s="4">
        <f>IF(N130=0,0,O130/N130-1)</f>
        <v>3.620800081980863</v>
      </c>
      <c r="AB130" s="17">
        <v>22203.15</v>
      </c>
      <c r="AC130" s="17">
        <v>54902</v>
      </c>
      <c r="AD130" s="4">
        <f>AC130/AB130-1</f>
        <v>1.472712205250156</v>
      </c>
      <c r="AF130" s="18">
        <v>3064</v>
      </c>
      <c r="AG130" s="18">
        <v>10549</v>
      </c>
      <c r="AI130" s="25">
        <v>0.36520000000000002</v>
      </c>
      <c r="AJ130" s="25">
        <v>0.30609999999999998</v>
      </c>
    </row>
    <row r="131" spans="1:36" ht="15" customHeight="1">
      <c r="A131" t="s">
        <v>1582</v>
      </c>
      <c r="B131" t="s">
        <v>1583</v>
      </c>
      <c r="C131">
        <v>3310</v>
      </c>
      <c r="E131" t="s">
        <v>1583</v>
      </c>
      <c r="F131">
        <v>5585</v>
      </c>
      <c r="G131" t="b">
        <f>IF(B131=E131,TRUE,FALSE)</f>
        <v>1</v>
      </c>
      <c r="J131">
        <f>F131-C131</f>
        <v>2275</v>
      </c>
      <c r="K131" s="4">
        <f>F131/C131-1</f>
        <v>0.68731117824773413</v>
      </c>
      <c r="L131" s="4"/>
      <c r="N131" s="5">
        <v>3348.77</v>
      </c>
      <c r="O131" s="5">
        <v>4948.41</v>
      </c>
      <c r="Q131" s="5">
        <v>22645.919999999998</v>
      </c>
      <c r="T131" s="99">
        <f>O131-N131</f>
        <v>1599.6399999999999</v>
      </c>
      <c r="U131" s="4">
        <f>IF(N132=0,0,O131/N132-1)</f>
        <v>-0.50812158370136662</v>
      </c>
      <c r="AB131" s="17">
        <v>66023.7</v>
      </c>
      <c r="AC131" s="17">
        <v>97773.33</v>
      </c>
      <c r="AD131" s="4">
        <f>AC131/AB131-1</f>
        <v>0.48088231953071414</v>
      </c>
      <c r="AF131" s="18">
        <v>13238</v>
      </c>
      <c r="AG131" s="18">
        <v>21026</v>
      </c>
      <c r="AI131" s="25">
        <v>0.25069999999999998</v>
      </c>
      <c r="AJ131" s="25">
        <v>0.26519999999999999</v>
      </c>
    </row>
    <row r="132" spans="1:36" ht="15" customHeight="1">
      <c r="A132" t="s">
        <v>1584</v>
      </c>
      <c r="B132" t="s">
        <v>1585</v>
      </c>
      <c r="C132">
        <v>9384</v>
      </c>
      <c r="E132" t="s">
        <v>1585</v>
      </c>
      <c r="F132">
        <v>11730</v>
      </c>
      <c r="G132" t="b">
        <f>IF(B132=E132,TRUE,FALSE)</f>
        <v>1</v>
      </c>
      <c r="J132">
        <f>F132-C132</f>
        <v>2346</v>
      </c>
      <c r="K132" s="4">
        <f>F132/C132-1</f>
        <v>0.25</v>
      </c>
      <c r="L132" s="4"/>
      <c r="N132" s="5">
        <v>10060.23</v>
      </c>
      <c r="O132" s="5">
        <v>16430.97</v>
      </c>
      <c r="Q132" s="5">
        <v>61971.61</v>
      </c>
      <c r="T132" s="99">
        <f>O132-N132</f>
        <v>6370.7400000000016</v>
      </c>
      <c r="U132" s="4">
        <f>IF(N132=0,0,O132/N132-1)</f>
        <v>0.63325987576824794</v>
      </c>
      <c r="X132" t="s">
        <v>1586</v>
      </c>
      <c r="AB132" s="17">
        <v>187545.05</v>
      </c>
      <c r="AC132" s="17">
        <v>221397.73</v>
      </c>
      <c r="AD132" s="4">
        <f>AC132/AB132-1</f>
        <v>0.18050425751039567</v>
      </c>
      <c r="AF132" s="18">
        <v>23819</v>
      </c>
      <c r="AG132" s="18">
        <v>32389</v>
      </c>
      <c r="AI132" s="25">
        <v>0.39500000000000002</v>
      </c>
      <c r="AJ132" s="25">
        <v>0.36049999999999999</v>
      </c>
    </row>
    <row r="133" spans="1:36" ht="15" customHeight="1">
      <c r="A133" t="s">
        <v>1587</v>
      </c>
      <c r="B133" t="s">
        <v>1588</v>
      </c>
      <c r="C133">
        <v>3529</v>
      </c>
      <c r="E133" t="s">
        <v>1588</v>
      </c>
      <c r="F133">
        <v>6626</v>
      </c>
      <c r="G133" t="b">
        <f>IF(B133=E133,TRUE,FALSE)</f>
        <v>1</v>
      </c>
      <c r="J133">
        <f>F133-C133</f>
        <v>3097</v>
      </c>
      <c r="K133" s="4">
        <f>F133/C133-1</f>
        <v>0.87758571833380561</v>
      </c>
      <c r="L133" s="4"/>
      <c r="N133" s="5">
        <v>2234.4499999999998</v>
      </c>
      <c r="O133" s="5">
        <v>5657.89</v>
      </c>
      <c r="Q133" s="5">
        <v>22565.58</v>
      </c>
      <c r="T133" s="99">
        <f>O133-N133</f>
        <v>3423.4400000000005</v>
      </c>
      <c r="U133" s="4">
        <f>IF(N133=0,0,O133/N133-1)</f>
        <v>1.5321175233278885</v>
      </c>
      <c r="AB133" s="17">
        <v>70532.31</v>
      </c>
      <c r="AC133" s="17">
        <v>114920.94</v>
      </c>
      <c r="AD133" s="4">
        <f>AC133/AB133-1</f>
        <v>0.62933753339427012</v>
      </c>
      <c r="AF133" s="18">
        <v>10076</v>
      </c>
      <c r="AG133" s="18">
        <v>19775</v>
      </c>
      <c r="AI133" s="25">
        <v>0.35009999999999997</v>
      </c>
      <c r="AJ133" s="25">
        <v>0.33429999999999999</v>
      </c>
    </row>
    <row r="134" spans="1:36" ht="15" customHeight="1">
      <c r="A134" s="39"/>
      <c r="B134" s="26"/>
      <c r="C134" s="18"/>
      <c r="E134" s="26"/>
      <c r="F134" s="18"/>
      <c r="K134" s="4"/>
      <c r="L134" s="4"/>
      <c r="U134" s="4"/>
      <c r="AB134" s="17"/>
      <c r="AC134" s="17"/>
      <c r="AD134" s="4"/>
    </row>
    <row r="135" spans="1:36" ht="15" customHeight="1">
      <c r="A135" s="39"/>
      <c r="B135" s="26"/>
      <c r="C135" s="18"/>
      <c r="E135" s="26"/>
      <c r="F135" s="18"/>
      <c r="K135" s="4"/>
      <c r="L135" s="4"/>
      <c r="U135" s="4"/>
      <c r="AB135" s="17"/>
      <c r="AC135" s="17"/>
      <c r="AD135" s="4"/>
    </row>
    <row r="136" spans="1:36" ht="13.5" customHeight="1">
      <c r="C136" s="3" t="s">
        <v>937</v>
      </c>
      <c r="D136" s="3"/>
      <c r="E136" s="3"/>
      <c r="F136" s="3" t="s">
        <v>937</v>
      </c>
      <c r="G136" s="3"/>
      <c r="H136" s="3"/>
      <c r="I136" s="3"/>
      <c r="J136" s="3" t="s">
        <v>938</v>
      </c>
      <c r="K136" s="30"/>
      <c r="L136" s="30"/>
      <c r="M136" s="3"/>
      <c r="N136" s="32" t="s">
        <v>939</v>
      </c>
      <c r="O136" s="32" t="s">
        <v>939</v>
      </c>
      <c r="P136" s="3"/>
      <c r="Q136" s="32" t="s">
        <v>1311</v>
      </c>
      <c r="R136" s="3"/>
      <c r="S136" s="3"/>
      <c r="T136" s="100" t="s">
        <v>941</v>
      </c>
      <c r="U136" s="30"/>
      <c r="V136" s="3"/>
      <c r="W136" s="3"/>
      <c r="X136" s="3"/>
      <c r="Y136" s="3"/>
      <c r="Z136" s="3"/>
      <c r="AA136" s="33"/>
      <c r="AB136" s="34" t="s">
        <v>3</v>
      </c>
      <c r="AC136" s="34" t="s">
        <v>3</v>
      </c>
    </row>
    <row r="137" spans="1:36">
      <c r="C137" s="18">
        <f>SUM(C3:C133)</f>
        <v>159850</v>
      </c>
      <c r="F137" s="18">
        <f>SUM(F3:F133)</f>
        <v>214250</v>
      </c>
      <c r="J137" s="18">
        <f>SUM(J3:J133)</f>
        <v>54400</v>
      </c>
      <c r="K137" s="4"/>
      <c r="L137" s="4"/>
      <c r="N137" s="5">
        <f>SUM(N3:N133)</f>
        <v>202140.08999999997</v>
      </c>
      <c r="O137" s="5">
        <f>SUM(O3:O133)</f>
        <v>299057.52999999991</v>
      </c>
      <c r="Q137" s="5">
        <f>SUM(Q3:Q133)</f>
        <v>1457187.3</v>
      </c>
      <c r="T137" s="99">
        <f>O137-N137</f>
        <v>96917.439999999944</v>
      </c>
      <c r="U137" s="4">
        <f>IF(N137=0,0,O137/N137-1)</f>
        <v>0.47945679652165962</v>
      </c>
      <c r="X137" s="5"/>
      <c r="Y137" s="5"/>
      <c r="Z137" s="5"/>
      <c r="AA137" s="16"/>
      <c r="AB137" s="17">
        <f>SUM(AB3:AB133)</f>
        <v>3665079.2599999984</v>
      </c>
      <c r="AC137" s="17">
        <f>SUM(AC3:AC133)</f>
        <v>4609281.4600000009</v>
      </c>
      <c r="AD137" s="4">
        <f>AC137/AB137-1</f>
        <v>0.25762122263080411</v>
      </c>
    </row>
    <row r="138" spans="1:36">
      <c r="K138" s="4"/>
      <c r="L138" s="4"/>
      <c r="U138" s="4"/>
      <c r="X138" s="5"/>
      <c r="Y138" s="5"/>
      <c r="Z138" s="5"/>
      <c r="AA138" s="16"/>
    </row>
    <row r="139" spans="1:36">
      <c r="C139" s="4"/>
      <c r="F139" s="18">
        <f>F137-C137</f>
        <v>54400</v>
      </c>
      <c r="K139" s="4"/>
      <c r="L139" s="4"/>
      <c r="N139" s="4"/>
      <c r="O139" s="30" t="s">
        <v>942</v>
      </c>
      <c r="Q139" s="25">
        <f>O137/Q137</f>
        <v>0.20522930031026204</v>
      </c>
      <c r="U139" s="4"/>
      <c r="AB139" s="3" t="s">
        <v>943</v>
      </c>
      <c r="AC139" s="3" t="s">
        <v>943</v>
      </c>
    </row>
    <row r="140" spans="1:36">
      <c r="F140" s="4">
        <f>F137/C137-1</f>
        <v>0.34031904910853927</v>
      </c>
      <c r="K140" s="4"/>
      <c r="L140" s="4"/>
      <c r="Q140" s="12"/>
      <c r="U140" s="4"/>
      <c r="AB140" s="31">
        <f>N137/AB137</f>
        <v>5.5152992789574778E-2</v>
      </c>
      <c r="AC140" s="31">
        <f>O137/AC137</f>
        <v>6.4881594364601863E-2</v>
      </c>
    </row>
    <row r="141" spans="1:36">
      <c r="K141" s="4"/>
      <c r="L141" s="4"/>
    </row>
    <row r="142" spans="1:36">
      <c r="K142" s="4"/>
      <c r="L142" s="4"/>
      <c r="U142" s="4"/>
    </row>
    <row r="143" spans="1:36">
      <c r="K143" s="4"/>
      <c r="L143" s="4"/>
      <c r="U143" s="4"/>
    </row>
    <row r="144" spans="1:36">
      <c r="K144" s="4"/>
      <c r="L144" s="4"/>
      <c r="U144" s="4"/>
    </row>
    <row r="145" spans="11:21">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11:21">
      <c r="K177" s="4"/>
      <c r="L177" s="4"/>
      <c r="U177" s="4"/>
    </row>
    <row r="178" spans="11:21">
      <c r="K178" s="4"/>
      <c r="L178" s="4"/>
      <c r="U178" s="4"/>
    </row>
    <row r="179" spans="11:21">
      <c r="K179" s="4"/>
      <c r="L179" s="4"/>
      <c r="U179" s="4"/>
    </row>
    <row r="180" spans="11:21">
      <c r="K180" s="4"/>
      <c r="L180" s="4"/>
      <c r="U180" s="4"/>
    </row>
    <row r="181" spans="11:21">
      <c r="K181" s="4"/>
      <c r="L181" s="4"/>
      <c r="U181" s="4"/>
    </row>
    <row r="182" spans="11:21">
      <c r="K182" s="4"/>
      <c r="L182" s="4"/>
      <c r="U182" s="4"/>
    </row>
    <row r="183" spans="11:21">
      <c r="K183" s="4"/>
      <c r="L183" s="4"/>
      <c r="U183" s="4"/>
    </row>
    <row r="184" spans="11:21">
      <c r="K184" s="4"/>
      <c r="L184" s="4"/>
      <c r="U184" s="4"/>
    </row>
    <row r="185" spans="11:21">
      <c r="K185" s="4"/>
      <c r="L185" s="4"/>
      <c r="U185" s="4"/>
    </row>
    <row r="186" spans="11:21">
      <c r="K186" s="6"/>
      <c r="L186" s="6"/>
      <c r="N186" s="10"/>
      <c r="O186" s="10"/>
      <c r="T186" s="104"/>
      <c r="U186" s="6"/>
    </row>
    <row r="187" spans="11:21" ht="15" customHeight="1">
      <c r="K187" s="6"/>
      <c r="L187" s="6"/>
      <c r="N187" s="10"/>
      <c r="O187" s="10"/>
      <c r="T187" s="104"/>
      <c r="U187" s="6"/>
    </row>
    <row r="188" spans="11:21" ht="15" customHeight="1">
      <c r="K188" s="6"/>
      <c r="L188" s="6"/>
      <c r="N188" s="10"/>
      <c r="O188" s="10"/>
      <c r="T188" s="104"/>
      <c r="U188" s="6"/>
    </row>
    <row r="189" spans="11:21" ht="15" customHeight="1">
      <c r="K189" s="6"/>
      <c r="L189" s="6"/>
      <c r="N189" s="10"/>
      <c r="O189" s="10"/>
      <c r="T189" s="104"/>
      <c r="U189" s="6"/>
    </row>
    <row r="190" spans="11:21" ht="15" customHeight="1">
      <c r="K190" s="6"/>
      <c r="N190" s="10"/>
      <c r="O190" s="10"/>
      <c r="T190" s="104"/>
      <c r="U190" s="6"/>
    </row>
    <row r="191" spans="11:21" ht="15" customHeight="1">
      <c r="K191" s="6"/>
      <c r="L191" s="6"/>
      <c r="N191" s="10"/>
      <c r="O191" s="10"/>
      <c r="T191" s="104"/>
      <c r="U191" s="6"/>
    </row>
    <row r="192" spans="11:21" ht="15" customHeight="1">
      <c r="K192" s="6"/>
      <c r="L192" s="6"/>
      <c r="N192" s="10"/>
      <c r="O192" s="10"/>
      <c r="T192" s="104"/>
      <c r="U192" s="6"/>
    </row>
    <row r="193" spans="3:21" ht="15" customHeight="1">
      <c r="K193" s="6"/>
      <c r="L193" s="6"/>
      <c r="N193" s="10"/>
      <c r="O193" s="10"/>
      <c r="T193" s="104"/>
      <c r="U193" s="6"/>
    </row>
    <row r="194" spans="3:21" ht="15" customHeight="1">
      <c r="K194" s="6"/>
      <c r="L194" s="6"/>
      <c r="N194" s="10"/>
      <c r="O194" s="10"/>
      <c r="T194" s="104"/>
      <c r="U194" s="6"/>
    </row>
    <row r="195" spans="3:21">
      <c r="N195" s="10"/>
      <c r="O195" s="10"/>
      <c r="T195" s="104"/>
    </row>
    <row r="196" spans="3:21" ht="15" customHeight="1">
      <c r="C196" s="8"/>
      <c r="F196" s="8"/>
      <c r="J196" s="8"/>
      <c r="N196" s="10"/>
      <c r="O196" s="10"/>
      <c r="T196" s="104"/>
    </row>
    <row r="197" spans="3:21">
      <c r="N197" s="10"/>
      <c r="O197" s="10"/>
      <c r="T197" s="104"/>
    </row>
    <row r="198" spans="3:21" ht="15" customHeight="1">
      <c r="N198" s="10"/>
      <c r="O198" s="10"/>
      <c r="T198" s="104"/>
    </row>
    <row r="199" spans="3:21" ht="15" customHeight="1">
      <c r="C199" s="9"/>
      <c r="F199" s="9"/>
    </row>
    <row r="201" spans="3:21" ht="15" customHeight="1">
      <c r="C201" s="8"/>
      <c r="F201" s="8"/>
    </row>
    <row r="204" spans="3:21" ht="15" customHeight="1">
      <c r="C204" s="9"/>
      <c r="F204" s="9"/>
    </row>
  </sheetData>
  <autoFilter ref="A2:AK2" xr:uid="{A0872D2E-CA91-4628-AF55-6EA17D54F5B9}"/>
  <sortState xmlns:xlrd2="http://schemas.microsoft.com/office/spreadsheetml/2017/richdata2" ref="J3:K89">
    <sortCondition ref="J89"/>
  </sortState>
  <mergeCells count="9">
    <mergeCell ref="AF1:AG1"/>
    <mergeCell ref="AI1:AJ1"/>
    <mergeCell ref="AB1:AC1"/>
    <mergeCell ref="X1:AA1"/>
    <mergeCell ref="B1:C1"/>
    <mergeCell ref="E1:F1"/>
    <mergeCell ref="J1:K1"/>
    <mergeCell ref="N1:O1"/>
    <mergeCell ref="T1:U1"/>
  </mergeCells>
  <phoneticPr fontId="3" type="noConversion"/>
  <conditionalFormatting sqref="D76 H76:I76 L76:M76 P76 R76:S76">
    <cfRule type="cellIs" dxfId="14" priority="17" operator="greaterThan">
      <formula>500</formula>
    </cfRule>
    <cfRule type="cellIs" dxfId="13" priority="18" operator="lessThan">
      <formula>-100</formula>
    </cfRule>
  </conditionalFormatting>
  <conditionalFormatting sqref="J2:J136 J138:J144 J146:J195">
    <cfRule type="cellIs" dxfId="12" priority="7" operator="greaterThan">
      <formula>500</formula>
    </cfRule>
  </conditionalFormatting>
  <conditionalFormatting sqref="J3:J136 J138:J144 J146:J194">
    <cfRule type="cellIs" dxfId="11" priority="11" operator="lessThan">
      <formula>-100</formula>
    </cfRule>
  </conditionalFormatting>
  <conditionalFormatting sqref="J197:J1048576">
    <cfRule type="cellIs" dxfId="10" priority="30" operator="greaterThan">
      <formula>500</formula>
    </cfRule>
  </conditionalFormatting>
  <conditionalFormatting sqref="K2">
    <cfRule type="cellIs" dxfId="9" priority="31" operator="lessThan">
      <formula>-20%</formula>
    </cfRule>
  </conditionalFormatting>
  <conditionalFormatting sqref="K3:K144 K146:K1048576">
    <cfRule type="cellIs" dxfId="8" priority="14" operator="lessThan">
      <formula>-0.2</formula>
    </cfRule>
  </conditionalFormatting>
  <conditionalFormatting sqref="K3:L3 L4:L64 K4:K144 L66:L75 L77:L144 L146:L190 K146:K194">
    <cfRule type="cellIs" dxfId="7" priority="35" operator="greaterThan">
      <formula>0.2</formula>
    </cfRule>
  </conditionalFormatting>
  <conditionalFormatting sqref="U3:U140 U142:U194">
    <cfRule type="cellIs" dxfId="6" priority="33" operator="greaterThan">
      <formula>0.5</formula>
    </cfRule>
  </conditionalFormatting>
  <conditionalFormatting sqref="AD3:AD135">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37">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X54"/>
  <sheetViews>
    <sheetView tabSelected="1" zoomScale="85" zoomScaleNormal="85" workbookViewId="0">
      <pane xSplit="1" ySplit="1" topLeftCell="AL19" activePane="bottomRight" state="frozen"/>
      <selection pane="bottomRight" activeCell="AO38" sqref="AO38"/>
      <selection pane="bottomLeft"/>
      <selection pane="topRight"/>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25" width="19.42578125" customWidth="1"/>
    <col min="26" max="26" width="20" customWidth="1"/>
    <col min="27" max="28" width="16.42578125" customWidth="1"/>
    <col min="29" max="29" width="18.140625" customWidth="1"/>
    <col min="30" max="30" width="16.42578125" customWidth="1"/>
    <col min="31" max="33" width="16.5703125" customWidth="1"/>
    <col min="34" max="39" width="20.5703125" customWidth="1"/>
    <col min="40" max="40" width="19.5703125" customWidth="1"/>
    <col min="41" max="50" width="20.5703125" customWidth="1"/>
  </cols>
  <sheetData>
    <row r="1" spans="1:50" ht="15.75" thickBot="1">
      <c r="A1" s="35" t="s">
        <v>1589</v>
      </c>
      <c r="B1" s="41" t="s">
        <v>1590</v>
      </c>
      <c r="C1" s="41" t="s">
        <v>1591</v>
      </c>
      <c r="D1" s="41" t="s">
        <v>1592</v>
      </c>
      <c r="E1" s="41" t="s">
        <v>1593</v>
      </c>
      <c r="F1" s="41" t="s">
        <v>1594</v>
      </c>
      <c r="G1" s="41" t="s">
        <v>1595</v>
      </c>
      <c r="H1" s="41" t="s">
        <v>1596</v>
      </c>
      <c r="I1" s="41" t="s">
        <v>1597</v>
      </c>
      <c r="J1" s="41" t="s">
        <v>1598</v>
      </c>
      <c r="K1" s="41" t="s">
        <v>1599</v>
      </c>
      <c r="L1" s="41" t="s">
        <v>1600</v>
      </c>
      <c r="M1" s="41" t="s">
        <v>1601</v>
      </c>
      <c r="N1" s="41" t="s">
        <v>1602</v>
      </c>
      <c r="O1" s="41" t="s">
        <v>1603</v>
      </c>
      <c r="P1" s="41" t="s">
        <v>1604</v>
      </c>
      <c r="Q1" s="41" t="s">
        <v>1605</v>
      </c>
      <c r="R1" s="41" t="s">
        <v>1606</v>
      </c>
      <c r="S1" s="41" t="s">
        <v>1607</v>
      </c>
      <c r="T1" s="41" t="s">
        <v>1608</v>
      </c>
      <c r="U1" s="41" t="s">
        <v>1609</v>
      </c>
      <c r="V1" s="41" t="s">
        <v>1610</v>
      </c>
      <c r="W1" s="41" t="s">
        <v>1611</v>
      </c>
      <c r="X1" s="41" t="s">
        <v>1612</v>
      </c>
      <c r="Y1" s="42" t="s">
        <v>1613</v>
      </c>
      <c r="Z1" s="42" t="s">
        <v>1614</v>
      </c>
      <c r="AA1" s="42" t="s">
        <v>1615</v>
      </c>
      <c r="AB1" s="42" t="s">
        <v>1616</v>
      </c>
      <c r="AC1" s="42" t="s">
        <v>1617</v>
      </c>
      <c r="AD1" s="42" t="s">
        <v>1618</v>
      </c>
      <c r="AE1" s="42" t="s">
        <v>1619</v>
      </c>
      <c r="AF1" s="42" t="s">
        <v>1620</v>
      </c>
      <c r="AG1" s="42" t="s">
        <v>1621</v>
      </c>
      <c r="AH1" s="42" t="s">
        <v>1622</v>
      </c>
      <c r="AI1" s="42" t="s">
        <v>1623</v>
      </c>
      <c r="AJ1" s="42" t="s">
        <v>1624</v>
      </c>
      <c r="AK1" s="42" t="s">
        <v>1625</v>
      </c>
      <c r="AL1" s="42" t="s">
        <v>1626</v>
      </c>
      <c r="AM1" s="42" t="s">
        <v>1627</v>
      </c>
      <c r="AN1" s="42" t="s">
        <v>1628</v>
      </c>
      <c r="AO1" s="42" t="s">
        <v>1629</v>
      </c>
      <c r="AP1" s="42" t="s">
        <v>1630</v>
      </c>
      <c r="AQ1" s="42" t="s">
        <v>1631</v>
      </c>
      <c r="AR1" s="42" t="s">
        <v>1632</v>
      </c>
      <c r="AS1" s="42" t="s">
        <v>1633</v>
      </c>
      <c r="AT1" s="42" t="s">
        <v>1634</v>
      </c>
      <c r="AU1" s="42" t="s">
        <v>1635</v>
      </c>
      <c r="AV1" s="42" t="s">
        <v>1636</v>
      </c>
      <c r="AW1" s="42" t="s">
        <v>1637</v>
      </c>
      <c r="AX1" s="42" t="s">
        <v>1638</v>
      </c>
    </row>
    <row r="2" spans="1:50">
      <c r="A2" s="43" t="s">
        <v>1639</v>
      </c>
      <c r="B2" s="44">
        <v>4932070</v>
      </c>
      <c r="C2" s="44">
        <v>4882291</v>
      </c>
      <c r="D2" s="44">
        <v>5747107</v>
      </c>
      <c r="E2" s="44">
        <v>5558578</v>
      </c>
      <c r="F2" s="44">
        <v>5608447</v>
      </c>
      <c r="G2" s="44">
        <v>5365821</v>
      </c>
      <c r="H2" s="44">
        <v>6175048</v>
      </c>
      <c r="I2" s="44">
        <v>6208913</v>
      </c>
      <c r="J2" s="44">
        <v>6107157</v>
      </c>
      <c r="K2" s="44">
        <v>6062880</v>
      </c>
      <c r="L2" s="44">
        <v>6409021</v>
      </c>
      <c r="M2" s="44">
        <v>5849059</v>
      </c>
      <c r="N2" s="79">
        <v>7678962</v>
      </c>
      <c r="O2" s="44">
        <v>8708296</v>
      </c>
      <c r="P2" s="44">
        <v>10429669.960000001</v>
      </c>
      <c r="Q2" s="44">
        <v>12527965</v>
      </c>
      <c r="R2" s="44">
        <v>12400737</v>
      </c>
      <c r="S2" s="44">
        <v>12318165</v>
      </c>
      <c r="T2" s="44">
        <v>13296822</v>
      </c>
      <c r="U2" s="44">
        <v>12427810.4</v>
      </c>
      <c r="V2" s="44">
        <v>12425462.310000001</v>
      </c>
      <c r="W2" s="44">
        <v>13116754.92</v>
      </c>
      <c r="X2" s="44">
        <v>13168808.529999999</v>
      </c>
      <c r="Y2" s="44">
        <v>13467008.08</v>
      </c>
      <c r="Z2" s="79">
        <v>16902826.940000001</v>
      </c>
      <c r="AA2" s="44">
        <v>17685415.640000001</v>
      </c>
      <c r="AB2" s="44">
        <v>17844095.539999999</v>
      </c>
      <c r="AC2" s="44">
        <v>20055646.200000003</v>
      </c>
      <c r="AD2" s="44">
        <v>18715254.290000007</v>
      </c>
      <c r="AE2" s="44">
        <v>17998376.469999991</v>
      </c>
      <c r="AF2" s="44">
        <v>18949710.699999999</v>
      </c>
      <c r="AG2" s="44">
        <v>19163616.800000001</v>
      </c>
      <c r="AH2" s="44">
        <v>22100782.419999994</v>
      </c>
      <c r="AI2" s="129">
        <v>24012240.110000011</v>
      </c>
      <c r="AJ2" s="129">
        <v>22549338</v>
      </c>
      <c r="AK2" s="129">
        <v>21615527.73</v>
      </c>
      <c r="AL2" s="153">
        <v>27588664.57999998</v>
      </c>
      <c r="AM2" s="129">
        <v>25800756.430000018</v>
      </c>
      <c r="AN2" s="129">
        <v>28379723.339999959</v>
      </c>
      <c r="AO2" s="129"/>
      <c r="AP2" s="129"/>
      <c r="AQ2" s="129"/>
      <c r="AR2" s="129"/>
      <c r="AS2" s="129"/>
      <c r="AT2" s="129"/>
      <c r="AU2" s="129"/>
      <c r="AV2" s="129"/>
      <c r="AW2" s="154"/>
      <c r="AX2" s="165">
        <f>SUM(AL2:AW2)</f>
        <v>81769144.349999964</v>
      </c>
    </row>
    <row r="3" spans="1:50">
      <c r="A3" s="46" t="s">
        <v>1640</v>
      </c>
      <c r="B3" s="47">
        <v>2297147</v>
      </c>
      <c r="C3" s="47">
        <v>2150420</v>
      </c>
      <c r="D3" s="47">
        <v>2629984</v>
      </c>
      <c r="E3" s="47">
        <v>2521569</v>
      </c>
      <c r="F3" s="47">
        <v>2259914</v>
      </c>
      <c r="G3" s="47">
        <v>2519256</v>
      </c>
      <c r="H3" s="47">
        <v>2827089</v>
      </c>
      <c r="I3" s="47">
        <v>2875100</v>
      </c>
      <c r="J3" s="47">
        <v>3207713</v>
      </c>
      <c r="K3" s="47">
        <v>2859584</v>
      </c>
      <c r="L3" s="47">
        <v>3081446</v>
      </c>
      <c r="M3" s="47">
        <v>3056146</v>
      </c>
      <c r="N3" s="80">
        <v>3844080</v>
      </c>
      <c r="O3" s="47">
        <v>3634529</v>
      </c>
      <c r="P3" s="47">
        <v>3706201</v>
      </c>
      <c r="Q3" s="47">
        <v>3814600</v>
      </c>
      <c r="R3" s="47">
        <v>3900991</v>
      </c>
      <c r="S3" s="47">
        <v>3690019</v>
      </c>
      <c r="T3" s="47">
        <v>3951398</v>
      </c>
      <c r="U3" s="47">
        <v>3583522.44</v>
      </c>
      <c r="V3" s="47">
        <v>3864300.73</v>
      </c>
      <c r="W3" s="47">
        <v>4230378.59</v>
      </c>
      <c r="X3" s="47">
        <v>4478555.7300000004</v>
      </c>
      <c r="Y3" s="47">
        <v>4536415</v>
      </c>
      <c r="Z3" s="80">
        <v>5536315.4100000001</v>
      </c>
      <c r="AA3" s="47">
        <v>5487073.7100000009</v>
      </c>
      <c r="AB3" s="47">
        <v>5227360</v>
      </c>
      <c r="AC3" s="47">
        <v>5178806.76</v>
      </c>
      <c r="AD3" s="47">
        <v>5401656.5199999977</v>
      </c>
      <c r="AE3" s="47">
        <v>5377394.1300000018</v>
      </c>
      <c r="AF3" s="47">
        <v>5402282.9000000004</v>
      </c>
      <c r="AG3" s="47">
        <v>5390114.6100000003</v>
      </c>
      <c r="AH3" s="47">
        <v>5207401.6900000004</v>
      </c>
      <c r="AI3" s="130">
        <v>4994037.29</v>
      </c>
      <c r="AJ3" s="130">
        <f>4924597.11+551480</f>
        <v>5476077.1100000003</v>
      </c>
      <c r="AK3" s="130">
        <v>4870128.759999997</v>
      </c>
      <c r="AL3" s="155">
        <v>5835669.4499999974</v>
      </c>
      <c r="AM3" s="130">
        <v>5833893.9500000039</v>
      </c>
      <c r="AN3" s="130">
        <v>6719364.8999999985</v>
      </c>
      <c r="AO3" s="130"/>
      <c r="AP3" s="130"/>
      <c r="AQ3" s="130"/>
      <c r="AR3" s="130"/>
      <c r="AS3" s="130"/>
      <c r="AT3" s="130"/>
      <c r="AU3" s="130"/>
      <c r="AV3" s="130"/>
      <c r="AW3" s="156"/>
      <c r="AX3" s="166">
        <f>SUM(AL3:AW3)</f>
        <v>18388928.300000001</v>
      </c>
    </row>
    <row r="4" spans="1:50">
      <c r="A4" s="48" t="s">
        <v>1641</v>
      </c>
      <c r="B4" s="49">
        <v>1279804</v>
      </c>
      <c r="C4" s="49">
        <v>1268372</v>
      </c>
      <c r="D4" s="49">
        <v>1573830</v>
      </c>
      <c r="E4" s="49">
        <v>1506528</v>
      </c>
      <c r="F4" s="49">
        <v>1655029</v>
      </c>
      <c r="G4" s="49">
        <v>1700272</v>
      </c>
      <c r="H4" s="49">
        <v>2169477</v>
      </c>
      <c r="I4" s="49">
        <v>2248226</v>
      </c>
      <c r="J4" s="49">
        <v>2556442</v>
      </c>
      <c r="K4" s="49">
        <v>2514905</v>
      </c>
      <c r="L4" s="49">
        <v>2557339</v>
      </c>
      <c r="M4" s="49">
        <v>2415591</v>
      </c>
      <c r="N4" s="81">
        <v>2984457</v>
      </c>
      <c r="O4" s="49">
        <v>2977315</v>
      </c>
      <c r="P4" s="49">
        <v>3001644</v>
      </c>
      <c r="Q4" s="49">
        <v>3078498</v>
      </c>
      <c r="R4" s="49">
        <v>3417854</v>
      </c>
      <c r="S4" s="49">
        <v>2883462</v>
      </c>
      <c r="T4" s="49">
        <v>2983823.16</v>
      </c>
      <c r="U4" s="49">
        <v>2907226.21</v>
      </c>
      <c r="V4" s="49">
        <v>3099136.78</v>
      </c>
      <c r="W4" s="49">
        <v>3166072.06</v>
      </c>
      <c r="X4" s="49">
        <v>3138932.53</v>
      </c>
      <c r="Y4" s="49">
        <v>2941749.11</v>
      </c>
      <c r="Z4" s="81">
        <v>3609131</v>
      </c>
      <c r="AA4" s="49">
        <v>3670417.9999999991</v>
      </c>
      <c r="AB4" s="49">
        <v>3674547</v>
      </c>
      <c r="AC4" s="49">
        <v>3639874.11</v>
      </c>
      <c r="AD4" s="49">
        <v>3427273.69</v>
      </c>
      <c r="AE4" s="49">
        <v>3583478.2000000016</v>
      </c>
      <c r="AF4" s="49">
        <v>3585858.0100000007</v>
      </c>
      <c r="AG4" s="49">
        <v>3428271.4200000004</v>
      </c>
      <c r="AH4" s="49">
        <v>3396470.02</v>
      </c>
      <c r="AI4" s="131">
        <v>3753527.5</v>
      </c>
      <c r="AJ4" s="131">
        <v>3760231.34</v>
      </c>
      <c r="AK4" s="131">
        <v>3501121.1799999988</v>
      </c>
      <c r="AL4" s="157">
        <v>4252721.7400000021</v>
      </c>
      <c r="AM4" s="131">
        <v>3665079.2600000016</v>
      </c>
      <c r="AN4" s="131">
        <v>4609281.46</v>
      </c>
      <c r="AO4" s="131"/>
      <c r="AP4" s="131"/>
      <c r="AQ4" s="131"/>
      <c r="AR4" s="131"/>
      <c r="AS4" s="131"/>
      <c r="AT4" s="131"/>
      <c r="AU4" s="131"/>
      <c r="AV4" s="131"/>
      <c r="AW4" s="158"/>
      <c r="AX4" s="167">
        <f>SUM(AL4:AW4)</f>
        <v>12527082.460000005</v>
      </c>
    </row>
    <row r="5" spans="1:50" ht="15.75" thickBot="1">
      <c r="A5" s="50" t="s">
        <v>1642</v>
      </c>
      <c r="B5" s="51">
        <v>8509021</v>
      </c>
      <c r="C5" s="51">
        <v>8301083</v>
      </c>
      <c r="D5" s="51">
        <v>9950921</v>
      </c>
      <c r="E5" s="51">
        <v>9586675</v>
      </c>
      <c r="F5" s="51">
        <v>9523390</v>
      </c>
      <c r="G5" s="51">
        <v>9585349</v>
      </c>
      <c r="H5" s="51">
        <v>11171614</v>
      </c>
      <c r="I5" s="51">
        <v>11332239</v>
      </c>
      <c r="J5" s="51">
        <v>11871312</v>
      </c>
      <c r="K5" s="51">
        <v>11437369</v>
      </c>
      <c r="L5" s="51">
        <v>12047806</v>
      </c>
      <c r="M5" s="51">
        <v>11320796</v>
      </c>
      <c r="N5" s="82">
        <v>12628864.18</v>
      </c>
      <c r="O5" s="51">
        <v>16108151.67</v>
      </c>
      <c r="P5" s="51">
        <v>15844970.02</v>
      </c>
      <c r="Q5" s="51">
        <v>17343410.66</v>
      </c>
      <c r="R5" s="51">
        <v>20732208.739999998</v>
      </c>
      <c r="S5" s="51">
        <v>21204443.170000002</v>
      </c>
      <c r="T5" s="51">
        <v>20467074.469999999</v>
      </c>
      <c r="U5" s="51">
        <v>21955258.789999999</v>
      </c>
      <c r="V5" s="51">
        <v>21173733.73</v>
      </c>
      <c r="W5" s="51">
        <v>20946702.440000001</v>
      </c>
      <c r="X5" s="51">
        <v>22668986.91</v>
      </c>
      <c r="Y5" s="51">
        <v>23669129.640000001</v>
      </c>
      <c r="Z5" s="82">
        <v>29093762.670000002</v>
      </c>
      <c r="AA5" s="51">
        <v>27077762.399999999</v>
      </c>
      <c r="AB5" s="51">
        <v>29605212.449999999</v>
      </c>
      <c r="AC5" s="51">
        <v>30739369.93</v>
      </c>
      <c r="AD5" s="51">
        <v>30046162.420000002</v>
      </c>
      <c r="AE5" s="51">
        <v>28797217.039999999</v>
      </c>
      <c r="AF5" s="51">
        <v>30904968.91</v>
      </c>
      <c r="AG5" s="51">
        <v>31542653.84</v>
      </c>
      <c r="AH5" s="51">
        <v>31563079.879999999</v>
      </c>
      <c r="AI5" s="51">
        <v>33208009.559999999</v>
      </c>
      <c r="AJ5" s="51">
        <v>31234166</v>
      </c>
      <c r="AK5" s="139">
        <f>SUM(AK2:AK4)</f>
        <v>29986777.669999998</v>
      </c>
      <c r="AL5" s="159">
        <f>SUM(AL2:AL4)</f>
        <v>37677055.769999981</v>
      </c>
      <c r="AM5" s="159">
        <f>SUM(AM2:AM4)</f>
        <v>35299729.640000023</v>
      </c>
      <c r="AN5" s="159">
        <f>SUM(AN2:AN4)</f>
        <v>39708369.699999958</v>
      </c>
      <c r="AO5" s="139"/>
      <c r="AP5" s="139"/>
      <c r="AQ5" s="139"/>
      <c r="AR5" s="139"/>
      <c r="AS5" s="139"/>
      <c r="AT5" s="139"/>
      <c r="AU5" s="139"/>
      <c r="AV5" s="139"/>
      <c r="AW5" s="160"/>
      <c r="AX5" s="168">
        <f>SUM(AL5:AW5)</f>
        <v>112685155.10999995</v>
      </c>
    </row>
    <row r="6" spans="1:50">
      <c r="A6" s="52"/>
      <c r="B6" s="52"/>
      <c r="C6" s="52"/>
      <c r="D6" s="52"/>
      <c r="E6" s="52"/>
      <c r="F6" s="52"/>
      <c r="G6" s="52"/>
      <c r="H6" s="52"/>
      <c r="I6" s="52"/>
      <c r="J6" s="52"/>
      <c r="K6" s="52"/>
      <c r="L6" s="52"/>
      <c r="M6" s="52"/>
      <c r="N6" s="52"/>
      <c r="O6" s="52"/>
      <c r="P6" s="52"/>
      <c r="Q6" s="52"/>
      <c r="R6" s="52"/>
      <c r="S6" s="52"/>
      <c r="T6" s="52"/>
      <c r="U6" s="45"/>
      <c r="V6" s="45"/>
      <c r="W6" s="45"/>
      <c r="X6" s="45"/>
      <c r="Y6" s="45"/>
      <c r="Z6" s="45"/>
      <c r="AA6" s="45"/>
      <c r="AB6" s="45"/>
      <c r="AC6" s="45"/>
      <c r="AH6" s="26"/>
      <c r="AI6" s="26"/>
      <c r="AJ6" s="26"/>
      <c r="AK6" s="26"/>
      <c r="AL6" s="26"/>
      <c r="AM6" s="26"/>
      <c r="AN6" s="26"/>
      <c r="AO6" s="26"/>
      <c r="AP6" s="26"/>
      <c r="AQ6" s="26"/>
      <c r="AR6" s="26"/>
      <c r="AS6" s="26"/>
      <c r="AT6" s="26"/>
      <c r="AU6" s="26"/>
      <c r="AV6" s="26"/>
      <c r="AW6" s="26"/>
      <c r="AX6" s="26"/>
    </row>
    <row r="7" spans="1:50" ht="15.75" thickBo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D7" s="26"/>
      <c r="AE7" s="26"/>
      <c r="AF7" s="26"/>
      <c r="AG7" s="26"/>
      <c r="AH7" s="26"/>
      <c r="AI7" s="26"/>
      <c r="AJ7" s="26"/>
      <c r="AK7" s="26"/>
      <c r="AL7" s="26"/>
      <c r="AM7" s="26"/>
      <c r="AN7" s="26"/>
      <c r="AO7" s="26"/>
      <c r="AP7" s="26"/>
      <c r="AQ7" s="26"/>
      <c r="AR7" s="26"/>
      <c r="AS7" s="26"/>
      <c r="AT7" s="26"/>
      <c r="AU7" s="26"/>
      <c r="AV7" s="26"/>
      <c r="AW7" s="26"/>
      <c r="AX7" s="45"/>
    </row>
    <row r="8" spans="1:50" ht="15.75" thickBot="1">
      <c r="A8" s="35" t="s">
        <v>1643</v>
      </c>
      <c r="B8" s="41" t="s">
        <v>1590</v>
      </c>
      <c r="C8" s="41" t="s">
        <v>1591</v>
      </c>
      <c r="D8" s="41" t="s">
        <v>1592</v>
      </c>
      <c r="E8" s="41" t="s">
        <v>1593</v>
      </c>
      <c r="F8" s="41" t="s">
        <v>1594</v>
      </c>
      <c r="G8" s="41" t="s">
        <v>1595</v>
      </c>
      <c r="H8" s="41" t="s">
        <v>1596</v>
      </c>
      <c r="I8" s="41" t="s">
        <v>1597</v>
      </c>
      <c r="J8" s="41" t="s">
        <v>1598</v>
      </c>
      <c r="K8" s="41" t="s">
        <v>1599</v>
      </c>
      <c r="L8" s="41" t="s">
        <v>1600</v>
      </c>
      <c r="M8" s="41" t="s">
        <v>1601</v>
      </c>
      <c r="N8" s="41" t="s">
        <v>1602</v>
      </c>
      <c r="O8" s="41" t="s">
        <v>1603</v>
      </c>
      <c r="P8" s="41" t="s">
        <v>1604</v>
      </c>
      <c r="Q8" s="41" t="s">
        <v>1605</v>
      </c>
      <c r="R8" s="41" t="s">
        <v>1606</v>
      </c>
      <c r="S8" s="41" t="s">
        <v>1607</v>
      </c>
      <c r="T8" s="41" t="s">
        <v>1608</v>
      </c>
      <c r="U8" s="41" t="s">
        <v>1609</v>
      </c>
      <c r="V8" s="41" t="s">
        <v>1610</v>
      </c>
      <c r="W8" s="41" t="s">
        <v>1611</v>
      </c>
      <c r="X8" s="41" t="s">
        <v>1612</v>
      </c>
      <c r="Y8" s="42" t="s">
        <v>1613</v>
      </c>
      <c r="Z8" s="42" t="s">
        <v>1614</v>
      </c>
      <c r="AA8" s="42" t="s">
        <v>1615</v>
      </c>
      <c r="AB8" s="42" t="s">
        <v>1616</v>
      </c>
      <c r="AC8" s="42" t="s">
        <v>1617</v>
      </c>
      <c r="AD8" s="42" t="s">
        <v>1618</v>
      </c>
      <c r="AE8" s="42" t="s">
        <v>1619</v>
      </c>
      <c r="AF8" s="42" t="s">
        <v>1620</v>
      </c>
      <c r="AG8" s="42" t="s">
        <v>1621</v>
      </c>
      <c r="AH8" s="42" t="s">
        <v>1622</v>
      </c>
      <c r="AI8" s="42" t="s">
        <v>1623</v>
      </c>
      <c r="AJ8" s="42" t="s">
        <v>1624</v>
      </c>
      <c r="AK8" s="42" t="s">
        <v>1625</v>
      </c>
      <c r="AL8" s="42" t="s">
        <v>1626</v>
      </c>
      <c r="AM8" s="42" t="s">
        <v>1627</v>
      </c>
      <c r="AN8" s="42" t="s">
        <v>1628</v>
      </c>
      <c r="AO8" s="42" t="s">
        <v>1629</v>
      </c>
      <c r="AP8" s="42" t="s">
        <v>1630</v>
      </c>
      <c r="AQ8" s="42" t="s">
        <v>1631</v>
      </c>
      <c r="AR8" s="42" t="s">
        <v>1632</v>
      </c>
      <c r="AS8" s="42" t="s">
        <v>1633</v>
      </c>
      <c r="AT8" s="42" t="s">
        <v>1634</v>
      </c>
      <c r="AU8" s="42" t="s">
        <v>1635</v>
      </c>
      <c r="AV8" s="42" t="s">
        <v>1636</v>
      </c>
      <c r="AW8" s="42" t="s">
        <v>1637</v>
      </c>
      <c r="AX8" s="42" t="s">
        <v>1638</v>
      </c>
    </row>
    <row r="9" spans="1:50">
      <c r="A9" s="43" t="s">
        <v>1639</v>
      </c>
      <c r="B9" s="53"/>
      <c r="C9" s="53"/>
      <c r="D9" s="53"/>
      <c r="E9" s="53"/>
      <c r="F9" s="53"/>
      <c r="G9" s="53"/>
      <c r="H9" s="53"/>
      <c r="I9" s="44">
        <v>1904424</v>
      </c>
      <c r="J9" s="44">
        <v>1695098</v>
      </c>
      <c r="K9" s="44">
        <v>1666813</v>
      </c>
      <c r="L9" s="44">
        <v>1750099</v>
      </c>
      <c r="M9" s="44">
        <v>1643527</v>
      </c>
      <c r="N9" s="79">
        <v>2406151</v>
      </c>
      <c r="O9" s="44">
        <v>2919412.87</v>
      </c>
      <c r="P9" s="44">
        <v>3048758.81</v>
      </c>
      <c r="Q9" s="44">
        <v>3106780.26</v>
      </c>
      <c r="R9" s="44">
        <v>2784737.18</v>
      </c>
      <c r="S9" s="44">
        <v>3492681.52</v>
      </c>
      <c r="T9" s="44">
        <v>4066064.7</v>
      </c>
      <c r="U9" s="44">
        <v>3748577.68</v>
      </c>
      <c r="V9" s="44">
        <v>3443396.96</v>
      </c>
      <c r="W9" s="44">
        <v>3525797.52</v>
      </c>
      <c r="X9" s="44">
        <v>3658847.17</v>
      </c>
      <c r="Y9" s="44">
        <v>3834500.07</v>
      </c>
      <c r="Z9" s="44">
        <v>5020104.29</v>
      </c>
      <c r="AA9" s="44">
        <v>5590028.4100000001</v>
      </c>
      <c r="AB9" s="44">
        <v>5666226.75</v>
      </c>
      <c r="AC9" s="44">
        <v>5447442.3499999996</v>
      </c>
      <c r="AD9" s="44">
        <v>5556379.3300000019</v>
      </c>
      <c r="AE9" s="44">
        <v>5686329.8300000038</v>
      </c>
      <c r="AF9" s="44">
        <v>6201229.6000000006</v>
      </c>
      <c r="AG9" s="44">
        <v>6672753.96</v>
      </c>
      <c r="AH9" s="44">
        <v>7148035.9199999981</v>
      </c>
      <c r="AI9" s="44">
        <v>7449060.4700000025</v>
      </c>
      <c r="AJ9" s="44">
        <v>7139103.2299999986</v>
      </c>
      <c r="AK9" s="44">
        <v>6606186.3999999985</v>
      </c>
      <c r="AL9" s="79">
        <v>9422839.5500000026</v>
      </c>
      <c r="AM9" s="44">
        <v>8966540.8599999975</v>
      </c>
      <c r="AN9" s="44">
        <v>10294219.370000001</v>
      </c>
      <c r="AO9" s="44"/>
      <c r="AP9" s="44"/>
      <c r="AQ9" s="44"/>
      <c r="AR9" s="44"/>
      <c r="AS9" s="44"/>
      <c r="AT9" s="44"/>
      <c r="AU9" s="44"/>
      <c r="AV9" s="44"/>
      <c r="AW9" s="161"/>
      <c r="AX9" s="149">
        <f>SUM(AL9:AW9)</f>
        <v>28683599.780000001</v>
      </c>
    </row>
    <row r="10" spans="1:50">
      <c r="A10" s="46" t="s">
        <v>1640</v>
      </c>
      <c r="B10" s="54"/>
      <c r="C10" s="54"/>
      <c r="D10" s="54"/>
      <c r="E10" s="54"/>
      <c r="F10" s="54"/>
      <c r="G10" s="54"/>
      <c r="H10" s="54"/>
      <c r="I10" s="47">
        <v>706024</v>
      </c>
      <c r="J10" s="47">
        <v>780336</v>
      </c>
      <c r="K10" s="47">
        <v>681505.29</v>
      </c>
      <c r="L10" s="47">
        <v>757472</v>
      </c>
      <c r="M10" s="47">
        <v>689408</v>
      </c>
      <c r="N10" s="80">
        <v>1042938</v>
      </c>
      <c r="O10" s="47">
        <v>993958</v>
      </c>
      <c r="P10" s="47">
        <v>1014061</v>
      </c>
      <c r="Q10" s="47">
        <v>988563</v>
      </c>
      <c r="R10" s="47">
        <v>976671</v>
      </c>
      <c r="S10" s="47">
        <v>810220</v>
      </c>
      <c r="T10" s="47">
        <v>880304</v>
      </c>
      <c r="U10" s="47">
        <v>819190</v>
      </c>
      <c r="V10" s="47">
        <v>844494</v>
      </c>
      <c r="W10" s="47">
        <v>986509</v>
      </c>
      <c r="X10" s="47">
        <v>1077277</v>
      </c>
      <c r="Y10" s="47">
        <v>1149351</v>
      </c>
      <c r="Z10" s="47">
        <v>1516609</v>
      </c>
      <c r="AA10" s="47">
        <v>1641173.6800000006</v>
      </c>
      <c r="AB10" s="47">
        <v>1512470</v>
      </c>
      <c r="AC10" s="47">
        <v>1319420</v>
      </c>
      <c r="AD10" s="47">
        <v>1455364.5700000005</v>
      </c>
      <c r="AE10" s="47">
        <v>1354767.88</v>
      </c>
      <c r="AF10" s="47">
        <v>1343264.7299999997</v>
      </c>
      <c r="AG10" s="47">
        <v>1451271.0299999998</v>
      </c>
      <c r="AH10" s="47">
        <v>1261035.78</v>
      </c>
      <c r="AI10" s="47">
        <v>1294220.6099999996</v>
      </c>
      <c r="AJ10" s="47">
        <f>1165841.08+128565</f>
        <v>1294406.08</v>
      </c>
      <c r="AK10" s="47">
        <v>895265.2</v>
      </c>
      <c r="AL10" s="80">
        <v>1418381.6500000006</v>
      </c>
      <c r="AM10" s="47">
        <v>1359337.8399999996</v>
      </c>
      <c r="AN10" s="47">
        <v>1668574.4400000002</v>
      </c>
      <c r="AO10" s="47"/>
      <c r="AP10" s="47"/>
      <c r="AQ10" s="47"/>
      <c r="AR10" s="47"/>
      <c r="AS10" s="47"/>
      <c r="AT10" s="47"/>
      <c r="AU10" s="47"/>
      <c r="AV10" s="47"/>
      <c r="AW10" s="162"/>
      <c r="AX10" s="150">
        <f>SUM(AL10:AW10)</f>
        <v>4446293.9300000006</v>
      </c>
    </row>
    <row r="11" spans="1:50">
      <c r="A11" s="48" t="s">
        <v>1641</v>
      </c>
      <c r="B11" s="55"/>
      <c r="C11" s="55"/>
      <c r="D11" s="55"/>
      <c r="E11" s="55"/>
      <c r="F11" s="55"/>
      <c r="G11" s="55"/>
      <c r="H11" s="55"/>
      <c r="I11" s="49">
        <v>601219</v>
      </c>
      <c r="J11" s="49">
        <v>693403</v>
      </c>
      <c r="K11" s="49">
        <v>656364.23</v>
      </c>
      <c r="L11" s="49">
        <v>695530</v>
      </c>
      <c r="M11" s="49">
        <v>708403</v>
      </c>
      <c r="N11" s="81">
        <v>973949</v>
      </c>
      <c r="O11" s="49">
        <v>951983</v>
      </c>
      <c r="P11" s="49">
        <v>931209</v>
      </c>
      <c r="Q11" s="49">
        <v>895312</v>
      </c>
      <c r="R11" s="49">
        <v>1019778</v>
      </c>
      <c r="S11" s="49">
        <v>790104</v>
      </c>
      <c r="T11" s="49">
        <v>808969</v>
      </c>
      <c r="U11" s="49">
        <v>809964</v>
      </c>
      <c r="V11" s="49">
        <v>874705</v>
      </c>
      <c r="W11" s="49">
        <v>857979</v>
      </c>
      <c r="X11" s="49">
        <v>789235</v>
      </c>
      <c r="Y11" s="49">
        <v>795115</v>
      </c>
      <c r="Z11" s="49">
        <v>1098357</v>
      </c>
      <c r="AA11" s="49">
        <v>1160975.4900000002</v>
      </c>
      <c r="AB11" s="49">
        <v>1171911</v>
      </c>
      <c r="AC11" s="49">
        <v>969742</v>
      </c>
      <c r="AD11" s="49">
        <v>1028082.6799999999</v>
      </c>
      <c r="AE11" s="49">
        <v>1013652.5499999993</v>
      </c>
      <c r="AF11" s="49">
        <v>1025221.4600000005</v>
      </c>
      <c r="AG11" s="49">
        <v>1066714.2000000004</v>
      </c>
      <c r="AH11" s="49">
        <v>1037751.5099999999</v>
      </c>
      <c r="AI11" s="49">
        <v>1121511.4700000004</v>
      </c>
      <c r="AJ11" s="49">
        <v>992893.74999999977</v>
      </c>
      <c r="AK11" s="49">
        <v>774669.73999999976</v>
      </c>
      <c r="AL11" s="81">
        <v>1172960.6400000001</v>
      </c>
      <c r="AM11" s="49">
        <v>984871.20000000042</v>
      </c>
      <c r="AN11" s="49">
        <v>1457187.3</v>
      </c>
      <c r="AO11" s="49"/>
      <c r="AP11" s="49"/>
      <c r="AQ11" s="49"/>
      <c r="AR11" s="49"/>
      <c r="AS11" s="49"/>
      <c r="AT11" s="49"/>
      <c r="AU11" s="49"/>
      <c r="AV11" s="49"/>
      <c r="AW11" s="163"/>
      <c r="AX11" s="151">
        <f>SUM(AL11:AW11)</f>
        <v>3615019.1400000006</v>
      </c>
    </row>
    <row r="12" spans="1:50" ht="15.75" thickBot="1">
      <c r="A12" s="50" t="s">
        <v>1642</v>
      </c>
      <c r="B12" s="56"/>
      <c r="C12" s="56"/>
      <c r="D12" s="56"/>
      <c r="E12" s="56"/>
      <c r="F12" s="56"/>
      <c r="G12" s="56"/>
      <c r="H12" s="56"/>
      <c r="I12" s="51">
        <v>3211667</v>
      </c>
      <c r="J12" s="51">
        <v>3168837</v>
      </c>
      <c r="K12" s="51">
        <v>3004682.52</v>
      </c>
      <c r="L12" s="51">
        <v>3203101</v>
      </c>
      <c r="M12" s="51">
        <v>3041338</v>
      </c>
      <c r="N12" s="82">
        <v>4423038</v>
      </c>
      <c r="O12" s="51">
        <v>4865353.87</v>
      </c>
      <c r="P12" s="51">
        <v>4994028.8099999996</v>
      </c>
      <c r="Q12" s="51">
        <v>4990655.26</v>
      </c>
      <c r="R12" s="51">
        <v>4781186.18</v>
      </c>
      <c r="S12" s="51">
        <v>5093005.5199999996</v>
      </c>
      <c r="T12" s="51">
        <v>5755337.7000000002</v>
      </c>
      <c r="U12" s="51">
        <v>5377731.6799999997</v>
      </c>
      <c r="V12" s="51">
        <v>5162595.96</v>
      </c>
      <c r="W12" s="51">
        <v>5370285.5199999996</v>
      </c>
      <c r="X12" s="51">
        <v>5525359.1699999999</v>
      </c>
      <c r="Y12" s="51">
        <v>5778966.0700000003</v>
      </c>
      <c r="Z12" s="51">
        <f t="shared" ref="Z12:AE12" si="0">SUM(Z9:Z11)</f>
        <v>7635070.29</v>
      </c>
      <c r="AA12" s="51">
        <f t="shared" si="0"/>
        <v>8392177.5800000019</v>
      </c>
      <c r="AB12" s="51">
        <f t="shared" si="0"/>
        <v>8350607.75</v>
      </c>
      <c r="AC12" s="51">
        <f t="shared" si="0"/>
        <v>7736604.3499999996</v>
      </c>
      <c r="AD12" s="51">
        <f t="shared" si="0"/>
        <v>8039826.5800000019</v>
      </c>
      <c r="AE12" s="51">
        <f t="shared" si="0"/>
        <v>8054750.2600000035</v>
      </c>
      <c r="AF12" s="51">
        <f t="shared" ref="AF12:AK12" si="1">SUM(AF9:AF11)</f>
        <v>8569715.790000001</v>
      </c>
      <c r="AG12" s="51">
        <f t="shared" si="1"/>
        <v>9190739.1900000013</v>
      </c>
      <c r="AH12" s="51">
        <f t="shared" si="1"/>
        <v>9446823.2099999972</v>
      </c>
      <c r="AI12" s="51">
        <f t="shared" si="1"/>
        <v>9864792.5500000026</v>
      </c>
      <c r="AJ12" s="51">
        <f t="shared" si="1"/>
        <v>9426403.0599999987</v>
      </c>
      <c r="AK12" s="51">
        <f t="shared" si="1"/>
        <v>8276121.339999998</v>
      </c>
      <c r="AL12" s="82">
        <f>SUM(AL9:AL11)</f>
        <v>12014181.840000004</v>
      </c>
      <c r="AM12" s="82">
        <f>SUM(AM9:AM11)</f>
        <v>11310749.899999999</v>
      </c>
      <c r="AN12" s="82">
        <f>SUM(AN9:AN11)</f>
        <v>13419981.110000001</v>
      </c>
      <c r="AO12" s="51"/>
      <c r="AP12" s="51"/>
      <c r="AQ12" s="51"/>
      <c r="AR12" s="51"/>
      <c r="AS12" s="51"/>
      <c r="AT12" s="51"/>
      <c r="AU12" s="51"/>
      <c r="AV12" s="51"/>
      <c r="AW12" s="164"/>
      <c r="AX12" s="152">
        <f>SUM(AL12:AW12)</f>
        <v>36744912.850000001</v>
      </c>
    </row>
    <row r="13" spans="1:50">
      <c r="A13" s="52"/>
      <c r="B13" s="52"/>
      <c r="C13" s="52"/>
      <c r="D13" s="52"/>
      <c r="E13" s="52"/>
      <c r="F13" s="52"/>
      <c r="G13" s="52"/>
      <c r="H13" s="52"/>
      <c r="I13" s="52"/>
      <c r="J13" s="52"/>
      <c r="K13" s="52"/>
      <c r="L13" s="52"/>
      <c r="M13" s="52"/>
      <c r="N13" s="45"/>
      <c r="O13" s="45"/>
      <c r="P13" s="45"/>
      <c r="Q13" s="45"/>
      <c r="R13" s="45"/>
      <c r="S13" s="45"/>
      <c r="T13" s="45"/>
      <c r="U13" s="45"/>
      <c r="V13" s="45"/>
      <c r="W13" s="45"/>
      <c r="X13" s="45"/>
      <c r="Y13" s="45"/>
      <c r="Z13" s="45"/>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row>
    <row r="14" spans="1:50" ht="15.75" thickBo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H14" s="26"/>
      <c r="AI14" s="26"/>
      <c r="AJ14" s="26"/>
      <c r="AK14" s="26"/>
      <c r="AL14" s="26"/>
      <c r="AM14" s="26"/>
      <c r="AN14" s="26"/>
      <c r="AO14" s="26"/>
      <c r="AP14" s="26"/>
      <c r="AQ14" s="26"/>
      <c r="AR14" s="26"/>
      <c r="AS14" s="26"/>
      <c r="AT14" s="26"/>
      <c r="AU14" s="26"/>
      <c r="AV14" s="26"/>
      <c r="AW14" s="26"/>
      <c r="AX14" s="26"/>
    </row>
    <row r="15" spans="1:50" ht="15.75" thickBot="1">
      <c r="A15" s="35" t="s">
        <v>1644</v>
      </c>
      <c r="B15" s="41" t="s">
        <v>1590</v>
      </c>
      <c r="C15" s="41" t="s">
        <v>1591</v>
      </c>
      <c r="D15" s="41" t="s">
        <v>1592</v>
      </c>
      <c r="E15" s="41" t="s">
        <v>1593</v>
      </c>
      <c r="F15" s="41" t="s">
        <v>1594</v>
      </c>
      <c r="G15" s="41" t="s">
        <v>1595</v>
      </c>
      <c r="H15" s="41" t="s">
        <v>1596</v>
      </c>
      <c r="I15" s="41" t="s">
        <v>1597</v>
      </c>
      <c r="J15" s="41" t="s">
        <v>1598</v>
      </c>
      <c r="K15" s="41" t="s">
        <v>1599</v>
      </c>
      <c r="L15" s="41" t="s">
        <v>1600</v>
      </c>
      <c r="M15" s="41" t="s">
        <v>1601</v>
      </c>
      <c r="N15" s="41" t="s">
        <v>1602</v>
      </c>
      <c r="O15" s="41" t="s">
        <v>1603</v>
      </c>
      <c r="P15" s="41" t="s">
        <v>1604</v>
      </c>
      <c r="Q15" s="41" t="s">
        <v>1605</v>
      </c>
      <c r="R15" s="41" t="s">
        <v>1606</v>
      </c>
      <c r="S15" s="41" t="s">
        <v>1607</v>
      </c>
      <c r="T15" s="41" t="s">
        <v>1608</v>
      </c>
      <c r="U15" s="41" t="s">
        <v>1609</v>
      </c>
      <c r="V15" s="41" t="s">
        <v>1610</v>
      </c>
      <c r="W15" s="41" t="s">
        <v>1611</v>
      </c>
      <c r="X15" s="41" t="s">
        <v>1612</v>
      </c>
      <c r="Y15" s="42" t="s">
        <v>1613</v>
      </c>
      <c r="Z15" s="42" t="s">
        <v>1614</v>
      </c>
      <c r="AA15" s="42" t="s">
        <v>1615</v>
      </c>
      <c r="AB15" s="42" t="s">
        <v>1616</v>
      </c>
      <c r="AC15" s="42" t="s">
        <v>1617</v>
      </c>
      <c r="AD15" s="42" t="s">
        <v>1618</v>
      </c>
      <c r="AE15" s="42" t="s">
        <v>1619</v>
      </c>
      <c r="AF15" s="42" t="s">
        <v>1620</v>
      </c>
      <c r="AG15" s="42" t="s">
        <v>1621</v>
      </c>
      <c r="AH15" s="42" t="s">
        <v>1622</v>
      </c>
      <c r="AI15" s="42" t="s">
        <v>1623</v>
      </c>
      <c r="AJ15" s="42" t="s">
        <v>1624</v>
      </c>
      <c r="AK15" s="42" t="s">
        <v>1625</v>
      </c>
      <c r="AL15" s="42" t="s">
        <v>1626</v>
      </c>
      <c r="AM15" s="42" t="s">
        <v>1627</v>
      </c>
      <c r="AN15" s="42" t="s">
        <v>1628</v>
      </c>
      <c r="AO15" s="42" t="s">
        <v>1629</v>
      </c>
      <c r="AP15" s="42" t="s">
        <v>1630</v>
      </c>
      <c r="AQ15" s="42" t="s">
        <v>1631</v>
      </c>
      <c r="AR15" s="42" t="s">
        <v>1632</v>
      </c>
      <c r="AS15" s="42" t="s">
        <v>1633</v>
      </c>
      <c r="AT15" s="42" t="s">
        <v>1634</v>
      </c>
      <c r="AU15" s="42" t="s">
        <v>1635</v>
      </c>
      <c r="AV15" s="42" t="s">
        <v>1636</v>
      </c>
      <c r="AW15" s="42" t="s">
        <v>1637</v>
      </c>
      <c r="AX15" s="42" t="s">
        <v>1638</v>
      </c>
    </row>
    <row r="16" spans="1:50">
      <c r="A16" s="43" t="s">
        <v>1639</v>
      </c>
      <c r="B16" s="53"/>
      <c r="C16" s="44">
        <v>281621</v>
      </c>
      <c r="D16" s="44">
        <v>273878</v>
      </c>
      <c r="E16" s="44">
        <v>277809</v>
      </c>
      <c r="F16" s="44">
        <v>254443</v>
      </c>
      <c r="G16" s="44">
        <v>260570</v>
      </c>
      <c r="H16" s="44">
        <v>336892</v>
      </c>
      <c r="I16" s="44">
        <v>353937</v>
      </c>
      <c r="J16" s="44">
        <v>290810</v>
      </c>
      <c r="K16" s="44">
        <v>287548</v>
      </c>
      <c r="L16" s="44">
        <v>293581</v>
      </c>
      <c r="M16" s="44">
        <v>260800</v>
      </c>
      <c r="N16" s="79">
        <v>391789.03</v>
      </c>
      <c r="O16" s="44">
        <v>456957.97</v>
      </c>
      <c r="P16" s="44">
        <v>433741.56</v>
      </c>
      <c r="Q16" s="44">
        <v>417240.93</v>
      </c>
      <c r="R16" s="44">
        <v>378268.57</v>
      </c>
      <c r="S16" s="44">
        <v>447394</v>
      </c>
      <c r="T16" s="44">
        <v>520052.15</v>
      </c>
      <c r="U16" s="44">
        <v>506057.84</v>
      </c>
      <c r="V16" s="44">
        <v>490372.32</v>
      </c>
      <c r="W16" s="44">
        <v>483724.33</v>
      </c>
      <c r="X16" s="44">
        <v>522704.26</v>
      </c>
      <c r="Y16" s="44">
        <v>560029.31999999995</v>
      </c>
      <c r="Z16" s="44">
        <v>771258.65</v>
      </c>
      <c r="AA16" s="44">
        <v>816469.8</v>
      </c>
      <c r="AB16" s="44">
        <v>775860.44</v>
      </c>
      <c r="AC16" s="44">
        <v>712776.75</v>
      </c>
      <c r="AD16" s="44">
        <v>749152.51000000071</v>
      </c>
      <c r="AE16" s="44">
        <v>784754.15999999898</v>
      </c>
      <c r="AF16" s="44">
        <v>879983.60000000033</v>
      </c>
      <c r="AG16" s="44">
        <v>999082.41999999993</v>
      </c>
      <c r="AH16" s="44">
        <v>997712.63</v>
      </c>
      <c r="AI16" s="44">
        <v>1043711.9800000004</v>
      </c>
      <c r="AJ16" s="44">
        <v>1051966.6800000013</v>
      </c>
      <c r="AK16" s="44">
        <v>955018.67999999993</v>
      </c>
      <c r="AL16" s="44">
        <v>1426064.3099999998</v>
      </c>
      <c r="AM16" s="44">
        <v>1503979.7200000002</v>
      </c>
      <c r="AN16" s="44">
        <v>1795243.3099999996</v>
      </c>
      <c r="AO16" s="44"/>
      <c r="AP16" s="44"/>
      <c r="AQ16" s="44"/>
      <c r="AR16" s="44"/>
      <c r="AS16" s="44"/>
      <c r="AT16" s="44"/>
      <c r="AU16" s="44"/>
      <c r="AV16" s="44"/>
      <c r="AW16" s="44"/>
      <c r="AX16" s="44">
        <f>SUM(Z16:AK16)</f>
        <v>10537748.300000003</v>
      </c>
    </row>
    <row r="17" spans="1:50">
      <c r="A17" s="46" t="s">
        <v>1640</v>
      </c>
      <c r="B17" s="54"/>
      <c r="C17" s="47">
        <v>157254</v>
      </c>
      <c r="D17" s="47">
        <v>174005</v>
      </c>
      <c r="E17" s="47">
        <v>171273</v>
      </c>
      <c r="F17" s="47">
        <v>118695</v>
      </c>
      <c r="G17" s="47">
        <v>125637</v>
      </c>
      <c r="H17" s="47">
        <v>173332</v>
      </c>
      <c r="I17" s="47">
        <v>150428</v>
      </c>
      <c r="J17" s="47">
        <v>151620</v>
      </c>
      <c r="K17" s="47">
        <v>124967</v>
      </c>
      <c r="L17" s="47">
        <v>130035</v>
      </c>
      <c r="M17" s="47">
        <v>120095.34</v>
      </c>
      <c r="N17" s="80">
        <v>195481</v>
      </c>
      <c r="O17" s="47">
        <v>192130</v>
      </c>
      <c r="P17" s="47">
        <v>176189</v>
      </c>
      <c r="Q17" s="47">
        <v>173609</v>
      </c>
      <c r="R17" s="47">
        <v>163129</v>
      </c>
      <c r="S17" s="47">
        <v>151125</v>
      </c>
      <c r="T17" s="47">
        <v>162391</v>
      </c>
      <c r="U17" s="47">
        <v>165932.48000000001</v>
      </c>
      <c r="V17" s="47">
        <v>174978.27</v>
      </c>
      <c r="W17" s="47">
        <v>190435</v>
      </c>
      <c r="X17" s="47">
        <v>218696</v>
      </c>
      <c r="Y17" s="47">
        <v>248084</v>
      </c>
      <c r="Z17" s="47">
        <v>331372</v>
      </c>
      <c r="AA17" s="47">
        <v>332112</v>
      </c>
      <c r="AB17" s="47">
        <v>291118</v>
      </c>
      <c r="AC17" s="47">
        <v>253586</v>
      </c>
      <c r="AD17" s="47">
        <v>279025.34999999998</v>
      </c>
      <c r="AE17" s="47">
        <v>263243.46999999997</v>
      </c>
      <c r="AF17" s="47">
        <v>247762.80000000016</v>
      </c>
      <c r="AG17" s="47">
        <v>283642.8600000001</v>
      </c>
      <c r="AH17" s="47">
        <v>233959.10999999993</v>
      </c>
      <c r="AI17" s="47">
        <v>237482.57000000007</v>
      </c>
      <c r="AJ17" s="47">
        <f>216765.39+35244</f>
        <v>252009.39</v>
      </c>
      <c r="AK17" s="47">
        <v>203776.84999999998</v>
      </c>
      <c r="AL17" s="47">
        <v>298630.84000000008</v>
      </c>
      <c r="AM17" s="47">
        <v>334683.14999999997</v>
      </c>
      <c r="AN17" s="47">
        <v>438939.62999999983</v>
      </c>
      <c r="AO17" s="47"/>
      <c r="AP17" s="47"/>
      <c r="AQ17" s="47"/>
      <c r="AR17" s="47"/>
      <c r="AS17" s="47"/>
      <c r="AT17" s="47"/>
      <c r="AU17" s="47"/>
      <c r="AV17" s="47"/>
      <c r="AW17" s="47"/>
      <c r="AX17" s="47">
        <f t="shared" ref="AX17:AX18" si="2">SUM(Z17:AK17)</f>
        <v>3209090.4000000004</v>
      </c>
    </row>
    <row r="18" spans="1:50">
      <c r="A18" s="48" t="s">
        <v>1641</v>
      </c>
      <c r="B18" s="55"/>
      <c r="C18" s="49">
        <v>105644</v>
      </c>
      <c r="D18" s="49">
        <v>123530</v>
      </c>
      <c r="E18" s="49">
        <v>111756</v>
      </c>
      <c r="F18" s="49">
        <v>101708</v>
      </c>
      <c r="G18" s="49">
        <v>115414</v>
      </c>
      <c r="H18" s="49">
        <v>149559</v>
      </c>
      <c r="I18" s="49">
        <v>140607</v>
      </c>
      <c r="J18" s="49">
        <v>149786</v>
      </c>
      <c r="K18" s="49">
        <v>131233</v>
      </c>
      <c r="L18" s="49">
        <v>134895</v>
      </c>
      <c r="M18" s="49">
        <v>135219</v>
      </c>
      <c r="N18" s="81">
        <v>200784</v>
      </c>
      <c r="O18" s="49">
        <v>185443</v>
      </c>
      <c r="P18" s="49">
        <v>173278</v>
      </c>
      <c r="Q18" s="49">
        <v>161823</v>
      </c>
      <c r="R18" s="49">
        <v>174040</v>
      </c>
      <c r="S18" s="49">
        <v>147768</v>
      </c>
      <c r="T18" s="49">
        <v>154351</v>
      </c>
      <c r="U18" s="49">
        <v>166396.01999999999</v>
      </c>
      <c r="V18" s="49">
        <v>184384.8</v>
      </c>
      <c r="W18" s="49">
        <v>169616</v>
      </c>
      <c r="X18" s="49">
        <v>160236</v>
      </c>
      <c r="Y18" s="49">
        <v>168096</v>
      </c>
      <c r="Z18" s="49">
        <v>231151</v>
      </c>
      <c r="AA18" s="49">
        <v>232388</v>
      </c>
      <c r="AB18" s="49">
        <v>226071</v>
      </c>
      <c r="AC18" s="49">
        <v>182617</v>
      </c>
      <c r="AD18" s="49">
        <v>193963.78</v>
      </c>
      <c r="AE18" s="49">
        <v>188323.60999999993</v>
      </c>
      <c r="AF18" s="49">
        <v>190799.73999999993</v>
      </c>
      <c r="AG18" s="49">
        <v>207714.62</v>
      </c>
      <c r="AH18" s="49">
        <v>187393.60999999993</v>
      </c>
      <c r="AI18" s="49">
        <v>203596.23</v>
      </c>
      <c r="AJ18" s="49">
        <v>178998.45000000004</v>
      </c>
      <c r="AK18" s="49">
        <v>144135.06000000008</v>
      </c>
      <c r="AL18" s="49">
        <v>235110.04000000007</v>
      </c>
      <c r="AM18" s="49">
        <v>202140.09000000011</v>
      </c>
      <c r="AN18" s="49">
        <v>299057.5300000002</v>
      </c>
      <c r="AO18" s="49"/>
      <c r="AP18" s="49"/>
      <c r="AQ18" s="49"/>
      <c r="AR18" s="49"/>
      <c r="AS18" s="49"/>
      <c r="AT18" s="49"/>
      <c r="AU18" s="49"/>
      <c r="AV18" s="49"/>
      <c r="AW18" s="49"/>
      <c r="AX18" s="49">
        <f t="shared" si="2"/>
        <v>2367152.1</v>
      </c>
    </row>
    <row r="19" spans="1:50" ht="15.75" thickBot="1">
      <c r="A19" s="50" t="s">
        <v>1642</v>
      </c>
      <c r="B19" s="56"/>
      <c r="C19" s="51">
        <v>544519</v>
      </c>
      <c r="D19" s="51">
        <v>571413</v>
      </c>
      <c r="E19" s="51">
        <v>560838</v>
      </c>
      <c r="F19" s="51">
        <v>474846</v>
      </c>
      <c r="G19" s="51">
        <v>501621</v>
      </c>
      <c r="H19" s="51">
        <v>659783</v>
      </c>
      <c r="I19" s="51">
        <v>644972</v>
      </c>
      <c r="J19" s="51">
        <v>592216</v>
      </c>
      <c r="K19" s="51">
        <v>543748</v>
      </c>
      <c r="L19" s="51">
        <v>558511</v>
      </c>
      <c r="M19" s="51">
        <v>516114.34</v>
      </c>
      <c r="N19" s="82">
        <v>788054.03</v>
      </c>
      <c r="O19" s="51">
        <v>834530.97</v>
      </c>
      <c r="P19" s="51">
        <v>783208.56</v>
      </c>
      <c r="Q19" s="51">
        <v>752672.93</v>
      </c>
      <c r="R19" s="51">
        <v>715437.57</v>
      </c>
      <c r="S19" s="51">
        <v>746287</v>
      </c>
      <c r="T19" s="51">
        <v>836794.15</v>
      </c>
      <c r="U19" s="51">
        <v>838386.34</v>
      </c>
      <c r="V19" s="51">
        <v>849735.39</v>
      </c>
      <c r="W19" s="51">
        <v>843775.33</v>
      </c>
      <c r="X19" s="51">
        <v>901636.26</v>
      </c>
      <c r="Y19" s="51">
        <v>976209.32</v>
      </c>
      <c r="Z19" s="51">
        <f t="shared" ref="Z19:AE19" si="3">SUM(Z16:Z18)</f>
        <v>1333781.6499999999</v>
      </c>
      <c r="AA19" s="51">
        <f t="shared" si="3"/>
        <v>1380969.8</v>
      </c>
      <c r="AB19" s="51">
        <f t="shared" si="3"/>
        <v>1293049.44</v>
      </c>
      <c r="AC19" s="51">
        <f t="shared" si="3"/>
        <v>1148979.75</v>
      </c>
      <c r="AD19" s="51">
        <f t="shared" si="3"/>
        <v>1222141.6400000006</v>
      </c>
      <c r="AE19" s="51">
        <f t="shared" si="3"/>
        <v>1236321.2399999988</v>
      </c>
      <c r="AF19" s="51">
        <f t="shared" ref="AF19:AK19" si="4">SUM(AF16:AF18)</f>
        <v>1318546.1400000004</v>
      </c>
      <c r="AG19" s="51">
        <f t="shared" si="4"/>
        <v>1490439.9</v>
      </c>
      <c r="AH19" s="51">
        <f t="shared" si="4"/>
        <v>1419065.3499999999</v>
      </c>
      <c r="AI19" s="51">
        <f t="shared" si="4"/>
        <v>1484790.7800000005</v>
      </c>
      <c r="AJ19" s="51">
        <f t="shared" si="4"/>
        <v>1482974.5200000012</v>
      </c>
      <c r="AK19" s="51">
        <f t="shared" si="4"/>
        <v>1302930.5899999999</v>
      </c>
      <c r="AL19" s="51">
        <f>SUM(AL16:AL18)</f>
        <v>1959805.19</v>
      </c>
      <c r="AM19" s="51">
        <f>SUM(AM16:AM18)</f>
        <v>2040802.9600000002</v>
      </c>
      <c r="AN19" s="51">
        <f>SUM(AN16:AN18)</f>
        <v>2533240.4699999997</v>
      </c>
      <c r="AO19" s="51"/>
      <c r="AP19" s="51"/>
      <c r="AQ19" s="51"/>
      <c r="AR19" s="51"/>
      <c r="AS19" s="51"/>
      <c r="AT19" s="51"/>
      <c r="AU19" s="51"/>
      <c r="AV19" s="51"/>
      <c r="AW19" s="51"/>
      <c r="AX19" s="51">
        <f>SUM(Z19:AL19)</f>
        <v>18073795.990000002</v>
      </c>
    </row>
    <row r="20" spans="1:5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row>
    <row r="21" spans="1:50" ht="15.75" thickBo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row>
    <row r="22" spans="1:50" ht="15.75" thickBot="1">
      <c r="A22" s="35" t="s">
        <v>943</v>
      </c>
      <c r="B22" s="41" t="s">
        <v>1590</v>
      </c>
      <c r="C22" s="41" t="s">
        <v>1591</v>
      </c>
      <c r="D22" s="41" t="s">
        <v>1592</v>
      </c>
      <c r="E22" s="41" t="s">
        <v>1593</v>
      </c>
      <c r="F22" s="41" t="s">
        <v>1594</v>
      </c>
      <c r="G22" s="41" t="s">
        <v>1595</v>
      </c>
      <c r="H22" s="41" t="s">
        <v>1596</v>
      </c>
      <c r="I22" s="41" t="s">
        <v>1597</v>
      </c>
      <c r="J22" s="41" t="s">
        <v>1598</v>
      </c>
      <c r="K22" s="41" t="s">
        <v>1599</v>
      </c>
      <c r="L22" s="41" t="s">
        <v>1600</v>
      </c>
      <c r="M22" s="41" t="s">
        <v>1601</v>
      </c>
      <c r="N22" s="41" t="s">
        <v>1602</v>
      </c>
      <c r="O22" s="41" t="s">
        <v>1603</v>
      </c>
      <c r="P22" s="41" t="s">
        <v>1604</v>
      </c>
      <c r="Q22" s="41" t="s">
        <v>1605</v>
      </c>
      <c r="R22" s="41" t="s">
        <v>1606</v>
      </c>
      <c r="S22" s="41" t="s">
        <v>1607</v>
      </c>
      <c r="T22" s="41" t="s">
        <v>1608</v>
      </c>
      <c r="U22" s="41" t="s">
        <v>1609</v>
      </c>
      <c r="V22" s="41" t="s">
        <v>1610</v>
      </c>
      <c r="W22" s="41" t="s">
        <v>1611</v>
      </c>
      <c r="X22" s="41" t="s">
        <v>1612</v>
      </c>
      <c r="Y22" s="42" t="s">
        <v>1613</v>
      </c>
      <c r="Z22" s="42" t="s">
        <v>1614</v>
      </c>
      <c r="AA22" s="42" t="s">
        <v>1615</v>
      </c>
      <c r="AB22" s="42" t="s">
        <v>1616</v>
      </c>
      <c r="AC22" s="42" t="s">
        <v>1617</v>
      </c>
      <c r="AD22" s="42" t="s">
        <v>1618</v>
      </c>
      <c r="AE22" s="42" t="s">
        <v>1619</v>
      </c>
      <c r="AF22" s="42" t="s">
        <v>1620</v>
      </c>
      <c r="AG22" s="42" t="s">
        <v>1621</v>
      </c>
      <c r="AH22" s="42" t="s">
        <v>1622</v>
      </c>
      <c r="AI22" s="42" t="s">
        <v>1623</v>
      </c>
      <c r="AJ22" s="41" t="s">
        <v>1624</v>
      </c>
      <c r="AK22" s="128" t="s">
        <v>1625</v>
      </c>
      <c r="AL22" s="42" t="s">
        <v>1626</v>
      </c>
      <c r="AM22" s="42" t="s">
        <v>1627</v>
      </c>
      <c r="AN22" s="42" t="s">
        <v>1628</v>
      </c>
      <c r="AO22" s="42" t="s">
        <v>1629</v>
      </c>
      <c r="AP22" s="42" t="s">
        <v>1630</v>
      </c>
      <c r="AQ22" s="42" t="s">
        <v>1631</v>
      </c>
      <c r="AR22" s="42" t="s">
        <v>1632</v>
      </c>
      <c r="AS22" s="42" t="s">
        <v>1633</v>
      </c>
      <c r="AT22" s="42" t="s">
        <v>1634</v>
      </c>
      <c r="AU22" s="42" t="s">
        <v>1635</v>
      </c>
      <c r="AV22" s="42" t="s">
        <v>1636</v>
      </c>
      <c r="AW22" s="42" t="s">
        <v>1637</v>
      </c>
      <c r="AX22" s="52"/>
    </row>
    <row r="23" spans="1:50">
      <c r="A23" s="43" t="s">
        <v>1639</v>
      </c>
      <c r="B23" s="58">
        <v>0</v>
      </c>
      <c r="C23" s="58">
        <v>5.7700000000000001E-2</v>
      </c>
      <c r="D23" s="58">
        <v>4.7699999999999999E-2</v>
      </c>
      <c r="E23" s="58">
        <v>0.05</v>
      </c>
      <c r="F23" s="58">
        <v>4.5400000000000003E-2</v>
      </c>
      <c r="G23" s="58">
        <v>4.8599999999999997E-2</v>
      </c>
      <c r="H23" s="58">
        <v>5.4600000000000003E-2</v>
      </c>
      <c r="I23" s="58">
        <v>5.7000000000000002E-2</v>
      </c>
      <c r="J23" s="58">
        <v>4.7600000000000003E-2</v>
      </c>
      <c r="K23" s="58">
        <v>4.7399999999999998E-2</v>
      </c>
      <c r="L23" s="58">
        <v>4.58E-2</v>
      </c>
      <c r="M23" s="58">
        <v>4.4600000000000001E-2</v>
      </c>
      <c r="N23" s="83">
        <v>5.0999999999999997E-2</v>
      </c>
      <c r="O23" s="58">
        <v>5.2499999999999998E-2</v>
      </c>
      <c r="P23" s="58">
        <v>4.1599999999999998E-2</v>
      </c>
      <c r="Q23" s="58">
        <v>3.3300000000000003E-2</v>
      </c>
      <c r="R23" s="58">
        <v>3.0499999999999999E-2</v>
      </c>
      <c r="S23" s="58">
        <v>3.6299999999999999E-2</v>
      </c>
      <c r="T23" s="58">
        <v>3.9100000000000003E-2</v>
      </c>
      <c r="U23" s="58">
        <v>4.07E-2</v>
      </c>
      <c r="V23" s="58">
        <v>3.95E-2</v>
      </c>
      <c r="W23" s="58">
        <v>3.6900000000000002E-2</v>
      </c>
      <c r="X23" s="58">
        <v>3.9699999999999999E-2</v>
      </c>
      <c r="Y23" s="58">
        <v>3.9699999999999999E-2</v>
      </c>
      <c r="Z23" s="58">
        <f t="shared" ref="Z23:AA26" si="5">Z16/Z2</f>
        <v>4.5628973942509046E-2</v>
      </c>
      <c r="AA23" s="58">
        <f t="shared" si="5"/>
        <v>4.6166277152873296E-2</v>
      </c>
      <c r="AB23" s="58">
        <f t="shared" ref="AB23:AF23" si="6">AB16/AB2</f>
        <v>4.3479953257412336E-2</v>
      </c>
      <c r="AC23" s="58">
        <f t="shared" si="6"/>
        <v>3.5539954329669013E-2</v>
      </c>
      <c r="AD23" s="58">
        <f t="shared" si="6"/>
        <v>4.0028978414698338E-2</v>
      </c>
      <c r="AE23" s="58">
        <f t="shared" si="6"/>
        <v>4.3601386008790342E-2</v>
      </c>
      <c r="AF23" s="58">
        <f t="shared" si="6"/>
        <v>4.6437838230427464E-2</v>
      </c>
      <c r="AG23" s="58">
        <f t="shared" ref="AG23:AH25" si="7">AG16/AG2</f>
        <v>5.2134335101085921E-2</v>
      </c>
      <c r="AH23" s="58">
        <f t="shared" ref="AH23:AL23" si="8">AH16/AH2</f>
        <v>4.5143769620442253E-2</v>
      </c>
      <c r="AI23" s="58">
        <f t="shared" si="8"/>
        <v>4.3465831393437619E-2</v>
      </c>
      <c r="AJ23" s="58">
        <f t="shared" si="8"/>
        <v>4.6651776650826794E-2</v>
      </c>
      <c r="AK23" s="58">
        <f t="shared" si="8"/>
        <v>4.4182066333478313E-2</v>
      </c>
      <c r="AL23" s="58">
        <f t="shared" si="8"/>
        <v>5.1690226102274098E-2</v>
      </c>
      <c r="AM23" s="58">
        <f t="shared" ref="AM23:AN26" si="9">AM16/AM2</f>
        <v>5.829207853190059E-2</v>
      </c>
      <c r="AN23" s="58">
        <f t="shared" si="9"/>
        <v>6.3257956692963385E-2</v>
      </c>
      <c r="AO23" s="44"/>
      <c r="AP23" s="44"/>
      <c r="AQ23" s="44"/>
      <c r="AR23" s="44"/>
      <c r="AS23" s="44"/>
      <c r="AT23" s="44"/>
      <c r="AU23" s="44"/>
      <c r="AV23" s="44"/>
      <c r="AW23" s="44"/>
      <c r="AX23" s="45"/>
    </row>
    <row r="24" spans="1:50">
      <c r="A24" s="46" t="s">
        <v>1640</v>
      </c>
      <c r="B24" s="60">
        <v>0</v>
      </c>
      <c r="C24" s="60">
        <v>7.3099999999999998E-2</v>
      </c>
      <c r="D24" s="60">
        <v>6.6199999999999995E-2</v>
      </c>
      <c r="E24" s="60">
        <v>6.7900000000000002E-2</v>
      </c>
      <c r="F24" s="60">
        <v>5.2499999999999998E-2</v>
      </c>
      <c r="G24" s="60">
        <v>4.99E-2</v>
      </c>
      <c r="H24" s="60">
        <v>6.13E-2</v>
      </c>
      <c r="I24" s="60">
        <v>5.2299999999999999E-2</v>
      </c>
      <c r="J24" s="60">
        <v>4.7300000000000002E-2</v>
      </c>
      <c r="K24" s="60">
        <v>4.3700000000000003E-2</v>
      </c>
      <c r="L24" s="60">
        <v>4.2200000000000001E-2</v>
      </c>
      <c r="M24" s="60">
        <v>3.9300000000000002E-2</v>
      </c>
      <c r="N24" s="84">
        <v>5.0900000000000001E-2</v>
      </c>
      <c r="O24" s="60">
        <v>5.2900000000000003E-2</v>
      </c>
      <c r="P24" s="60">
        <v>4.7500000000000001E-2</v>
      </c>
      <c r="Q24" s="60">
        <v>4.5499999999999999E-2</v>
      </c>
      <c r="R24" s="60">
        <v>4.1799999999999997E-2</v>
      </c>
      <c r="S24" s="60">
        <v>4.1000000000000002E-2</v>
      </c>
      <c r="T24" s="60">
        <v>4.1099999999999998E-2</v>
      </c>
      <c r="U24" s="60">
        <v>4.6300000000000001E-2</v>
      </c>
      <c r="V24" s="60">
        <v>4.53E-2</v>
      </c>
      <c r="W24" s="60">
        <v>4.4999999999999998E-2</v>
      </c>
      <c r="X24" s="60">
        <v>4.8800000000000003E-2</v>
      </c>
      <c r="Y24" s="60">
        <v>4.8800000000000003E-2</v>
      </c>
      <c r="Z24" s="60">
        <f t="shared" si="5"/>
        <v>5.9854248802634603E-2</v>
      </c>
      <c r="AA24" s="60">
        <f t="shared" si="5"/>
        <v>6.05262508857385E-2</v>
      </c>
      <c r="AB24" s="60">
        <f t="shared" ref="AB24" si="10">AB17/AB3</f>
        <v>5.5691209329374672E-2</v>
      </c>
      <c r="AC24" s="60">
        <f>AC17/AC3</f>
        <v>4.8966105852538126E-2</v>
      </c>
      <c r="AD24" s="60">
        <f>AD17/AD3</f>
        <v>5.1655515112241916E-2</v>
      </c>
      <c r="AE24" s="60">
        <f>AE17/AE3</f>
        <v>4.8953724357191551E-2</v>
      </c>
      <c r="AF24" s="60">
        <f>AF17/AF3</f>
        <v>4.586261115647982E-2</v>
      </c>
      <c r="AG24" s="60">
        <f t="shared" si="7"/>
        <v>5.2622788293549862E-2</v>
      </c>
      <c r="AH24" s="60">
        <f t="shared" si="7"/>
        <v>4.4928185672574818E-2</v>
      </c>
      <c r="AI24" s="60">
        <f t="shared" ref="AI24:AJ24" si="11">AI17/AI3</f>
        <v>4.755322321592037E-2</v>
      </c>
      <c r="AJ24" s="60">
        <f t="shared" si="11"/>
        <v>4.6020058691248047E-2</v>
      </c>
      <c r="AK24" s="60">
        <f t="shared" ref="AK24" si="12">AK17/AK3</f>
        <v>4.1842189404454291E-2</v>
      </c>
      <c r="AL24" s="60">
        <f>AL17/AL3</f>
        <v>5.1173364522899806E-2</v>
      </c>
      <c r="AM24" s="60">
        <f t="shared" si="9"/>
        <v>5.7368740821899883E-2</v>
      </c>
      <c r="AN24" s="60">
        <f t="shared" si="9"/>
        <v>6.5324571076650406E-2</v>
      </c>
      <c r="AO24" s="47"/>
      <c r="AP24" s="47"/>
      <c r="AQ24" s="47"/>
      <c r="AR24" s="47"/>
      <c r="AS24" s="47"/>
      <c r="AT24" s="47"/>
      <c r="AU24" s="47"/>
      <c r="AV24" s="47"/>
      <c r="AW24" s="47"/>
      <c r="AX24" s="45"/>
    </row>
    <row r="25" spans="1:50">
      <c r="A25" s="48" t="s">
        <v>1641</v>
      </c>
      <c r="B25" s="62">
        <v>0</v>
      </c>
      <c r="C25" s="62">
        <v>8.3299999999999999E-2</v>
      </c>
      <c r="D25" s="62">
        <v>7.85E-2</v>
      </c>
      <c r="E25" s="62">
        <v>7.4200000000000002E-2</v>
      </c>
      <c r="F25" s="62">
        <v>6.1499999999999999E-2</v>
      </c>
      <c r="G25" s="62">
        <v>6.7900000000000002E-2</v>
      </c>
      <c r="H25" s="62">
        <v>6.8900000000000003E-2</v>
      </c>
      <c r="I25" s="62">
        <v>6.25E-2</v>
      </c>
      <c r="J25" s="62">
        <v>5.8599999999999999E-2</v>
      </c>
      <c r="K25" s="62">
        <v>5.2200000000000003E-2</v>
      </c>
      <c r="L25" s="62">
        <v>5.2699999999999997E-2</v>
      </c>
      <c r="M25" s="62">
        <v>5.6000000000000001E-2</v>
      </c>
      <c r="N25" s="85">
        <v>6.7299999999999999E-2</v>
      </c>
      <c r="O25" s="62">
        <v>6.2300000000000001E-2</v>
      </c>
      <c r="P25" s="62">
        <v>5.7700000000000001E-2</v>
      </c>
      <c r="Q25" s="62">
        <v>5.2600000000000001E-2</v>
      </c>
      <c r="R25" s="62">
        <v>5.0900000000000001E-2</v>
      </c>
      <c r="S25" s="62">
        <v>5.1200000000000002E-2</v>
      </c>
      <c r="T25" s="62">
        <v>5.1700000000000003E-2</v>
      </c>
      <c r="U25" s="62">
        <v>5.7200000000000001E-2</v>
      </c>
      <c r="V25" s="62">
        <v>5.9499999999999997E-2</v>
      </c>
      <c r="W25" s="62">
        <v>5.3600000000000002E-2</v>
      </c>
      <c r="X25" s="62">
        <v>5.0999999999999997E-2</v>
      </c>
      <c r="Y25" s="62">
        <v>5.0999999999999997E-2</v>
      </c>
      <c r="Z25" s="62">
        <f t="shared" si="5"/>
        <v>6.4046165129500704E-2</v>
      </c>
      <c r="AA25" s="62">
        <f t="shared" si="5"/>
        <v>6.3313769712332504E-2</v>
      </c>
      <c r="AB25" s="62">
        <f t="shared" ref="AB25" si="13">AB18/AB4</f>
        <v>6.1523502080664635E-2</v>
      </c>
      <c r="AC25" s="62">
        <f t="shared" ref="AC25:AD25" si="14">AC18/AC4</f>
        <v>5.0171240675134232E-2</v>
      </c>
      <c r="AD25" s="62">
        <f t="shared" si="14"/>
        <v>5.6594190468634564E-2</v>
      </c>
      <c r="AE25" s="62">
        <f t="shared" ref="AE25:AG26" si="15">AE18/AE4</f>
        <v>5.255330142653019E-2</v>
      </c>
      <c r="AF25" s="62">
        <f t="shared" si="15"/>
        <v>5.3208950122372499E-2</v>
      </c>
      <c r="AG25" s="62">
        <f t="shared" si="7"/>
        <v>6.058873249889881E-2</v>
      </c>
      <c r="AH25" s="62">
        <f t="shared" si="7"/>
        <v>5.5173049930233135E-2</v>
      </c>
      <c r="AI25" s="62">
        <f t="shared" ref="AI25:AJ25" si="16">AI18/AI4</f>
        <v>5.424130501241832E-2</v>
      </c>
      <c r="AJ25" s="62">
        <f t="shared" si="16"/>
        <v>4.7603041891566188E-2</v>
      </c>
      <c r="AK25" s="62">
        <f t="shared" ref="AK25" si="17">AK18/AK4</f>
        <v>4.1168257992144144E-2</v>
      </c>
      <c r="AL25" s="62">
        <f>AL18/AL4</f>
        <v>5.5284604630633546E-2</v>
      </c>
      <c r="AM25" s="62">
        <f t="shared" si="9"/>
        <v>5.5152992789574765E-2</v>
      </c>
      <c r="AN25" s="62">
        <f t="shared" si="9"/>
        <v>6.4881594364601947E-2</v>
      </c>
      <c r="AO25" s="49"/>
      <c r="AP25" s="49"/>
      <c r="AQ25" s="49"/>
      <c r="AR25" s="49"/>
      <c r="AS25" s="49"/>
      <c r="AT25" s="49"/>
      <c r="AU25" s="49"/>
      <c r="AV25" s="49"/>
      <c r="AW25" s="49"/>
      <c r="AX25" s="45"/>
    </row>
    <row r="26" spans="1:50" ht="15.75" thickBot="1">
      <c r="A26" s="50" t="s">
        <v>1642</v>
      </c>
      <c r="B26" s="64">
        <v>0</v>
      </c>
      <c r="C26" s="64">
        <v>6.5600000000000006E-2</v>
      </c>
      <c r="D26" s="64">
        <v>5.74E-2</v>
      </c>
      <c r="E26" s="64">
        <v>5.8500000000000003E-2</v>
      </c>
      <c r="F26" s="64">
        <v>4.99E-2</v>
      </c>
      <c r="G26" s="64">
        <v>5.2299999999999999E-2</v>
      </c>
      <c r="H26" s="64">
        <v>5.91E-2</v>
      </c>
      <c r="I26" s="64">
        <v>5.6899999999999999E-2</v>
      </c>
      <c r="J26" s="64">
        <v>4.99E-2</v>
      </c>
      <c r="K26" s="64">
        <v>4.7500000000000001E-2</v>
      </c>
      <c r="L26" s="64">
        <v>4.6399999999999997E-2</v>
      </c>
      <c r="M26" s="64">
        <v>4.5600000000000002E-2</v>
      </c>
      <c r="N26" s="86">
        <v>5.4300000000000001E-2</v>
      </c>
      <c r="O26" s="64">
        <v>5.45E-2</v>
      </c>
      <c r="P26" s="64">
        <v>4.5699999999999998E-2</v>
      </c>
      <c r="Q26" s="64">
        <v>3.8800000000000001E-2</v>
      </c>
      <c r="R26" s="64">
        <v>3.6299999999999999E-2</v>
      </c>
      <c r="S26" s="64">
        <v>3.95E-2</v>
      </c>
      <c r="T26" s="64">
        <v>4.1399999999999999E-2</v>
      </c>
      <c r="U26" s="64">
        <v>4.4299999999999999E-2</v>
      </c>
      <c r="V26" s="64">
        <v>4.3799999999999999E-2</v>
      </c>
      <c r="W26" s="64">
        <v>4.1099999999999998E-2</v>
      </c>
      <c r="X26" s="64">
        <v>4.3400000000000001E-2</v>
      </c>
      <c r="Y26" s="64">
        <v>4.3400000000000001E-2</v>
      </c>
      <c r="Z26" s="64">
        <f t="shared" si="5"/>
        <v>4.5844247274874739E-2</v>
      </c>
      <c r="AA26" s="64">
        <f t="shared" si="5"/>
        <v>5.1000144679606174E-2</v>
      </c>
      <c r="AB26" s="64">
        <f t="shared" ref="AB26" si="18">AB19/AB5</f>
        <v>4.3676411448957529E-2</v>
      </c>
      <c r="AC26" s="64">
        <f t="shared" ref="AC26" si="19">AC19/AC5</f>
        <v>3.7378116487633554E-2</v>
      </c>
      <c r="AD26" s="64">
        <f>AD19/AD5</f>
        <v>4.0675465402746115E-2</v>
      </c>
      <c r="AE26" s="64">
        <f t="shared" si="15"/>
        <v>4.2931969373384941E-2</v>
      </c>
      <c r="AF26" s="64">
        <f t="shared" si="15"/>
        <v>4.2664535396874481E-2</v>
      </c>
      <c r="AG26" s="64">
        <f t="shared" si="15"/>
        <v>4.7251569495713679E-2</v>
      </c>
      <c r="AH26" s="64">
        <f t="shared" ref="AH26:AI26" si="20">AH19/AH5</f>
        <v>4.4959660318167907E-2</v>
      </c>
      <c r="AI26" s="64">
        <f t="shared" si="20"/>
        <v>4.4711827046342266E-2</v>
      </c>
      <c r="AJ26" s="64">
        <f t="shared" ref="AJ26:AK26" si="21">AJ19/AJ5</f>
        <v>4.7479241802070242E-2</v>
      </c>
      <c r="AK26" s="64">
        <f t="shared" si="21"/>
        <v>4.3450170082913075E-2</v>
      </c>
      <c r="AL26" s="64">
        <f t="shared" ref="AL26" si="22">AL19/AL5</f>
        <v>5.2015879424434149E-2</v>
      </c>
      <c r="AM26" s="64">
        <f t="shared" si="9"/>
        <v>5.7813557803781494E-2</v>
      </c>
      <c r="AN26" s="64">
        <f t="shared" si="9"/>
        <v>6.3796133891641543E-2</v>
      </c>
      <c r="AO26" s="51"/>
      <c r="AP26" s="51"/>
      <c r="AQ26" s="51"/>
      <c r="AR26" s="51"/>
      <c r="AS26" s="51"/>
      <c r="AT26" s="51"/>
      <c r="AU26" s="51"/>
      <c r="AV26" s="51"/>
      <c r="AW26" s="51"/>
      <c r="AX26" s="45"/>
    </row>
    <row r="27" spans="1:50">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row>
    <row r="28" spans="1:50" ht="15.75" thickBo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row>
    <row r="29" spans="1:50" ht="15.75" thickBot="1">
      <c r="A29" s="35" t="s">
        <v>1645</v>
      </c>
      <c r="B29" s="41" t="s">
        <v>1590</v>
      </c>
      <c r="C29" s="41" t="s">
        <v>1591</v>
      </c>
      <c r="D29" s="41" t="s">
        <v>1592</v>
      </c>
      <c r="E29" s="41" t="s">
        <v>1593</v>
      </c>
      <c r="F29" s="41" t="s">
        <v>1594</v>
      </c>
      <c r="G29" s="41" t="s">
        <v>1595</v>
      </c>
      <c r="H29" s="41" t="s">
        <v>1596</v>
      </c>
      <c r="I29" s="41" t="s">
        <v>1597</v>
      </c>
      <c r="J29" s="41" t="s">
        <v>1598</v>
      </c>
      <c r="K29" s="41" t="s">
        <v>1599</v>
      </c>
      <c r="L29" s="41" t="s">
        <v>1600</v>
      </c>
      <c r="M29" s="41" t="s">
        <v>1601</v>
      </c>
      <c r="N29" s="41" t="s">
        <v>1602</v>
      </c>
      <c r="O29" s="41" t="s">
        <v>1603</v>
      </c>
      <c r="P29" s="41" t="s">
        <v>1604</v>
      </c>
      <c r="Q29" s="41" t="s">
        <v>1605</v>
      </c>
      <c r="R29" s="41" t="s">
        <v>1606</v>
      </c>
      <c r="S29" s="41" t="s">
        <v>1607</v>
      </c>
      <c r="T29" s="41" t="s">
        <v>1608</v>
      </c>
      <c r="U29" s="41" t="s">
        <v>1609</v>
      </c>
      <c r="V29" s="41" t="s">
        <v>1610</v>
      </c>
      <c r="W29" s="41" t="s">
        <v>1611</v>
      </c>
      <c r="X29" s="41" t="s">
        <v>1612</v>
      </c>
      <c r="Y29" s="42" t="s">
        <v>1613</v>
      </c>
      <c r="Z29" s="42" t="s">
        <v>1614</v>
      </c>
      <c r="AA29" s="42" t="s">
        <v>1615</v>
      </c>
      <c r="AB29" s="42" t="s">
        <v>1616</v>
      </c>
      <c r="AC29" s="42" t="s">
        <v>1617</v>
      </c>
      <c r="AD29" s="42" t="s">
        <v>1618</v>
      </c>
      <c r="AE29" s="42" t="s">
        <v>1619</v>
      </c>
      <c r="AF29" s="42" t="s">
        <v>1620</v>
      </c>
      <c r="AG29" s="42" t="s">
        <v>1621</v>
      </c>
      <c r="AH29" s="42" t="s">
        <v>1622</v>
      </c>
      <c r="AI29" s="42" t="s">
        <v>1623</v>
      </c>
      <c r="AJ29" s="41" t="s">
        <v>1624</v>
      </c>
      <c r="AK29" s="128" t="s">
        <v>1625</v>
      </c>
      <c r="AL29" s="42" t="s">
        <v>1626</v>
      </c>
      <c r="AM29" s="42" t="s">
        <v>1627</v>
      </c>
      <c r="AN29" s="42" t="s">
        <v>1628</v>
      </c>
      <c r="AO29" s="42" t="s">
        <v>1629</v>
      </c>
      <c r="AP29" s="42" t="s">
        <v>1630</v>
      </c>
      <c r="AQ29" s="42" t="s">
        <v>1631</v>
      </c>
      <c r="AR29" s="42" t="s">
        <v>1632</v>
      </c>
      <c r="AS29" s="42" t="s">
        <v>1633</v>
      </c>
      <c r="AT29" s="42" t="s">
        <v>1634</v>
      </c>
      <c r="AU29" s="42" t="s">
        <v>1635</v>
      </c>
      <c r="AV29" s="42" t="s">
        <v>1636</v>
      </c>
      <c r="AW29" s="42" t="s">
        <v>1637</v>
      </c>
      <c r="AX29" s="52"/>
    </row>
    <row r="30" spans="1:50">
      <c r="A30" s="43" t="s">
        <v>1639</v>
      </c>
      <c r="B30" s="57"/>
      <c r="C30" s="57"/>
      <c r="D30" s="53" t="e">
        <v>#DIV/0!</v>
      </c>
      <c r="E30" s="53" t="e">
        <v>#DIV/0!</v>
      </c>
      <c r="F30" s="53" t="e">
        <v>#DIV/0!</v>
      </c>
      <c r="G30" s="53" t="e">
        <v>#DIV/0!</v>
      </c>
      <c r="H30" s="53" t="e">
        <v>#DIV/0!</v>
      </c>
      <c r="I30" s="58">
        <v>0.18579999999999999</v>
      </c>
      <c r="J30" s="58">
        <v>0.1716</v>
      </c>
      <c r="K30" s="58">
        <v>0.17249999999999999</v>
      </c>
      <c r="L30" s="58">
        <v>0.1678</v>
      </c>
      <c r="M30" s="58">
        <v>0.15870000000000001</v>
      </c>
      <c r="N30" s="83">
        <v>0.1628</v>
      </c>
      <c r="O30" s="58">
        <v>0.1565</v>
      </c>
      <c r="P30" s="58">
        <v>0.14230000000000001</v>
      </c>
      <c r="Q30" s="58">
        <v>0.1343</v>
      </c>
      <c r="R30" s="58">
        <v>0.1358</v>
      </c>
      <c r="S30" s="58">
        <v>0.12809999999999999</v>
      </c>
      <c r="T30" s="58">
        <v>0.12790000000000001</v>
      </c>
      <c r="U30" s="58">
        <v>0.13500000000000001</v>
      </c>
      <c r="V30" s="58">
        <v>0.1424</v>
      </c>
      <c r="W30" s="58">
        <v>0.13719999999999999</v>
      </c>
      <c r="X30" s="58">
        <v>0.1429</v>
      </c>
      <c r="Y30" s="58">
        <v>0.1429</v>
      </c>
      <c r="Z30" s="58">
        <f t="shared" ref="Z30:AA33" si="23">Z16/Z9</f>
        <v>0.15363398954406982</v>
      </c>
      <c r="AA30" s="58">
        <f t="shared" si="23"/>
        <v>0.14605825590070659</v>
      </c>
      <c r="AB30" s="58">
        <f t="shared" ref="AB30:AG30" si="24">AB16/AB9</f>
        <v>0.13692717821432049</v>
      </c>
      <c r="AC30" s="58">
        <f t="shared" si="24"/>
        <v>0.13084613001916395</v>
      </c>
      <c r="AD30" s="58">
        <f t="shared" si="24"/>
        <v>0.1348274596651774</v>
      </c>
      <c r="AE30" s="58">
        <f t="shared" si="24"/>
        <v>0.13800714757342847</v>
      </c>
      <c r="AF30" s="58">
        <f t="shared" si="24"/>
        <v>0.1419046958041999</v>
      </c>
      <c r="AG30" s="58">
        <f t="shared" si="24"/>
        <v>0.14972564940787955</v>
      </c>
      <c r="AH30" s="58">
        <f t="shared" ref="AH30:AI30" si="25">AH16/AH9</f>
        <v>0.13957856971709234</v>
      </c>
      <c r="AI30" s="58">
        <f t="shared" si="25"/>
        <v>0.14011323766311165</v>
      </c>
      <c r="AJ30" s="58">
        <f t="shared" ref="AJ30:AK30" si="26">AJ16/AJ9</f>
        <v>0.14735277612731781</v>
      </c>
      <c r="AK30" s="58">
        <f t="shared" si="26"/>
        <v>0.14456429506742349</v>
      </c>
      <c r="AL30" s="58">
        <f t="shared" ref="AL30:AM30" si="27">AL16/AL9</f>
        <v>0.15134124935832102</v>
      </c>
      <c r="AM30" s="58">
        <f t="shared" si="27"/>
        <v>0.16773243366450244</v>
      </c>
      <c r="AN30" s="58">
        <f t="shared" ref="AN30" si="28">AN16/AN9</f>
        <v>0.17439334110479515</v>
      </c>
      <c r="AO30" s="44"/>
      <c r="AP30" s="44"/>
      <c r="AQ30" s="44"/>
      <c r="AR30" s="44"/>
      <c r="AS30" s="44"/>
      <c r="AT30" s="44"/>
      <c r="AU30" s="44"/>
      <c r="AV30" s="44"/>
      <c r="AW30" s="44"/>
      <c r="AX30" s="45"/>
    </row>
    <row r="31" spans="1:50">
      <c r="A31" s="46" t="s">
        <v>1640</v>
      </c>
      <c r="B31" s="59"/>
      <c r="C31" s="59"/>
      <c r="D31" s="54" t="e">
        <v>#DIV/0!</v>
      </c>
      <c r="E31" s="54" t="e">
        <v>#DIV/0!</v>
      </c>
      <c r="F31" s="54" t="e">
        <v>#DIV/0!</v>
      </c>
      <c r="G31" s="54" t="e">
        <v>#DIV/0!</v>
      </c>
      <c r="H31" s="54" t="e">
        <v>#DIV/0!</v>
      </c>
      <c r="I31" s="60">
        <v>0.21310000000000001</v>
      </c>
      <c r="J31" s="60">
        <v>0.1943</v>
      </c>
      <c r="K31" s="60">
        <v>0.18340000000000001</v>
      </c>
      <c r="L31" s="60">
        <v>0.17169999999999999</v>
      </c>
      <c r="M31" s="60">
        <v>0.17419999999999999</v>
      </c>
      <c r="N31" s="84">
        <v>0.18740000000000001</v>
      </c>
      <c r="O31" s="60">
        <v>0.1933</v>
      </c>
      <c r="P31" s="60">
        <v>0.17369999999999999</v>
      </c>
      <c r="Q31" s="60">
        <v>0.17560000000000001</v>
      </c>
      <c r="R31" s="60">
        <v>0.16700000000000001</v>
      </c>
      <c r="S31" s="60">
        <v>0.1865</v>
      </c>
      <c r="T31" s="60">
        <v>0.1845</v>
      </c>
      <c r="U31" s="60">
        <v>0.2026</v>
      </c>
      <c r="V31" s="60">
        <v>0.2072</v>
      </c>
      <c r="W31" s="60">
        <v>0.193</v>
      </c>
      <c r="X31" s="60">
        <v>0.20300000000000001</v>
      </c>
      <c r="Y31" s="60">
        <v>0.20300000000000001</v>
      </c>
      <c r="Z31" s="60">
        <f t="shared" si="23"/>
        <v>0.21849534059207087</v>
      </c>
      <c r="AA31" s="60">
        <f t="shared" si="23"/>
        <v>0.20236249462640654</v>
      </c>
      <c r="AB31" s="60">
        <f t="shared" ref="AB31" si="29">AB17/AB10</f>
        <v>0.19247852849973884</v>
      </c>
      <c r="AC31" s="60">
        <f t="shared" ref="AC31:AD31" si="30">AC17/AC10</f>
        <v>0.19219505540313167</v>
      </c>
      <c r="AD31" s="60">
        <f t="shared" si="30"/>
        <v>0.19172196146014456</v>
      </c>
      <c r="AE31" s="60">
        <f t="shared" ref="AE31:AF31" si="31">AE17/AE10</f>
        <v>0.19430890995142283</v>
      </c>
      <c r="AF31" s="60">
        <f t="shared" si="31"/>
        <v>0.18444822860792318</v>
      </c>
      <c r="AG31" s="60">
        <f t="shared" ref="AG31:AH31" si="32">AG17/AG10</f>
        <v>0.19544444430893115</v>
      </c>
      <c r="AH31" s="60">
        <f t="shared" si="32"/>
        <v>0.18552931939805858</v>
      </c>
      <c r="AI31" s="60">
        <f t="shared" ref="AI31:AJ31" si="33">AI17/AI10</f>
        <v>0.18349465938422982</v>
      </c>
      <c r="AJ31" s="60">
        <f t="shared" si="33"/>
        <v>0.19469113587599959</v>
      </c>
      <c r="AK31" s="60">
        <f t="shared" ref="AK31:AL31" si="34">AK17/AK10</f>
        <v>0.22761618568442066</v>
      </c>
      <c r="AL31" s="60">
        <f t="shared" si="34"/>
        <v>0.21054336116093997</v>
      </c>
      <c r="AM31" s="60">
        <f t="shared" ref="AM31:AN31" si="35">AM17/AM10</f>
        <v>0.24621042698259621</v>
      </c>
      <c r="AN31" s="60">
        <f t="shared" si="35"/>
        <v>0.26306265964376141</v>
      </c>
      <c r="AO31" s="47"/>
      <c r="AP31" s="47"/>
      <c r="AQ31" s="47"/>
      <c r="AR31" s="47"/>
      <c r="AS31" s="47"/>
      <c r="AT31" s="47"/>
      <c r="AU31" s="47"/>
      <c r="AV31" s="47"/>
      <c r="AW31" s="47"/>
      <c r="AX31" s="45"/>
    </row>
    <row r="32" spans="1:50">
      <c r="A32" s="48" t="s">
        <v>1641</v>
      </c>
      <c r="B32" s="61"/>
      <c r="C32" s="61"/>
      <c r="D32" s="55" t="e">
        <v>#DIV/0!</v>
      </c>
      <c r="E32" s="55" t="e">
        <v>#DIV/0!</v>
      </c>
      <c r="F32" s="55" t="e">
        <v>#DIV/0!</v>
      </c>
      <c r="G32" s="55" t="e">
        <v>#DIV/0!</v>
      </c>
      <c r="H32" s="55" t="e">
        <v>#DIV/0!</v>
      </c>
      <c r="I32" s="62">
        <v>0.2339</v>
      </c>
      <c r="J32" s="62">
        <v>0.216</v>
      </c>
      <c r="K32" s="62">
        <v>0.19989999999999999</v>
      </c>
      <c r="L32" s="62">
        <v>0.19389999999999999</v>
      </c>
      <c r="M32" s="62">
        <v>0.19089999999999999</v>
      </c>
      <c r="N32" s="85">
        <v>0.20619999999999999</v>
      </c>
      <c r="O32" s="62">
        <v>0.1948</v>
      </c>
      <c r="P32" s="62">
        <v>0.18609999999999999</v>
      </c>
      <c r="Q32" s="62">
        <v>0.1807</v>
      </c>
      <c r="R32" s="62">
        <v>0.17069999999999999</v>
      </c>
      <c r="S32" s="62">
        <v>0.187</v>
      </c>
      <c r="T32" s="62">
        <v>0.1908</v>
      </c>
      <c r="U32" s="62">
        <v>0.2054</v>
      </c>
      <c r="V32" s="62">
        <v>0.21079999999999999</v>
      </c>
      <c r="W32" s="62">
        <v>0.19769999999999999</v>
      </c>
      <c r="X32" s="62">
        <v>0.20300000000000001</v>
      </c>
      <c r="Y32" s="62">
        <v>0.20300000000000001</v>
      </c>
      <c r="Z32" s="62">
        <f t="shared" si="23"/>
        <v>0.21045161090610795</v>
      </c>
      <c r="AA32" s="62">
        <f t="shared" si="23"/>
        <v>0.20016615510117269</v>
      </c>
      <c r="AB32" s="62">
        <f t="shared" ref="AB32" si="36">AB18/AB11</f>
        <v>0.19290799386642843</v>
      </c>
      <c r="AC32" s="62">
        <f t="shared" ref="AC32:AD32" si="37">AC18/AC11</f>
        <v>0.18831503637049854</v>
      </c>
      <c r="AD32" s="62">
        <f t="shared" si="37"/>
        <v>0.18866554584890002</v>
      </c>
      <c r="AE32" s="62">
        <f t="shared" ref="AE32:AF32" si="38">AE18/AE11</f>
        <v>0.18578714175779468</v>
      </c>
      <c r="AF32" s="62">
        <f t="shared" si="38"/>
        <v>0.18610587804121836</v>
      </c>
      <c r="AG32" s="62">
        <f t="shared" ref="AG32:AH32" si="39">AG18/AG11</f>
        <v>0.19472377887160394</v>
      </c>
      <c r="AH32" s="62">
        <f t="shared" si="39"/>
        <v>0.18057657174596639</v>
      </c>
      <c r="AI32" s="62">
        <f t="shared" ref="AI32:AJ32" si="40">AI18/AI11</f>
        <v>0.18153735868613088</v>
      </c>
      <c r="AJ32" s="62">
        <f t="shared" si="40"/>
        <v>0.18027956163486786</v>
      </c>
      <c r="AK32" s="62">
        <f t="shared" ref="AK32:AL32" si="41">AK18/AK11</f>
        <v>0.18606001055365881</v>
      </c>
      <c r="AL32" s="62">
        <f t="shared" si="41"/>
        <v>0.20044154252268861</v>
      </c>
      <c r="AM32" s="62">
        <f t="shared" ref="AM32:AN32" si="42">AM18/AM11</f>
        <v>0.20524520363678014</v>
      </c>
      <c r="AN32" s="62">
        <f t="shared" si="42"/>
        <v>0.20522930031026224</v>
      </c>
      <c r="AO32" s="49"/>
      <c r="AP32" s="49"/>
      <c r="AQ32" s="49"/>
      <c r="AR32" s="49"/>
      <c r="AS32" s="49"/>
      <c r="AT32" s="49"/>
      <c r="AU32" s="49"/>
      <c r="AV32" s="49"/>
      <c r="AW32" s="49"/>
      <c r="AX32" s="45"/>
    </row>
    <row r="33" spans="1:50" ht="15.75" thickBot="1">
      <c r="A33" s="50" t="s">
        <v>1642</v>
      </c>
      <c r="B33" s="63"/>
      <c r="C33" s="63"/>
      <c r="D33" s="56" t="e">
        <v>#DIV/0!</v>
      </c>
      <c r="E33" s="56" t="e">
        <v>#DIV/0!</v>
      </c>
      <c r="F33" s="56" t="e">
        <v>#DIV/0!</v>
      </c>
      <c r="G33" s="56" t="e">
        <v>#DIV/0!</v>
      </c>
      <c r="H33" s="56" t="e">
        <v>#DIV/0!</v>
      </c>
      <c r="I33" s="64">
        <v>0.20080000000000001</v>
      </c>
      <c r="J33" s="64">
        <v>0.18690000000000001</v>
      </c>
      <c r="K33" s="64">
        <v>0.18099999999999999</v>
      </c>
      <c r="L33" s="64">
        <v>0.1744</v>
      </c>
      <c r="M33" s="64">
        <v>0.16969999999999999</v>
      </c>
      <c r="N33" s="86">
        <v>0.1782</v>
      </c>
      <c r="O33" s="64">
        <v>0.17150000000000001</v>
      </c>
      <c r="P33" s="64">
        <v>0.15679999999999999</v>
      </c>
      <c r="Q33" s="64">
        <v>0.15079999999999999</v>
      </c>
      <c r="R33" s="64">
        <v>0.14960000000000001</v>
      </c>
      <c r="S33" s="64">
        <v>0.14649999999999999</v>
      </c>
      <c r="T33" s="64">
        <v>0.1454</v>
      </c>
      <c r="U33" s="64">
        <v>0.15590000000000001</v>
      </c>
      <c r="V33" s="64">
        <v>0.1646</v>
      </c>
      <c r="W33" s="64">
        <v>0.15709999999999999</v>
      </c>
      <c r="X33" s="64">
        <v>0.16320000000000001</v>
      </c>
      <c r="Y33" s="64">
        <v>0.16320000000000001</v>
      </c>
      <c r="Z33" s="64">
        <f t="shared" si="23"/>
        <v>0.17469146967080507</v>
      </c>
      <c r="AA33" s="64">
        <f t="shared" si="23"/>
        <v>0.16455440639043289</v>
      </c>
      <c r="AB33" s="64">
        <f t="shared" ref="AB33" si="43">AB19/AB12</f>
        <v>0.15484495005767693</v>
      </c>
      <c r="AC33" s="64">
        <f t="shared" ref="AC33:AD33" si="44">AC19/AC12</f>
        <v>0.14851215055349187</v>
      </c>
      <c r="AD33" s="64">
        <f t="shared" si="44"/>
        <v>0.15201094548982177</v>
      </c>
      <c r="AE33" s="64">
        <f t="shared" ref="AE33:AF33" si="45">AE19/AE12</f>
        <v>0.15348970484405786</v>
      </c>
      <c r="AF33" s="64">
        <f t="shared" si="45"/>
        <v>0.15386112822301662</v>
      </c>
      <c r="AG33" s="64">
        <f t="shared" ref="AG33:AH33" si="46">AG19/AG12</f>
        <v>0.16216757642537344</v>
      </c>
      <c r="AH33" s="64">
        <f t="shared" si="46"/>
        <v>0.15021614340129058</v>
      </c>
      <c r="AI33" s="64">
        <f t="shared" ref="AI33:AJ33" si="47">AI19/AI12</f>
        <v>0.15051414132373214</v>
      </c>
      <c r="AJ33" s="64">
        <f t="shared" si="47"/>
        <v>0.1573213568909286</v>
      </c>
      <c r="AK33" s="64">
        <f t="shared" ref="AK33:AL33" si="48">AK19/AK12</f>
        <v>0.15743251415402765</v>
      </c>
      <c r="AL33" s="64">
        <f t="shared" si="48"/>
        <v>0.16312431558801838</v>
      </c>
      <c r="AM33" s="64">
        <f t="shared" ref="AM33:AN33" si="49">AM19/AM12</f>
        <v>0.18043038507994952</v>
      </c>
      <c r="AN33" s="64">
        <f t="shared" si="49"/>
        <v>0.18876632159432299</v>
      </c>
      <c r="AO33" s="51"/>
      <c r="AP33" s="51"/>
      <c r="AQ33" s="51"/>
      <c r="AR33" s="51"/>
      <c r="AS33" s="51"/>
      <c r="AT33" s="51"/>
      <c r="AU33" s="51"/>
      <c r="AV33" s="51"/>
      <c r="AW33" s="51"/>
      <c r="AX33" s="45"/>
    </row>
    <row r="34" spans="1:50">
      <c r="A34" s="52"/>
      <c r="B34" s="52"/>
      <c r="C34" s="52"/>
      <c r="D34" s="52"/>
      <c r="E34" s="52"/>
      <c r="F34" s="52"/>
      <c r="G34" s="52"/>
      <c r="H34" s="52"/>
      <c r="I34" s="52"/>
      <c r="J34" s="52"/>
      <c r="K34" s="52"/>
      <c r="L34" s="52"/>
      <c r="M34" s="52"/>
      <c r="N34" s="45"/>
      <c r="O34" s="45"/>
      <c r="P34" s="45"/>
      <c r="Q34" s="45"/>
      <c r="R34" s="45"/>
      <c r="S34" s="45"/>
      <c r="T34" s="45"/>
      <c r="U34" s="45"/>
      <c r="V34" s="45"/>
      <c r="W34" s="45"/>
      <c r="X34" s="45"/>
      <c r="Y34" s="45"/>
      <c r="Z34" s="45"/>
      <c r="AA34" s="45"/>
      <c r="AB34" s="45"/>
      <c r="AC34" s="45"/>
      <c r="AD34" s="45"/>
      <c r="AE34" s="45"/>
      <c r="AF34" s="45"/>
      <c r="AG34" s="45"/>
      <c r="AH34" s="26"/>
      <c r="AI34" s="26"/>
      <c r="AJ34" s="26"/>
      <c r="AK34" s="26"/>
      <c r="AL34" s="26"/>
      <c r="AM34" s="26"/>
      <c r="AN34" s="26"/>
      <c r="AO34" s="26"/>
      <c r="AP34" s="26"/>
      <c r="AQ34" s="26"/>
      <c r="AR34" s="26"/>
      <c r="AS34" s="26"/>
      <c r="AT34" s="26"/>
      <c r="AU34" s="26"/>
      <c r="AV34" s="26"/>
      <c r="AW34" s="26"/>
      <c r="AX34" s="26"/>
    </row>
    <row r="35" spans="1:50" ht="15.75" thickBo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M35" s="26"/>
      <c r="AN35" s="26"/>
      <c r="AO35" s="26"/>
      <c r="AP35" s="26"/>
      <c r="AQ35" s="26"/>
      <c r="AR35" s="26"/>
      <c r="AS35" s="26"/>
      <c r="AT35" s="26"/>
      <c r="AU35" s="26"/>
      <c r="AV35" s="26"/>
      <c r="AW35" s="26"/>
      <c r="AX35" s="26"/>
    </row>
    <row r="36" spans="1:50" ht="15.75" thickBot="1">
      <c r="A36" s="65" t="s">
        <v>937</v>
      </c>
      <c r="B36" s="66" t="s">
        <v>1590</v>
      </c>
      <c r="C36" s="66" t="s">
        <v>1591</v>
      </c>
      <c r="D36" s="66" t="s">
        <v>1592</v>
      </c>
      <c r="E36" s="66" t="s">
        <v>1593</v>
      </c>
      <c r="F36" s="66" t="s">
        <v>1594</v>
      </c>
      <c r="G36" s="66" t="s">
        <v>1595</v>
      </c>
      <c r="H36" s="66" t="s">
        <v>1596</v>
      </c>
      <c r="I36" s="66" t="s">
        <v>1597</v>
      </c>
      <c r="J36" s="66" t="s">
        <v>1598</v>
      </c>
      <c r="K36" s="66" t="s">
        <v>1599</v>
      </c>
      <c r="L36" s="66" t="s">
        <v>1600</v>
      </c>
      <c r="M36" s="66" t="s">
        <v>1601</v>
      </c>
      <c r="N36" s="66" t="s">
        <v>1602</v>
      </c>
      <c r="O36" s="66" t="s">
        <v>1603</v>
      </c>
      <c r="P36" s="66" t="s">
        <v>1604</v>
      </c>
      <c r="Q36" s="66" t="s">
        <v>1605</v>
      </c>
      <c r="R36" s="66" t="s">
        <v>1606</v>
      </c>
      <c r="S36" s="66" t="s">
        <v>1607</v>
      </c>
      <c r="T36" s="66" t="s">
        <v>1608</v>
      </c>
      <c r="U36" s="66" t="s">
        <v>1609</v>
      </c>
      <c r="V36" s="66" t="s">
        <v>1610</v>
      </c>
      <c r="W36" s="66" t="s">
        <v>1611</v>
      </c>
      <c r="X36" s="66" t="s">
        <v>1612</v>
      </c>
      <c r="Y36" s="67" t="s">
        <v>1613</v>
      </c>
      <c r="Z36" s="42" t="s">
        <v>1614</v>
      </c>
      <c r="AA36" s="42" t="s">
        <v>1615</v>
      </c>
      <c r="AB36" s="42" t="s">
        <v>1616</v>
      </c>
      <c r="AC36" s="42" t="s">
        <v>1617</v>
      </c>
      <c r="AD36" s="42" t="s">
        <v>1618</v>
      </c>
      <c r="AE36" s="42" t="s">
        <v>1619</v>
      </c>
      <c r="AF36" s="42" t="s">
        <v>1620</v>
      </c>
      <c r="AG36" s="42" t="s">
        <v>1621</v>
      </c>
      <c r="AH36" s="42" t="s">
        <v>1622</v>
      </c>
      <c r="AI36" s="42" t="s">
        <v>1623</v>
      </c>
      <c r="AJ36" s="42" t="s">
        <v>1624</v>
      </c>
      <c r="AK36" s="42" t="s">
        <v>1625</v>
      </c>
      <c r="AL36" s="42" t="s">
        <v>1626</v>
      </c>
      <c r="AM36" s="42" t="s">
        <v>1627</v>
      </c>
      <c r="AN36" s="42" t="s">
        <v>1628</v>
      </c>
      <c r="AO36" s="42" t="s">
        <v>1629</v>
      </c>
      <c r="AP36" s="42" t="s">
        <v>1630</v>
      </c>
      <c r="AQ36" s="42" t="s">
        <v>1631</v>
      </c>
      <c r="AR36" s="42" t="s">
        <v>1632</v>
      </c>
      <c r="AS36" s="42" t="s">
        <v>1633</v>
      </c>
      <c r="AT36" s="42" t="s">
        <v>1634</v>
      </c>
      <c r="AU36" s="42" t="s">
        <v>1635</v>
      </c>
      <c r="AV36" s="42" t="s">
        <v>1636</v>
      </c>
      <c r="AW36" s="42" t="s">
        <v>1637</v>
      </c>
      <c r="AX36" s="42" t="s">
        <v>1638</v>
      </c>
    </row>
    <row r="37" spans="1:50">
      <c r="A37" s="68" t="s">
        <v>1639</v>
      </c>
      <c r="B37" s="69">
        <v>206450</v>
      </c>
      <c r="C37" s="69">
        <v>201966</v>
      </c>
      <c r="D37" s="69">
        <v>232244</v>
      </c>
      <c r="E37" s="69">
        <v>230500</v>
      </c>
      <c r="F37" s="69">
        <v>228949</v>
      </c>
      <c r="G37" s="69">
        <v>216548</v>
      </c>
      <c r="H37" s="69">
        <v>229222</v>
      </c>
      <c r="I37" s="69">
        <v>226692</v>
      </c>
      <c r="J37" s="69">
        <v>230639</v>
      </c>
      <c r="K37" s="69">
        <v>252280</v>
      </c>
      <c r="L37" s="69">
        <v>264001</v>
      </c>
      <c r="M37" s="87">
        <v>231198</v>
      </c>
      <c r="N37" s="92">
        <v>301961</v>
      </c>
      <c r="O37" s="93">
        <v>331009</v>
      </c>
      <c r="P37" s="93">
        <v>369644</v>
      </c>
      <c r="Q37" s="93">
        <v>419338</v>
      </c>
      <c r="R37" s="93">
        <v>403325</v>
      </c>
      <c r="S37" s="93">
        <v>407084</v>
      </c>
      <c r="T37" s="93">
        <v>446387</v>
      </c>
      <c r="U37" s="93">
        <v>410269</v>
      </c>
      <c r="V37" s="93">
        <v>413757</v>
      </c>
      <c r="W37" s="93">
        <v>445439</v>
      </c>
      <c r="X37" s="93">
        <v>453965</v>
      </c>
      <c r="Y37" s="93">
        <v>462128</v>
      </c>
      <c r="Z37" s="93">
        <v>572775</v>
      </c>
      <c r="AA37" s="93">
        <v>615883</v>
      </c>
      <c r="AB37" s="93">
        <v>604860</v>
      </c>
      <c r="AC37" s="93">
        <v>683843</v>
      </c>
      <c r="AD37" s="93">
        <v>636705</v>
      </c>
      <c r="AE37" s="93">
        <v>621195</v>
      </c>
      <c r="AF37" s="93">
        <v>689495</v>
      </c>
      <c r="AG37" s="93">
        <v>689517</v>
      </c>
      <c r="AH37" s="93">
        <v>775274</v>
      </c>
      <c r="AI37" s="93">
        <v>871708</v>
      </c>
      <c r="AJ37" s="93">
        <v>799507</v>
      </c>
      <c r="AK37" s="93">
        <v>739352</v>
      </c>
      <c r="AL37" s="93">
        <v>978960</v>
      </c>
      <c r="AM37" s="93">
        <v>904348</v>
      </c>
      <c r="AN37" s="93">
        <v>1009660</v>
      </c>
      <c r="AO37" s="93"/>
      <c r="AP37" s="93"/>
      <c r="AQ37" s="93"/>
      <c r="AR37" s="93"/>
      <c r="AS37" s="93"/>
      <c r="AT37" s="93"/>
      <c r="AU37" s="93"/>
      <c r="AV37" s="93"/>
      <c r="AW37" s="93"/>
      <c r="AX37" s="93">
        <f>SUM(Z37:AK37)</f>
        <v>8300114</v>
      </c>
    </row>
    <row r="38" spans="1:50">
      <c r="A38" s="70" t="s">
        <v>1640</v>
      </c>
      <c r="B38" s="71">
        <v>103070</v>
      </c>
      <c r="C38" s="71">
        <v>98910</v>
      </c>
      <c r="D38" s="71">
        <v>116062</v>
      </c>
      <c r="E38" s="71">
        <v>116489</v>
      </c>
      <c r="F38" s="71">
        <v>102286</v>
      </c>
      <c r="G38" s="71">
        <v>110085</v>
      </c>
      <c r="H38" s="71">
        <v>115702</v>
      </c>
      <c r="I38" s="71">
        <v>120670</v>
      </c>
      <c r="J38" s="71">
        <v>142446</v>
      </c>
      <c r="K38" s="71">
        <v>136602</v>
      </c>
      <c r="L38" s="71">
        <v>152488</v>
      </c>
      <c r="M38" s="88">
        <v>144866</v>
      </c>
      <c r="N38" s="94">
        <v>190333</v>
      </c>
      <c r="O38" s="71">
        <v>179484</v>
      </c>
      <c r="P38" s="71">
        <v>182162</v>
      </c>
      <c r="Q38" s="71">
        <v>182919</v>
      </c>
      <c r="R38" s="71">
        <v>183923</v>
      </c>
      <c r="S38" s="71">
        <v>173556</v>
      </c>
      <c r="T38" s="71">
        <v>186892</v>
      </c>
      <c r="U38" s="71">
        <v>171949</v>
      </c>
      <c r="V38" s="71">
        <v>182461</v>
      </c>
      <c r="W38" s="71">
        <v>199796</v>
      </c>
      <c r="X38" s="71">
        <v>214586</v>
      </c>
      <c r="Y38" s="71">
        <v>215754</v>
      </c>
      <c r="Z38" s="71">
        <v>251772</v>
      </c>
      <c r="AA38" s="71">
        <v>247829</v>
      </c>
      <c r="AB38" s="71">
        <v>229484</v>
      </c>
      <c r="AC38" s="71">
        <v>226754</v>
      </c>
      <c r="AD38" s="71">
        <v>241827</v>
      </c>
      <c r="AE38" s="71">
        <v>238449</v>
      </c>
      <c r="AF38" s="71">
        <v>252691</v>
      </c>
      <c r="AG38" s="71">
        <v>248792</v>
      </c>
      <c r="AH38" s="71">
        <v>255858</v>
      </c>
      <c r="AI38" s="71">
        <v>258198</v>
      </c>
      <c r="AJ38" s="71">
        <f>243053+21068</f>
        <v>264121</v>
      </c>
      <c r="AK38" s="71">
        <v>210935</v>
      </c>
      <c r="AL38" s="71">
        <v>274668</v>
      </c>
      <c r="AM38" s="71">
        <v>263793</v>
      </c>
      <c r="AN38" s="71">
        <v>303748</v>
      </c>
      <c r="AO38" s="71"/>
      <c r="AP38" s="71"/>
      <c r="AQ38" s="71"/>
      <c r="AR38" s="71"/>
      <c r="AS38" s="71"/>
      <c r="AT38" s="71"/>
      <c r="AU38" s="71"/>
      <c r="AV38" s="71"/>
      <c r="AW38" s="71"/>
      <c r="AX38" s="71">
        <f t="shared" ref="AX38:AX40" si="50">SUM(Z38:AK38)</f>
        <v>2926710</v>
      </c>
    </row>
    <row r="39" spans="1:50">
      <c r="A39" s="72" t="s">
        <v>1641</v>
      </c>
      <c r="B39" s="73">
        <v>65792</v>
      </c>
      <c r="C39" s="73">
        <v>66921</v>
      </c>
      <c r="D39" s="73">
        <v>80622</v>
      </c>
      <c r="E39" s="73">
        <v>81286</v>
      </c>
      <c r="F39" s="73">
        <v>88250</v>
      </c>
      <c r="G39" s="73">
        <v>90033</v>
      </c>
      <c r="H39" s="73">
        <v>103104</v>
      </c>
      <c r="I39" s="73">
        <v>103860</v>
      </c>
      <c r="J39" s="73">
        <v>124892</v>
      </c>
      <c r="K39" s="73">
        <v>133302</v>
      </c>
      <c r="L39" s="73">
        <v>140626</v>
      </c>
      <c r="M39" s="89">
        <v>128870</v>
      </c>
      <c r="N39" s="95">
        <v>159471</v>
      </c>
      <c r="O39" s="73">
        <v>157686</v>
      </c>
      <c r="P39" s="73">
        <v>154308</v>
      </c>
      <c r="Q39" s="73">
        <v>154291</v>
      </c>
      <c r="R39" s="73">
        <v>162133</v>
      </c>
      <c r="S39" s="73">
        <v>136127</v>
      </c>
      <c r="T39" s="73">
        <v>146540</v>
      </c>
      <c r="U39" s="73">
        <v>144576</v>
      </c>
      <c r="V39" s="73">
        <v>153627</v>
      </c>
      <c r="W39" s="73">
        <v>158313</v>
      </c>
      <c r="X39" s="73">
        <v>155184</v>
      </c>
      <c r="Y39" s="73">
        <v>141383</v>
      </c>
      <c r="Z39" s="73">
        <v>167484</v>
      </c>
      <c r="AA39" s="73">
        <v>171660</v>
      </c>
      <c r="AB39" s="73">
        <v>168751</v>
      </c>
      <c r="AC39" s="73">
        <v>167429</v>
      </c>
      <c r="AD39" s="73">
        <v>154307</v>
      </c>
      <c r="AE39" s="73">
        <v>166411</v>
      </c>
      <c r="AF39" s="73">
        <v>170327</v>
      </c>
      <c r="AG39" s="73">
        <v>159080</v>
      </c>
      <c r="AH39" s="73">
        <v>176167</v>
      </c>
      <c r="AI39" s="73">
        <v>197143</v>
      </c>
      <c r="AJ39" s="73">
        <v>180525</v>
      </c>
      <c r="AK39" s="73">
        <v>151210</v>
      </c>
      <c r="AL39" s="73">
        <v>199807</v>
      </c>
      <c r="AM39" s="73">
        <v>159850</v>
      </c>
      <c r="AN39" s="73">
        <v>214250</v>
      </c>
      <c r="AO39" s="73"/>
      <c r="AP39" s="73"/>
      <c r="AQ39" s="73"/>
      <c r="AR39" s="73"/>
      <c r="AS39" s="73"/>
      <c r="AT39" s="73"/>
      <c r="AU39" s="73"/>
      <c r="AV39" s="73"/>
      <c r="AW39" s="73"/>
      <c r="AX39" s="73">
        <f t="shared" si="50"/>
        <v>2030494</v>
      </c>
    </row>
    <row r="40" spans="1:50">
      <c r="A40" s="74" t="s">
        <v>1642</v>
      </c>
      <c r="B40" s="75">
        <v>375312</v>
      </c>
      <c r="C40" s="75">
        <v>367797</v>
      </c>
      <c r="D40" s="75">
        <v>428928</v>
      </c>
      <c r="E40" s="75">
        <v>428275</v>
      </c>
      <c r="F40" s="75">
        <v>419485</v>
      </c>
      <c r="G40" s="75">
        <v>416666</v>
      </c>
      <c r="H40" s="75">
        <v>448028</v>
      </c>
      <c r="I40" s="75">
        <v>451222</v>
      </c>
      <c r="J40" s="75">
        <v>497977</v>
      </c>
      <c r="K40" s="75">
        <v>522184</v>
      </c>
      <c r="L40" s="75">
        <v>557115</v>
      </c>
      <c r="M40" s="90">
        <v>504934</v>
      </c>
      <c r="N40" s="96">
        <v>651765</v>
      </c>
      <c r="O40" s="75">
        <v>668179</v>
      </c>
      <c r="P40" s="75">
        <v>706114</v>
      </c>
      <c r="Q40" s="75">
        <v>756548</v>
      </c>
      <c r="R40" s="75">
        <v>749381</v>
      </c>
      <c r="S40" s="75">
        <v>716767</v>
      </c>
      <c r="T40" s="75">
        <v>779819</v>
      </c>
      <c r="U40" s="75">
        <v>726794</v>
      </c>
      <c r="V40" s="75">
        <v>749845</v>
      </c>
      <c r="W40" s="75">
        <v>803548</v>
      </c>
      <c r="X40" s="75">
        <v>823735</v>
      </c>
      <c r="Y40" s="75">
        <f t="shared" ref="Y40:AD40" si="51">SUM(Y37:Y39)</f>
        <v>819265</v>
      </c>
      <c r="Z40" s="75">
        <f t="shared" si="51"/>
        <v>992031</v>
      </c>
      <c r="AA40" s="75">
        <f t="shared" si="51"/>
        <v>1035372</v>
      </c>
      <c r="AB40" s="75">
        <f t="shared" si="51"/>
        <v>1003095</v>
      </c>
      <c r="AC40" s="75">
        <f t="shared" si="51"/>
        <v>1078026</v>
      </c>
      <c r="AD40" s="75">
        <f t="shared" si="51"/>
        <v>1032839</v>
      </c>
      <c r="AE40" s="75">
        <f t="shared" ref="AE40:AI40" si="52">SUM(AE37:AE39)</f>
        <v>1026055</v>
      </c>
      <c r="AF40" s="75">
        <f t="shared" si="52"/>
        <v>1112513</v>
      </c>
      <c r="AG40" s="75">
        <f t="shared" si="52"/>
        <v>1097389</v>
      </c>
      <c r="AH40" s="75">
        <f t="shared" si="52"/>
        <v>1207299</v>
      </c>
      <c r="AI40" s="75">
        <f t="shared" si="52"/>
        <v>1327049</v>
      </c>
      <c r="AJ40" s="75">
        <f>SUM(AJ37:AJ39)</f>
        <v>1244153</v>
      </c>
      <c r="AK40" s="75">
        <f>SUM(AK37:AK39)</f>
        <v>1101497</v>
      </c>
      <c r="AL40" s="75">
        <f>SUM(AL37:AL39)</f>
        <v>1453435</v>
      </c>
      <c r="AM40" s="75">
        <f>SUM(AM37:AM39)</f>
        <v>1327991</v>
      </c>
      <c r="AN40" s="75">
        <f>SUM(AN37:AN39)</f>
        <v>1527658</v>
      </c>
      <c r="AO40" s="75"/>
      <c r="AP40" s="75"/>
      <c r="AQ40" s="75"/>
      <c r="AR40" s="75"/>
      <c r="AS40" s="75"/>
      <c r="AT40" s="75"/>
      <c r="AU40" s="75"/>
      <c r="AV40" s="75"/>
      <c r="AW40" s="75"/>
      <c r="AX40" s="75">
        <f>SUM(Z40:AK40)</f>
        <v>13257318</v>
      </c>
    </row>
    <row r="41" spans="1:50" ht="15.75" thickBot="1">
      <c r="A41" s="76" t="s">
        <v>1646</v>
      </c>
      <c r="B41" s="77"/>
      <c r="C41" s="78">
        <v>-0.02</v>
      </c>
      <c r="D41" s="78">
        <v>0.17</v>
      </c>
      <c r="E41" s="78">
        <v>0</v>
      </c>
      <c r="F41" s="78">
        <v>-0.02</v>
      </c>
      <c r="G41" s="78">
        <v>-0.01</v>
      </c>
      <c r="H41" s="78">
        <v>0.08</v>
      </c>
      <c r="I41" s="78">
        <v>0.01</v>
      </c>
      <c r="J41" s="78">
        <v>0.1</v>
      </c>
      <c r="K41" s="78">
        <v>0.05</v>
      </c>
      <c r="L41" s="78">
        <v>7.0000000000000007E-2</v>
      </c>
      <c r="M41" s="91">
        <v>-0.09</v>
      </c>
      <c r="N41" s="97">
        <v>0.28999999999999998</v>
      </c>
      <c r="O41" s="98">
        <v>0.03</v>
      </c>
      <c r="P41" s="98">
        <v>0.06</v>
      </c>
      <c r="Q41" s="98">
        <v>7.0000000000000007E-2</v>
      </c>
      <c r="R41" s="98">
        <v>-0.01</v>
      </c>
      <c r="S41" s="98">
        <v>-0.04</v>
      </c>
      <c r="T41" s="98">
        <v>0.09</v>
      </c>
      <c r="U41" s="98">
        <v>-7.0000000000000007E-2</v>
      </c>
      <c r="V41" s="98">
        <v>0.03</v>
      </c>
      <c r="W41" s="98">
        <v>7.0000000000000007E-2</v>
      </c>
      <c r="X41" s="98">
        <v>0.03</v>
      </c>
      <c r="Y41" s="98">
        <v>0</v>
      </c>
      <c r="Z41" s="98">
        <f t="shared" ref="Z41:AF41" si="53">(Z40-Y40)/Y40</f>
        <v>0.21087926373029484</v>
      </c>
      <c r="AA41" s="98">
        <f t="shared" si="53"/>
        <v>4.3689158907332534E-2</v>
      </c>
      <c r="AB41" s="98">
        <f t="shared" si="53"/>
        <v>-3.1174302569511248E-2</v>
      </c>
      <c r="AC41" s="98">
        <f t="shared" si="53"/>
        <v>7.4699804106291026E-2</v>
      </c>
      <c r="AD41" s="98">
        <f t="shared" si="53"/>
        <v>-4.1916428731774556E-2</v>
      </c>
      <c r="AE41" s="98">
        <f t="shared" si="53"/>
        <v>-6.5683034819560455E-3</v>
      </c>
      <c r="AF41" s="98">
        <f t="shared" si="53"/>
        <v>8.4262539532481195E-2</v>
      </c>
      <c r="AG41" s="98">
        <f t="shared" ref="AG41:AN41" si="54">(AG40-AF40)/AF40</f>
        <v>-1.3594447885103365E-2</v>
      </c>
      <c r="AH41" s="98">
        <f t="shared" si="54"/>
        <v>0.10015591554134405</v>
      </c>
      <c r="AI41" s="98">
        <f t="shared" si="54"/>
        <v>9.91883535064636E-2</v>
      </c>
      <c r="AJ41" s="98">
        <f t="shared" si="54"/>
        <v>-6.2466419853373915E-2</v>
      </c>
      <c r="AK41" s="98">
        <f t="shared" si="54"/>
        <v>-0.11466113894352221</v>
      </c>
      <c r="AL41" s="98">
        <f t="shared" si="54"/>
        <v>0.31950881391415503</v>
      </c>
      <c r="AM41" s="98">
        <f t="shared" si="54"/>
        <v>-8.6308641253306825E-2</v>
      </c>
      <c r="AN41" s="98">
        <f t="shared" si="54"/>
        <v>0.15035267558289175</v>
      </c>
      <c r="AO41" s="98"/>
      <c r="AP41" s="98"/>
      <c r="AQ41" s="98"/>
      <c r="AR41" s="98"/>
      <c r="AS41" s="98"/>
      <c r="AT41" s="98"/>
      <c r="AU41" s="98"/>
      <c r="AV41" s="98"/>
      <c r="AW41" s="98"/>
      <c r="AX41" s="98"/>
    </row>
    <row r="42" spans="1:50">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H42" s="26"/>
      <c r="AI42" s="26"/>
      <c r="AJ42" s="26"/>
      <c r="AK42" s="26"/>
      <c r="AL42" s="26"/>
      <c r="AM42" s="26"/>
      <c r="AN42" s="26"/>
      <c r="AO42" s="26"/>
      <c r="AP42" s="26"/>
      <c r="AQ42" s="26"/>
      <c r="AR42" s="26"/>
      <c r="AS42" s="26"/>
      <c r="AT42" s="26"/>
      <c r="AU42" s="26"/>
      <c r="AV42" s="26"/>
      <c r="AW42" s="26"/>
      <c r="AX42" s="26"/>
    </row>
    <row r="43" spans="1:50">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H43" s="26"/>
      <c r="AI43" s="26"/>
      <c r="AJ43" s="26"/>
      <c r="AK43" s="26"/>
      <c r="AL43" s="26"/>
      <c r="AM43" s="26"/>
      <c r="AN43" s="26"/>
      <c r="AO43" s="26"/>
      <c r="AP43" s="26"/>
      <c r="AQ43" s="26"/>
      <c r="AR43" s="26"/>
      <c r="AS43" s="26"/>
      <c r="AT43" s="26"/>
      <c r="AU43" s="26"/>
      <c r="AV43" s="26"/>
      <c r="AW43" s="26"/>
      <c r="AX43" s="26"/>
    </row>
    <row r="44" spans="1:50">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H44" s="26"/>
      <c r="AI44" s="26"/>
      <c r="AJ44" s="26"/>
      <c r="AK44" s="26"/>
      <c r="AL44" s="26"/>
      <c r="AM44" s="26"/>
      <c r="AN44" s="26"/>
      <c r="AO44" s="26"/>
      <c r="AP44" s="26"/>
      <c r="AQ44" s="26"/>
      <c r="AR44" s="26"/>
      <c r="AS44" s="26"/>
      <c r="AT44" s="26"/>
      <c r="AU44" s="26"/>
      <c r="AV44" s="26"/>
      <c r="AW44" s="26"/>
      <c r="AX44" s="26"/>
    </row>
    <row r="45" spans="1:50">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H45" s="26"/>
      <c r="AI45" s="26"/>
      <c r="AJ45" s="26"/>
      <c r="AK45" s="26"/>
      <c r="AL45" s="26"/>
      <c r="AM45" s="26"/>
      <c r="AN45" s="26"/>
      <c r="AO45" s="26"/>
      <c r="AP45" s="26"/>
      <c r="AQ45" s="26"/>
      <c r="AR45" s="26"/>
      <c r="AS45" s="26"/>
      <c r="AT45" s="26"/>
      <c r="AU45" s="26"/>
      <c r="AV45" s="26"/>
      <c r="AW45" s="26"/>
      <c r="AX45" s="26"/>
    </row>
    <row r="46" spans="1:50">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H46" s="26"/>
      <c r="AI46" s="26"/>
      <c r="AJ46" s="26"/>
      <c r="AK46" s="26"/>
      <c r="AL46" s="26"/>
      <c r="AM46" s="26"/>
      <c r="AN46" s="26"/>
      <c r="AO46" s="26"/>
      <c r="AP46" s="26"/>
      <c r="AQ46" s="26"/>
      <c r="AR46" s="26"/>
      <c r="AS46" s="26"/>
      <c r="AT46" s="26"/>
      <c r="AU46" s="26"/>
      <c r="AV46" s="26"/>
      <c r="AW46" s="26"/>
      <c r="AX46" s="26"/>
    </row>
    <row r="47" spans="1:50">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H47" s="26"/>
      <c r="AJ47" s="26"/>
      <c r="AK47" s="26"/>
      <c r="AL47" s="26"/>
      <c r="AM47" s="26"/>
      <c r="AN47" s="26"/>
      <c r="AO47" s="26"/>
      <c r="AP47" s="26"/>
      <c r="AQ47" s="26"/>
      <c r="AR47" s="26"/>
      <c r="AS47" s="26"/>
      <c r="AT47" s="26"/>
      <c r="AU47" s="26"/>
      <c r="AV47" s="26"/>
      <c r="AW47" s="26"/>
      <c r="AX47" s="26"/>
    </row>
    <row r="48" spans="1:50">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H48" s="26"/>
      <c r="AI48" s="26"/>
      <c r="AJ48" s="26"/>
      <c r="AK48" s="26"/>
      <c r="AL48" s="26"/>
      <c r="AM48" s="26"/>
      <c r="AN48" s="26"/>
      <c r="AO48" s="26"/>
      <c r="AP48" s="26"/>
      <c r="AQ48" s="26"/>
      <c r="AR48" s="26"/>
      <c r="AS48" s="26"/>
      <c r="AT48" s="26"/>
      <c r="AU48" s="26"/>
      <c r="AV48" s="26"/>
      <c r="AW48" s="26"/>
      <c r="AX48" s="26"/>
    </row>
    <row r="49" spans="1:50">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H49" s="26"/>
      <c r="AI49" s="26"/>
      <c r="AJ49" s="26"/>
      <c r="AK49" s="26"/>
      <c r="AL49" s="26"/>
      <c r="AM49" s="26"/>
      <c r="AN49" s="26"/>
      <c r="AO49" s="26"/>
      <c r="AP49" s="26"/>
      <c r="AQ49" s="26"/>
      <c r="AR49" s="26"/>
      <c r="AS49" s="26"/>
      <c r="AT49" s="26"/>
      <c r="AU49" s="26"/>
      <c r="AV49" s="26"/>
      <c r="AW49" s="26"/>
      <c r="AX49" s="26"/>
    </row>
    <row r="50" spans="1: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H50" s="26"/>
      <c r="AI50" s="26"/>
      <c r="AJ50" s="26"/>
      <c r="AK50" s="26"/>
      <c r="AL50" s="26"/>
      <c r="AM50" s="26"/>
      <c r="AN50" s="26"/>
      <c r="AO50" s="26"/>
      <c r="AP50" s="26"/>
      <c r="AQ50" s="26"/>
      <c r="AR50" s="26"/>
      <c r="AS50" s="26"/>
      <c r="AT50" s="26"/>
      <c r="AU50" s="26"/>
      <c r="AV50" s="26"/>
      <c r="AW50" s="26"/>
      <c r="AX50" s="26"/>
    </row>
    <row r="51" spans="1:50">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H51" s="26"/>
      <c r="AI51" s="26"/>
      <c r="AJ51" s="26"/>
      <c r="AK51" s="26"/>
      <c r="AL51" s="26"/>
      <c r="AM51" s="26"/>
      <c r="AN51" s="26"/>
      <c r="AO51" s="26"/>
      <c r="AP51" s="26"/>
      <c r="AQ51" s="26"/>
      <c r="AR51" s="26"/>
      <c r="AS51" s="26"/>
      <c r="AT51" s="26"/>
      <c r="AU51" s="26"/>
      <c r="AV51" s="26"/>
      <c r="AW51" s="26"/>
      <c r="AX51" s="26"/>
    </row>
    <row r="52" spans="1:50">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H52" s="26"/>
      <c r="AI52" s="26"/>
      <c r="AJ52" s="26"/>
      <c r="AK52" s="26"/>
      <c r="AL52" s="26"/>
      <c r="AM52" s="26"/>
      <c r="AN52" s="26"/>
      <c r="AO52" s="26"/>
      <c r="AP52" s="26"/>
      <c r="AQ52" s="26"/>
      <c r="AR52" s="26"/>
      <c r="AS52" s="26"/>
      <c r="AT52" s="26"/>
      <c r="AU52" s="26"/>
      <c r="AV52" s="26"/>
      <c r="AW52" s="26"/>
      <c r="AX52" s="26"/>
    </row>
    <row r="53" spans="1:50">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H53" s="26"/>
      <c r="AI53" s="26"/>
      <c r="AJ53" s="26"/>
      <c r="AK53" s="26"/>
      <c r="AL53" s="26"/>
      <c r="AM53" s="26"/>
      <c r="AN53" s="26"/>
      <c r="AO53" s="26"/>
      <c r="AP53" s="26"/>
      <c r="AQ53" s="26"/>
      <c r="AR53" s="26"/>
      <c r="AS53" s="26"/>
      <c r="AT53" s="26"/>
      <c r="AU53" s="26"/>
      <c r="AV53" s="26"/>
      <c r="AW53" s="26"/>
      <c r="AX53" s="26"/>
    </row>
    <row r="54" spans="1:50">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H54" s="26"/>
      <c r="AI54" s="26"/>
      <c r="AJ54" s="26"/>
      <c r="AK54" s="26"/>
      <c r="AL54" s="26"/>
      <c r="AM54" s="26"/>
      <c r="AN54" s="26"/>
      <c r="AO54" s="26"/>
      <c r="AP54" s="26"/>
      <c r="AQ54" s="26"/>
      <c r="AR54" s="26"/>
      <c r="AS54" s="26"/>
      <c r="AT54" s="26"/>
      <c r="AU54" s="26"/>
      <c r="AV54" s="26"/>
      <c r="AW54" s="26"/>
      <c r="AX54" s="26"/>
    </row>
  </sheetData>
  <phoneticPr fontId="1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1647</v>
      </c>
      <c r="B1" t="s">
        <v>1648</v>
      </c>
    </row>
    <row r="2" spans="1:2">
      <c r="A2" t="s">
        <v>33</v>
      </c>
      <c r="B2" t="s">
        <v>1639</v>
      </c>
    </row>
    <row r="3" spans="1:2">
      <c r="A3" t="s">
        <v>244</v>
      </c>
      <c r="B3" t="s">
        <v>1639</v>
      </c>
    </row>
    <row r="4" spans="1:2">
      <c r="A4" t="s">
        <v>1649</v>
      </c>
      <c r="B4" t="s">
        <v>1639</v>
      </c>
    </row>
    <row r="5" spans="1:2">
      <c r="A5" t="s">
        <v>163</v>
      </c>
      <c r="B5" t="s">
        <v>1639</v>
      </c>
    </row>
    <row r="6" spans="1:2">
      <c r="A6" t="s">
        <v>1650</v>
      </c>
      <c r="B6" t="s">
        <v>1639</v>
      </c>
    </row>
    <row r="7" spans="1:2">
      <c r="A7" t="s">
        <v>877</v>
      </c>
      <c r="B7" t="s">
        <v>1639</v>
      </c>
    </row>
    <row r="8" spans="1:2">
      <c r="A8" t="s">
        <v>509</v>
      </c>
      <c r="B8" t="s">
        <v>1639</v>
      </c>
    </row>
    <row r="9" spans="1:2">
      <c r="A9" t="s">
        <v>590</v>
      </c>
      <c r="B9" t="s">
        <v>1639</v>
      </c>
    </row>
    <row r="10" spans="1:2">
      <c r="A10" t="s">
        <v>1651</v>
      </c>
      <c r="B10" t="s">
        <v>1639</v>
      </c>
    </row>
    <row r="11" spans="1:2">
      <c r="A11" t="s">
        <v>906</v>
      </c>
      <c r="B11" t="s">
        <v>1639</v>
      </c>
    </row>
    <row r="12" spans="1:2">
      <c r="A12" t="s">
        <v>27</v>
      </c>
      <c r="B12" t="s">
        <v>1639</v>
      </c>
    </row>
    <row r="13" spans="1:2">
      <c r="A13" t="s">
        <v>399</v>
      </c>
      <c r="B13" t="s">
        <v>1639</v>
      </c>
    </row>
    <row r="14" spans="1:2">
      <c r="A14" t="s">
        <v>86</v>
      </c>
      <c r="B14" t="s">
        <v>1639</v>
      </c>
    </row>
    <row r="15" spans="1:2">
      <c r="A15" t="s">
        <v>648</v>
      </c>
      <c r="B15" t="s">
        <v>1639</v>
      </c>
    </row>
    <row r="16" spans="1:2">
      <c r="A16" t="s">
        <v>1652</v>
      </c>
      <c r="B16" t="s">
        <v>1639</v>
      </c>
    </row>
    <row r="17" spans="1:2">
      <c r="A17" t="s">
        <v>691</v>
      </c>
      <c r="B17" t="s">
        <v>1639</v>
      </c>
    </row>
    <row r="18" spans="1:2">
      <c r="A18" t="s">
        <v>586</v>
      </c>
      <c r="B18" t="s">
        <v>1639</v>
      </c>
    </row>
    <row r="19" spans="1:2">
      <c r="A19" t="s">
        <v>822</v>
      </c>
      <c r="B19" t="s">
        <v>1639</v>
      </c>
    </row>
    <row r="20" spans="1:2">
      <c r="A20" t="s">
        <v>1653</v>
      </c>
      <c r="B20" t="s">
        <v>1639</v>
      </c>
    </row>
    <row r="21" spans="1:2">
      <c r="A21" t="s">
        <v>407</v>
      </c>
      <c r="B21" t="s">
        <v>1639</v>
      </c>
    </row>
    <row r="22" spans="1:2">
      <c r="A22" t="s">
        <v>529</v>
      </c>
      <c r="B22" t="s">
        <v>1639</v>
      </c>
    </row>
    <row r="23" spans="1:2">
      <c r="A23" t="s">
        <v>1654</v>
      </c>
      <c r="B23" t="s">
        <v>1639</v>
      </c>
    </row>
    <row r="24" spans="1:2">
      <c r="A24" t="s">
        <v>467</v>
      </c>
      <c r="B24" t="s">
        <v>1639</v>
      </c>
    </row>
    <row r="25" spans="1:2">
      <c r="A25" t="s">
        <v>441</v>
      </c>
      <c r="B25" t="s">
        <v>1639</v>
      </c>
    </row>
    <row r="26" spans="1:2">
      <c r="A26" t="s">
        <v>143</v>
      </c>
      <c r="B26" t="s">
        <v>1639</v>
      </c>
    </row>
    <row r="27" spans="1:2">
      <c r="A27" t="s">
        <v>218</v>
      </c>
      <c r="B27" t="s">
        <v>1639</v>
      </c>
    </row>
    <row r="28" spans="1:2">
      <c r="A28" t="s">
        <v>820</v>
      </c>
      <c r="B28" t="s">
        <v>1639</v>
      </c>
    </row>
    <row r="29" spans="1:2">
      <c r="A29" t="s">
        <v>254</v>
      </c>
      <c r="B29" t="s">
        <v>1639</v>
      </c>
    </row>
    <row r="30" spans="1:2">
      <c r="A30" t="s">
        <v>922</v>
      </c>
      <c r="B30" t="s">
        <v>1639</v>
      </c>
    </row>
    <row r="31" spans="1:2">
      <c r="A31" t="s">
        <v>1655</v>
      </c>
      <c r="B31" t="s">
        <v>1639</v>
      </c>
    </row>
    <row r="32" spans="1:2">
      <c r="A32" t="s">
        <v>752</v>
      </c>
      <c r="B32" t="s">
        <v>1639</v>
      </c>
    </row>
    <row r="33" spans="1:2">
      <c r="A33" t="s">
        <v>889</v>
      </c>
      <c r="B33" t="s">
        <v>1639</v>
      </c>
    </row>
    <row r="34" spans="1:2">
      <c r="A34" t="s">
        <v>797</v>
      </c>
      <c r="B34" t="s">
        <v>1639</v>
      </c>
    </row>
    <row r="35" spans="1:2">
      <c r="A35" t="s">
        <v>567</v>
      </c>
      <c r="B35" t="s">
        <v>1639</v>
      </c>
    </row>
    <row r="36" spans="1:2">
      <c r="A36" t="s">
        <v>363</v>
      </c>
      <c r="B36" t="s">
        <v>1639</v>
      </c>
    </row>
    <row r="37" spans="1:2">
      <c r="A37" t="s">
        <v>194</v>
      </c>
      <c r="B37" t="s">
        <v>1639</v>
      </c>
    </row>
    <row r="38" spans="1:2">
      <c r="A38" t="s">
        <v>381</v>
      </c>
      <c r="B38" t="s">
        <v>1639</v>
      </c>
    </row>
    <row r="39" spans="1:2">
      <c r="A39" t="s">
        <v>525</v>
      </c>
      <c r="B39" t="s">
        <v>1639</v>
      </c>
    </row>
    <row r="40" spans="1:2">
      <c r="A40" t="s">
        <v>57</v>
      </c>
      <c r="B40" t="s">
        <v>1639</v>
      </c>
    </row>
    <row r="41" spans="1:2">
      <c r="A41" t="s">
        <v>850</v>
      </c>
      <c r="B41" t="s">
        <v>1639</v>
      </c>
    </row>
    <row r="42" spans="1:2">
      <c r="A42" t="s">
        <v>188</v>
      </c>
      <c r="B42" t="s">
        <v>1639</v>
      </c>
    </row>
    <row r="43" spans="1:2">
      <c r="A43" t="s">
        <v>513</v>
      </c>
      <c r="B43" t="s">
        <v>1639</v>
      </c>
    </row>
    <row r="44" spans="1:2">
      <c r="A44" t="s">
        <v>339</v>
      </c>
      <c r="B44" t="s">
        <v>1639</v>
      </c>
    </row>
    <row r="45" spans="1:2">
      <c r="A45" t="s">
        <v>321</v>
      </c>
      <c r="B45" t="s">
        <v>1639</v>
      </c>
    </row>
    <row r="46" spans="1:2">
      <c r="A46" t="s">
        <v>717</v>
      </c>
      <c r="B46" t="s">
        <v>1639</v>
      </c>
    </row>
    <row r="47" spans="1:2">
      <c r="A47" t="s">
        <v>1656</v>
      </c>
      <c r="B47" t="s">
        <v>1639</v>
      </c>
    </row>
    <row r="48" spans="1:2">
      <c r="A48" t="s">
        <v>565</v>
      </c>
      <c r="B48" t="s">
        <v>1639</v>
      </c>
    </row>
    <row r="49" spans="1:2">
      <c r="A49" t="s">
        <v>1657</v>
      </c>
      <c r="B49" t="s">
        <v>1639</v>
      </c>
    </row>
    <row r="50" spans="1:2">
      <c r="A50" t="s">
        <v>367</v>
      </c>
      <c r="B50" t="s">
        <v>1639</v>
      </c>
    </row>
    <row r="51" spans="1:2">
      <c r="A51" t="s">
        <v>329</v>
      </c>
      <c r="B51" t="s">
        <v>1639</v>
      </c>
    </row>
    <row r="52" spans="1:2">
      <c r="A52" t="s">
        <v>840</v>
      </c>
      <c r="B52" t="s">
        <v>1639</v>
      </c>
    </row>
    <row r="53" spans="1:2">
      <c r="A53" t="s">
        <v>30</v>
      </c>
      <c r="B53" t="s">
        <v>1639</v>
      </c>
    </row>
    <row r="54" spans="1:2">
      <c r="A54" t="s">
        <v>433</v>
      </c>
      <c r="B54" t="s">
        <v>1639</v>
      </c>
    </row>
    <row r="55" spans="1:2">
      <c r="A55" t="s">
        <v>397</v>
      </c>
      <c r="B55" t="s">
        <v>1639</v>
      </c>
    </row>
    <row r="56" spans="1:2">
      <c r="A56" t="s">
        <v>765</v>
      </c>
      <c r="B56" t="s">
        <v>1639</v>
      </c>
    </row>
    <row r="57" spans="1:2">
      <c r="A57" t="s">
        <v>1658</v>
      </c>
      <c r="B57" t="s">
        <v>1639</v>
      </c>
    </row>
    <row r="58" spans="1:2">
      <c r="A58" t="s">
        <v>475</v>
      </c>
      <c r="B58" t="s">
        <v>1639</v>
      </c>
    </row>
    <row r="59" spans="1:2">
      <c r="A59" t="s">
        <v>1659</v>
      </c>
      <c r="B59" t="s">
        <v>1639</v>
      </c>
    </row>
    <row r="60" spans="1:2">
      <c r="A60" t="s">
        <v>269</v>
      </c>
      <c r="B60" t="s">
        <v>1639</v>
      </c>
    </row>
    <row r="61" spans="1:2">
      <c r="A61" t="s">
        <v>1660</v>
      </c>
      <c r="B61" t="s">
        <v>1639</v>
      </c>
    </row>
    <row r="62" spans="1:2">
      <c r="A62" t="s">
        <v>729</v>
      </c>
      <c r="B62" t="s">
        <v>1639</v>
      </c>
    </row>
    <row r="63" spans="1:2">
      <c r="A63" t="s">
        <v>1661</v>
      </c>
      <c r="B63" t="s">
        <v>1639</v>
      </c>
    </row>
    <row r="64" spans="1:2">
      <c r="A64" t="s">
        <v>1662</v>
      </c>
      <c r="B64" t="s">
        <v>1639</v>
      </c>
    </row>
    <row r="65" spans="1:2">
      <c r="A65" t="s">
        <v>343</v>
      </c>
      <c r="B65" t="s">
        <v>1639</v>
      </c>
    </row>
    <row r="66" spans="1:2">
      <c r="A66" t="s">
        <v>47</v>
      </c>
      <c r="B66" t="s">
        <v>1639</v>
      </c>
    </row>
    <row r="67" spans="1:2">
      <c r="A67" t="s">
        <v>620</v>
      </c>
      <c r="B67" t="s">
        <v>1639</v>
      </c>
    </row>
    <row r="68" spans="1:2">
      <c r="A68" t="s">
        <v>1663</v>
      </c>
      <c r="B68" t="s">
        <v>1639</v>
      </c>
    </row>
    <row r="69" spans="1:2">
      <c r="A69" t="s">
        <v>711</v>
      </c>
      <c r="B69" t="s">
        <v>1639</v>
      </c>
    </row>
    <row r="70" spans="1:2">
      <c r="A70" t="s">
        <v>666</v>
      </c>
      <c r="B70" t="s">
        <v>1639</v>
      </c>
    </row>
    <row r="71" spans="1:2">
      <c r="A71" t="s">
        <v>184</v>
      </c>
      <c r="B71" t="s">
        <v>1639</v>
      </c>
    </row>
    <row r="72" spans="1:2">
      <c r="A72" t="s">
        <v>96</v>
      </c>
      <c r="B72" t="s">
        <v>1639</v>
      </c>
    </row>
    <row r="73" spans="1:2">
      <c r="A73" t="s">
        <v>341</v>
      </c>
      <c r="B73" t="s">
        <v>1639</v>
      </c>
    </row>
    <row r="74" spans="1:2">
      <c r="A74" t="s">
        <v>497</v>
      </c>
      <c r="B74" t="s">
        <v>1639</v>
      </c>
    </row>
    <row r="75" spans="1:2">
      <c r="A75" t="s">
        <v>459</v>
      </c>
      <c r="B75" t="s">
        <v>1639</v>
      </c>
    </row>
    <row r="76" spans="1:2">
      <c r="A76" t="s">
        <v>1664</v>
      </c>
      <c r="B76" t="s">
        <v>1639</v>
      </c>
    </row>
    <row r="77" spans="1:2">
      <c r="A77" t="s">
        <v>1665</v>
      </c>
      <c r="B77" t="s">
        <v>1639</v>
      </c>
    </row>
    <row r="78" spans="1:2">
      <c r="A78" t="s">
        <v>1666</v>
      </c>
      <c r="B78" t="s">
        <v>1639</v>
      </c>
    </row>
    <row r="79" spans="1:2">
      <c r="A79" t="s">
        <v>624</v>
      </c>
      <c r="B79" t="s">
        <v>1639</v>
      </c>
    </row>
    <row r="80" spans="1:2">
      <c r="A80" t="s">
        <v>1667</v>
      </c>
      <c r="B80" t="s">
        <v>1639</v>
      </c>
    </row>
    <row r="81" spans="1:2">
      <c r="A81" t="s">
        <v>228</v>
      </c>
      <c r="B81" t="s">
        <v>1639</v>
      </c>
    </row>
    <row r="82" spans="1:2">
      <c r="A82" t="s">
        <v>1668</v>
      </c>
      <c r="B82" t="s">
        <v>1639</v>
      </c>
    </row>
    <row r="83" spans="1:2">
      <c r="A83" t="s">
        <v>375</v>
      </c>
      <c r="B83" t="s">
        <v>1639</v>
      </c>
    </row>
    <row r="84" spans="1:2">
      <c r="A84" t="s">
        <v>437</v>
      </c>
      <c r="B84" t="s">
        <v>1639</v>
      </c>
    </row>
    <row r="85" spans="1:2">
      <c r="A85" t="s">
        <v>1669</v>
      </c>
      <c r="B85" t="s">
        <v>1639</v>
      </c>
    </row>
    <row r="86" spans="1:2">
      <c r="A86" t="s">
        <v>295</v>
      </c>
      <c r="B86" t="s">
        <v>1639</v>
      </c>
    </row>
    <row r="87" spans="1:2">
      <c r="A87" t="s">
        <v>24</v>
      </c>
      <c r="B87" t="s">
        <v>1639</v>
      </c>
    </row>
    <row r="88" spans="1:2">
      <c r="A88" t="s">
        <v>1670</v>
      </c>
      <c r="B88" t="s">
        <v>1639</v>
      </c>
    </row>
    <row r="89" spans="1:2">
      <c r="A89" t="s">
        <v>505</v>
      </c>
      <c r="B89" t="s">
        <v>1639</v>
      </c>
    </row>
    <row r="90" spans="1:2">
      <c r="A90" t="s">
        <v>238</v>
      </c>
      <c r="B90" t="s">
        <v>1639</v>
      </c>
    </row>
    <row r="91" spans="1:2">
      <c r="A91" t="s">
        <v>1671</v>
      </c>
      <c r="B91" t="s">
        <v>1639</v>
      </c>
    </row>
    <row r="92" spans="1:2">
      <c r="A92" t="s">
        <v>216</v>
      </c>
      <c r="B92" t="s">
        <v>1639</v>
      </c>
    </row>
    <row r="93" spans="1:2">
      <c r="A93" t="s">
        <v>137</v>
      </c>
      <c r="B93" t="s">
        <v>1639</v>
      </c>
    </row>
    <row r="94" spans="1:2">
      <c r="A94" t="s">
        <v>1672</v>
      </c>
      <c r="B94" t="s">
        <v>1639</v>
      </c>
    </row>
    <row r="95" spans="1:2">
      <c r="A95" t="s">
        <v>395</v>
      </c>
      <c r="B95" t="s">
        <v>1639</v>
      </c>
    </row>
    <row r="96" spans="1:2">
      <c r="A96" t="s">
        <v>894</v>
      </c>
      <c r="B96" t="s">
        <v>1639</v>
      </c>
    </row>
    <row r="97" spans="1:2">
      <c r="A97" t="s">
        <v>283</v>
      </c>
      <c r="B97" t="s">
        <v>1639</v>
      </c>
    </row>
    <row r="98" spans="1:2">
      <c r="A98" t="s">
        <v>222</v>
      </c>
      <c r="B98" t="s">
        <v>1639</v>
      </c>
    </row>
    <row r="99" spans="1:2">
      <c r="A99" t="s">
        <v>1673</v>
      </c>
      <c r="B99" t="s">
        <v>1639</v>
      </c>
    </row>
    <row r="100" spans="1:2">
      <c r="A100" t="s">
        <v>686</v>
      </c>
      <c r="B100" t="s">
        <v>1639</v>
      </c>
    </row>
    <row r="101" spans="1:2">
      <c r="A101" t="s">
        <v>1674</v>
      </c>
      <c r="B101" t="s">
        <v>1639</v>
      </c>
    </row>
    <row r="102" spans="1:2">
      <c r="A102" t="s">
        <v>71</v>
      </c>
      <c r="B102" t="s">
        <v>1639</v>
      </c>
    </row>
    <row r="103" spans="1:2">
      <c r="A103" t="s">
        <v>271</v>
      </c>
      <c r="B103" t="s">
        <v>1639</v>
      </c>
    </row>
    <row r="104" spans="1:2">
      <c r="A104" t="s">
        <v>477</v>
      </c>
      <c r="B104" t="s">
        <v>1639</v>
      </c>
    </row>
    <row r="105" spans="1:2">
      <c r="A105" t="s">
        <v>636</v>
      </c>
      <c r="B105" t="s">
        <v>1639</v>
      </c>
    </row>
    <row r="106" spans="1:2">
      <c r="A106" t="s">
        <v>1675</v>
      </c>
      <c r="B106" t="s">
        <v>1639</v>
      </c>
    </row>
    <row r="107" spans="1:2">
      <c r="A107" t="s">
        <v>723</v>
      </c>
      <c r="B107" t="s">
        <v>1639</v>
      </c>
    </row>
    <row r="108" spans="1:2">
      <c r="A108" t="s">
        <v>335</v>
      </c>
      <c r="B108" t="s">
        <v>1639</v>
      </c>
    </row>
    <row r="109" spans="1:2">
      <c r="A109" t="s">
        <v>471</v>
      </c>
      <c r="B109" t="s">
        <v>1639</v>
      </c>
    </row>
    <row r="110" spans="1:2">
      <c r="A110" t="s">
        <v>1676</v>
      </c>
      <c r="B110" t="s">
        <v>1639</v>
      </c>
    </row>
    <row r="111" spans="1:2">
      <c r="A111" t="s">
        <v>738</v>
      </c>
      <c r="B111" t="s">
        <v>1639</v>
      </c>
    </row>
    <row r="112" spans="1:2">
      <c r="A112" t="s">
        <v>190</v>
      </c>
      <c r="B112" t="s">
        <v>1639</v>
      </c>
    </row>
    <row r="113" spans="1:2">
      <c r="A113" t="s">
        <v>248</v>
      </c>
      <c r="B113" t="s">
        <v>1639</v>
      </c>
    </row>
    <row r="114" spans="1:2">
      <c r="A114" t="s">
        <v>622</v>
      </c>
      <c r="B114" t="s">
        <v>1639</v>
      </c>
    </row>
    <row r="115" spans="1:2">
      <c r="A115" t="s">
        <v>707</v>
      </c>
      <c r="B115" t="s">
        <v>1639</v>
      </c>
    </row>
    <row r="116" spans="1:2">
      <c r="A116" t="s">
        <v>541</v>
      </c>
      <c r="B116" t="s">
        <v>1639</v>
      </c>
    </row>
    <row r="117" spans="1:2">
      <c r="A117" t="s">
        <v>791</v>
      </c>
      <c r="B117" t="s">
        <v>1639</v>
      </c>
    </row>
    <row r="118" spans="1:2">
      <c r="A118" t="s">
        <v>572</v>
      </c>
      <c r="B118" t="s">
        <v>1639</v>
      </c>
    </row>
    <row r="119" spans="1:2">
      <c r="A119" t="s">
        <v>1677</v>
      </c>
      <c r="B119" t="s">
        <v>1639</v>
      </c>
    </row>
    <row r="120" spans="1:2">
      <c r="A120" t="s">
        <v>252</v>
      </c>
      <c r="B120" t="s">
        <v>1639</v>
      </c>
    </row>
    <row r="121" spans="1:2">
      <c r="A121" t="s">
        <v>429</v>
      </c>
      <c r="B121" t="s">
        <v>1639</v>
      </c>
    </row>
    <row r="122" spans="1:2">
      <c r="A122" t="s">
        <v>725</v>
      </c>
      <c r="B122" t="s">
        <v>1639</v>
      </c>
    </row>
    <row r="123" spans="1:2">
      <c r="A123" t="s">
        <v>1678</v>
      </c>
      <c r="B123" t="s">
        <v>1639</v>
      </c>
    </row>
    <row r="124" spans="1:2">
      <c r="A124" t="s">
        <v>610</v>
      </c>
      <c r="B124" t="s">
        <v>1639</v>
      </c>
    </row>
    <row r="125" spans="1:2">
      <c r="A125" t="s">
        <v>453</v>
      </c>
      <c r="B125" t="s">
        <v>1639</v>
      </c>
    </row>
    <row r="126" spans="1:2">
      <c r="A126" t="s">
        <v>1679</v>
      </c>
      <c r="B126" t="s">
        <v>1639</v>
      </c>
    </row>
    <row r="127" spans="1:2">
      <c r="A127" t="s">
        <v>742</v>
      </c>
      <c r="B127" t="s">
        <v>1639</v>
      </c>
    </row>
    <row r="128" spans="1:2">
      <c r="A128" t="s">
        <v>224</v>
      </c>
      <c r="B128" t="s">
        <v>1639</v>
      </c>
    </row>
    <row r="129" spans="1:2">
      <c r="A129" t="s">
        <v>313</v>
      </c>
      <c r="B129" t="s">
        <v>1639</v>
      </c>
    </row>
    <row r="130" spans="1:2">
      <c r="A130" t="s">
        <v>1680</v>
      </c>
      <c r="B130" t="s">
        <v>1639</v>
      </c>
    </row>
    <row r="131" spans="1:2">
      <c r="A131" t="s">
        <v>1681</v>
      </c>
      <c r="B131" t="s">
        <v>1639</v>
      </c>
    </row>
    <row r="132" spans="1:2">
      <c r="A132" t="s">
        <v>1682</v>
      </c>
      <c r="B132" t="s">
        <v>1639</v>
      </c>
    </row>
    <row r="133" spans="1:2">
      <c r="A133" t="s">
        <v>208</v>
      </c>
      <c r="B133" t="s">
        <v>1639</v>
      </c>
    </row>
    <row r="134" spans="1:2">
      <c r="A134" t="s">
        <v>299</v>
      </c>
      <c r="B134" t="s">
        <v>1639</v>
      </c>
    </row>
    <row r="135" spans="1:2">
      <c r="A135" t="s">
        <v>860</v>
      </c>
      <c r="B135" t="s">
        <v>1639</v>
      </c>
    </row>
    <row r="136" spans="1:2">
      <c r="A136" t="s">
        <v>678</v>
      </c>
      <c r="B136" t="s">
        <v>1639</v>
      </c>
    </row>
    <row r="137" spans="1:2">
      <c r="A137" t="s">
        <v>176</v>
      </c>
      <c r="B137" t="s">
        <v>1639</v>
      </c>
    </row>
    <row r="138" spans="1:2">
      <c r="A138" t="s">
        <v>232</v>
      </c>
      <c r="B138" t="s">
        <v>1639</v>
      </c>
    </row>
    <row r="139" spans="1:2">
      <c r="A139" t="s">
        <v>491</v>
      </c>
      <c r="B139" t="s">
        <v>1639</v>
      </c>
    </row>
    <row r="140" spans="1:2">
      <c r="A140" t="s">
        <v>901</v>
      </c>
      <c r="B140" t="s">
        <v>1639</v>
      </c>
    </row>
    <row r="141" spans="1:2">
      <c r="A141" t="s">
        <v>469</v>
      </c>
      <c r="B141" t="s">
        <v>1639</v>
      </c>
    </row>
    <row r="142" spans="1:2">
      <c r="A142" t="s">
        <v>523</v>
      </c>
      <c r="B142" t="s">
        <v>1639</v>
      </c>
    </row>
    <row r="143" spans="1:2">
      <c r="A143" t="s">
        <v>1683</v>
      </c>
      <c r="B143" t="s">
        <v>1639</v>
      </c>
    </row>
    <row r="144" spans="1:2">
      <c r="A144" t="s">
        <v>389</v>
      </c>
      <c r="B144" t="s">
        <v>1639</v>
      </c>
    </row>
    <row r="145" spans="1:2">
      <c r="A145" t="s">
        <v>854</v>
      </c>
      <c r="B145" t="s">
        <v>1639</v>
      </c>
    </row>
    <row r="146" spans="1:2">
      <c r="A146" t="s">
        <v>1684</v>
      </c>
      <c r="B146" t="s">
        <v>1639</v>
      </c>
    </row>
    <row r="147" spans="1:2">
      <c r="A147" t="s">
        <v>325</v>
      </c>
      <c r="B147" t="s">
        <v>1639</v>
      </c>
    </row>
    <row r="148" spans="1:2">
      <c r="A148" t="s">
        <v>493</v>
      </c>
      <c r="B148" t="s">
        <v>1639</v>
      </c>
    </row>
    <row r="149" spans="1:2">
      <c r="A149" t="s">
        <v>345</v>
      </c>
      <c r="B149" t="s">
        <v>1639</v>
      </c>
    </row>
    <row r="150" spans="1:2">
      <c r="A150" t="s">
        <v>365</v>
      </c>
      <c r="B150" t="s">
        <v>1639</v>
      </c>
    </row>
    <row r="151" spans="1:2">
      <c r="A151" t="s">
        <v>793</v>
      </c>
      <c r="B151" t="s">
        <v>1639</v>
      </c>
    </row>
    <row r="152" spans="1:2">
      <c r="A152" t="s">
        <v>499</v>
      </c>
      <c r="B152" t="s">
        <v>1639</v>
      </c>
    </row>
    <row r="153" spans="1:2">
      <c r="A153" t="s">
        <v>220</v>
      </c>
      <c r="B153" t="s">
        <v>1639</v>
      </c>
    </row>
    <row r="154" spans="1:2">
      <c r="A154" t="s">
        <v>393</v>
      </c>
      <c r="B154" t="s">
        <v>1639</v>
      </c>
    </row>
    <row r="155" spans="1:2">
      <c r="A155" t="s">
        <v>443</v>
      </c>
      <c r="B155" t="s">
        <v>1639</v>
      </c>
    </row>
    <row r="156" spans="1:2">
      <c r="A156" t="s">
        <v>727</v>
      </c>
      <c r="B156" t="s">
        <v>1639</v>
      </c>
    </row>
    <row r="157" spans="1:2">
      <c r="A157" t="s">
        <v>1685</v>
      </c>
      <c r="B157" t="s">
        <v>1639</v>
      </c>
    </row>
    <row r="158" spans="1:2">
      <c r="A158" t="s">
        <v>695</v>
      </c>
      <c r="B158" t="s">
        <v>1639</v>
      </c>
    </row>
    <row r="159" spans="1:2">
      <c r="A159" t="s">
        <v>131</v>
      </c>
      <c r="B159" t="s">
        <v>1639</v>
      </c>
    </row>
    <row r="160" spans="1:2">
      <c r="A160" t="s">
        <v>703</v>
      </c>
      <c r="B160" t="s">
        <v>1639</v>
      </c>
    </row>
    <row r="161" spans="1:2">
      <c r="A161" t="s">
        <v>881</v>
      </c>
      <c r="B161" t="s">
        <v>1639</v>
      </c>
    </row>
    <row r="162" spans="1:2">
      <c r="A162" t="s">
        <v>63</v>
      </c>
      <c r="B162" t="s">
        <v>1639</v>
      </c>
    </row>
    <row r="163" spans="1:2">
      <c r="A163" t="s">
        <v>676</v>
      </c>
      <c r="B163" t="s">
        <v>1639</v>
      </c>
    </row>
    <row r="164" spans="1:2">
      <c r="A164" t="s">
        <v>483</v>
      </c>
      <c r="B164" t="s">
        <v>1639</v>
      </c>
    </row>
    <row r="165" spans="1:2">
      <c r="A165" t="s">
        <v>358</v>
      </c>
      <c r="B165" t="s">
        <v>1639</v>
      </c>
    </row>
    <row r="166" spans="1:2">
      <c r="A166" t="s">
        <v>1686</v>
      </c>
      <c r="B166" t="s">
        <v>1639</v>
      </c>
    </row>
    <row r="167" spans="1:2">
      <c r="A167" t="s">
        <v>317</v>
      </c>
      <c r="B167" t="s">
        <v>1639</v>
      </c>
    </row>
    <row r="168" spans="1:2">
      <c r="A168" t="s">
        <v>580</v>
      </c>
      <c r="B168" t="s">
        <v>1639</v>
      </c>
    </row>
    <row r="169" spans="1:2">
      <c r="A169" t="s">
        <v>805</v>
      </c>
      <c r="B169" t="s">
        <v>1639</v>
      </c>
    </row>
    <row r="170" spans="1:2">
      <c r="A170" t="s">
        <v>767</v>
      </c>
      <c r="B170" t="s">
        <v>1639</v>
      </c>
    </row>
    <row r="171" spans="1:2">
      <c r="A171" t="s">
        <v>604</v>
      </c>
      <c r="B171" t="s">
        <v>1639</v>
      </c>
    </row>
    <row r="172" spans="1:2">
      <c r="A172" t="s">
        <v>773</v>
      </c>
      <c r="B172" t="s">
        <v>1639</v>
      </c>
    </row>
    <row r="173" spans="1:2">
      <c r="A173" t="s">
        <v>811</v>
      </c>
      <c r="B173" t="s">
        <v>1639</v>
      </c>
    </row>
    <row r="174" spans="1:2">
      <c r="A174" t="s">
        <v>858</v>
      </c>
      <c r="B174" t="s">
        <v>1639</v>
      </c>
    </row>
    <row r="175" spans="1:2">
      <c r="A175" t="s">
        <v>449</v>
      </c>
      <c r="B175" t="s">
        <v>1639</v>
      </c>
    </row>
    <row r="176" spans="1:2">
      <c r="A176" t="s">
        <v>775</v>
      </c>
      <c r="B176" t="s">
        <v>1639</v>
      </c>
    </row>
    <row r="177" spans="1:2">
      <c r="A177" t="s">
        <v>824</v>
      </c>
      <c r="B177" t="s">
        <v>1639</v>
      </c>
    </row>
    <row r="178" spans="1:2">
      <c r="A178" t="s">
        <v>178</v>
      </c>
      <c r="B178" t="s">
        <v>1639</v>
      </c>
    </row>
    <row r="179" spans="1:2">
      <c r="A179" t="s">
        <v>139</v>
      </c>
      <c r="B179" t="s">
        <v>1639</v>
      </c>
    </row>
    <row r="180" spans="1:2">
      <c r="A180" t="s">
        <v>425</v>
      </c>
      <c r="B180" t="s">
        <v>1639</v>
      </c>
    </row>
    <row r="181" spans="1:2">
      <c r="A181" t="s">
        <v>926</v>
      </c>
      <c r="B181" t="s">
        <v>1639</v>
      </c>
    </row>
    <row r="182" spans="1:2">
      <c r="A182" t="s">
        <v>279</v>
      </c>
      <c r="B182" t="s">
        <v>1639</v>
      </c>
    </row>
    <row r="183" spans="1:2">
      <c r="A183" t="s">
        <v>771</v>
      </c>
      <c r="B183" t="s">
        <v>1639</v>
      </c>
    </row>
    <row r="184" spans="1:2">
      <c r="A184" t="s">
        <v>356</v>
      </c>
      <c r="B184" t="s">
        <v>1639</v>
      </c>
    </row>
    <row r="185" spans="1:2">
      <c r="A185" t="s">
        <v>630</v>
      </c>
      <c r="B185" t="s">
        <v>1639</v>
      </c>
    </row>
    <row r="186" spans="1:2">
      <c r="A186" t="s">
        <v>180</v>
      </c>
      <c r="B186" t="s">
        <v>1639</v>
      </c>
    </row>
    <row r="187" spans="1:2">
      <c r="A187" t="s">
        <v>769</v>
      </c>
      <c r="B187" t="s">
        <v>1639</v>
      </c>
    </row>
    <row r="188" spans="1:2">
      <c r="A188" t="s">
        <v>668</v>
      </c>
      <c r="B188" t="s">
        <v>1639</v>
      </c>
    </row>
    <row r="189" spans="1:2">
      <c r="A189" t="s">
        <v>795</v>
      </c>
      <c r="B189" t="s">
        <v>1639</v>
      </c>
    </row>
    <row r="190" spans="1:2">
      <c r="A190" t="s">
        <v>779</v>
      </c>
      <c r="B190" t="s">
        <v>1639</v>
      </c>
    </row>
    <row r="191" spans="1:2">
      <c r="A191" t="s">
        <v>1687</v>
      </c>
      <c r="B191" t="s">
        <v>1639</v>
      </c>
    </row>
    <row r="192" spans="1:2">
      <c r="A192" t="s">
        <v>705</v>
      </c>
      <c r="B192" t="s">
        <v>1639</v>
      </c>
    </row>
    <row r="193" spans="1:2">
      <c r="A193" t="s">
        <v>883</v>
      </c>
      <c r="B193" t="s">
        <v>1639</v>
      </c>
    </row>
    <row r="194" spans="1:2">
      <c r="A194" t="s">
        <v>872</v>
      </c>
      <c r="B194" t="s">
        <v>1639</v>
      </c>
    </row>
    <row r="195" spans="1:2">
      <c r="A195" t="s">
        <v>715</v>
      </c>
      <c r="B195" t="s">
        <v>1639</v>
      </c>
    </row>
    <row r="196" spans="1:2">
      <c r="A196" t="s">
        <v>846</v>
      </c>
      <c r="B196" t="s">
        <v>1639</v>
      </c>
    </row>
    <row r="197" spans="1:2">
      <c r="A197" t="s">
        <v>289</v>
      </c>
      <c r="B197" t="s">
        <v>1639</v>
      </c>
    </row>
    <row r="198" spans="1:2">
      <c r="A198" t="s">
        <v>864</v>
      </c>
      <c r="B198" t="s">
        <v>1639</v>
      </c>
    </row>
    <row r="199" spans="1:2">
      <c r="A199" t="s">
        <v>174</v>
      </c>
      <c r="B199" t="s">
        <v>1639</v>
      </c>
    </row>
    <row r="200" spans="1:2">
      <c r="A200" t="s">
        <v>813</v>
      </c>
      <c r="B200" t="s">
        <v>1639</v>
      </c>
    </row>
    <row r="201" spans="1:2">
      <c r="A201" t="s">
        <v>933</v>
      </c>
      <c r="B201" t="s">
        <v>1639</v>
      </c>
    </row>
    <row r="202" spans="1:2">
      <c r="A202" t="s">
        <v>935</v>
      </c>
      <c r="B202" t="s">
        <v>1639</v>
      </c>
    </row>
    <row r="203" spans="1:2">
      <c r="A203" t="s">
        <v>602</v>
      </c>
      <c r="B203" t="s">
        <v>1639</v>
      </c>
    </row>
    <row r="204" spans="1:2">
      <c r="A204" t="s">
        <v>1688</v>
      </c>
      <c r="B204" t="s">
        <v>1639</v>
      </c>
    </row>
    <row r="205" spans="1:2">
      <c r="A205" t="s">
        <v>803</v>
      </c>
      <c r="B205" t="s">
        <v>1639</v>
      </c>
    </row>
    <row r="206" spans="1:2">
      <c r="A206" t="s">
        <v>1689</v>
      </c>
      <c r="B206" t="s">
        <v>1639</v>
      </c>
    </row>
    <row r="207" spans="1:2">
      <c r="A207" t="s">
        <v>1309</v>
      </c>
      <c r="B207" t="s">
        <v>1640</v>
      </c>
    </row>
    <row r="208" spans="1:2">
      <c r="A208" t="s">
        <v>1261</v>
      </c>
      <c r="B208" t="s">
        <v>1640</v>
      </c>
    </row>
    <row r="209" spans="1:2">
      <c r="A209" t="s">
        <v>1197</v>
      </c>
      <c r="B209" t="s">
        <v>1640</v>
      </c>
    </row>
    <row r="210" spans="1:2">
      <c r="A210" t="s">
        <v>1267</v>
      </c>
      <c r="B210" t="s">
        <v>1640</v>
      </c>
    </row>
    <row r="211" spans="1:2">
      <c r="A211" s="5" t="s">
        <v>1158</v>
      </c>
      <c r="B211" t="s">
        <v>1640</v>
      </c>
    </row>
    <row r="212" spans="1:2">
      <c r="A212" t="s">
        <v>1247</v>
      </c>
      <c r="B212" t="s">
        <v>1640</v>
      </c>
    </row>
    <row r="213" spans="1:2">
      <c r="A213" t="s">
        <v>990</v>
      </c>
      <c r="B213" t="s">
        <v>1640</v>
      </c>
    </row>
    <row r="214" spans="1:2">
      <c r="A214" t="s">
        <v>1228</v>
      </c>
      <c r="B214" t="s">
        <v>1640</v>
      </c>
    </row>
    <row r="215" spans="1:2">
      <c r="A215" t="s">
        <v>1167</v>
      </c>
      <c r="B215" t="s">
        <v>1640</v>
      </c>
    </row>
    <row r="216" spans="1:2">
      <c r="A216" t="s">
        <v>1235</v>
      </c>
      <c r="B216" t="s">
        <v>1640</v>
      </c>
    </row>
    <row r="217" spans="1:2">
      <c r="A217" t="s">
        <v>1218</v>
      </c>
      <c r="B217" t="s">
        <v>1640</v>
      </c>
    </row>
    <row r="218" spans="1:2">
      <c r="A218" t="s">
        <v>1263</v>
      </c>
      <c r="B218" t="s">
        <v>1640</v>
      </c>
    </row>
    <row r="219" spans="1:2">
      <c r="A219" t="s">
        <v>1250</v>
      </c>
      <c r="B219" t="s">
        <v>1640</v>
      </c>
    </row>
    <row r="220" spans="1:2">
      <c r="A220" t="s">
        <v>1210</v>
      </c>
      <c r="B220" t="s">
        <v>1640</v>
      </c>
    </row>
    <row r="221" spans="1:2">
      <c r="A221" t="s">
        <v>1009</v>
      </c>
      <c r="B221" t="s">
        <v>1640</v>
      </c>
    </row>
    <row r="222" spans="1:2">
      <c r="A222" t="s">
        <v>1139</v>
      </c>
      <c r="B222" t="s">
        <v>1640</v>
      </c>
    </row>
    <row r="223" spans="1:2">
      <c r="A223" t="s">
        <v>1117</v>
      </c>
      <c r="B223" t="s">
        <v>1640</v>
      </c>
    </row>
    <row r="224" spans="1:2">
      <c r="A224" t="s">
        <v>1690</v>
      </c>
      <c r="B224" t="s">
        <v>1640</v>
      </c>
    </row>
    <row r="225" spans="1:2">
      <c r="A225" t="s">
        <v>1691</v>
      </c>
      <c r="B225" t="s">
        <v>1640</v>
      </c>
    </row>
    <row r="226" spans="1:2">
      <c r="A226" t="s">
        <v>1154</v>
      </c>
      <c r="B226" t="s">
        <v>1640</v>
      </c>
    </row>
    <row r="227" spans="1:2">
      <c r="A227" t="s">
        <v>1099</v>
      </c>
      <c r="B227" t="s">
        <v>1640</v>
      </c>
    </row>
    <row r="228" spans="1:2">
      <c r="A228" t="s">
        <v>1224</v>
      </c>
      <c r="B228" t="s">
        <v>1640</v>
      </c>
    </row>
    <row r="229" spans="1:2">
      <c r="A229" t="s">
        <v>961</v>
      </c>
      <c r="B229" t="s">
        <v>1640</v>
      </c>
    </row>
    <row r="230" spans="1:2">
      <c r="A230" t="s">
        <v>1024</v>
      </c>
      <c r="B230" t="s">
        <v>1640</v>
      </c>
    </row>
    <row r="231" spans="1:2">
      <c r="A231" t="s">
        <v>1185</v>
      </c>
      <c r="B231" t="s">
        <v>1640</v>
      </c>
    </row>
    <row r="232" spans="1:2">
      <c r="A232" t="s">
        <v>1692</v>
      </c>
      <c r="B232" t="s">
        <v>1640</v>
      </c>
    </row>
    <row r="233" spans="1:2">
      <c r="A233" t="s">
        <v>1095</v>
      </c>
      <c r="B233" t="s">
        <v>1640</v>
      </c>
    </row>
    <row r="234" spans="1:2">
      <c r="A234" t="s">
        <v>982</v>
      </c>
      <c r="B234" t="s">
        <v>1640</v>
      </c>
    </row>
    <row r="235" spans="1:2">
      <c r="A235" t="s">
        <v>1111</v>
      </c>
      <c r="B235" t="s">
        <v>1640</v>
      </c>
    </row>
    <row r="236" spans="1:2">
      <c r="A236" t="s">
        <v>1295</v>
      </c>
      <c r="B236" t="s">
        <v>1640</v>
      </c>
    </row>
    <row r="237" spans="1:2">
      <c r="A237" t="s">
        <v>1208</v>
      </c>
      <c r="B237" t="s">
        <v>1640</v>
      </c>
    </row>
    <row r="238" spans="1:2">
      <c r="A238" t="s">
        <v>1107</v>
      </c>
      <c r="B238" t="s">
        <v>1640</v>
      </c>
    </row>
    <row r="239" spans="1:2">
      <c r="A239" t="s">
        <v>1693</v>
      </c>
      <c r="B239" t="s">
        <v>1640</v>
      </c>
    </row>
    <row r="240" spans="1:2">
      <c r="A240" t="s">
        <v>1071</v>
      </c>
      <c r="B240" t="s">
        <v>1640</v>
      </c>
    </row>
    <row r="241" spans="1:2">
      <c r="A241" t="s">
        <v>1694</v>
      </c>
      <c r="B241" t="s">
        <v>1640</v>
      </c>
    </row>
    <row r="242" spans="1:2">
      <c r="A242" t="s">
        <v>1189</v>
      </c>
      <c r="B242" t="s">
        <v>1640</v>
      </c>
    </row>
    <row r="243" spans="1:2">
      <c r="A243" t="s">
        <v>978</v>
      </c>
      <c r="B243" t="s">
        <v>1640</v>
      </c>
    </row>
    <row r="244" spans="1:2">
      <c r="A244" t="s">
        <v>1152</v>
      </c>
      <c r="B244" t="s">
        <v>1640</v>
      </c>
    </row>
    <row r="245" spans="1:2">
      <c r="A245" t="s">
        <v>1695</v>
      </c>
      <c r="B245" t="s">
        <v>1640</v>
      </c>
    </row>
    <row r="246" spans="1:2">
      <c r="A246" t="s">
        <v>1097</v>
      </c>
      <c r="B246" t="s">
        <v>1640</v>
      </c>
    </row>
    <row r="247" spans="1:2">
      <c r="A247" t="s">
        <v>1127</v>
      </c>
      <c r="B247" t="s">
        <v>1640</v>
      </c>
    </row>
    <row r="248" spans="1:2">
      <c r="A248" t="s">
        <v>1696</v>
      </c>
      <c r="B248" t="s">
        <v>1640</v>
      </c>
    </row>
    <row r="249" spans="1:2">
      <c r="A249" t="s">
        <v>1069</v>
      </c>
      <c r="B249" t="s">
        <v>1640</v>
      </c>
    </row>
    <row r="250" spans="1:2">
      <c r="A250" t="s">
        <v>980</v>
      </c>
      <c r="B250" t="s">
        <v>1640</v>
      </c>
    </row>
    <row r="251" spans="1:2">
      <c r="A251" t="s">
        <v>1103</v>
      </c>
      <c r="B251" t="s">
        <v>1640</v>
      </c>
    </row>
    <row r="252" spans="1:2">
      <c r="A252" t="s">
        <v>1026</v>
      </c>
      <c r="B252" t="s">
        <v>1640</v>
      </c>
    </row>
    <row r="253" spans="1:2">
      <c r="A253" t="s">
        <v>1697</v>
      </c>
      <c r="B253" t="s">
        <v>1640</v>
      </c>
    </row>
    <row r="254" spans="1:2">
      <c r="A254" t="s">
        <v>1698</v>
      </c>
      <c r="B254" t="s">
        <v>1640</v>
      </c>
    </row>
    <row r="255" spans="1:2">
      <c r="A255" t="s">
        <v>1016</v>
      </c>
      <c r="B255" t="s">
        <v>1640</v>
      </c>
    </row>
    <row r="256" spans="1:2">
      <c r="A256" t="s">
        <v>1237</v>
      </c>
      <c r="B256" t="s">
        <v>1640</v>
      </c>
    </row>
    <row r="257" spans="1:2">
      <c r="A257" t="s">
        <v>1020</v>
      </c>
      <c r="B257" t="s">
        <v>1640</v>
      </c>
    </row>
    <row r="258" spans="1:2">
      <c r="A258" t="s">
        <v>1699</v>
      </c>
      <c r="B258" t="s">
        <v>1640</v>
      </c>
    </row>
    <row r="259" spans="1:2">
      <c r="A259" t="s">
        <v>1081</v>
      </c>
      <c r="B259" t="s">
        <v>1640</v>
      </c>
    </row>
    <row r="260" spans="1:2">
      <c r="A260" t="s">
        <v>1135</v>
      </c>
      <c r="B260" t="s">
        <v>1640</v>
      </c>
    </row>
    <row r="261" spans="1:2">
      <c r="A261" t="s">
        <v>1700</v>
      </c>
      <c r="B261" t="s">
        <v>1640</v>
      </c>
    </row>
    <row r="262" spans="1:2">
      <c r="A262" t="s">
        <v>1701</v>
      </c>
      <c r="B262" t="s">
        <v>1640</v>
      </c>
    </row>
    <row r="263" spans="1:2">
      <c r="A263" t="s">
        <v>1287</v>
      </c>
      <c r="B263" t="s">
        <v>1640</v>
      </c>
    </row>
    <row r="264" spans="1:2">
      <c r="A264" t="s">
        <v>1702</v>
      </c>
      <c r="B264" t="s">
        <v>1640</v>
      </c>
    </row>
    <row r="265" spans="1:2">
      <c r="A265" t="s">
        <v>1011</v>
      </c>
      <c r="B265" t="s">
        <v>1640</v>
      </c>
    </row>
    <row r="266" spans="1:2">
      <c r="A266" t="s">
        <v>1703</v>
      </c>
      <c r="B266" t="s">
        <v>1640</v>
      </c>
    </row>
    <row r="267" spans="1:2">
      <c r="A267" t="s">
        <v>1022</v>
      </c>
      <c r="B267" t="s">
        <v>1640</v>
      </c>
    </row>
    <row r="268" spans="1:2">
      <c r="A268" t="s">
        <v>1704</v>
      </c>
      <c r="B268" t="s">
        <v>1640</v>
      </c>
    </row>
    <row r="269" spans="1:2">
      <c r="A269" t="s">
        <v>1083</v>
      </c>
      <c r="B269" t="s">
        <v>1640</v>
      </c>
    </row>
    <row r="270" spans="1:2">
      <c r="A270" t="s">
        <v>1191</v>
      </c>
      <c r="B270" t="s">
        <v>1640</v>
      </c>
    </row>
    <row r="271" spans="1:2">
      <c r="A271" t="s">
        <v>1705</v>
      </c>
      <c r="B271" t="s">
        <v>1640</v>
      </c>
    </row>
    <row r="272" spans="1:2">
      <c r="A272" t="s">
        <v>1706</v>
      </c>
      <c r="B272" t="s">
        <v>1640</v>
      </c>
    </row>
    <row r="273" spans="1:2">
      <c r="A273" t="s">
        <v>1707</v>
      </c>
      <c r="B273" t="s">
        <v>1640</v>
      </c>
    </row>
    <row r="274" spans="1:2">
      <c r="A274" t="s">
        <v>984</v>
      </c>
      <c r="B274" t="s">
        <v>1640</v>
      </c>
    </row>
    <row r="275" spans="1:2">
      <c r="A275" t="s">
        <v>974</v>
      </c>
      <c r="B275" t="s">
        <v>1640</v>
      </c>
    </row>
    <row r="276" spans="1:2">
      <c r="A276" s="5" t="s">
        <v>1282</v>
      </c>
      <c r="B276" t="s">
        <v>1640</v>
      </c>
    </row>
    <row r="277" spans="1:2">
      <c r="A277" t="s">
        <v>1708</v>
      </c>
      <c r="B277" t="s">
        <v>1640</v>
      </c>
    </row>
    <row r="278" spans="1:2">
      <c r="A278" t="s">
        <v>1115</v>
      </c>
      <c r="B278" t="s">
        <v>1640</v>
      </c>
    </row>
    <row r="279" spans="1:2">
      <c r="A279" t="s">
        <v>1709</v>
      </c>
      <c r="B279" t="s">
        <v>1640</v>
      </c>
    </row>
    <row r="280" spans="1:2">
      <c r="A280" t="s">
        <v>1077</v>
      </c>
      <c r="B280" t="s">
        <v>1640</v>
      </c>
    </row>
    <row r="281" spans="1:2">
      <c r="A281" t="s">
        <v>1710</v>
      </c>
      <c r="B281" t="s">
        <v>1640</v>
      </c>
    </row>
    <row r="282" spans="1:2">
      <c r="A282" t="s">
        <v>1711</v>
      </c>
      <c r="B282" t="s">
        <v>1640</v>
      </c>
    </row>
    <row r="283" spans="1:2">
      <c r="A283" t="s">
        <v>1712</v>
      </c>
      <c r="B283" t="s">
        <v>1640</v>
      </c>
    </row>
    <row r="284" spans="1:2">
      <c r="A284" t="s">
        <v>1183</v>
      </c>
      <c r="B284" t="s">
        <v>1640</v>
      </c>
    </row>
    <row r="285" spans="1:2">
      <c r="A285" t="s">
        <v>1713</v>
      </c>
      <c r="B285" t="s">
        <v>1640</v>
      </c>
    </row>
    <row r="286" spans="1:2">
      <c r="A286" t="s">
        <v>1054</v>
      </c>
      <c r="B286" t="s">
        <v>1640</v>
      </c>
    </row>
    <row r="287" spans="1:2">
      <c r="A287" t="s">
        <v>1125</v>
      </c>
      <c r="B287" t="s">
        <v>1640</v>
      </c>
    </row>
    <row r="288" spans="1:2">
      <c r="A288" t="s">
        <v>1181</v>
      </c>
      <c r="B288" t="s">
        <v>1640</v>
      </c>
    </row>
    <row r="289" spans="1:2">
      <c r="A289" t="s">
        <v>994</v>
      </c>
      <c r="B289" t="s">
        <v>1640</v>
      </c>
    </row>
    <row r="290" spans="1:2">
      <c r="A290" t="s">
        <v>999</v>
      </c>
      <c r="B290" t="s">
        <v>1640</v>
      </c>
    </row>
    <row r="291" spans="1:2">
      <c r="A291" t="s">
        <v>1265</v>
      </c>
      <c r="B291" t="s">
        <v>1640</v>
      </c>
    </row>
    <row r="292" spans="1:2">
      <c r="A292" t="s">
        <v>1212</v>
      </c>
      <c r="B292" t="s">
        <v>1640</v>
      </c>
    </row>
    <row r="293" spans="1:2">
      <c r="A293" t="s">
        <v>1714</v>
      </c>
      <c r="B293" t="s">
        <v>1640</v>
      </c>
    </row>
    <row r="294" spans="1:2">
      <c r="A294" t="s">
        <v>1715</v>
      </c>
      <c r="B294" t="s">
        <v>1640</v>
      </c>
    </row>
    <row r="295" spans="1:2">
      <c r="A295" t="s">
        <v>1121</v>
      </c>
      <c r="B295" t="s">
        <v>1640</v>
      </c>
    </row>
    <row r="296" spans="1:2">
      <c r="A296" t="s">
        <v>1716</v>
      </c>
      <c r="B296" t="s">
        <v>1640</v>
      </c>
    </row>
    <row r="297" spans="1:2">
      <c r="A297" t="s">
        <v>1062</v>
      </c>
      <c r="B297" t="s">
        <v>1640</v>
      </c>
    </row>
    <row r="298" spans="1:2">
      <c r="A298" t="s">
        <v>1032</v>
      </c>
      <c r="B298" t="s">
        <v>1640</v>
      </c>
    </row>
    <row r="299" spans="1:2">
      <c r="A299" t="s">
        <v>1093</v>
      </c>
      <c r="B299" t="s">
        <v>1640</v>
      </c>
    </row>
    <row r="300" spans="1:2">
      <c r="A300" t="s">
        <v>1109</v>
      </c>
      <c r="B300" t="s">
        <v>1640</v>
      </c>
    </row>
    <row r="301" spans="1:2">
      <c r="A301" t="s">
        <v>1148</v>
      </c>
      <c r="B301" t="s">
        <v>1640</v>
      </c>
    </row>
    <row r="302" spans="1:2">
      <c r="A302" t="s">
        <v>1087</v>
      </c>
      <c r="B302" t="s">
        <v>1640</v>
      </c>
    </row>
    <row r="303" spans="1:2">
      <c r="A303" t="s">
        <v>1269</v>
      </c>
      <c r="B303" t="s">
        <v>1640</v>
      </c>
    </row>
    <row r="304" spans="1:2">
      <c r="A304" t="s">
        <v>1137</v>
      </c>
      <c r="B304" t="s">
        <v>1640</v>
      </c>
    </row>
    <row r="305" spans="1:2">
      <c r="A305" t="s">
        <v>1717</v>
      </c>
      <c r="B305" t="s">
        <v>1640</v>
      </c>
    </row>
    <row r="306" spans="1:2">
      <c r="A306" t="s">
        <v>1279</v>
      </c>
      <c r="B306" t="s">
        <v>1640</v>
      </c>
    </row>
    <row r="307" spans="1:2">
      <c r="A307" s="5" t="s">
        <v>1150</v>
      </c>
      <c r="B307" t="s">
        <v>1640</v>
      </c>
    </row>
    <row r="308" spans="1:2">
      <c r="A308" t="s">
        <v>1220</v>
      </c>
      <c r="B308" t="s">
        <v>1640</v>
      </c>
    </row>
    <row r="309" spans="1:2">
      <c r="A309" t="s">
        <v>986</v>
      </c>
      <c r="B309" t="s">
        <v>1640</v>
      </c>
    </row>
    <row r="310" spans="1:2">
      <c r="A310" t="s">
        <v>1003</v>
      </c>
      <c r="B310" t="s">
        <v>1640</v>
      </c>
    </row>
    <row r="311" spans="1:2">
      <c r="A311" t="s">
        <v>1718</v>
      </c>
      <c r="B311" t="s">
        <v>1640</v>
      </c>
    </row>
    <row r="312" spans="1:2">
      <c r="A312" t="s">
        <v>1285</v>
      </c>
      <c r="B312" t="s">
        <v>1640</v>
      </c>
    </row>
    <row r="313" spans="1:2">
      <c r="A313" t="s">
        <v>1146</v>
      </c>
      <c r="B313" t="s">
        <v>1640</v>
      </c>
    </row>
    <row r="314" spans="1:2">
      <c r="A314" t="s">
        <v>1276</v>
      </c>
      <c r="B314" t="s">
        <v>1640</v>
      </c>
    </row>
    <row r="315" spans="1:2">
      <c r="A315" t="s">
        <v>1193</v>
      </c>
      <c r="B315" t="s">
        <v>1640</v>
      </c>
    </row>
    <row r="316" spans="1:2">
      <c r="A316" t="s">
        <v>1169</v>
      </c>
      <c r="B316" t="s">
        <v>1640</v>
      </c>
    </row>
    <row r="317" spans="1:2">
      <c r="A317" t="s">
        <v>1241</v>
      </c>
      <c r="B317" t="s">
        <v>1640</v>
      </c>
    </row>
    <row r="318" spans="1:2">
      <c r="A318" t="s">
        <v>1177</v>
      </c>
      <c r="B318" t="s">
        <v>1640</v>
      </c>
    </row>
    <row r="319" spans="1:2">
      <c r="A319" t="s">
        <v>1119</v>
      </c>
      <c r="B319" t="s">
        <v>1640</v>
      </c>
    </row>
    <row r="320" spans="1:2">
      <c r="A320" t="s">
        <v>1162</v>
      </c>
      <c r="B320" t="s">
        <v>1640</v>
      </c>
    </row>
    <row r="321" spans="1:2">
      <c r="A321" t="s">
        <v>1018</v>
      </c>
      <c r="B321" t="s">
        <v>1640</v>
      </c>
    </row>
    <row r="322" spans="1:2">
      <c r="A322" t="s">
        <v>1305</v>
      </c>
      <c r="B322" t="s">
        <v>1640</v>
      </c>
    </row>
    <row r="323" spans="1:2">
      <c r="A323" t="s">
        <v>1089</v>
      </c>
      <c r="B323" t="s">
        <v>1640</v>
      </c>
    </row>
    <row r="324" spans="1:2">
      <c r="A324" t="s">
        <v>1030</v>
      </c>
      <c r="B324" t="s">
        <v>1640</v>
      </c>
    </row>
    <row r="325" spans="1:2">
      <c r="A325" t="s">
        <v>1079</v>
      </c>
      <c r="B325" t="s">
        <v>1640</v>
      </c>
    </row>
    <row r="326" spans="1:2">
      <c r="A326" t="s">
        <v>1165</v>
      </c>
      <c r="B326" t="s">
        <v>1640</v>
      </c>
    </row>
    <row r="327" spans="1:2">
      <c r="A327" t="s">
        <v>1300</v>
      </c>
      <c r="B327" t="s">
        <v>1640</v>
      </c>
    </row>
    <row r="328" spans="1:2">
      <c r="A328" t="s">
        <v>1298</v>
      </c>
      <c r="B328" t="s">
        <v>1640</v>
      </c>
    </row>
    <row r="329" spans="1:2">
      <c r="A329" t="s">
        <v>1719</v>
      </c>
      <c r="B329" t="s">
        <v>1640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H430" zoomScale="85" zoomScaleNormal="85" workbookViewId="0">
      <selection activeCell="Z438" sqref="Z438"/>
    </sheetView>
  </sheetViews>
  <sheetFormatPr defaultRowHeight="15"/>
  <cols>
    <col min="1" max="25" width="11.85546875" customWidth="1"/>
    <col min="26" max="26" width="12.7109375" customWidth="1"/>
    <col min="27" max="27" width="10.14062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1.28515625" customWidth="1"/>
  </cols>
  <sheetData>
    <row r="1" spans="1:36" hidden="1">
      <c r="A1" s="37" t="s">
        <v>7</v>
      </c>
      <c r="B1" s="37" t="s">
        <v>1720</v>
      </c>
      <c r="C1" s="37" t="s">
        <v>1721</v>
      </c>
      <c r="D1" s="37" t="s">
        <v>1722</v>
      </c>
      <c r="E1" s="37" t="s">
        <v>1723</v>
      </c>
      <c r="F1" s="37" t="s">
        <v>1724</v>
      </c>
      <c r="G1" s="37" t="s">
        <v>1725</v>
      </c>
      <c r="H1" s="37" t="s">
        <v>1726</v>
      </c>
      <c r="I1" s="37" t="s">
        <v>1727</v>
      </c>
      <c r="J1" s="37" t="s">
        <v>1728</v>
      </c>
      <c r="K1" s="37" t="s">
        <v>1729</v>
      </c>
      <c r="L1" s="37" t="s">
        <v>1730</v>
      </c>
      <c r="M1" s="37" t="s">
        <v>1731</v>
      </c>
      <c r="N1" s="37" t="s">
        <v>1732</v>
      </c>
      <c r="O1" s="37" t="s">
        <v>1733</v>
      </c>
      <c r="P1" s="37" t="s">
        <v>1734</v>
      </c>
      <c r="Q1" s="37" t="s">
        <v>1735</v>
      </c>
      <c r="R1" s="37" t="s">
        <v>1736</v>
      </c>
      <c r="S1" s="37" t="s">
        <v>1737</v>
      </c>
      <c r="T1" s="37" t="s">
        <v>1738</v>
      </c>
      <c r="U1" s="37" t="s">
        <v>1739</v>
      </c>
      <c r="V1" s="37" t="s">
        <v>1740</v>
      </c>
      <c r="W1" s="37" t="s">
        <v>1741</v>
      </c>
      <c r="X1" s="37" t="s">
        <v>1742</v>
      </c>
      <c r="Y1" s="37" t="s">
        <v>1743</v>
      </c>
      <c r="Z1" s="37" t="s">
        <v>1744</v>
      </c>
      <c r="AA1" s="37" t="s">
        <v>1745</v>
      </c>
      <c r="AD1" s="114" t="s">
        <v>1647</v>
      </c>
      <c r="AE1" s="37" t="s">
        <v>1746</v>
      </c>
      <c r="AF1" s="37" t="s">
        <v>1747</v>
      </c>
      <c r="AG1" s="37" t="s">
        <v>1748</v>
      </c>
      <c r="AH1" s="37" t="s">
        <v>1749</v>
      </c>
      <c r="AI1" s="37" t="s">
        <v>1750</v>
      </c>
      <c r="AJ1" s="37" t="s">
        <v>1751</v>
      </c>
    </row>
    <row r="2" spans="1:36" hidden="1">
      <c r="A2" s="38" t="s">
        <v>775</v>
      </c>
      <c r="B2" s="38">
        <v>3591</v>
      </c>
      <c r="C2" s="38">
        <v>5033</v>
      </c>
      <c r="D2" s="38">
        <v>3472</v>
      </c>
      <c r="E2" s="38">
        <v>6534</v>
      </c>
      <c r="F2" s="38">
        <v>5480</v>
      </c>
      <c r="G2" s="38">
        <v>4553</v>
      </c>
      <c r="H2" s="38">
        <v>15646</v>
      </c>
      <c r="I2" s="38">
        <v>5423</v>
      </c>
      <c r="J2" s="38">
        <v>4135</v>
      </c>
      <c r="K2">
        <v>3762</v>
      </c>
      <c r="L2">
        <v>3361</v>
      </c>
      <c r="M2">
        <v>2925</v>
      </c>
      <c r="N2">
        <v>5767</v>
      </c>
      <c r="O2">
        <v>830</v>
      </c>
      <c r="P2">
        <v>949</v>
      </c>
      <c r="Q2">
        <v>615</v>
      </c>
      <c r="R2">
        <v>1182</v>
      </c>
      <c r="S2">
        <v>1059</v>
      </c>
      <c r="T2">
        <v>868</v>
      </c>
      <c r="U2">
        <v>1282</v>
      </c>
      <c r="V2">
        <v>1003</v>
      </c>
      <c r="W2">
        <v>775</v>
      </c>
      <c r="X2">
        <v>791</v>
      </c>
      <c r="Y2">
        <v>762</v>
      </c>
      <c r="Z2">
        <v>607</v>
      </c>
      <c r="AA2">
        <v>836</v>
      </c>
      <c r="AD2" t="s">
        <v>27</v>
      </c>
      <c r="AE2" s="27">
        <v>67399</v>
      </c>
      <c r="AF2">
        <v>297250</v>
      </c>
      <c r="AG2">
        <v>63452</v>
      </c>
      <c r="AH2">
        <v>220366</v>
      </c>
    </row>
    <row r="3" spans="1:36" hidden="1">
      <c r="A3" s="38" t="s">
        <v>24</v>
      </c>
      <c r="B3" s="38">
        <v>1487</v>
      </c>
      <c r="C3" s="38">
        <v>1490</v>
      </c>
      <c r="D3" s="38">
        <v>1213</v>
      </c>
      <c r="E3" s="38">
        <v>1477</v>
      </c>
      <c r="F3" s="38">
        <v>1181</v>
      </c>
      <c r="G3" s="38">
        <v>1914</v>
      </c>
      <c r="H3" s="38">
        <v>1610</v>
      </c>
      <c r="I3" s="38">
        <v>1971</v>
      </c>
      <c r="J3" s="38">
        <v>3959</v>
      </c>
      <c r="K3">
        <v>1873</v>
      </c>
      <c r="L3">
        <v>556</v>
      </c>
      <c r="M3">
        <v>3789</v>
      </c>
      <c r="N3">
        <v>7411</v>
      </c>
      <c r="O3">
        <v>368</v>
      </c>
      <c r="P3">
        <v>393</v>
      </c>
      <c r="Q3">
        <v>316</v>
      </c>
      <c r="R3">
        <v>369</v>
      </c>
      <c r="S3">
        <v>352</v>
      </c>
      <c r="T3">
        <v>508</v>
      </c>
      <c r="U3">
        <v>475</v>
      </c>
      <c r="V3">
        <v>519</v>
      </c>
      <c r="W3">
        <v>1081</v>
      </c>
      <c r="X3">
        <v>483</v>
      </c>
      <c r="Y3">
        <v>156</v>
      </c>
      <c r="Z3">
        <v>1067</v>
      </c>
      <c r="AA3">
        <v>1424</v>
      </c>
      <c r="AD3" t="s">
        <v>381</v>
      </c>
      <c r="AE3" s="27">
        <v>4822</v>
      </c>
      <c r="AF3">
        <v>29959</v>
      </c>
      <c r="AG3">
        <v>4146</v>
      </c>
      <c r="AH3">
        <v>24385</v>
      </c>
    </row>
    <row r="4" spans="1:36" hidden="1">
      <c r="A4" s="38" t="s">
        <v>935</v>
      </c>
      <c r="B4" s="38">
        <v>16658</v>
      </c>
      <c r="C4" s="38">
        <v>30899</v>
      </c>
      <c r="D4" s="38">
        <v>78885</v>
      </c>
      <c r="E4" s="38">
        <v>85527</v>
      </c>
      <c r="F4" s="38">
        <v>47308</v>
      </c>
      <c r="G4" s="38">
        <v>81411</v>
      </c>
      <c r="H4" s="38">
        <v>35571</v>
      </c>
      <c r="I4" s="38">
        <v>48721</v>
      </c>
      <c r="J4" s="38">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877</v>
      </c>
      <c r="AE4" s="27">
        <v>10249</v>
      </c>
      <c r="AF4">
        <v>30497</v>
      </c>
      <c r="AG4">
        <v>11317</v>
      </c>
      <c r="AH4">
        <v>40299</v>
      </c>
    </row>
    <row r="5" spans="1:36" hidden="1">
      <c r="A5" s="38" t="s">
        <v>1032</v>
      </c>
      <c r="B5" s="38">
        <v>1398</v>
      </c>
      <c r="C5" s="38">
        <v>1450</v>
      </c>
      <c r="D5" s="38">
        <v>1595</v>
      </c>
      <c r="E5" s="38">
        <v>1135</v>
      </c>
      <c r="F5" s="38">
        <v>997</v>
      </c>
      <c r="G5" s="38">
        <v>1326</v>
      </c>
      <c r="H5" s="38">
        <v>1041</v>
      </c>
      <c r="I5" s="38">
        <v>798</v>
      </c>
      <c r="J5" s="38">
        <v>627</v>
      </c>
      <c r="K5">
        <v>744</v>
      </c>
      <c r="L5">
        <v>533</v>
      </c>
      <c r="M5">
        <v>695</v>
      </c>
      <c r="N5">
        <v>1260</v>
      </c>
      <c r="O5">
        <v>273</v>
      </c>
      <c r="P5">
        <v>281</v>
      </c>
      <c r="Q5">
        <v>271</v>
      </c>
      <c r="R5">
        <v>250</v>
      </c>
      <c r="S5">
        <v>231</v>
      </c>
      <c r="T5">
        <v>274</v>
      </c>
      <c r="U5">
        <v>238</v>
      </c>
      <c r="V5">
        <v>252</v>
      </c>
      <c r="W5">
        <v>168</v>
      </c>
      <c r="X5">
        <v>283</v>
      </c>
      <c r="Y5">
        <v>170</v>
      </c>
      <c r="Z5">
        <v>162</v>
      </c>
      <c r="AA5">
        <v>272</v>
      </c>
      <c r="AD5" t="s">
        <v>151</v>
      </c>
      <c r="AE5" s="27">
        <v>26241</v>
      </c>
      <c r="AF5">
        <v>119613</v>
      </c>
      <c r="AG5">
        <v>21449</v>
      </c>
      <c r="AH5">
        <v>89404</v>
      </c>
    </row>
    <row r="6" spans="1:36" hidden="1">
      <c r="A6" s="38" t="s">
        <v>47</v>
      </c>
      <c r="B6" s="38">
        <v>3844</v>
      </c>
      <c r="C6" s="38">
        <v>4014</v>
      </c>
      <c r="D6" s="38">
        <v>4538</v>
      </c>
      <c r="E6" s="38">
        <v>5254</v>
      </c>
      <c r="F6" s="38">
        <v>4263</v>
      </c>
      <c r="G6" s="38">
        <v>2871</v>
      </c>
      <c r="H6" s="38">
        <v>5344</v>
      </c>
      <c r="I6" s="38">
        <v>3059</v>
      </c>
      <c r="J6" s="38">
        <v>3399</v>
      </c>
      <c r="K6">
        <v>3929</v>
      </c>
      <c r="L6">
        <v>4007</v>
      </c>
      <c r="M6">
        <v>4426</v>
      </c>
      <c r="N6">
        <v>4126</v>
      </c>
      <c r="O6">
        <v>967</v>
      </c>
      <c r="P6">
        <v>1074</v>
      </c>
      <c r="Q6">
        <v>966</v>
      </c>
      <c r="R6">
        <v>1242</v>
      </c>
      <c r="S6">
        <v>1147</v>
      </c>
      <c r="T6">
        <v>881</v>
      </c>
      <c r="U6">
        <v>878</v>
      </c>
      <c r="V6">
        <v>833</v>
      </c>
      <c r="W6">
        <v>864</v>
      </c>
      <c r="X6">
        <v>995</v>
      </c>
      <c r="Y6">
        <v>1181</v>
      </c>
      <c r="Z6">
        <v>1259</v>
      </c>
      <c r="AA6">
        <v>1148</v>
      </c>
      <c r="AD6" t="s">
        <v>33</v>
      </c>
      <c r="AE6" s="27">
        <v>20605</v>
      </c>
      <c r="AF6">
        <v>87723</v>
      </c>
      <c r="AG6">
        <v>17467</v>
      </c>
      <c r="AH6">
        <v>88572</v>
      </c>
    </row>
    <row r="7" spans="1:36" hidden="1">
      <c r="A7" s="38" t="s">
        <v>244</v>
      </c>
      <c r="B7" s="38">
        <v>5966</v>
      </c>
      <c r="C7" s="38">
        <v>5536</v>
      </c>
      <c r="D7" s="38">
        <v>4172</v>
      </c>
      <c r="E7" s="38">
        <v>4356</v>
      </c>
      <c r="F7" s="38">
        <v>3592</v>
      </c>
      <c r="G7" s="38">
        <v>3729</v>
      </c>
      <c r="H7" s="38">
        <v>4120</v>
      </c>
      <c r="I7" s="38">
        <v>3692</v>
      </c>
      <c r="J7" s="38">
        <v>4656</v>
      </c>
      <c r="K7">
        <v>4414</v>
      </c>
      <c r="L7">
        <v>4545</v>
      </c>
      <c r="M7">
        <v>4562</v>
      </c>
      <c r="N7">
        <v>4126</v>
      </c>
      <c r="O7">
        <v>1085</v>
      </c>
      <c r="P7">
        <v>973</v>
      </c>
      <c r="Q7">
        <v>761</v>
      </c>
      <c r="R7">
        <v>844</v>
      </c>
      <c r="S7">
        <v>776</v>
      </c>
      <c r="T7">
        <v>736</v>
      </c>
      <c r="U7">
        <v>760</v>
      </c>
      <c r="V7">
        <v>886</v>
      </c>
      <c r="W7">
        <v>993</v>
      </c>
      <c r="X7">
        <v>938</v>
      </c>
      <c r="Y7">
        <v>1001</v>
      </c>
      <c r="Z7">
        <v>987</v>
      </c>
      <c r="AA7">
        <v>926</v>
      </c>
      <c r="AD7" t="s">
        <v>676</v>
      </c>
      <c r="AE7" s="27">
        <v>6929</v>
      </c>
      <c r="AF7">
        <v>20535</v>
      </c>
      <c r="AG7">
        <v>6853</v>
      </c>
      <c r="AH7">
        <v>20846</v>
      </c>
    </row>
    <row r="8" spans="1:36" hidden="1">
      <c r="A8" s="38" t="s">
        <v>443</v>
      </c>
      <c r="B8" s="38">
        <v>1688</v>
      </c>
      <c r="C8" s="38">
        <v>1592</v>
      </c>
      <c r="D8" s="38">
        <v>1521</v>
      </c>
      <c r="E8" s="38">
        <v>1648</v>
      </c>
      <c r="F8" s="38">
        <v>1746</v>
      </c>
      <c r="G8" s="38">
        <v>1535</v>
      </c>
      <c r="H8" s="38">
        <v>1551</v>
      </c>
      <c r="I8" s="38">
        <v>1971</v>
      </c>
      <c r="J8" s="38">
        <v>2343</v>
      </c>
      <c r="K8">
        <v>2362</v>
      </c>
      <c r="L8">
        <v>1558</v>
      </c>
      <c r="M8">
        <v>1189</v>
      </c>
      <c r="N8">
        <v>4102</v>
      </c>
      <c r="O8">
        <v>348</v>
      </c>
      <c r="P8">
        <v>338</v>
      </c>
      <c r="Q8">
        <v>372</v>
      </c>
      <c r="R8">
        <v>366</v>
      </c>
      <c r="S8">
        <v>403</v>
      </c>
      <c r="T8">
        <v>328</v>
      </c>
      <c r="U8">
        <v>379</v>
      </c>
      <c r="V8">
        <v>466</v>
      </c>
      <c r="W8">
        <v>504</v>
      </c>
      <c r="X8">
        <v>536</v>
      </c>
      <c r="Y8">
        <v>430</v>
      </c>
      <c r="Z8">
        <v>296</v>
      </c>
      <c r="AA8">
        <v>553</v>
      </c>
      <c r="AD8" t="s">
        <v>517</v>
      </c>
      <c r="AE8" s="27">
        <v>2129</v>
      </c>
      <c r="AF8">
        <v>8488</v>
      </c>
      <c r="AG8">
        <v>2143</v>
      </c>
      <c r="AH8">
        <v>9087</v>
      </c>
    </row>
    <row r="9" spans="1:36" hidden="1">
      <c r="A9" s="38" t="s">
        <v>811</v>
      </c>
      <c r="B9" s="38">
        <v>2241</v>
      </c>
      <c r="C9" s="38">
        <v>2869</v>
      </c>
      <c r="D9" s="38">
        <v>2475</v>
      </c>
      <c r="E9" s="38">
        <v>2346</v>
      </c>
      <c r="F9" s="38">
        <v>2356</v>
      </c>
      <c r="G9" s="38">
        <v>2232</v>
      </c>
      <c r="H9" s="38">
        <v>2382</v>
      </c>
      <c r="I9" s="38">
        <v>2655</v>
      </c>
      <c r="J9" s="38">
        <v>2719</v>
      </c>
      <c r="K9">
        <v>3108</v>
      </c>
      <c r="L9">
        <v>2807</v>
      </c>
      <c r="M9">
        <v>2079</v>
      </c>
      <c r="N9">
        <v>4200</v>
      </c>
      <c r="O9">
        <v>822</v>
      </c>
      <c r="P9">
        <v>840</v>
      </c>
      <c r="Q9">
        <v>824</v>
      </c>
      <c r="R9">
        <v>668</v>
      </c>
      <c r="S9">
        <v>697</v>
      </c>
      <c r="T9">
        <v>695</v>
      </c>
      <c r="U9">
        <v>718</v>
      </c>
      <c r="V9">
        <v>757</v>
      </c>
      <c r="W9">
        <v>905</v>
      </c>
      <c r="X9">
        <v>998</v>
      </c>
      <c r="Y9">
        <v>1037</v>
      </c>
      <c r="Z9">
        <v>703</v>
      </c>
      <c r="AA9">
        <v>1185</v>
      </c>
      <c r="AD9" t="s">
        <v>96</v>
      </c>
      <c r="AE9" s="27">
        <v>11862</v>
      </c>
      <c r="AF9">
        <v>26335</v>
      </c>
      <c r="AG9">
        <v>11360</v>
      </c>
      <c r="AH9">
        <v>25016</v>
      </c>
    </row>
    <row r="10" spans="1:36" hidden="1">
      <c r="A10" s="38" t="s">
        <v>901</v>
      </c>
      <c r="B10" s="38">
        <v>4923</v>
      </c>
      <c r="C10" s="38">
        <v>5641</v>
      </c>
      <c r="D10" s="38">
        <v>4456</v>
      </c>
      <c r="E10" s="38">
        <v>4936</v>
      </c>
      <c r="F10" s="38">
        <v>5716</v>
      </c>
      <c r="G10" s="38">
        <v>6278</v>
      </c>
      <c r="H10" s="38">
        <v>5569</v>
      </c>
      <c r="I10" s="38">
        <v>5685</v>
      </c>
      <c r="J10" s="38">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244</v>
      </c>
      <c r="AE10" s="27">
        <v>4129</v>
      </c>
      <c r="AF10">
        <v>18813</v>
      </c>
      <c r="AG10">
        <v>5345</v>
      </c>
      <c r="AH10">
        <v>22943</v>
      </c>
    </row>
    <row r="11" spans="1:36" hidden="1">
      <c r="A11" s="38" t="s">
        <v>765</v>
      </c>
      <c r="B11" s="38">
        <v>861</v>
      </c>
      <c r="C11" s="38">
        <v>747</v>
      </c>
      <c r="D11" s="38">
        <v>763</v>
      </c>
      <c r="E11" s="38">
        <v>879</v>
      </c>
      <c r="F11" s="38">
        <v>857</v>
      </c>
      <c r="G11" s="38">
        <v>797</v>
      </c>
      <c r="H11" s="38">
        <v>772</v>
      </c>
      <c r="I11" s="38">
        <v>826</v>
      </c>
      <c r="J11" s="38">
        <v>821</v>
      </c>
      <c r="K11">
        <v>798</v>
      </c>
      <c r="L11">
        <v>649</v>
      </c>
      <c r="M11">
        <v>650</v>
      </c>
      <c r="N11">
        <v>1190</v>
      </c>
      <c r="O11">
        <v>171</v>
      </c>
      <c r="P11">
        <v>137</v>
      </c>
      <c r="Q11">
        <v>126</v>
      </c>
      <c r="R11">
        <v>178</v>
      </c>
      <c r="S11">
        <v>171</v>
      </c>
      <c r="T11">
        <v>179</v>
      </c>
      <c r="U11">
        <v>173</v>
      </c>
      <c r="V11">
        <v>174</v>
      </c>
      <c r="W11">
        <v>205</v>
      </c>
      <c r="X11">
        <v>189</v>
      </c>
      <c r="Y11">
        <v>180</v>
      </c>
      <c r="Z11">
        <v>152</v>
      </c>
      <c r="AA11">
        <v>228</v>
      </c>
      <c r="AD11" t="s">
        <v>935</v>
      </c>
      <c r="AE11" s="27">
        <v>25786</v>
      </c>
      <c r="AF11">
        <v>115850</v>
      </c>
      <c r="AG11">
        <v>23841</v>
      </c>
      <c r="AH11">
        <v>98104</v>
      </c>
    </row>
    <row r="12" spans="1:36" hidden="1">
      <c r="A12" s="38" t="s">
        <v>1247</v>
      </c>
      <c r="B12" s="38">
        <v>4756</v>
      </c>
      <c r="C12" s="38">
        <v>4401</v>
      </c>
      <c r="D12" s="38">
        <v>3375</v>
      </c>
      <c r="E12" s="38">
        <v>2711</v>
      </c>
      <c r="F12" s="38">
        <v>2154</v>
      </c>
      <c r="G12" s="38">
        <v>2492</v>
      </c>
      <c r="H12" s="38">
        <v>2441</v>
      </c>
      <c r="I12" s="38">
        <v>2387</v>
      </c>
      <c r="J12" s="38">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57</v>
      </c>
      <c r="AE12" s="27">
        <v>4818</v>
      </c>
      <c r="AF12">
        <v>12139</v>
      </c>
      <c r="AG12">
        <v>3375</v>
      </c>
      <c r="AH12">
        <v>8797</v>
      </c>
    </row>
    <row r="13" spans="1:36" hidden="1">
      <c r="A13" s="38" t="s">
        <v>1087</v>
      </c>
      <c r="B13" s="38">
        <v>532</v>
      </c>
      <c r="C13" s="38">
        <v>765</v>
      </c>
      <c r="D13" s="38">
        <v>1661</v>
      </c>
      <c r="E13" s="38">
        <v>674</v>
      </c>
      <c r="F13" s="38">
        <v>684</v>
      </c>
      <c r="G13" s="38">
        <v>1793</v>
      </c>
      <c r="H13" s="38">
        <v>963</v>
      </c>
      <c r="I13" s="38">
        <v>922</v>
      </c>
      <c r="J13" s="38">
        <v>637</v>
      </c>
      <c r="K13">
        <v>525</v>
      </c>
      <c r="L13">
        <v>470</v>
      </c>
      <c r="M13">
        <v>483</v>
      </c>
      <c r="N13">
        <v>494</v>
      </c>
      <c r="O13">
        <v>129</v>
      </c>
      <c r="P13">
        <v>168</v>
      </c>
      <c r="Q13">
        <v>265</v>
      </c>
      <c r="R13">
        <v>169</v>
      </c>
      <c r="S13">
        <v>145</v>
      </c>
      <c r="T13">
        <v>303</v>
      </c>
      <c r="U13">
        <v>216</v>
      </c>
      <c r="V13">
        <v>240</v>
      </c>
      <c r="W13">
        <v>174</v>
      </c>
      <c r="X13">
        <v>192</v>
      </c>
      <c r="Y13">
        <v>153</v>
      </c>
      <c r="Z13">
        <v>152</v>
      </c>
      <c r="AA13">
        <v>143</v>
      </c>
      <c r="AD13" t="s">
        <v>811</v>
      </c>
      <c r="AE13" s="27">
        <v>3732</v>
      </c>
      <c r="AF13">
        <v>12113</v>
      </c>
      <c r="AG13">
        <v>3441</v>
      </c>
      <c r="AH13">
        <v>11479</v>
      </c>
    </row>
    <row r="14" spans="1:36" hidden="1">
      <c r="A14" s="38" t="s">
        <v>220</v>
      </c>
      <c r="B14" s="38">
        <v>1912</v>
      </c>
      <c r="C14" s="38">
        <v>1956</v>
      </c>
      <c r="D14" s="38">
        <v>1740</v>
      </c>
      <c r="E14" s="38">
        <v>1413</v>
      </c>
      <c r="F14" s="38">
        <v>1833</v>
      </c>
      <c r="G14" s="38">
        <v>2677</v>
      </c>
      <c r="H14" s="38">
        <v>2190</v>
      </c>
      <c r="I14" s="38">
        <v>2027</v>
      </c>
      <c r="J14" s="38">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729</v>
      </c>
      <c r="AE14" s="27">
        <v>11641</v>
      </c>
      <c r="AF14">
        <v>28899</v>
      </c>
      <c r="AG14">
        <v>10424</v>
      </c>
      <c r="AH14">
        <v>27780</v>
      </c>
    </row>
    <row r="15" spans="1:36" hidden="1">
      <c r="A15" s="38" t="s">
        <v>194</v>
      </c>
      <c r="B15" s="38">
        <v>1255</v>
      </c>
      <c r="C15" s="38">
        <v>1309</v>
      </c>
      <c r="D15" s="38">
        <v>1188</v>
      </c>
      <c r="E15" s="38">
        <v>1177</v>
      </c>
      <c r="F15" s="38">
        <v>969</v>
      </c>
      <c r="G15" s="38">
        <v>930</v>
      </c>
      <c r="H15" s="38">
        <v>983</v>
      </c>
      <c r="I15" s="38">
        <v>1126</v>
      </c>
      <c r="J15" s="38">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131</v>
      </c>
      <c r="AE15" s="27">
        <v>7271</v>
      </c>
      <c r="AF15">
        <v>24464</v>
      </c>
      <c r="AG15">
        <v>10543</v>
      </c>
      <c r="AH15">
        <v>40468</v>
      </c>
    </row>
    <row r="16" spans="1:36" hidden="1">
      <c r="A16" s="38" t="s">
        <v>883</v>
      </c>
      <c r="B16" s="38">
        <v>2626</v>
      </c>
      <c r="C16" s="38">
        <v>3952</v>
      </c>
      <c r="D16" s="38">
        <v>4615</v>
      </c>
      <c r="E16" s="38">
        <v>2880</v>
      </c>
      <c r="F16" s="38">
        <v>2635</v>
      </c>
      <c r="G16" s="38">
        <v>2191</v>
      </c>
      <c r="H16" s="38">
        <v>2469</v>
      </c>
      <c r="I16" s="38">
        <v>2406</v>
      </c>
      <c r="J16" s="38">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926</v>
      </c>
      <c r="AE16" s="27">
        <v>4069</v>
      </c>
      <c r="AF16">
        <v>14752</v>
      </c>
      <c r="AG16">
        <v>3844</v>
      </c>
      <c r="AH16">
        <v>14485</v>
      </c>
    </row>
    <row r="17" spans="1:34" hidden="1">
      <c r="A17" s="38" t="s">
        <v>317</v>
      </c>
      <c r="B17" s="38">
        <v>2251</v>
      </c>
      <c r="C17" s="38">
        <v>1981</v>
      </c>
      <c r="D17" s="38">
        <v>2209</v>
      </c>
      <c r="E17" s="38">
        <v>1972</v>
      </c>
      <c r="F17" s="38">
        <v>2037</v>
      </c>
      <c r="G17" s="38">
        <v>1574</v>
      </c>
      <c r="H17" s="38">
        <v>1888</v>
      </c>
      <c r="I17" s="38">
        <v>1598</v>
      </c>
      <c r="J17" s="38">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180</v>
      </c>
      <c r="AE17" s="27">
        <v>3689</v>
      </c>
      <c r="AF17">
        <v>14117</v>
      </c>
      <c r="AG17">
        <v>3473</v>
      </c>
      <c r="AH17">
        <v>14892</v>
      </c>
    </row>
    <row r="18" spans="1:34" hidden="1">
      <c r="A18" s="38" t="s">
        <v>727</v>
      </c>
      <c r="B18" s="38">
        <v>2912</v>
      </c>
      <c r="C18" s="38">
        <v>3613</v>
      </c>
      <c r="D18" s="38">
        <v>3895</v>
      </c>
      <c r="E18" s="38">
        <v>3361</v>
      </c>
      <c r="F18" s="38">
        <v>2176</v>
      </c>
      <c r="G18" s="38">
        <v>2473</v>
      </c>
      <c r="H18" s="38">
        <v>1708</v>
      </c>
      <c r="I18" s="38">
        <v>1921</v>
      </c>
      <c r="J18" s="38">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523</v>
      </c>
      <c r="AE18" s="27">
        <v>1500</v>
      </c>
      <c r="AF18">
        <v>6351</v>
      </c>
      <c r="AH18">
        <v>0</v>
      </c>
    </row>
    <row r="19" spans="1:34" hidden="1">
      <c r="A19" s="38" t="s">
        <v>299</v>
      </c>
      <c r="B19" s="38">
        <v>0</v>
      </c>
      <c r="C19" s="38">
        <v>1748</v>
      </c>
      <c r="D19" s="38">
        <v>1392</v>
      </c>
      <c r="E19" s="38">
        <v>1702</v>
      </c>
      <c r="F19" s="38">
        <v>1694</v>
      </c>
      <c r="G19" s="38">
        <v>1549</v>
      </c>
      <c r="H19" s="38">
        <v>1385</v>
      </c>
      <c r="I19" s="38">
        <v>893</v>
      </c>
      <c r="J19" s="38">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467</v>
      </c>
      <c r="AE19" s="27">
        <v>2196</v>
      </c>
      <c r="AF19">
        <v>5001</v>
      </c>
      <c r="AG19">
        <v>2246</v>
      </c>
      <c r="AH19">
        <v>4686</v>
      </c>
    </row>
    <row r="20" spans="1:34" hidden="1">
      <c r="A20" s="38" t="s">
        <v>429</v>
      </c>
      <c r="B20" s="38">
        <v>1166</v>
      </c>
      <c r="C20" s="38">
        <v>1365</v>
      </c>
      <c r="D20" s="38">
        <v>1305</v>
      </c>
      <c r="E20" s="38">
        <v>1369</v>
      </c>
      <c r="F20" s="38">
        <v>1204</v>
      </c>
      <c r="G20" s="38">
        <v>1479</v>
      </c>
      <c r="H20" s="38">
        <v>2276</v>
      </c>
      <c r="I20" s="38">
        <v>2413</v>
      </c>
      <c r="J20" s="38">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610</v>
      </c>
      <c r="AE20" s="27">
        <v>1326</v>
      </c>
      <c r="AF20">
        <v>7012</v>
      </c>
      <c r="AH20">
        <v>0</v>
      </c>
    </row>
    <row r="21" spans="1:34" hidden="1">
      <c r="A21" s="38" t="s">
        <v>822</v>
      </c>
      <c r="B21" s="38">
        <v>0</v>
      </c>
      <c r="C21" s="38">
        <v>2043</v>
      </c>
      <c r="D21" s="38">
        <v>2010</v>
      </c>
      <c r="E21" s="38">
        <v>1973</v>
      </c>
      <c r="F21" s="38">
        <v>1304</v>
      </c>
      <c r="G21" s="38">
        <v>1219</v>
      </c>
      <c r="H21" s="38">
        <v>1175</v>
      </c>
      <c r="I21" s="38">
        <v>1201</v>
      </c>
      <c r="J21" s="38">
        <v>1105</v>
      </c>
      <c r="K21">
        <v>1069</v>
      </c>
      <c r="L21">
        <v>983</v>
      </c>
      <c r="M21">
        <v>992</v>
      </c>
      <c r="N21">
        <v>1228</v>
      </c>
      <c r="O21">
        <v>0</v>
      </c>
      <c r="P21">
        <v>795</v>
      </c>
      <c r="Q21">
        <v>769</v>
      </c>
      <c r="R21">
        <v>713</v>
      </c>
      <c r="S21">
        <v>483</v>
      </c>
      <c r="T21">
        <v>508</v>
      </c>
      <c r="U21">
        <v>479</v>
      </c>
      <c r="V21">
        <v>509</v>
      </c>
      <c r="W21">
        <v>484</v>
      </c>
      <c r="X21">
        <v>452</v>
      </c>
      <c r="Y21">
        <v>435</v>
      </c>
      <c r="Z21">
        <v>440</v>
      </c>
      <c r="AA21">
        <v>520</v>
      </c>
      <c r="AD21" t="s">
        <v>803</v>
      </c>
      <c r="AE21" s="27">
        <v>1109</v>
      </c>
      <c r="AF21">
        <v>3594</v>
      </c>
      <c r="AG21">
        <v>916</v>
      </c>
      <c r="AH21">
        <v>4179</v>
      </c>
    </row>
    <row r="22" spans="1:34" hidden="1">
      <c r="A22" s="38" t="s">
        <v>1193</v>
      </c>
      <c r="B22" s="38">
        <v>805</v>
      </c>
      <c r="C22" s="38">
        <v>2222</v>
      </c>
      <c r="D22" s="38">
        <v>770</v>
      </c>
      <c r="E22" s="38">
        <v>1022</v>
      </c>
      <c r="F22" s="38">
        <v>847</v>
      </c>
      <c r="G22" s="38">
        <v>1065</v>
      </c>
      <c r="H22" s="38">
        <v>741</v>
      </c>
      <c r="I22" s="38">
        <v>957</v>
      </c>
      <c r="J22" s="38">
        <v>661</v>
      </c>
      <c r="K22">
        <v>1346</v>
      </c>
      <c r="L22">
        <v>643</v>
      </c>
      <c r="M22">
        <v>930</v>
      </c>
      <c r="N22">
        <v>1036</v>
      </c>
      <c r="O22">
        <v>135</v>
      </c>
      <c r="P22">
        <v>356</v>
      </c>
      <c r="Q22">
        <v>156</v>
      </c>
      <c r="R22">
        <v>237</v>
      </c>
      <c r="S22">
        <v>210</v>
      </c>
      <c r="T22">
        <v>292</v>
      </c>
      <c r="U22">
        <v>163</v>
      </c>
      <c r="V22">
        <v>266</v>
      </c>
      <c r="W22">
        <v>193</v>
      </c>
      <c r="X22">
        <v>328</v>
      </c>
      <c r="Y22">
        <v>224</v>
      </c>
      <c r="Z22">
        <v>274</v>
      </c>
      <c r="AA22">
        <v>298</v>
      </c>
      <c r="AD22" t="s">
        <v>584</v>
      </c>
      <c r="AE22" s="27">
        <v>4052</v>
      </c>
      <c r="AF22">
        <v>25148</v>
      </c>
      <c r="AG22">
        <v>2601</v>
      </c>
      <c r="AH22">
        <v>23557</v>
      </c>
    </row>
    <row r="23" spans="1:34" hidden="1">
      <c r="A23" s="38" t="s">
        <v>381</v>
      </c>
      <c r="B23" s="38">
        <v>2837</v>
      </c>
      <c r="C23" s="38">
        <v>3008</v>
      </c>
      <c r="D23" s="38">
        <v>3196</v>
      </c>
      <c r="E23" s="38">
        <v>8455</v>
      </c>
      <c r="F23" s="38">
        <v>7979</v>
      </c>
      <c r="G23" s="38">
        <v>10916</v>
      </c>
      <c r="H23" s="38">
        <v>6931</v>
      </c>
      <c r="I23" s="38">
        <v>7015</v>
      </c>
      <c r="J23" s="38">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279</v>
      </c>
      <c r="AE23" s="27">
        <v>1476</v>
      </c>
      <c r="AF23">
        <v>6959</v>
      </c>
      <c r="AH23">
        <v>0</v>
      </c>
    </row>
    <row r="24" spans="1:34" hidden="1">
      <c r="A24" s="38" t="s">
        <v>208</v>
      </c>
      <c r="B24" s="38">
        <v>1158</v>
      </c>
      <c r="C24" s="38">
        <v>1375</v>
      </c>
      <c r="D24" s="38">
        <v>622</v>
      </c>
      <c r="E24" s="38">
        <v>552</v>
      </c>
      <c r="F24" s="38">
        <v>735</v>
      </c>
      <c r="G24" s="38">
        <v>710</v>
      </c>
      <c r="H24" s="38">
        <v>805</v>
      </c>
      <c r="I24" s="38">
        <v>937</v>
      </c>
      <c r="J24" s="38">
        <v>1084</v>
      </c>
      <c r="K24">
        <v>746</v>
      </c>
      <c r="L24">
        <v>566</v>
      </c>
      <c r="M24">
        <v>528</v>
      </c>
      <c r="N24">
        <v>887</v>
      </c>
      <c r="O24">
        <v>54</v>
      </c>
      <c r="P24">
        <v>110</v>
      </c>
      <c r="Q24">
        <v>113</v>
      </c>
      <c r="R24">
        <v>81</v>
      </c>
      <c r="S24">
        <v>103</v>
      </c>
      <c r="T24">
        <v>126</v>
      </c>
      <c r="U24">
        <v>153</v>
      </c>
      <c r="V24">
        <v>216</v>
      </c>
      <c r="W24">
        <v>230</v>
      </c>
      <c r="X24">
        <v>141</v>
      </c>
      <c r="Y24">
        <v>111</v>
      </c>
      <c r="Z24">
        <v>89</v>
      </c>
      <c r="AA24">
        <v>182</v>
      </c>
      <c r="AD24" t="s">
        <v>24</v>
      </c>
      <c r="AE24" s="27">
        <v>14987</v>
      </c>
      <c r="AF24">
        <v>52476</v>
      </c>
      <c r="AG24">
        <v>15202</v>
      </c>
      <c r="AH24">
        <v>62646</v>
      </c>
    </row>
    <row r="25" spans="1:34" hidden="1">
      <c r="A25" s="38" t="s">
        <v>678</v>
      </c>
      <c r="B25" s="38">
        <v>1208</v>
      </c>
      <c r="C25" s="38">
        <v>1250</v>
      </c>
      <c r="D25" s="38">
        <v>871</v>
      </c>
      <c r="E25" s="38">
        <v>821</v>
      </c>
      <c r="F25" s="38">
        <v>689</v>
      </c>
      <c r="G25" s="38">
        <v>638</v>
      </c>
      <c r="H25" s="38">
        <v>695</v>
      </c>
      <c r="I25" s="38">
        <v>1739</v>
      </c>
      <c r="J25" s="38">
        <v>849</v>
      </c>
      <c r="K25">
        <v>938</v>
      </c>
      <c r="L25">
        <v>850</v>
      </c>
      <c r="M25">
        <v>913</v>
      </c>
      <c r="N25">
        <v>1214</v>
      </c>
      <c r="O25">
        <v>325</v>
      </c>
      <c r="P25">
        <v>361</v>
      </c>
      <c r="Q25">
        <v>290</v>
      </c>
      <c r="R25">
        <v>277</v>
      </c>
      <c r="S25">
        <v>274</v>
      </c>
      <c r="T25">
        <v>252</v>
      </c>
      <c r="U25">
        <v>291</v>
      </c>
      <c r="V25">
        <v>611</v>
      </c>
      <c r="W25">
        <v>332</v>
      </c>
      <c r="X25">
        <v>382</v>
      </c>
      <c r="Y25">
        <v>427</v>
      </c>
      <c r="Z25">
        <v>361</v>
      </c>
      <c r="AA25">
        <v>487</v>
      </c>
      <c r="AD25" t="s">
        <v>343</v>
      </c>
      <c r="AE25" s="27">
        <v>652</v>
      </c>
      <c r="AF25">
        <v>3797</v>
      </c>
      <c r="AG25">
        <v>750</v>
      </c>
      <c r="AH25">
        <v>3773</v>
      </c>
    </row>
    <row r="26" spans="1:34" hidden="1">
      <c r="A26" s="38" t="s">
        <v>341</v>
      </c>
      <c r="B26" s="38">
        <v>1350</v>
      </c>
      <c r="C26" s="38">
        <v>1572</v>
      </c>
      <c r="D26" s="38">
        <v>1531</v>
      </c>
      <c r="E26" s="38">
        <v>1099</v>
      </c>
      <c r="F26" s="38">
        <v>993</v>
      </c>
      <c r="G26" s="38">
        <v>953</v>
      </c>
      <c r="H26" s="38">
        <v>1321</v>
      </c>
      <c r="I26" s="38">
        <v>1159</v>
      </c>
      <c r="J26" s="38">
        <v>1280</v>
      </c>
      <c r="K26">
        <v>1374</v>
      </c>
      <c r="L26">
        <v>952</v>
      </c>
      <c r="M26">
        <v>1057</v>
      </c>
      <c r="N26">
        <v>1414</v>
      </c>
      <c r="O26">
        <v>184</v>
      </c>
      <c r="P26">
        <v>212</v>
      </c>
      <c r="Q26">
        <v>218</v>
      </c>
      <c r="R26">
        <v>166</v>
      </c>
      <c r="S26">
        <v>146</v>
      </c>
      <c r="T26">
        <v>129</v>
      </c>
      <c r="U26">
        <v>156</v>
      </c>
      <c r="V26">
        <v>159</v>
      </c>
      <c r="W26">
        <v>162</v>
      </c>
      <c r="X26">
        <v>200</v>
      </c>
      <c r="Y26">
        <v>166</v>
      </c>
      <c r="Z26">
        <v>220</v>
      </c>
      <c r="AA26">
        <v>235</v>
      </c>
      <c r="AD26" s="36" t="s">
        <v>519</v>
      </c>
      <c r="AE26" s="27">
        <v>1671</v>
      </c>
      <c r="AF26">
        <v>3766</v>
      </c>
      <c r="AG26">
        <v>1289</v>
      </c>
      <c r="AH26">
        <v>3350</v>
      </c>
    </row>
    <row r="27" spans="1:34" hidden="1">
      <c r="A27" s="38" t="s">
        <v>345</v>
      </c>
      <c r="B27" s="38">
        <v>665</v>
      </c>
      <c r="C27" s="38">
        <v>685</v>
      </c>
      <c r="D27" s="38">
        <v>512</v>
      </c>
      <c r="E27" s="38">
        <v>531</v>
      </c>
      <c r="F27" s="38">
        <v>543</v>
      </c>
      <c r="G27" s="38">
        <v>726</v>
      </c>
      <c r="H27" s="38">
        <v>571</v>
      </c>
      <c r="I27" s="38">
        <v>593</v>
      </c>
      <c r="J27" s="38">
        <v>602</v>
      </c>
      <c r="K27">
        <v>563</v>
      </c>
      <c r="L27">
        <v>564</v>
      </c>
      <c r="M27">
        <v>541</v>
      </c>
      <c r="N27">
        <v>685</v>
      </c>
      <c r="O27">
        <v>149</v>
      </c>
      <c r="P27">
        <v>135</v>
      </c>
      <c r="Q27">
        <v>100</v>
      </c>
      <c r="R27">
        <v>154</v>
      </c>
      <c r="S27">
        <v>168</v>
      </c>
      <c r="T27">
        <v>212</v>
      </c>
      <c r="U27">
        <v>154</v>
      </c>
      <c r="V27">
        <v>188</v>
      </c>
      <c r="W27">
        <v>209</v>
      </c>
      <c r="X27">
        <v>206</v>
      </c>
      <c r="Y27">
        <v>211</v>
      </c>
      <c r="Z27">
        <v>178</v>
      </c>
      <c r="AA27">
        <v>237</v>
      </c>
      <c r="AD27" t="s">
        <v>507</v>
      </c>
      <c r="AE27" s="27">
        <v>2656</v>
      </c>
      <c r="AF27">
        <v>14102</v>
      </c>
      <c r="AG27">
        <v>1956</v>
      </c>
      <c r="AH27">
        <v>10593</v>
      </c>
    </row>
    <row r="28" spans="1:34" hidden="1">
      <c r="A28" s="38" t="s">
        <v>691</v>
      </c>
      <c r="B28" s="38">
        <v>1234</v>
      </c>
      <c r="C28" s="38">
        <v>1378</v>
      </c>
      <c r="D28" s="38">
        <v>1315</v>
      </c>
      <c r="E28" s="38">
        <v>1069</v>
      </c>
      <c r="F28" s="38">
        <v>963</v>
      </c>
      <c r="G28" s="38">
        <v>1037</v>
      </c>
      <c r="H28" s="38">
        <v>872</v>
      </c>
      <c r="I28" s="38">
        <v>952</v>
      </c>
      <c r="J28" s="38">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505</v>
      </c>
      <c r="AE28" s="27">
        <v>596</v>
      </c>
      <c r="AF28">
        <v>3841</v>
      </c>
      <c r="AH28">
        <v>0</v>
      </c>
    </row>
    <row r="29" spans="1:34" hidden="1">
      <c r="A29" s="38" t="s">
        <v>926</v>
      </c>
      <c r="B29" s="38">
        <v>2643</v>
      </c>
      <c r="C29" s="38">
        <v>2194</v>
      </c>
      <c r="D29" s="38">
        <v>2460</v>
      </c>
      <c r="E29" s="38">
        <v>3131</v>
      </c>
      <c r="F29" s="38">
        <v>5169</v>
      </c>
      <c r="G29" s="38">
        <v>5311</v>
      </c>
      <c r="H29" s="38">
        <v>4351</v>
      </c>
      <c r="I29" s="38">
        <v>3748</v>
      </c>
      <c r="J29" s="38">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795</v>
      </c>
      <c r="AE29" s="27">
        <v>1681</v>
      </c>
      <c r="AF29">
        <v>7809</v>
      </c>
      <c r="AG29">
        <v>1626</v>
      </c>
      <c r="AH29">
        <v>6360</v>
      </c>
    </row>
    <row r="30" spans="1:34" hidden="1">
      <c r="A30" s="38" t="s">
        <v>703</v>
      </c>
      <c r="B30" s="38">
        <v>1291</v>
      </c>
      <c r="C30" s="38">
        <v>1246</v>
      </c>
      <c r="D30" s="38">
        <v>1323</v>
      </c>
      <c r="E30" s="38">
        <v>1384</v>
      </c>
      <c r="F30" s="38">
        <v>2896</v>
      </c>
      <c r="G30" s="38">
        <v>3091</v>
      </c>
      <c r="H30" s="38">
        <v>1801</v>
      </c>
      <c r="I30" s="38">
        <v>1312</v>
      </c>
      <c r="J30" s="38">
        <v>1316</v>
      </c>
      <c r="K30">
        <v>1231</v>
      </c>
      <c r="L30">
        <v>1033</v>
      </c>
      <c r="M30">
        <v>878</v>
      </c>
      <c r="N30">
        <v>1263</v>
      </c>
      <c r="O30">
        <v>128</v>
      </c>
      <c r="P30">
        <v>337</v>
      </c>
      <c r="Q30">
        <v>295</v>
      </c>
      <c r="R30">
        <v>320</v>
      </c>
      <c r="S30">
        <v>520</v>
      </c>
      <c r="T30">
        <v>495</v>
      </c>
      <c r="U30">
        <v>369</v>
      </c>
      <c r="V30">
        <v>309</v>
      </c>
      <c r="W30">
        <v>344</v>
      </c>
      <c r="X30">
        <v>306</v>
      </c>
      <c r="Y30">
        <v>274</v>
      </c>
      <c r="Z30">
        <v>224</v>
      </c>
      <c r="AA30">
        <v>343</v>
      </c>
      <c r="AD30" s="36" t="s">
        <v>842</v>
      </c>
      <c r="AE30" s="27">
        <v>1969</v>
      </c>
      <c r="AF30">
        <v>3186</v>
      </c>
      <c r="AG30">
        <v>1236</v>
      </c>
      <c r="AH30">
        <v>3337</v>
      </c>
    </row>
    <row r="31" spans="1:34" hidden="1">
      <c r="A31" s="38" t="s">
        <v>232</v>
      </c>
      <c r="B31" s="38">
        <v>1802</v>
      </c>
      <c r="C31" s="38">
        <v>2266</v>
      </c>
      <c r="D31" s="38">
        <v>2188</v>
      </c>
      <c r="E31" s="38">
        <v>2260</v>
      </c>
      <c r="F31" s="38">
        <v>1855</v>
      </c>
      <c r="G31" s="38">
        <v>1756</v>
      </c>
      <c r="H31" s="38">
        <v>1896</v>
      </c>
      <c r="I31" s="38">
        <v>1935</v>
      </c>
      <c r="J31" s="38">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6" t="s">
        <v>465</v>
      </c>
      <c r="AE31" s="27">
        <v>1923</v>
      </c>
      <c r="AF31">
        <v>7678</v>
      </c>
      <c r="AG31">
        <v>1586</v>
      </c>
      <c r="AH31">
        <v>6667</v>
      </c>
    </row>
    <row r="32" spans="1:34" hidden="1">
      <c r="A32" s="38" t="s">
        <v>363</v>
      </c>
      <c r="B32" s="38">
        <v>1697</v>
      </c>
      <c r="C32" s="38">
        <v>1662</v>
      </c>
      <c r="D32" s="38">
        <v>1362</v>
      </c>
      <c r="E32" s="38">
        <v>1046</v>
      </c>
      <c r="F32" s="38">
        <v>973</v>
      </c>
      <c r="G32" s="38">
        <v>1027</v>
      </c>
      <c r="H32" s="38">
        <v>1129</v>
      </c>
      <c r="I32" s="38">
        <v>893</v>
      </c>
      <c r="J32" s="38">
        <v>844</v>
      </c>
      <c r="K32">
        <v>759</v>
      </c>
      <c r="L32">
        <v>683</v>
      </c>
      <c r="M32">
        <v>552</v>
      </c>
      <c r="N32">
        <v>750</v>
      </c>
      <c r="O32">
        <v>377</v>
      </c>
      <c r="P32">
        <v>343</v>
      </c>
      <c r="Q32">
        <v>338</v>
      </c>
      <c r="R32">
        <v>274</v>
      </c>
      <c r="S32">
        <v>237</v>
      </c>
      <c r="T32">
        <v>236</v>
      </c>
      <c r="U32">
        <v>268</v>
      </c>
      <c r="V32">
        <v>203</v>
      </c>
      <c r="W32">
        <v>211</v>
      </c>
      <c r="X32">
        <v>204</v>
      </c>
      <c r="Y32">
        <v>192</v>
      </c>
      <c r="Z32">
        <v>164</v>
      </c>
      <c r="AA32">
        <v>204</v>
      </c>
      <c r="AD32" t="s">
        <v>493</v>
      </c>
      <c r="AE32" s="27">
        <v>1541</v>
      </c>
      <c r="AF32">
        <v>5675</v>
      </c>
      <c r="AG32">
        <v>1822</v>
      </c>
      <c r="AH32">
        <v>6730</v>
      </c>
    </row>
    <row r="33" spans="1:34" hidden="1">
      <c r="A33" s="38" t="s">
        <v>513</v>
      </c>
      <c r="B33" s="38">
        <v>2049</v>
      </c>
      <c r="C33" s="38">
        <v>2090</v>
      </c>
      <c r="D33" s="38">
        <v>1579</v>
      </c>
      <c r="E33" s="38">
        <v>1696</v>
      </c>
      <c r="F33" s="38">
        <v>1568</v>
      </c>
      <c r="G33" s="38">
        <v>1921</v>
      </c>
      <c r="H33" s="38">
        <v>1701</v>
      </c>
      <c r="I33" s="38">
        <v>1734</v>
      </c>
      <c r="J33" s="38">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860</v>
      </c>
      <c r="AE33" s="27">
        <v>2159</v>
      </c>
      <c r="AF33">
        <v>7520</v>
      </c>
      <c r="AG33">
        <v>2259</v>
      </c>
      <c r="AH33">
        <v>7860</v>
      </c>
    </row>
    <row r="34" spans="1:34" hidden="1">
      <c r="A34" s="38" t="s">
        <v>393</v>
      </c>
      <c r="B34" s="38">
        <v>0</v>
      </c>
      <c r="C34" s="38">
        <v>0</v>
      </c>
      <c r="D34" s="38">
        <v>0</v>
      </c>
      <c r="E34" s="38">
        <v>0</v>
      </c>
      <c r="F34" s="38">
        <v>0</v>
      </c>
      <c r="G34" s="38">
        <v>0</v>
      </c>
      <c r="H34" s="38">
        <v>0</v>
      </c>
      <c r="I34" s="38">
        <v>0</v>
      </c>
      <c r="J34" s="38">
        <v>825</v>
      </c>
      <c r="K34">
        <v>820</v>
      </c>
      <c r="L34">
        <v>1364</v>
      </c>
      <c r="M34">
        <v>677</v>
      </c>
      <c r="N34">
        <v>514</v>
      </c>
      <c r="O34">
        <v>0</v>
      </c>
      <c r="P34">
        <v>0</v>
      </c>
      <c r="Q34">
        <v>0</v>
      </c>
      <c r="R34">
        <v>0</v>
      </c>
      <c r="S34">
        <v>0</v>
      </c>
      <c r="T34">
        <v>0</v>
      </c>
      <c r="U34">
        <v>0</v>
      </c>
      <c r="V34">
        <v>0</v>
      </c>
      <c r="W34">
        <v>34</v>
      </c>
      <c r="X34">
        <v>202</v>
      </c>
      <c r="Y34">
        <v>493</v>
      </c>
      <c r="Z34">
        <v>45</v>
      </c>
      <c r="AA34">
        <v>141</v>
      </c>
      <c r="AD34" t="s">
        <v>854</v>
      </c>
      <c r="AE34" s="27">
        <v>1658</v>
      </c>
      <c r="AF34">
        <v>6313</v>
      </c>
      <c r="AG34">
        <v>1995</v>
      </c>
      <c r="AH34">
        <v>7785</v>
      </c>
    </row>
    <row r="35" spans="1:34" hidden="1">
      <c r="A35" s="38" t="s">
        <v>717</v>
      </c>
      <c r="B35" s="38">
        <v>1612</v>
      </c>
      <c r="C35" s="38">
        <v>1612</v>
      </c>
      <c r="D35" s="38">
        <v>1268</v>
      </c>
      <c r="E35" s="38">
        <v>1177</v>
      </c>
      <c r="F35" s="38">
        <v>1265</v>
      </c>
      <c r="G35" s="38">
        <v>1237</v>
      </c>
      <c r="H35" s="38">
        <v>1282</v>
      </c>
      <c r="I35" s="38">
        <v>1568</v>
      </c>
      <c r="J35" s="38">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248</v>
      </c>
      <c r="AE35" s="27">
        <v>1546</v>
      </c>
      <c r="AF35">
        <v>6817</v>
      </c>
      <c r="AH35">
        <v>0</v>
      </c>
    </row>
    <row r="36" spans="1:34" hidden="1">
      <c r="A36" s="38" t="s">
        <v>343</v>
      </c>
      <c r="B36" s="38">
        <v>1438</v>
      </c>
      <c r="C36" s="38">
        <v>1596</v>
      </c>
      <c r="D36" s="38">
        <v>1534</v>
      </c>
      <c r="E36" s="38">
        <v>1000</v>
      </c>
      <c r="F36" s="38">
        <v>813</v>
      </c>
      <c r="G36" s="38">
        <v>737</v>
      </c>
      <c r="H36" s="38">
        <v>772</v>
      </c>
      <c r="I36" s="38">
        <v>1128</v>
      </c>
      <c r="J36" s="38">
        <v>987</v>
      </c>
      <c r="K36">
        <v>807</v>
      </c>
      <c r="L36">
        <v>912</v>
      </c>
      <c r="M36">
        <v>972</v>
      </c>
      <c r="N36">
        <v>1050</v>
      </c>
      <c r="O36">
        <v>272</v>
      </c>
      <c r="P36">
        <v>327</v>
      </c>
      <c r="Q36">
        <v>237</v>
      </c>
      <c r="R36">
        <v>138</v>
      </c>
      <c r="S36">
        <v>119</v>
      </c>
      <c r="T36">
        <v>95</v>
      </c>
      <c r="U36">
        <v>111</v>
      </c>
      <c r="V36">
        <v>219</v>
      </c>
      <c r="W36">
        <v>156</v>
      </c>
      <c r="X36">
        <v>143</v>
      </c>
      <c r="Y36">
        <v>143</v>
      </c>
      <c r="Z36">
        <v>173</v>
      </c>
      <c r="AA36">
        <v>179</v>
      </c>
      <c r="AD36" t="s">
        <v>365</v>
      </c>
      <c r="AE36" s="27">
        <v>2684</v>
      </c>
      <c r="AF36">
        <v>10777</v>
      </c>
      <c r="AG36">
        <v>2343</v>
      </c>
      <c r="AH36">
        <v>9865</v>
      </c>
    </row>
    <row r="37" spans="1:34" hidden="1">
      <c r="A37" s="38" t="s">
        <v>1154</v>
      </c>
      <c r="B37" s="38">
        <v>1173</v>
      </c>
      <c r="C37" s="38">
        <v>1416</v>
      </c>
      <c r="D37" s="38">
        <v>1415</v>
      </c>
      <c r="E37" s="38">
        <v>1937</v>
      </c>
      <c r="F37" s="38">
        <v>1513</v>
      </c>
      <c r="G37" s="38">
        <v>1190</v>
      </c>
      <c r="H37" s="38">
        <v>1096</v>
      </c>
      <c r="I37" s="38">
        <v>1043</v>
      </c>
      <c r="J37" s="38">
        <v>1008</v>
      </c>
      <c r="K37">
        <v>997</v>
      </c>
      <c r="L37">
        <v>831</v>
      </c>
      <c r="M37">
        <v>782</v>
      </c>
      <c r="N37">
        <v>1235</v>
      </c>
      <c r="O37">
        <v>508</v>
      </c>
      <c r="P37">
        <v>615</v>
      </c>
      <c r="Q37">
        <v>723</v>
      </c>
      <c r="R37">
        <v>929</v>
      </c>
      <c r="S37">
        <v>694</v>
      </c>
      <c r="T37">
        <v>571</v>
      </c>
      <c r="U37">
        <v>578</v>
      </c>
      <c r="V37">
        <v>556</v>
      </c>
      <c r="W37">
        <v>571</v>
      </c>
      <c r="X37">
        <v>519</v>
      </c>
      <c r="Y37">
        <v>487</v>
      </c>
      <c r="Z37">
        <v>443</v>
      </c>
      <c r="AA37">
        <v>672</v>
      </c>
      <c r="AD37" t="s">
        <v>63</v>
      </c>
      <c r="AE37" s="27">
        <v>4901</v>
      </c>
      <c r="AF37">
        <v>19375</v>
      </c>
      <c r="AG37">
        <v>5061</v>
      </c>
      <c r="AH37">
        <v>23565</v>
      </c>
    </row>
    <row r="38" spans="1:34" hidden="1">
      <c r="A38" s="38" t="s">
        <v>984</v>
      </c>
      <c r="B38" s="38">
        <v>520</v>
      </c>
      <c r="C38" s="38">
        <v>584</v>
      </c>
      <c r="D38" s="38">
        <v>493</v>
      </c>
      <c r="E38" s="38">
        <v>425</v>
      </c>
      <c r="F38" s="38">
        <v>379</v>
      </c>
      <c r="G38" s="38">
        <v>478</v>
      </c>
      <c r="H38" s="38">
        <v>501</v>
      </c>
      <c r="I38" s="38">
        <v>487</v>
      </c>
      <c r="J38" s="38">
        <v>540</v>
      </c>
      <c r="K38">
        <v>402</v>
      </c>
      <c r="L38">
        <v>381</v>
      </c>
      <c r="M38">
        <v>402</v>
      </c>
      <c r="N38">
        <v>534</v>
      </c>
      <c r="O38">
        <v>111</v>
      </c>
      <c r="P38">
        <v>166</v>
      </c>
      <c r="Q38">
        <v>127</v>
      </c>
      <c r="R38">
        <v>138</v>
      </c>
      <c r="S38">
        <v>137</v>
      </c>
      <c r="T38">
        <v>168</v>
      </c>
      <c r="U38">
        <v>208</v>
      </c>
      <c r="V38">
        <v>200</v>
      </c>
      <c r="W38">
        <v>198</v>
      </c>
      <c r="X38">
        <v>206</v>
      </c>
      <c r="Y38">
        <v>186</v>
      </c>
      <c r="Z38">
        <v>158</v>
      </c>
      <c r="AA38">
        <v>265</v>
      </c>
      <c r="AD38" t="s">
        <v>742</v>
      </c>
      <c r="AE38" s="27">
        <v>1150</v>
      </c>
      <c r="AF38">
        <v>3529</v>
      </c>
      <c r="AH38">
        <v>0</v>
      </c>
    </row>
    <row r="39" spans="1:34" hidden="1">
      <c r="A39" s="38" t="s">
        <v>729</v>
      </c>
      <c r="B39" s="38">
        <v>3440</v>
      </c>
      <c r="C39" s="38">
        <v>3745</v>
      </c>
      <c r="D39" s="38">
        <v>3270</v>
      </c>
      <c r="E39" s="38">
        <v>2648</v>
      </c>
      <c r="F39" s="38">
        <v>2103</v>
      </c>
      <c r="G39" s="38">
        <v>2343</v>
      </c>
      <c r="H39" s="38">
        <v>3264</v>
      </c>
      <c r="I39" s="38">
        <v>2287</v>
      </c>
      <c r="J39" s="38">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797</v>
      </c>
      <c r="AE39" s="27">
        <v>3490</v>
      </c>
      <c r="AF39">
        <v>18684</v>
      </c>
      <c r="AG39">
        <v>4073</v>
      </c>
      <c r="AH39">
        <v>21724</v>
      </c>
    </row>
    <row r="40" spans="1:34" hidden="1">
      <c r="A40" s="38" t="s">
        <v>1135</v>
      </c>
      <c r="B40" s="38">
        <v>520</v>
      </c>
      <c r="C40" s="38">
        <v>405</v>
      </c>
      <c r="D40" s="38">
        <v>397</v>
      </c>
      <c r="E40" s="38">
        <v>425</v>
      </c>
      <c r="F40" s="38">
        <v>312</v>
      </c>
      <c r="G40" s="38">
        <v>227</v>
      </c>
      <c r="H40" s="38">
        <v>265</v>
      </c>
      <c r="I40" s="38">
        <v>201</v>
      </c>
      <c r="J40" s="38">
        <v>246</v>
      </c>
      <c r="K40">
        <v>185</v>
      </c>
      <c r="L40">
        <v>164</v>
      </c>
      <c r="M40">
        <v>187</v>
      </c>
      <c r="N40">
        <v>236</v>
      </c>
      <c r="O40">
        <v>196</v>
      </c>
      <c r="P40">
        <v>143</v>
      </c>
      <c r="Q40">
        <v>172</v>
      </c>
      <c r="R40">
        <v>176</v>
      </c>
      <c r="S40">
        <v>158</v>
      </c>
      <c r="T40">
        <v>116</v>
      </c>
      <c r="U40">
        <v>173</v>
      </c>
      <c r="V40">
        <v>144</v>
      </c>
      <c r="W40">
        <v>126</v>
      </c>
      <c r="X40">
        <v>125</v>
      </c>
      <c r="Y40">
        <v>104</v>
      </c>
      <c r="Z40">
        <v>90</v>
      </c>
      <c r="AA40">
        <v>143</v>
      </c>
      <c r="AD40" t="s">
        <v>367</v>
      </c>
      <c r="AE40" s="27">
        <v>973</v>
      </c>
      <c r="AF40">
        <v>4096</v>
      </c>
      <c r="AH40">
        <v>0</v>
      </c>
    </row>
    <row r="41" spans="1:34" hidden="1">
      <c r="A41" s="38" t="s">
        <v>499</v>
      </c>
      <c r="B41" s="38">
        <v>4037</v>
      </c>
      <c r="C41" s="38">
        <v>3903</v>
      </c>
      <c r="D41" s="38">
        <v>3419</v>
      </c>
      <c r="E41" s="38">
        <v>3701</v>
      </c>
      <c r="F41" s="38">
        <v>2603</v>
      </c>
      <c r="G41" s="38">
        <v>2448</v>
      </c>
      <c r="H41" s="38">
        <v>2013</v>
      </c>
      <c r="I41" s="38">
        <v>1537</v>
      </c>
      <c r="J41" s="38">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178</v>
      </c>
      <c r="AE41" s="27">
        <v>1611</v>
      </c>
      <c r="AF41">
        <v>4335</v>
      </c>
      <c r="AG41">
        <v>1357</v>
      </c>
      <c r="AH41">
        <v>2617</v>
      </c>
    </row>
    <row r="42" spans="1:34" hidden="1">
      <c r="A42" s="38" t="s">
        <v>1228</v>
      </c>
      <c r="B42" s="38">
        <v>2406</v>
      </c>
      <c r="C42" s="38">
        <v>2851</v>
      </c>
      <c r="D42" s="38">
        <v>2786</v>
      </c>
      <c r="E42" s="38">
        <v>2649</v>
      </c>
      <c r="F42" s="38">
        <v>2343</v>
      </c>
      <c r="G42" s="38">
        <v>2072</v>
      </c>
      <c r="H42" s="38">
        <v>1866</v>
      </c>
      <c r="I42" s="38">
        <v>1847</v>
      </c>
      <c r="J42" s="38">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736</v>
      </c>
      <c r="AE42" s="27">
        <v>2321</v>
      </c>
      <c r="AF42">
        <v>21220</v>
      </c>
      <c r="AG42">
        <v>2515</v>
      </c>
      <c r="AH42">
        <v>18482</v>
      </c>
    </row>
    <row r="43" spans="1:34" hidden="1">
      <c r="A43" s="38" t="s">
        <v>999</v>
      </c>
      <c r="B43" s="38">
        <v>639</v>
      </c>
      <c r="C43" s="38">
        <v>656</v>
      </c>
      <c r="D43" s="38">
        <v>555</v>
      </c>
      <c r="E43" s="38">
        <v>594</v>
      </c>
      <c r="F43" s="38">
        <v>550</v>
      </c>
      <c r="G43" s="38">
        <v>465</v>
      </c>
      <c r="H43" s="38">
        <v>502</v>
      </c>
      <c r="I43" s="38">
        <v>452</v>
      </c>
      <c r="J43" s="38">
        <v>383</v>
      </c>
      <c r="K43">
        <v>524</v>
      </c>
      <c r="L43">
        <v>338</v>
      </c>
      <c r="M43">
        <v>450</v>
      </c>
      <c r="N43">
        <v>692</v>
      </c>
      <c r="O43">
        <v>169</v>
      </c>
      <c r="P43">
        <v>177</v>
      </c>
      <c r="Q43">
        <v>168</v>
      </c>
      <c r="R43">
        <v>156</v>
      </c>
      <c r="S43">
        <v>200</v>
      </c>
      <c r="T43">
        <v>169</v>
      </c>
      <c r="U43">
        <v>159</v>
      </c>
      <c r="V43">
        <v>145</v>
      </c>
      <c r="W43">
        <v>136</v>
      </c>
      <c r="X43">
        <v>167</v>
      </c>
      <c r="Y43">
        <v>115</v>
      </c>
      <c r="Z43">
        <v>138</v>
      </c>
      <c r="AA43">
        <v>208</v>
      </c>
      <c r="AD43" t="s">
        <v>885</v>
      </c>
      <c r="AE43" s="27">
        <v>2223</v>
      </c>
      <c r="AF43">
        <v>12395</v>
      </c>
      <c r="AG43">
        <v>2088</v>
      </c>
      <c r="AH43">
        <v>12498</v>
      </c>
    </row>
    <row r="44" spans="1:34" hidden="1">
      <c r="A44" s="38" t="s">
        <v>1097</v>
      </c>
      <c r="B44" s="38">
        <v>775</v>
      </c>
      <c r="C44" s="38">
        <v>731</v>
      </c>
      <c r="D44" s="38">
        <v>667</v>
      </c>
      <c r="E44" s="38">
        <v>630</v>
      </c>
      <c r="F44" s="38">
        <v>391</v>
      </c>
      <c r="G44" s="38">
        <v>443</v>
      </c>
      <c r="H44" s="38">
        <v>465</v>
      </c>
      <c r="I44" s="38">
        <v>548</v>
      </c>
      <c r="J44" s="38">
        <v>560</v>
      </c>
      <c r="K44">
        <v>541</v>
      </c>
      <c r="L44">
        <v>589</v>
      </c>
      <c r="M44">
        <v>603</v>
      </c>
      <c r="N44">
        <v>566</v>
      </c>
      <c r="O44">
        <v>225</v>
      </c>
      <c r="P44">
        <v>224</v>
      </c>
      <c r="Q44">
        <v>209</v>
      </c>
      <c r="R44">
        <v>214</v>
      </c>
      <c r="S44">
        <v>176</v>
      </c>
      <c r="T44">
        <v>185</v>
      </c>
      <c r="U44">
        <v>200</v>
      </c>
      <c r="V44">
        <v>235</v>
      </c>
      <c r="W44">
        <v>241</v>
      </c>
      <c r="X44">
        <v>223</v>
      </c>
      <c r="Y44">
        <v>285</v>
      </c>
      <c r="Z44">
        <v>224</v>
      </c>
      <c r="AA44">
        <v>287</v>
      </c>
      <c r="AD44" t="s">
        <v>602</v>
      </c>
      <c r="AE44" s="27">
        <v>741</v>
      </c>
      <c r="AF44">
        <v>2337</v>
      </c>
      <c r="AG44">
        <v>580</v>
      </c>
      <c r="AH44">
        <v>1736</v>
      </c>
    </row>
    <row r="45" spans="1:34" hidden="1">
      <c r="A45" s="38" t="s">
        <v>1210</v>
      </c>
      <c r="B45" s="38">
        <v>4597</v>
      </c>
      <c r="C45" s="38">
        <v>4821</v>
      </c>
      <c r="D45" s="38">
        <v>4592</v>
      </c>
      <c r="E45" s="38">
        <v>4863</v>
      </c>
      <c r="F45" s="38">
        <v>4459</v>
      </c>
      <c r="G45" s="38">
        <v>3738</v>
      </c>
      <c r="H45" s="38">
        <v>3250</v>
      </c>
      <c r="I45" s="38">
        <v>2725</v>
      </c>
      <c r="J45" s="38">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586</v>
      </c>
      <c r="AE45" s="27">
        <v>1931</v>
      </c>
      <c r="AF45">
        <v>6561</v>
      </c>
      <c r="AG45">
        <v>890</v>
      </c>
      <c r="AH45">
        <v>2945</v>
      </c>
    </row>
    <row r="46" spans="1:34" hidden="1">
      <c r="A46" s="38" t="s">
        <v>1125</v>
      </c>
      <c r="B46" s="38">
        <v>1517</v>
      </c>
      <c r="C46" s="38">
        <v>1163</v>
      </c>
      <c r="D46" s="38">
        <v>772</v>
      </c>
      <c r="E46" s="38">
        <v>568</v>
      </c>
      <c r="F46" s="38">
        <v>433</v>
      </c>
      <c r="G46" s="38">
        <v>366</v>
      </c>
      <c r="H46" s="38">
        <v>467</v>
      </c>
      <c r="I46" s="38">
        <v>512</v>
      </c>
      <c r="J46" s="38">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163</v>
      </c>
      <c r="AE46" s="27">
        <v>1390</v>
      </c>
      <c r="AF46">
        <v>8504</v>
      </c>
      <c r="AH46">
        <v>0</v>
      </c>
    </row>
    <row r="47" spans="1:34" hidden="1">
      <c r="A47" s="38" t="s">
        <v>565</v>
      </c>
      <c r="B47" s="38">
        <v>2202</v>
      </c>
      <c r="C47" s="38">
        <v>2261</v>
      </c>
      <c r="D47" s="38">
        <v>2587</v>
      </c>
      <c r="E47" s="38">
        <v>1966</v>
      </c>
      <c r="F47" s="38">
        <v>1833</v>
      </c>
      <c r="G47" s="38">
        <v>1661</v>
      </c>
      <c r="H47" s="38">
        <v>1989</v>
      </c>
      <c r="I47" s="38">
        <v>2059</v>
      </c>
      <c r="J47" s="38">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6" t="s">
        <v>761</v>
      </c>
      <c r="AE47" s="27">
        <v>940</v>
      </c>
      <c r="AF47">
        <v>3810</v>
      </c>
      <c r="AG47">
        <v>1019</v>
      </c>
      <c r="AH47">
        <v>5786</v>
      </c>
    </row>
    <row r="48" spans="1:34" hidden="1">
      <c r="A48" s="38" t="s">
        <v>648</v>
      </c>
      <c r="B48" s="38">
        <v>1165</v>
      </c>
      <c r="C48" s="38">
        <v>1108</v>
      </c>
      <c r="D48" s="38">
        <v>2964</v>
      </c>
      <c r="E48" s="38">
        <v>8</v>
      </c>
      <c r="F48" s="38">
        <v>0</v>
      </c>
      <c r="G48" s="38">
        <v>626</v>
      </c>
      <c r="H48" s="38">
        <v>1040</v>
      </c>
      <c r="I48" s="38">
        <v>1161</v>
      </c>
      <c r="J48" s="38">
        <v>1011</v>
      </c>
      <c r="K48">
        <v>943</v>
      </c>
      <c r="L48">
        <v>618</v>
      </c>
      <c r="M48">
        <v>631</v>
      </c>
      <c r="N48">
        <v>782</v>
      </c>
      <c r="O48">
        <v>202</v>
      </c>
      <c r="P48">
        <v>180</v>
      </c>
      <c r="Q48">
        <v>610</v>
      </c>
      <c r="R48">
        <v>1</v>
      </c>
      <c r="S48">
        <v>0</v>
      </c>
      <c r="T48">
        <v>85</v>
      </c>
      <c r="U48">
        <v>240</v>
      </c>
      <c r="V48">
        <v>226</v>
      </c>
      <c r="W48">
        <v>214</v>
      </c>
      <c r="X48">
        <v>176</v>
      </c>
      <c r="Y48">
        <v>105</v>
      </c>
      <c r="Z48">
        <v>149</v>
      </c>
      <c r="AA48">
        <v>156</v>
      </c>
      <c r="AD48" t="s">
        <v>773</v>
      </c>
      <c r="AE48" s="27">
        <v>3488</v>
      </c>
      <c r="AF48">
        <v>16265</v>
      </c>
      <c r="AH48">
        <v>0</v>
      </c>
    </row>
    <row r="49" spans="1:34" hidden="1">
      <c r="A49" s="38" t="s">
        <v>961</v>
      </c>
      <c r="B49" s="38">
        <v>789</v>
      </c>
      <c r="C49" s="38">
        <v>638</v>
      </c>
      <c r="D49" s="38">
        <v>560</v>
      </c>
      <c r="E49" s="38">
        <v>595</v>
      </c>
      <c r="F49" s="38">
        <v>668</v>
      </c>
      <c r="G49" s="38">
        <v>611</v>
      </c>
      <c r="H49" s="38">
        <v>761</v>
      </c>
      <c r="I49" s="38">
        <v>780</v>
      </c>
      <c r="J49" s="38">
        <v>653</v>
      </c>
      <c r="K49">
        <v>783</v>
      </c>
      <c r="L49">
        <v>937</v>
      </c>
      <c r="M49">
        <v>780</v>
      </c>
      <c r="N49">
        <v>968</v>
      </c>
      <c r="O49">
        <v>275</v>
      </c>
      <c r="P49">
        <v>276</v>
      </c>
      <c r="Q49">
        <v>276</v>
      </c>
      <c r="R49">
        <v>278</v>
      </c>
      <c r="S49">
        <v>308</v>
      </c>
      <c r="T49">
        <v>290</v>
      </c>
      <c r="U49">
        <v>378</v>
      </c>
      <c r="V49">
        <v>367</v>
      </c>
      <c r="W49">
        <v>315</v>
      </c>
      <c r="X49">
        <v>403</v>
      </c>
      <c r="Y49">
        <v>498</v>
      </c>
      <c r="Z49">
        <v>410</v>
      </c>
      <c r="AA49">
        <v>531</v>
      </c>
      <c r="AD49" t="s">
        <v>872</v>
      </c>
      <c r="AE49" s="27">
        <v>5377</v>
      </c>
      <c r="AF49">
        <v>25769</v>
      </c>
      <c r="AG49">
        <v>5780</v>
      </c>
      <c r="AH49">
        <v>29652</v>
      </c>
    </row>
    <row r="50" spans="1:34" hidden="1">
      <c r="A50" s="38" t="s">
        <v>1071</v>
      </c>
      <c r="B50" s="38">
        <v>598</v>
      </c>
      <c r="C50" s="38">
        <v>376</v>
      </c>
      <c r="D50" s="38">
        <v>314</v>
      </c>
      <c r="E50" s="38">
        <v>285</v>
      </c>
      <c r="F50" s="38">
        <v>298</v>
      </c>
      <c r="G50" s="38">
        <v>282</v>
      </c>
      <c r="H50" s="38">
        <v>327</v>
      </c>
      <c r="I50" s="38">
        <v>376</v>
      </c>
      <c r="J50" s="38">
        <v>344</v>
      </c>
      <c r="K50">
        <v>251</v>
      </c>
      <c r="L50">
        <v>288</v>
      </c>
      <c r="M50">
        <v>269</v>
      </c>
      <c r="N50">
        <v>411</v>
      </c>
      <c r="O50">
        <v>210</v>
      </c>
      <c r="P50">
        <v>147</v>
      </c>
      <c r="Q50">
        <v>148</v>
      </c>
      <c r="R50">
        <v>123</v>
      </c>
      <c r="S50">
        <v>135</v>
      </c>
      <c r="T50">
        <v>114</v>
      </c>
      <c r="U50">
        <v>137</v>
      </c>
      <c r="V50">
        <v>182</v>
      </c>
      <c r="W50">
        <v>167</v>
      </c>
      <c r="X50">
        <v>139</v>
      </c>
      <c r="Y50">
        <v>132</v>
      </c>
      <c r="Z50">
        <v>114</v>
      </c>
      <c r="AA50">
        <v>159</v>
      </c>
      <c r="AD50" t="s">
        <v>791</v>
      </c>
      <c r="AE50" s="27">
        <v>633</v>
      </c>
      <c r="AF50">
        <v>2757</v>
      </c>
      <c r="AH50">
        <v>0</v>
      </c>
    </row>
    <row r="51" spans="1:34" hidden="1">
      <c r="A51" s="38" t="s">
        <v>180</v>
      </c>
      <c r="B51" s="38">
        <v>3107</v>
      </c>
      <c r="C51" s="38">
        <v>2997</v>
      </c>
      <c r="D51" s="38">
        <v>6966</v>
      </c>
      <c r="E51" s="38">
        <v>2340</v>
      </c>
      <c r="F51" s="38">
        <v>1935</v>
      </c>
      <c r="G51" s="38">
        <v>2093</v>
      </c>
      <c r="H51" s="38">
        <v>1135</v>
      </c>
      <c r="I51" s="38">
        <v>2075</v>
      </c>
      <c r="J51" s="38">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793</v>
      </c>
      <c r="AE51" s="27">
        <v>1412</v>
      </c>
      <c r="AF51">
        <v>5438</v>
      </c>
      <c r="AG51">
        <v>1615</v>
      </c>
      <c r="AH51">
        <v>5779</v>
      </c>
    </row>
    <row r="52" spans="1:34" hidden="1">
      <c r="A52" s="38" t="s">
        <v>471</v>
      </c>
      <c r="B52" s="38">
        <v>1714</v>
      </c>
      <c r="C52" s="38">
        <v>1951</v>
      </c>
      <c r="D52" s="38">
        <v>1431</v>
      </c>
      <c r="E52" s="38">
        <v>1568</v>
      </c>
      <c r="F52" s="38">
        <v>1278</v>
      </c>
      <c r="G52" s="38">
        <v>880</v>
      </c>
      <c r="H52" s="38">
        <v>971</v>
      </c>
      <c r="I52" s="38">
        <v>712</v>
      </c>
      <c r="J52" s="38">
        <v>1022</v>
      </c>
      <c r="K52">
        <v>904</v>
      </c>
      <c r="L52">
        <v>845</v>
      </c>
      <c r="M52">
        <v>764</v>
      </c>
      <c r="N52">
        <v>962</v>
      </c>
      <c r="O52">
        <v>290</v>
      </c>
      <c r="P52">
        <v>329</v>
      </c>
      <c r="Q52">
        <v>287</v>
      </c>
      <c r="R52">
        <v>267</v>
      </c>
      <c r="S52">
        <v>216</v>
      </c>
      <c r="T52">
        <v>192</v>
      </c>
      <c r="U52">
        <v>240</v>
      </c>
      <c r="V52">
        <v>217</v>
      </c>
      <c r="W52">
        <v>204</v>
      </c>
      <c r="X52">
        <v>234</v>
      </c>
      <c r="Y52">
        <v>239</v>
      </c>
      <c r="Z52">
        <v>213</v>
      </c>
      <c r="AA52">
        <v>274</v>
      </c>
      <c r="AD52" t="s">
        <v>190</v>
      </c>
      <c r="AE52" s="27">
        <v>829</v>
      </c>
      <c r="AF52">
        <v>3547</v>
      </c>
      <c r="AH52">
        <v>0</v>
      </c>
    </row>
    <row r="53" spans="1:34" hidden="1">
      <c r="A53" s="38" t="s">
        <v>793</v>
      </c>
      <c r="B53" s="38">
        <v>0</v>
      </c>
      <c r="C53" s="38">
        <v>0</v>
      </c>
      <c r="D53" s="38">
        <v>0</v>
      </c>
      <c r="E53" s="38">
        <v>0</v>
      </c>
      <c r="F53" s="38">
        <v>1346</v>
      </c>
      <c r="G53" s="38">
        <v>1294</v>
      </c>
      <c r="H53" s="38">
        <v>1208</v>
      </c>
      <c r="I53" s="38">
        <v>1210</v>
      </c>
      <c r="J53" s="38">
        <v>1161</v>
      </c>
      <c r="K53">
        <v>1136</v>
      </c>
      <c r="L53">
        <v>1060</v>
      </c>
      <c r="M53">
        <v>912</v>
      </c>
      <c r="N53">
        <v>1478</v>
      </c>
      <c r="O53">
        <v>0</v>
      </c>
      <c r="P53">
        <v>0</v>
      </c>
      <c r="Q53">
        <v>0</v>
      </c>
      <c r="R53">
        <v>0</v>
      </c>
      <c r="S53">
        <v>389</v>
      </c>
      <c r="T53">
        <v>384</v>
      </c>
      <c r="U53">
        <v>323</v>
      </c>
      <c r="V53">
        <v>350</v>
      </c>
      <c r="W53">
        <v>336</v>
      </c>
      <c r="X53">
        <v>331</v>
      </c>
      <c r="Y53">
        <v>309</v>
      </c>
      <c r="Z53">
        <v>267</v>
      </c>
      <c r="AA53">
        <v>409</v>
      </c>
      <c r="AD53" t="s">
        <v>606</v>
      </c>
      <c r="AE53" s="27">
        <v>3176</v>
      </c>
      <c r="AF53">
        <v>14241</v>
      </c>
      <c r="AG53">
        <v>2909</v>
      </c>
      <c r="AH53">
        <v>12706</v>
      </c>
    </row>
    <row r="54" spans="1:34" hidden="1">
      <c r="A54" s="38" t="s">
        <v>425</v>
      </c>
      <c r="B54" s="38">
        <v>1713</v>
      </c>
      <c r="C54" s="38">
        <v>2945</v>
      </c>
      <c r="D54" s="38">
        <v>4035</v>
      </c>
      <c r="E54" s="38">
        <v>1162</v>
      </c>
      <c r="F54" s="38">
        <v>888</v>
      </c>
      <c r="G54" s="38">
        <v>964</v>
      </c>
      <c r="H54" s="38">
        <v>928</v>
      </c>
      <c r="I54" s="38">
        <v>975</v>
      </c>
      <c r="J54" s="38">
        <v>957</v>
      </c>
      <c r="K54">
        <v>893</v>
      </c>
      <c r="L54">
        <v>838</v>
      </c>
      <c r="M54">
        <v>850</v>
      </c>
      <c r="N54">
        <v>1169</v>
      </c>
      <c r="O54">
        <v>321</v>
      </c>
      <c r="P54">
        <v>480</v>
      </c>
      <c r="Q54">
        <v>520</v>
      </c>
      <c r="R54">
        <v>342</v>
      </c>
      <c r="S54">
        <v>289</v>
      </c>
      <c r="T54">
        <v>244</v>
      </c>
      <c r="U54">
        <v>235</v>
      </c>
      <c r="V54">
        <v>308</v>
      </c>
      <c r="W54">
        <v>285</v>
      </c>
      <c r="X54">
        <v>268</v>
      </c>
      <c r="Y54">
        <v>233</v>
      </c>
      <c r="Z54">
        <v>263</v>
      </c>
      <c r="AA54">
        <v>365</v>
      </c>
      <c r="AD54" t="s">
        <v>375</v>
      </c>
      <c r="AE54" s="27">
        <v>775</v>
      </c>
      <c r="AF54">
        <v>3944</v>
      </c>
      <c r="AH54">
        <v>0</v>
      </c>
    </row>
    <row r="55" spans="1:34" hidden="1">
      <c r="A55" s="38" t="s">
        <v>1752</v>
      </c>
      <c r="B55" s="38">
        <v>0</v>
      </c>
      <c r="C55" s="38">
        <v>0</v>
      </c>
      <c r="D55" s="38">
        <v>0</v>
      </c>
      <c r="E55" s="38">
        <v>0</v>
      </c>
      <c r="F55" s="38">
        <v>0</v>
      </c>
      <c r="G55" s="38">
        <v>0</v>
      </c>
      <c r="H55" s="38">
        <v>0</v>
      </c>
      <c r="I55" s="38">
        <v>0</v>
      </c>
      <c r="J55" s="38">
        <v>0</v>
      </c>
      <c r="K55">
        <v>692</v>
      </c>
      <c r="L55">
        <v>130</v>
      </c>
      <c r="M55">
        <v>487</v>
      </c>
      <c r="N55">
        <v>78</v>
      </c>
      <c r="O55">
        <v>0</v>
      </c>
      <c r="P55">
        <v>0</v>
      </c>
      <c r="Q55">
        <v>0</v>
      </c>
      <c r="R55">
        <v>0</v>
      </c>
      <c r="S55">
        <v>0</v>
      </c>
      <c r="T55">
        <v>0</v>
      </c>
      <c r="U55">
        <v>0</v>
      </c>
      <c r="V55">
        <v>0</v>
      </c>
      <c r="W55">
        <v>0</v>
      </c>
      <c r="X55">
        <v>2</v>
      </c>
      <c r="Y55">
        <v>27</v>
      </c>
      <c r="Z55">
        <v>45</v>
      </c>
      <c r="AA55">
        <v>1</v>
      </c>
      <c r="AD55" t="s">
        <v>111</v>
      </c>
      <c r="AE55" s="27">
        <v>652</v>
      </c>
      <c r="AF55">
        <v>4042</v>
      </c>
      <c r="AG55">
        <v>684</v>
      </c>
      <c r="AH55">
        <v>4399</v>
      </c>
    </row>
    <row r="56" spans="1:34" hidden="1">
      <c r="A56" s="38" t="s">
        <v>1137</v>
      </c>
      <c r="B56" s="38">
        <v>705</v>
      </c>
      <c r="C56" s="38">
        <v>778</v>
      </c>
      <c r="D56" s="38">
        <v>1098</v>
      </c>
      <c r="E56" s="38">
        <v>862</v>
      </c>
      <c r="F56" s="38">
        <v>999</v>
      </c>
      <c r="G56" s="38">
        <v>968</v>
      </c>
      <c r="H56" s="38">
        <v>794</v>
      </c>
      <c r="I56" s="38">
        <v>740</v>
      </c>
      <c r="J56" s="38">
        <v>644</v>
      </c>
      <c r="K56">
        <v>526</v>
      </c>
      <c r="L56">
        <v>629</v>
      </c>
      <c r="M56">
        <v>505</v>
      </c>
      <c r="N56">
        <v>505</v>
      </c>
      <c r="O56">
        <v>218</v>
      </c>
      <c r="P56">
        <v>267</v>
      </c>
      <c r="Q56">
        <v>238</v>
      </c>
      <c r="R56">
        <v>239</v>
      </c>
      <c r="S56">
        <v>315</v>
      </c>
      <c r="T56">
        <v>281</v>
      </c>
      <c r="U56">
        <v>270</v>
      </c>
      <c r="V56">
        <v>279</v>
      </c>
      <c r="W56">
        <v>243</v>
      </c>
      <c r="X56">
        <v>213</v>
      </c>
      <c r="Y56">
        <v>273</v>
      </c>
      <c r="Z56">
        <v>212</v>
      </c>
      <c r="AA56">
        <v>257</v>
      </c>
      <c r="AD56" t="s">
        <v>509</v>
      </c>
      <c r="AE56" s="27">
        <v>7423</v>
      </c>
      <c r="AF56">
        <v>30685</v>
      </c>
      <c r="AG56">
        <v>9541</v>
      </c>
      <c r="AH56">
        <v>38305</v>
      </c>
    </row>
    <row r="57" spans="1:34" hidden="1">
      <c r="A57" s="38" t="s">
        <v>982</v>
      </c>
      <c r="B57" s="38">
        <v>1649</v>
      </c>
      <c r="C57" s="38">
        <v>812</v>
      </c>
      <c r="D57" s="38">
        <v>0</v>
      </c>
      <c r="E57" s="38">
        <v>2488</v>
      </c>
      <c r="F57" s="38">
        <v>1265</v>
      </c>
      <c r="G57" s="38">
        <v>1119</v>
      </c>
      <c r="H57" s="38">
        <v>1033</v>
      </c>
      <c r="I57" s="38">
        <v>1417</v>
      </c>
      <c r="J57" s="38">
        <v>1890</v>
      </c>
      <c r="K57">
        <v>1181</v>
      </c>
      <c r="L57">
        <v>1588</v>
      </c>
      <c r="M57">
        <v>1385</v>
      </c>
      <c r="N57">
        <v>2365</v>
      </c>
      <c r="O57">
        <v>272</v>
      </c>
      <c r="P57">
        <v>58</v>
      </c>
      <c r="Q57">
        <v>0</v>
      </c>
      <c r="R57">
        <v>136</v>
      </c>
      <c r="S57">
        <v>69</v>
      </c>
      <c r="T57">
        <v>121</v>
      </c>
      <c r="U57">
        <v>601</v>
      </c>
      <c r="V57">
        <v>357</v>
      </c>
      <c r="W57">
        <v>927</v>
      </c>
      <c r="X57">
        <v>405</v>
      </c>
      <c r="Y57">
        <v>941</v>
      </c>
      <c r="Z57">
        <v>778</v>
      </c>
      <c r="AA57">
        <v>1179</v>
      </c>
      <c r="AD57" t="s">
        <v>638</v>
      </c>
      <c r="AE57" s="27">
        <v>1327</v>
      </c>
      <c r="AF57">
        <v>11643</v>
      </c>
      <c r="AG57">
        <v>1380</v>
      </c>
      <c r="AH57">
        <v>10923</v>
      </c>
    </row>
    <row r="58" spans="1:34" hidden="1">
      <c r="A58" s="38" t="s">
        <v>1181</v>
      </c>
      <c r="B58" s="38">
        <v>600</v>
      </c>
      <c r="C58" s="38">
        <v>710</v>
      </c>
      <c r="D58" s="38">
        <v>611</v>
      </c>
      <c r="E58" s="38">
        <v>504</v>
      </c>
      <c r="F58" s="38">
        <v>427</v>
      </c>
      <c r="G58" s="38">
        <v>647</v>
      </c>
      <c r="H58" s="38">
        <v>517</v>
      </c>
      <c r="I58" s="38">
        <v>693</v>
      </c>
      <c r="J58" s="38">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313</v>
      </c>
      <c r="AE58" s="27">
        <v>932</v>
      </c>
      <c r="AF58">
        <v>4545</v>
      </c>
      <c r="AH58">
        <v>0</v>
      </c>
    </row>
    <row r="59" spans="1:34" hidden="1">
      <c r="A59" s="38" t="s">
        <v>877</v>
      </c>
      <c r="B59" s="38">
        <v>6904</v>
      </c>
      <c r="C59" s="38">
        <v>6392</v>
      </c>
      <c r="D59" s="38">
        <v>5424</v>
      </c>
      <c r="E59" s="38">
        <v>5782</v>
      </c>
      <c r="F59" s="38">
        <v>5396</v>
      </c>
      <c r="G59" s="38">
        <v>5490</v>
      </c>
      <c r="H59" s="38">
        <v>4963</v>
      </c>
      <c r="I59" s="38">
        <v>6007</v>
      </c>
      <c r="J59" s="38">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723</v>
      </c>
      <c r="AE59" s="27">
        <v>1214</v>
      </c>
      <c r="AF59">
        <v>4168</v>
      </c>
      <c r="AH59">
        <v>0</v>
      </c>
    </row>
    <row r="60" spans="1:34" hidden="1">
      <c r="A60" s="38" t="s">
        <v>1009</v>
      </c>
      <c r="B60" s="38">
        <v>1711</v>
      </c>
      <c r="C60" s="38">
        <v>1416</v>
      </c>
      <c r="D60" s="38">
        <v>900</v>
      </c>
      <c r="E60" s="38">
        <v>932</v>
      </c>
      <c r="F60" s="38">
        <v>700</v>
      </c>
      <c r="G60" s="38">
        <v>565</v>
      </c>
      <c r="H60" s="38">
        <v>1216</v>
      </c>
      <c r="I60" s="38">
        <v>1004</v>
      </c>
      <c r="J60" s="38">
        <v>972</v>
      </c>
      <c r="K60">
        <v>613</v>
      </c>
      <c r="L60">
        <v>602</v>
      </c>
      <c r="M60">
        <v>649</v>
      </c>
      <c r="N60">
        <v>1002</v>
      </c>
      <c r="O60">
        <v>621</v>
      </c>
      <c r="P60">
        <v>579</v>
      </c>
      <c r="Q60">
        <v>398</v>
      </c>
      <c r="R60">
        <v>453</v>
      </c>
      <c r="S60">
        <v>393</v>
      </c>
      <c r="T60">
        <v>319</v>
      </c>
      <c r="U60">
        <v>885</v>
      </c>
      <c r="V60">
        <v>469</v>
      </c>
      <c r="W60">
        <v>437</v>
      </c>
      <c r="X60">
        <v>346</v>
      </c>
      <c r="Y60">
        <v>294</v>
      </c>
      <c r="Z60">
        <v>315</v>
      </c>
      <c r="AA60">
        <v>432</v>
      </c>
      <c r="AD60" t="s">
        <v>254</v>
      </c>
      <c r="AE60" s="27">
        <v>1982</v>
      </c>
      <c r="AF60">
        <v>4535</v>
      </c>
      <c r="AG60">
        <v>1664</v>
      </c>
      <c r="AH60">
        <v>3195</v>
      </c>
    </row>
    <row r="61" spans="1:34" hidden="1">
      <c r="A61" s="38" t="s">
        <v>1218</v>
      </c>
      <c r="B61" s="38">
        <v>2915</v>
      </c>
      <c r="C61" s="38">
        <v>1681</v>
      </c>
      <c r="D61" s="38">
        <v>1501</v>
      </c>
      <c r="E61" s="38">
        <v>1123</v>
      </c>
      <c r="F61" s="38">
        <v>1016</v>
      </c>
      <c r="G61" s="38">
        <v>1109</v>
      </c>
      <c r="H61" s="38">
        <v>1044</v>
      </c>
      <c r="I61" s="38">
        <v>1063</v>
      </c>
      <c r="J61" s="38">
        <v>1121</v>
      </c>
      <c r="K61">
        <v>969</v>
      </c>
      <c r="L61">
        <v>941</v>
      </c>
      <c r="M61">
        <v>776</v>
      </c>
      <c r="N61">
        <v>1013</v>
      </c>
      <c r="O61">
        <v>711</v>
      </c>
      <c r="P61">
        <v>395</v>
      </c>
      <c r="Q61">
        <v>379</v>
      </c>
      <c r="R61">
        <v>335</v>
      </c>
      <c r="S61">
        <v>335</v>
      </c>
      <c r="T61">
        <v>385</v>
      </c>
      <c r="U61">
        <v>318</v>
      </c>
      <c r="V61">
        <v>379</v>
      </c>
      <c r="W61">
        <v>354</v>
      </c>
      <c r="X61">
        <v>342</v>
      </c>
      <c r="Y61">
        <v>353</v>
      </c>
      <c r="Z61">
        <v>276</v>
      </c>
      <c r="AA61">
        <v>385</v>
      </c>
      <c r="AD61" s="26" t="s">
        <v>713</v>
      </c>
      <c r="AE61" s="27">
        <v>1254</v>
      </c>
      <c r="AF61">
        <v>8932</v>
      </c>
      <c r="AG61">
        <v>767</v>
      </c>
      <c r="AH61">
        <v>5607</v>
      </c>
    </row>
    <row r="62" spans="1:34" hidden="1">
      <c r="A62" s="38" t="s">
        <v>771</v>
      </c>
      <c r="B62" s="38">
        <v>2151</v>
      </c>
      <c r="C62" s="38">
        <v>2594</v>
      </c>
      <c r="D62" s="38">
        <v>6699</v>
      </c>
      <c r="E62" s="38">
        <v>2080</v>
      </c>
      <c r="F62" s="38">
        <v>2415</v>
      </c>
      <c r="G62" s="38">
        <v>2029</v>
      </c>
      <c r="H62" s="38">
        <v>2033</v>
      </c>
      <c r="I62" s="38">
        <v>2191</v>
      </c>
      <c r="J62" s="38">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341</v>
      </c>
      <c r="AE62" s="27">
        <v>971</v>
      </c>
      <c r="AF62">
        <v>5979</v>
      </c>
      <c r="AG62">
        <v>844</v>
      </c>
      <c r="AH62">
        <v>5430</v>
      </c>
    </row>
    <row r="63" spans="1:34" hidden="1">
      <c r="A63" s="38" t="s">
        <v>477</v>
      </c>
      <c r="B63" s="38">
        <v>1075</v>
      </c>
      <c r="C63" s="38">
        <v>1310</v>
      </c>
      <c r="D63" s="38">
        <v>1452</v>
      </c>
      <c r="E63" s="38">
        <v>1196</v>
      </c>
      <c r="F63" s="38">
        <v>1309</v>
      </c>
      <c r="G63" s="38">
        <v>912</v>
      </c>
      <c r="H63" s="38">
        <v>937</v>
      </c>
      <c r="I63" s="38">
        <v>918</v>
      </c>
      <c r="J63" s="38">
        <v>765</v>
      </c>
      <c r="K63">
        <v>547</v>
      </c>
      <c r="L63">
        <v>687</v>
      </c>
      <c r="M63">
        <v>727</v>
      </c>
      <c r="N63">
        <v>1318</v>
      </c>
      <c r="O63">
        <v>183</v>
      </c>
      <c r="P63">
        <v>235</v>
      </c>
      <c r="Q63">
        <v>261</v>
      </c>
      <c r="R63">
        <v>189</v>
      </c>
      <c r="S63">
        <v>244</v>
      </c>
      <c r="T63">
        <v>198</v>
      </c>
      <c r="U63">
        <v>167</v>
      </c>
      <c r="V63">
        <v>205</v>
      </c>
      <c r="W63">
        <v>149</v>
      </c>
      <c r="X63">
        <v>119</v>
      </c>
      <c r="Y63">
        <v>124</v>
      </c>
      <c r="Z63">
        <v>169</v>
      </c>
      <c r="AA63">
        <v>206</v>
      </c>
      <c r="AD63" t="s">
        <v>883</v>
      </c>
      <c r="AE63" s="27">
        <v>3925</v>
      </c>
      <c r="AF63">
        <v>15541</v>
      </c>
      <c r="AG63">
        <v>3954</v>
      </c>
      <c r="AH63">
        <v>14023</v>
      </c>
    </row>
    <row r="64" spans="1:34" hidden="1">
      <c r="A64" s="38" t="s">
        <v>580</v>
      </c>
      <c r="B64" s="38">
        <v>1071</v>
      </c>
      <c r="C64" s="38">
        <v>1232</v>
      </c>
      <c r="D64" s="38">
        <v>1079</v>
      </c>
      <c r="E64" s="38">
        <v>1252</v>
      </c>
      <c r="F64" s="38">
        <v>968</v>
      </c>
      <c r="G64" s="38">
        <v>924</v>
      </c>
      <c r="H64" s="38">
        <v>867</v>
      </c>
      <c r="I64" s="38">
        <v>710</v>
      </c>
      <c r="J64" s="38">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1658</v>
      </c>
      <c r="AE64" s="27">
        <v>470</v>
      </c>
      <c r="AF64">
        <v>1786</v>
      </c>
      <c r="AH64">
        <v>0</v>
      </c>
    </row>
    <row r="65" spans="1:34" hidden="1">
      <c r="A65" s="38" t="s">
        <v>813</v>
      </c>
      <c r="B65" s="38">
        <v>4762</v>
      </c>
      <c r="C65" s="38">
        <v>5839</v>
      </c>
      <c r="D65" s="38">
        <v>5526</v>
      </c>
      <c r="E65" s="38">
        <v>12099</v>
      </c>
      <c r="F65" s="38">
        <v>5977</v>
      </c>
      <c r="G65" s="38">
        <v>9576</v>
      </c>
      <c r="H65" s="38">
        <v>13936</v>
      </c>
      <c r="I65" s="38">
        <v>8649</v>
      </c>
      <c r="J65" s="38">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443</v>
      </c>
      <c r="AE65" s="27">
        <v>2026</v>
      </c>
      <c r="AF65">
        <v>10626</v>
      </c>
      <c r="AG65">
        <v>1840</v>
      </c>
      <c r="AH65">
        <v>7932</v>
      </c>
    </row>
    <row r="66" spans="1:34" hidden="1">
      <c r="A66" s="38" t="s">
        <v>339</v>
      </c>
      <c r="B66" s="38">
        <v>0</v>
      </c>
      <c r="C66" s="38">
        <v>0</v>
      </c>
      <c r="D66" s="38">
        <v>441</v>
      </c>
      <c r="E66" s="38">
        <v>1139</v>
      </c>
      <c r="F66" s="38">
        <v>932</v>
      </c>
      <c r="G66" s="38">
        <v>832</v>
      </c>
      <c r="H66" s="38">
        <v>1086</v>
      </c>
      <c r="I66" s="38">
        <v>954</v>
      </c>
      <c r="J66" s="38">
        <v>834</v>
      </c>
      <c r="K66">
        <v>1064</v>
      </c>
      <c r="L66">
        <v>1104</v>
      </c>
      <c r="M66">
        <v>1099</v>
      </c>
      <c r="N66">
        <v>1295</v>
      </c>
      <c r="O66">
        <v>0</v>
      </c>
      <c r="P66">
        <v>0</v>
      </c>
      <c r="Q66">
        <v>115</v>
      </c>
      <c r="R66">
        <v>298</v>
      </c>
      <c r="S66">
        <v>212</v>
      </c>
      <c r="T66">
        <v>205</v>
      </c>
      <c r="U66">
        <v>240</v>
      </c>
      <c r="V66">
        <v>221</v>
      </c>
      <c r="W66">
        <v>219</v>
      </c>
      <c r="X66">
        <v>292</v>
      </c>
      <c r="Y66">
        <v>273</v>
      </c>
      <c r="Z66">
        <v>242</v>
      </c>
      <c r="AA66">
        <v>338</v>
      </c>
      <c r="AD66" t="s">
        <v>622</v>
      </c>
      <c r="AE66" s="27">
        <v>2247</v>
      </c>
      <c r="AF66">
        <v>9320</v>
      </c>
      <c r="AG66">
        <v>2293</v>
      </c>
      <c r="AH66">
        <v>8955</v>
      </c>
    </row>
    <row r="67" spans="1:34" hidden="1">
      <c r="A67" s="38" t="s">
        <v>1657</v>
      </c>
      <c r="B67" s="38">
        <v>1074</v>
      </c>
      <c r="C67" s="38">
        <v>995</v>
      </c>
      <c r="D67" s="38">
        <v>1182</v>
      </c>
      <c r="E67" s="38">
        <v>780</v>
      </c>
      <c r="F67" s="38">
        <v>771</v>
      </c>
      <c r="G67" s="38">
        <v>652</v>
      </c>
      <c r="H67" s="38">
        <v>675</v>
      </c>
      <c r="I67" s="38">
        <v>672</v>
      </c>
      <c r="J67" s="38">
        <v>676</v>
      </c>
      <c r="K67">
        <v>0</v>
      </c>
      <c r="L67">
        <v>0</v>
      </c>
      <c r="M67">
        <v>0</v>
      </c>
      <c r="N67">
        <v>0</v>
      </c>
      <c r="O67">
        <v>182</v>
      </c>
      <c r="P67">
        <v>154</v>
      </c>
      <c r="Q67">
        <v>206</v>
      </c>
      <c r="R67">
        <v>133</v>
      </c>
      <c r="S67">
        <v>166</v>
      </c>
      <c r="T67">
        <v>137</v>
      </c>
      <c r="U67">
        <v>137</v>
      </c>
      <c r="V67">
        <v>137</v>
      </c>
      <c r="W67">
        <v>143</v>
      </c>
      <c r="X67">
        <v>1</v>
      </c>
      <c r="Y67">
        <v>0</v>
      </c>
      <c r="Z67">
        <v>0</v>
      </c>
      <c r="AA67">
        <v>0</v>
      </c>
      <c r="AD67" t="s">
        <v>785</v>
      </c>
      <c r="AE67" s="27">
        <v>2514</v>
      </c>
      <c r="AF67">
        <v>14408</v>
      </c>
      <c r="AG67">
        <v>2314</v>
      </c>
      <c r="AH67">
        <v>9966</v>
      </c>
    </row>
    <row r="68" spans="1:34" hidden="1">
      <c r="A68" s="38" t="s">
        <v>630</v>
      </c>
      <c r="B68" s="38">
        <v>2356</v>
      </c>
      <c r="C68" s="38">
        <v>4166</v>
      </c>
      <c r="D68" s="38">
        <v>4947</v>
      </c>
      <c r="E68" s="38">
        <v>1743</v>
      </c>
      <c r="F68" s="38">
        <v>2316</v>
      </c>
      <c r="G68" s="38">
        <v>535</v>
      </c>
      <c r="H68" s="38">
        <v>1144</v>
      </c>
      <c r="I68" s="38">
        <v>1118</v>
      </c>
      <c r="J68" s="38">
        <v>892</v>
      </c>
      <c r="K68">
        <v>691</v>
      </c>
      <c r="L68">
        <v>583</v>
      </c>
      <c r="M68">
        <v>612</v>
      </c>
      <c r="N68">
        <v>1172</v>
      </c>
      <c r="O68">
        <v>405</v>
      </c>
      <c r="P68">
        <v>438</v>
      </c>
      <c r="Q68">
        <v>614</v>
      </c>
      <c r="R68">
        <v>437</v>
      </c>
      <c r="S68">
        <v>515</v>
      </c>
      <c r="T68">
        <v>70</v>
      </c>
      <c r="U68">
        <v>306</v>
      </c>
      <c r="V68">
        <v>283</v>
      </c>
      <c r="W68">
        <v>319</v>
      </c>
      <c r="X68">
        <v>248</v>
      </c>
      <c r="Y68">
        <v>190</v>
      </c>
      <c r="Z68">
        <v>193</v>
      </c>
      <c r="AA68">
        <v>367</v>
      </c>
      <c r="AD68" t="s">
        <v>222</v>
      </c>
      <c r="AE68" s="27">
        <v>666</v>
      </c>
      <c r="AF68">
        <v>3291</v>
      </c>
      <c r="AH68">
        <v>0</v>
      </c>
    </row>
    <row r="69" spans="1:34" hidden="1">
      <c r="A69" s="38" t="s">
        <v>1189</v>
      </c>
      <c r="B69" s="38">
        <v>842</v>
      </c>
      <c r="C69" s="38">
        <v>638</v>
      </c>
      <c r="D69" s="38">
        <v>426</v>
      </c>
      <c r="E69" s="38">
        <v>403</v>
      </c>
      <c r="F69" s="38">
        <v>359</v>
      </c>
      <c r="G69" s="38">
        <v>317</v>
      </c>
      <c r="H69" s="38">
        <v>310</v>
      </c>
      <c r="I69" s="38">
        <v>362</v>
      </c>
      <c r="J69" s="38">
        <v>322</v>
      </c>
      <c r="K69">
        <v>435</v>
      </c>
      <c r="L69">
        <v>490</v>
      </c>
      <c r="M69">
        <v>312</v>
      </c>
      <c r="N69">
        <v>424</v>
      </c>
      <c r="O69">
        <v>359</v>
      </c>
      <c r="P69">
        <v>265</v>
      </c>
      <c r="Q69">
        <v>199</v>
      </c>
      <c r="R69">
        <v>236</v>
      </c>
      <c r="S69">
        <v>248</v>
      </c>
      <c r="T69">
        <v>210</v>
      </c>
      <c r="U69">
        <v>199</v>
      </c>
      <c r="V69">
        <v>217</v>
      </c>
      <c r="W69">
        <v>221</v>
      </c>
      <c r="X69">
        <v>270</v>
      </c>
      <c r="Y69">
        <v>297</v>
      </c>
      <c r="Z69">
        <v>204</v>
      </c>
      <c r="AA69">
        <v>289</v>
      </c>
      <c r="AD69" t="s">
        <v>858</v>
      </c>
      <c r="AE69" s="27">
        <v>2677</v>
      </c>
      <c r="AF69">
        <v>7629</v>
      </c>
      <c r="AG69">
        <v>3124</v>
      </c>
      <c r="AH69">
        <v>9860</v>
      </c>
    </row>
    <row r="70" spans="1:34" hidden="1">
      <c r="A70" s="38" t="s">
        <v>1185</v>
      </c>
      <c r="B70" s="38">
        <v>806</v>
      </c>
      <c r="C70" s="38">
        <v>802</v>
      </c>
      <c r="D70" s="38">
        <v>1030</v>
      </c>
      <c r="E70" s="38">
        <v>913</v>
      </c>
      <c r="F70" s="38">
        <v>725</v>
      </c>
      <c r="G70" s="38">
        <v>689</v>
      </c>
      <c r="H70" s="38">
        <v>571</v>
      </c>
      <c r="I70" s="38">
        <v>568</v>
      </c>
      <c r="J70" s="38">
        <v>586</v>
      </c>
      <c r="K70">
        <v>672</v>
      </c>
      <c r="L70">
        <v>591</v>
      </c>
      <c r="M70">
        <v>557</v>
      </c>
      <c r="N70">
        <v>651</v>
      </c>
      <c r="O70">
        <v>256</v>
      </c>
      <c r="P70">
        <v>313</v>
      </c>
      <c r="Q70">
        <v>304</v>
      </c>
      <c r="R70">
        <v>283</v>
      </c>
      <c r="S70">
        <v>282</v>
      </c>
      <c r="T70">
        <v>268</v>
      </c>
      <c r="U70">
        <v>256</v>
      </c>
      <c r="V70">
        <v>260</v>
      </c>
      <c r="W70">
        <v>290</v>
      </c>
      <c r="X70">
        <v>304</v>
      </c>
      <c r="Y70">
        <v>256</v>
      </c>
      <c r="Z70">
        <v>241</v>
      </c>
      <c r="AA70">
        <v>279</v>
      </c>
      <c r="AD70" t="s">
        <v>850</v>
      </c>
      <c r="AE70" s="27">
        <v>1267</v>
      </c>
      <c r="AF70">
        <v>6553</v>
      </c>
      <c r="AG70">
        <v>1252</v>
      </c>
      <c r="AH70">
        <v>6536</v>
      </c>
    </row>
    <row r="71" spans="1:34" hidden="1">
      <c r="A71" s="38" t="s">
        <v>1121</v>
      </c>
      <c r="B71" s="38">
        <v>308</v>
      </c>
      <c r="C71" s="38">
        <v>509</v>
      </c>
      <c r="D71" s="38">
        <v>351</v>
      </c>
      <c r="E71" s="38">
        <v>429</v>
      </c>
      <c r="F71" s="38">
        <v>224</v>
      </c>
      <c r="G71" s="38">
        <v>241</v>
      </c>
      <c r="H71" s="38">
        <v>274</v>
      </c>
      <c r="I71" s="38">
        <v>272</v>
      </c>
      <c r="J71" s="38">
        <v>311</v>
      </c>
      <c r="K71">
        <v>348</v>
      </c>
      <c r="L71">
        <v>386</v>
      </c>
      <c r="M71">
        <v>287</v>
      </c>
      <c r="N71">
        <v>355</v>
      </c>
      <c r="O71">
        <v>122</v>
      </c>
      <c r="P71">
        <v>139</v>
      </c>
      <c r="Q71">
        <v>99</v>
      </c>
      <c r="R71">
        <v>142</v>
      </c>
      <c r="S71">
        <v>80</v>
      </c>
      <c r="T71">
        <v>87</v>
      </c>
      <c r="U71">
        <v>97</v>
      </c>
      <c r="V71">
        <v>105</v>
      </c>
      <c r="W71">
        <v>116</v>
      </c>
      <c r="X71">
        <v>109</v>
      </c>
      <c r="Y71">
        <v>171</v>
      </c>
      <c r="Z71">
        <v>103</v>
      </c>
      <c r="AA71">
        <v>169</v>
      </c>
      <c r="AD71" t="s">
        <v>707</v>
      </c>
      <c r="AE71" s="27">
        <v>1937</v>
      </c>
      <c r="AF71">
        <v>8681</v>
      </c>
      <c r="AG71">
        <v>1898</v>
      </c>
      <c r="AH71">
        <v>8948</v>
      </c>
    </row>
    <row r="72" spans="1:34" hidden="1">
      <c r="A72" s="38" t="s">
        <v>1003</v>
      </c>
      <c r="B72" s="38">
        <v>2377</v>
      </c>
      <c r="C72" s="38">
        <v>2225</v>
      </c>
      <c r="D72" s="38">
        <v>1589</v>
      </c>
      <c r="E72" s="38">
        <v>1287</v>
      </c>
      <c r="F72" s="38">
        <v>883</v>
      </c>
      <c r="G72" s="38">
        <v>1077</v>
      </c>
      <c r="H72" s="38">
        <v>1580</v>
      </c>
      <c r="I72" s="38">
        <v>1922</v>
      </c>
      <c r="J72" s="38">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188</v>
      </c>
      <c r="AE72" s="27">
        <v>898</v>
      </c>
      <c r="AF72">
        <v>2535</v>
      </c>
      <c r="AH72">
        <v>0</v>
      </c>
    </row>
    <row r="73" spans="1:34" hidden="1">
      <c r="A73" s="38" t="s">
        <v>840</v>
      </c>
      <c r="B73" s="38">
        <v>2161</v>
      </c>
      <c r="C73" s="38">
        <v>2173</v>
      </c>
      <c r="D73" s="38">
        <v>1377</v>
      </c>
      <c r="E73" s="38">
        <v>1420</v>
      </c>
      <c r="F73" s="38">
        <v>169</v>
      </c>
      <c r="G73" s="38">
        <v>1268</v>
      </c>
      <c r="H73" s="38">
        <v>1048</v>
      </c>
      <c r="I73" s="38">
        <v>1075</v>
      </c>
      <c r="J73" s="38">
        <v>1192</v>
      </c>
      <c r="K73">
        <v>1118</v>
      </c>
      <c r="L73">
        <v>1058</v>
      </c>
      <c r="M73">
        <v>944</v>
      </c>
      <c r="N73">
        <v>1539</v>
      </c>
      <c r="O73">
        <v>410</v>
      </c>
      <c r="P73">
        <v>407</v>
      </c>
      <c r="Q73">
        <v>425</v>
      </c>
      <c r="R73">
        <v>428</v>
      </c>
      <c r="S73">
        <v>7</v>
      </c>
      <c r="T73">
        <v>353</v>
      </c>
      <c r="U73">
        <v>315</v>
      </c>
      <c r="V73">
        <v>306</v>
      </c>
      <c r="W73">
        <v>361</v>
      </c>
      <c r="X73">
        <v>360</v>
      </c>
      <c r="Y73">
        <v>356</v>
      </c>
      <c r="Z73">
        <v>293</v>
      </c>
      <c r="AA73">
        <v>451</v>
      </c>
      <c r="AD73" t="s">
        <v>469</v>
      </c>
      <c r="AE73" s="27">
        <v>866</v>
      </c>
      <c r="AF73">
        <v>4550</v>
      </c>
      <c r="AH73">
        <v>0</v>
      </c>
    </row>
    <row r="74" spans="1:34" hidden="1">
      <c r="A74" s="38" t="s">
        <v>824</v>
      </c>
      <c r="B74" s="38">
        <v>2210</v>
      </c>
      <c r="C74" s="38">
        <v>3028</v>
      </c>
      <c r="D74" s="38">
        <v>3623</v>
      </c>
      <c r="E74" s="38">
        <v>3181</v>
      </c>
      <c r="F74" s="38">
        <v>2203</v>
      </c>
      <c r="G74" s="38">
        <v>2217</v>
      </c>
      <c r="H74" s="38">
        <v>2451</v>
      </c>
      <c r="I74" s="38">
        <v>2601</v>
      </c>
      <c r="J74" s="38">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6" t="s">
        <v>161</v>
      </c>
      <c r="AE74" s="27">
        <v>1675</v>
      </c>
      <c r="AF74">
        <v>10426</v>
      </c>
      <c r="AG74">
        <v>2155</v>
      </c>
      <c r="AH74">
        <v>11551</v>
      </c>
    </row>
    <row r="75" spans="1:34" hidden="1">
      <c r="A75" s="38" t="s">
        <v>820</v>
      </c>
      <c r="B75" s="38">
        <v>7420</v>
      </c>
      <c r="C75" s="38">
        <v>9064</v>
      </c>
      <c r="D75" s="38">
        <v>7113</v>
      </c>
      <c r="E75" s="38">
        <v>7511</v>
      </c>
      <c r="F75" s="38">
        <v>10781</v>
      </c>
      <c r="G75" s="38">
        <v>6137</v>
      </c>
      <c r="H75" s="38">
        <v>4806</v>
      </c>
      <c r="I75" s="38">
        <v>4603</v>
      </c>
      <c r="J75" s="38">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329</v>
      </c>
      <c r="AE75" s="27">
        <v>821</v>
      </c>
      <c r="AF75">
        <v>3505</v>
      </c>
      <c r="AH75">
        <v>0</v>
      </c>
    </row>
    <row r="76" spans="1:34" hidden="1">
      <c r="A76" s="38" t="s">
        <v>33</v>
      </c>
      <c r="B76" s="38">
        <v>14958</v>
      </c>
      <c r="C76" s="38">
        <v>14790</v>
      </c>
      <c r="D76" s="38">
        <v>32925</v>
      </c>
      <c r="E76" s="38">
        <v>57954</v>
      </c>
      <c r="F76" s="38">
        <v>81282</v>
      </c>
      <c r="G76" s="38">
        <v>59715</v>
      </c>
      <c r="H76" s="38">
        <v>27814</v>
      </c>
      <c r="I76" s="38">
        <v>24145</v>
      </c>
      <c r="J76" s="38">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525</v>
      </c>
      <c r="AE76" s="27">
        <v>472</v>
      </c>
      <c r="AF76">
        <v>1955</v>
      </c>
      <c r="AH76">
        <v>0</v>
      </c>
    </row>
    <row r="77" spans="1:34" hidden="1">
      <c r="A77" s="38" t="s">
        <v>467</v>
      </c>
      <c r="B77" s="38">
        <v>784</v>
      </c>
      <c r="C77" s="38">
        <v>894</v>
      </c>
      <c r="D77" s="38">
        <v>1045</v>
      </c>
      <c r="E77" s="38">
        <v>822</v>
      </c>
      <c r="F77" s="38">
        <v>652</v>
      </c>
      <c r="G77" s="38">
        <v>715</v>
      </c>
      <c r="H77" s="38">
        <v>843</v>
      </c>
      <c r="I77" s="38">
        <v>803</v>
      </c>
      <c r="J77" s="38">
        <v>1022</v>
      </c>
      <c r="K77">
        <v>907</v>
      </c>
      <c r="L77">
        <v>734</v>
      </c>
      <c r="M77">
        <v>775</v>
      </c>
      <c r="N77">
        <v>1187</v>
      </c>
      <c r="O77">
        <v>377</v>
      </c>
      <c r="P77">
        <v>441</v>
      </c>
      <c r="Q77">
        <v>437</v>
      </c>
      <c r="R77">
        <v>408</v>
      </c>
      <c r="S77">
        <v>361</v>
      </c>
      <c r="T77">
        <v>403</v>
      </c>
      <c r="U77">
        <v>438</v>
      </c>
      <c r="V77">
        <v>424</v>
      </c>
      <c r="W77">
        <v>514</v>
      </c>
      <c r="X77">
        <v>494</v>
      </c>
      <c r="Y77">
        <v>463</v>
      </c>
      <c r="Z77">
        <v>385</v>
      </c>
      <c r="AA77">
        <v>536</v>
      </c>
      <c r="AD77" t="s">
        <v>335</v>
      </c>
      <c r="AE77" s="27">
        <v>525</v>
      </c>
      <c r="AF77">
        <v>1914</v>
      </c>
      <c r="AH77">
        <v>0</v>
      </c>
    </row>
    <row r="78" spans="1:34" hidden="1">
      <c r="A78" s="38" t="s">
        <v>437</v>
      </c>
      <c r="B78" s="38">
        <v>800</v>
      </c>
      <c r="C78" s="38">
        <v>768</v>
      </c>
      <c r="D78" s="38">
        <v>939</v>
      </c>
      <c r="E78" s="38">
        <v>644</v>
      </c>
      <c r="F78" s="38">
        <v>589</v>
      </c>
      <c r="G78" s="38">
        <v>693</v>
      </c>
      <c r="H78" s="38">
        <v>820</v>
      </c>
      <c r="I78" s="38">
        <v>492</v>
      </c>
      <c r="J78" s="38">
        <v>431</v>
      </c>
      <c r="K78">
        <v>442</v>
      </c>
      <c r="L78">
        <v>378</v>
      </c>
      <c r="M78">
        <v>412</v>
      </c>
      <c r="N78">
        <v>671</v>
      </c>
      <c r="O78">
        <v>139</v>
      </c>
      <c r="P78">
        <v>143</v>
      </c>
      <c r="Q78">
        <v>124</v>
      </c>
      <c r="R78">
        <v>105</v>
      </c>
      <c r="S78">
        <v>94</v>
      </c>
      <c r="T78">
        <v>132</v>
      </c>
      <c r="U78">
        <v>131</v>
      </c>
      <c r="V78">
        <v>96</v>
      </c>
      <c r="W78">
        <v>102</v>
      </c>
      <c r="X78">
        <v>80</v>
      </c>
      <c r="Y78">
        <v>95</v>
      </c>
      <c r="Z78">
        <v>87</v>
      </c>
      <c r="AA78">
        <v>136</v>
      </c>
      <c r="AD78" t="s">
        <v>1686</v>
      </c>
      <c r="AE78" s="27">
        <v>901</v>
      </c>
      <c r="AF78">
        <v>2044</v>
      </c>
      <c r="AH78">
        <v>0</v>
      </c>
    </row>
    <row r="79" spans="1:34" hidden="1">
      <c r="A79" s="38" t="s">
        <v>356</v>
      </c>
      <c r="B79" s="38">
        <v>2815</v>
      </c>
      <c r="C79" s="38">
        <v>1982</v>
      </c>
      <c r="D79" s="38">
        <v>1912</v>
      </c>
      <c r="E79" s="38">
        <v>1912</v>
      </c>
      <c r="F79" s="38">
        <v>1533</v>
      </c>
      <c r="G79" s="38">
        <v>1405</v>
      </c>
      <c r="H79" s="38">
        <v>1810</v>
      </c>
      <c r="I79" s="38">
        <v>1581</v>
      </c>
      <c r="J79" s="38">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727</v>
      </c>
      <c r="AE79" s="27">
        <v>2428</v>
      </c>
      <c r="AF79">
        <v>7026</v>
      </c>
      <c r="AG79">
        <v>2713</v>
      </c>
      <c r="AH79">
        <v>9376</v>
      </c>
    </row>
    <row r="80" spans="1:34" hidden="1">
      <c r="A80" s="38" t="s">
        <v>178</v>
      </c>
      <c r="B80" s="38">
        <v>1231</v>
      </c>
      <c r="C80" s="38">
        <v>1312</v>
      </c>
      <c r="D80" s="38">
        <v>956</v>
      </c>
      <c r="E80" s="38">
        <v>752</v>
      </c>
      <c r="F80" s="38">
        <v>805</v>
      </c>
      <c r="G80" s="38">
        <v>765</v>
      </c>
      <c r="H80" s="38">
        <v>897</v>
      </c>
      <c r="I80" s="38">
        <v>836</v>
      </c>
      <c r="J80" s="38">
        <v>715</v>
      </c>
      <c r="K80">
        <v>852</v>
      </c>
      <c r="L80">
        <v>672</v>
      </c>
      <c r="M80">
        <v>597</v>
      </c>
      <c r="N80">
        <v>2995</v>
      </c>
      <c r="O80">
        <v>428</v>
      </c>
      <c r="P80">
        <v>480</v>
      </c>
      <c r="Q80">
        <v>449</v>
      </c>
      <c r="R80">
        <v>362</v>
      </c>
      <c r="S80">
        <v>375</v>
      </c>
      <c r="T80">
        <v>330</v>
      </c>
      <c r="U80">
        <v>344</v>
      </c>
      <c r="V80">
        <v>339</v>
      </c>
      <c r="W80">
        <v>370</v>
      </c>
      <c r="X80">
        <v>417</v>
      </c>
      <c r="Y80">
        <v>373</v>
      </c>
      <c r="Z80">
        <v>329</v>
      </c>
      <c r="AA80">
        <v>565</v>
      </c>
      <c r="AD80" t="s">
        <v>389</v>
      </c>
      <c r="AE80" s="27">
        <v>1476</v>
      </c>
      <c r="AF80">
        <v>4569</v>
      </c>
      <c r="AH80">
        <v>0</v>
      </c>
    </row>
    <row r="81" spans="1:34" hidden="1">
      <c r="A81" s="38" t="s">
        <v>96</v>
      </c>
      <c r="B81" s="38">
        <v>4947</v>
      </c>
      <c r="C81" s="38">
        <v>5221</v>
      </c>
      <c r="D81" s="38">
        <v>5089</v>
      </c>
      <c r="E81" s="38">
        <v>5351</v>
      </c>
      <c r="F81" s="38">
        <v>4403</v>
      </c>
      <c r="G81" s="38">
        <v>4309</v>
      </c>
      <c r="H81" s="38">
        <v>4807</v>
      </c>
      <c r="I81" s="38">
        <v>4661</v>
      </c>
      <c r="J81" s="38">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269</v>
      </c>
      <c r="AE81" s="27">
        <v>978</v>
      </c>
      <c r="AF81">
        <v>5143</v>
      </c>
      <c r="AH81">
        <v>0</v>
      </c>
    </row>
    <row r="82" spans="1:34" hidden="1">
      <c r="A82" s="38" t="s">
        <v>1093</v>
      </c>
      <c r="B82" s="38">
        <v>624</v>
      </c>
      <c r="C82" s="38">
        <v>693</v>
      </c>
      <c r="D82" s="38">
        <v>602</v>
      </c>
      <c r="E82" s="38">
        <v>594</v>
      </c>
      <c r="F82" s="38">
        <v>501</v>
      </c>
      <c r="G82" s="38">
        <v>410</v>
      </c>
      <c r="H82" s="38">
        <v>476</v>
      </c>
      <c r="I82" s="38">
        <v>463</v>
      </c>
      <c r="J82" s="38">
        <v>458</v>
      </c>
      <c r="K82">
        <v>468</v>
      </c>
      <c r="L82">
        <v>509</v>
      </c>
      <c r="M82">
        <v>414</v>
      </c>
      <c r="N82">
        <v>890</v>
      </c>
      <c r="O82">
        <v>212</v>
      </c>
      <c r="P82">
        <v>226</v>
      </c>
      <c r="Q82">
        <v>221</v>
      </c>
      <c r="R82">
        <v>210</v>
      </c>
      <c r="S82">
        <v>210</v>
      </c>
      <c r="T82">
        <v>186</v>
      </c>
      <c r="U82">
        <v>209</v>
      </c>
      <c r="V82">
        <v>192</v>
      </c>
      <c r="W82">
        <v>206</v>
      </c>
      <c r="X82">
        <v>225</v>
      </c>
      <c r="Y82">
        <v>243</v>
      </c>
      <c r="Z82">
        <v>179</v>
      </c>
      <c r="AA82">
        <v>263</v>
      </c>
      <c r="AD82" t="s">
        <v>477</v>
      </c>
      <c r="AE82" s="27">
        <v>952</v>
      </c>
      <c r="AF82">
        <v>5221</v>
      </c>
      <c r="AG82">
        <v>883</v>
      </c>
      <c r="AH82">
        <v>5063</v>
      </c>
    </row>
    <row r="83" spans="1:34" hidden="1">
      <c r="A83" s="38" t="s">
        <v>1111</v>
      </c>
      <c r="B83" s="38">
        <v>1634</v>
      </c>
      <c r="C83" s="38">
        <v>510</v>
      </c>
      <c r="D83" s="38">
        <v>569</v>
      </c>
      <c r="E83" s="38">
        <v>304</v>
      </c>
      <c r="F83" s="38">
        <v>647</v>
      </c>
      <c r="G83" s="38">
        <v>771</v>
      </c>
      <c r="H83" s="38">
        <v>706</v>
      </c>
      <c r="I83" s="38">
        <v>1038</v>
      </c>
      <c r="J83" s="38">
        <v>1047</v>
      </c>
      <c r="K83">
        <v>834</v>
      </c>
      <c r="L83">
        <v>695</v>
      </c>
      <c r="M83">
        <v>550</v>
      </c>
      <c r="N83">
        <v>835</v>
      </c>
      <c r="O83">
        <v>215</v>
      </c>
      <c r="P83">
        <v>40</v>
      </c>
      <c r="Q83">
        <v>102</v>
      </c>
      <c r="R83">
        <v>103</v>
      </c>
      <c r="S83">
        <v>169</v>
      </c>
      <c r="T83">
        <v>176</v>
      </c>
      <c r="U83">
        <v>175</v>
      </c>
      <c r="V83">
        <v>205</v>
      </c>
      <c r="W83">
        <v>181</v>
      </c>
      <c r="X83">
        <v>174</v>
      </c>
      <c r="Y83">
        <v>180</v>
      </c>
      <c r="Z83">
        <v>131</v>
      </c>
      <c r="AA83">
        <v>173</v>
      </c>
      <c r="AD83" t="s">
        <v>805</v>
      </c>
      <c r="AE83" s="27">
        <v>1631</v>
      </c>
      <c r="AF83">
        <v>7645</v>
      </c>
      <c r="AG83">
        <v>1902</v>
      </c>
      <c r="AH83">
        <v>9147</v>
      </c>
    </row>
    <row r="84" spans="1:34" hidden="1">
      <c r="A84" s="38" t="s">
        <v>922</v>
      </c>
      <c r="B84" s="38">
        <v>0</v>
      </c>
      <c r="C84" s="38">
        <v>829</v>
      </c>
      <c r="D84" s="38">
        <v>3224</v>
      </c>
      <c r="E84" s="38">
        <v>3573</v>
      </c>
      <c r="F84" s="38">
        <v>56</v>
      </c>
      <c r="G84" s="38">
        <v>1278</v>
      </c>
      <c r="H84" s="38">
        <v>2263</v>
      </c>
      <c r="I84" s="38">
        <v>1919</v>
      </c>
      <c r="J84" s="38">
        <v>1664</v>
      </c>
      <c r="K84">
        <v>1472</v>
      </c>
      <c r="L84">
        <v>1940</v>
      </c>
      <c r="M84">
        <v>1434</v>
      </c>
      <c r="N84">
        <v>1612</v>
      </c>
      <c r="O84">
        <v>0</v>
      </c>
      <c r="P84">
        <v>203</v>
      </c>
      <c r="Q84">
        <v>360</v>
      </c>
      <c r="R84">
        <v>442</v>
      </c>
      <c r="S84">
        <v>1</v>
      </c>
      <c r="T84">
        <v>89</v>
      </c>
      <c r="U84">
        <v>156</v>
      </c>
      <c r="V84">
        <v>208</v>
      </c>
      <c r="W84">
        <v>185</v>
      </c>
      <c r="X84">
        <v>214</v>
      </c>
      <c r="Y84">
        <v>389</v>
      </c>
      <c r="Z84">
        <v>184</v>
      </c>
      <c r="AA84">
        <v>282</v>
      </c>
      <c r="AD84" t="s">
        <v>483</v>
      </c>
      <c r="AE84" s="27">
        <v>602</v>
      </c>
      <c r="AF84">
        <v>3783</v>
      </c>
      <c r="AH84">
        <v>0</v>
      </c>
    </row>
    <row r="85" spans="1:34" hidden="1">
      <c r="A85" s="38" t="s">
        <v>1081</v>
      </c>
      <c r="B85" s="38">
        <v>235</v>
      </c>
      <c r="C85" s="38">
        <v>211</v>
      </c>
      <c r="D85" s="38">
        <v>226</v>
      </c>
      <c r="E85" s="38">
        <v>165</v>
      </c>
      <c r="F85" s="38">
        <v>188</v>
      </c>
      <c r="G85" s="38">
        <v>143</v>
      </c>
      <c r="H85" s="38">
        <v>158</v>
      </c>
      <c r="I85" s="38">
        <v>155</v>
      </c>
      <c r="J85" s="38">
        <v>164</v>
      </c>
      <c r="K85">
        <v>173</v>
      </c>
      <c r="L85">
        <v>138</v>
      </c>
      <c r="M85">
        <v>151</v>
      </c>
      <c r="N85">
        <v>259</v>
      </c>
      <c r="O85">
        <v>53</v>
      </c>
      <c r="P85">
        <v>61</v>
      </c>
      <c r="Q85">
        <v>70</v>
      </c>
      <c r="R85">
        <v>53</v>
      </c>
      <c r="S85">
        <v>64</v>
      </c>
      <c r="T85">
        <v>43</v>
      </c>
      <c r="U85">
        <v>71</v>
      </c>
      <c r="V85">
        <v>63</v>
      </c>
      <c r="W85">
        <v>76</v>
      </c>
      <c r="X85">
        <v>66</v>
      </c>
      <c r="Y85">
        <v>69</v>
      </c>
      <c r="Z85">
        <v>69</v>
      </c>
      <c r="AA85">
        <v>102</v>
      </c>
      <c r="AD85" t="s">
        <v>218</v>
      </c>
      <c r="AE85" s="27">
        <v>1231</v>
      </c>
      <c r="AF85">
        <v>4891</v>
      </c>
      <c r="AG85">
        <v>1385</v>
      </c>
      <c r="AH85">
        <v>5413</v>
      </c>
    </row>
    <row r="86" spans="1:34" hidden="1">
      <c r="A86" s="38" t="s">
        <v>1687</v>
      </c>
      <c r="B86" s="38">
        <v>2417</v>
      </c>
      <c r="C86" s="38">
        <v>2300</v>
      </c>
      <c r="D86" s="38">
        <v>1974</v>
      </c>
      <c r="E86" s="38">
        <v>1692</v>
      </c>
      <c r="F86" s="38">
        <v>1407</v>
      </c>
      <c r="G86" s="38">
        <v>1118</v>
      </c>
      <c r="H86" s="38">
        <v>888</v>
      </c>
      <c r="I86" s="38">
        <v>1165</v>
      </c>
      <c r="J86" s="38">
        <v>847</v>
      </c>
      <c r="K86">
        <v>433</v>
      </c>
      <c r="L86">
        <v>400</v>
      </c>
      <c r="M86">
        <v>0</v>
      </c>
      <c r="N86">
        <v>0</v>
      </c>
      <c r="O86">
        <v>333</v>
      </c>
      <c r="P86">
        <v>385</v>
      </c>
      <c r="Q86">
        <v>273</v>
      </c>
      <c r="R86">
        <v>289</v>
      </c>
      <c r="S86">
        <v>249</v>
      </c>
      <c r="T86">
        <v>197</v>
      </c>
      <c r="U86">
        <v>150</v>
      </c>
      <c r="V86">
        <v>197</v>
      </c>
      <c r="W86">
        <v>143</v>
      </c>
      <c r="X86">
        <v>122</v>
      </c>
      <c r="Y86">
        <v>101</v>
      </c>
      <c r="Z86">
        <v>2</v>
      </c>
      <c r="AA86">
        <v>0</v>
      </c>
      <c r="AD86" t="s">
        <v>186</v>
      </c>
      <c r="AE86" s="27">
        <v>1672</v>
      </c>
      <c r="AF86">
        <v>9371</v>
      </c>
      <c r="AG86">
        <v>1619</v>
      </c>
      <c r="AH86">
        <v>9686</v>
      </c>
    </row>
    <row r="87" spans="1:34" hidden="1">
      <c r="A87" s="38" t="s">
        <v>1705</v>
      </c>
      <c r="B87" s="38">
        <v>98</v>
      </c>
      <c r="C87" s="38">
        <v>97</v>
      </c>
      <c r="D87" s="38">
        <v>88</v>
      </c>
      <c r="E87" s="38">
        <v>73</v>
      </c>
      <c r="F87" s="38">
        <v>70</v>
      </c>
      <c r="G87" s="38">
        <v>64</v>
      </c>
      <c r="H87" s="38">
        <v>70</v>
      </c>
      <c r="I87" s="38">
        <v>73</v>
      </c>
      <c r="J87" s="38">
        <v>61</v>
      </c>
      <c r="K87">
        <v>57</v>
      </c>
      <c r="L87">
        <v>60</v>
      </c>
      <c r="M87">
        <v>85</v>
      </c>
      <c r="N87">
        <v>84</v>
      </c>
      <c r="O87">
        <v>56</v>
      </c>
      <c r="P87">
        <v>38</v>
      </c>
      <c r="Q87">
        <v>27</v>
      </c>
      <c r="R87">
        <v>25</v>
      </c>
      <c r="S87">
        <v>39</v>
      </c>
      <c r="T87">
        <v>26</v>
      </c>
      <c r="U87">
        <v>34</v>
      </c>
      <c r="V87">
        <v>27</v>
      </c>
      <c r="W87">
        <v>31</v>
      </c>
      <c r="X87">
        <v>28</v>
      </c>
      <c r="Y87">
        <v>21</v>
      </c>
      <c r="Z87">
        <v>40</v>
      </c>
      <c r="AA87">
        <v>21</v>
      </c>
      <c r="AD87" t="s">
        <v>459</v>
      </c>
      <c r="AE87" s="27">
        <v>662</v>
      </c>
      <c r="AF87">
        <v>2203</v>
      </c>
      <c r="AG87">
        <v>660</v>
      </c>
      <c r="AH87">
        <v>2078</v>
      </c>
    </row>
    <row r="88" spans="1:34" hidden="1">
      <c r="A88" s="38" t="s">
        <v>1540</v>
      </c>
      <c r="B88" s="38">
        <v>5274</v>
      </c>
      <c r="C88" s="38">
        <v>957</v>
      </c>
      <c r="D88" s="38">
        <v>2180</v>
      </c>
      <c r="E88" s="38">
        <v>3131</v>
      </c>
      <c r="F88" s="38">
        <v>2602</v>
      </c>
      <c r="G88" s="38">
        <v>2583</v>
      </c>
      <c r="H88" s="38">
        <v>2693</v>
      </c>
      <c r="I88" s="38">
        <v>3088</v>
      </c>
      <c r="J88" s="38">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672</v>
      </c>
      <c r="AE88" s="27">
        <v>423</v>
      </c>
      <c r="AF88">
        <v>2735</v>
      </c>
      <c r="AG88">
        <v>560</v>
      </c>
      <c r="AH88">
        <v>3270</v>
      </c>
    </row>
    <row r="89" spans="1:34" hidden="1">
      <c r="A89" s="38" t="s">
        <v>1753</v>
      </c>
      <c r="B89" s="38">
        <v>1401</v>
      </c>
      <c r="C89" s="38">
        <v>1191</v>
      </c>
      <c r="D89" s="38">
        <v>565</v>
      </c>
      <c r="E89" s="38">
        <v>259</v>
      </c>
      <c r="F89" s="38">
        <v>29</v>
      </c>
      <c r="G89" s="38">
        <v>0</v>
      </c>
      <c r="H89" s="38">
        <v>0</v>
      </c>
      <c r="I89" s="38">
        <v>0</v>
      </c>
      <c r="J89" s="38">
        <v>0</v>
      </c>
      <c r="K89">
        <v>104</v>
      </c>
      <c r="L89">
        <v>0</v>
      </c>
      <c r="M89">
        <v>602</v>
      </c>
      <c r="N89">
        <v>994</v>
      </c>
      <c r="O89">
        <v>366</v>
      </c>
      <c r="P89">
        <v>306</v>
      </c>
      <c r="Q89">
        <v>143</v>
      </c>
      <c r="R89">
        <v>88</v>
      </c>
      <c r="S89">
        <v>3</v>
      </c>
      <c r="T89">
        <v>0</v>
      </c>
      <c r="U89">
        <v>0</v>
      </c>
      <c r="V89">
        <v>0</v>
      </c>
      <c r="W89">
        <v>0</v>
      </c>
      <c r="X89">
        <v>18</v>
      </c>
      <c r="Y89">
        <v>0</v>
      </c>
      <c r="Z89">
        <v>102</v>
      </c>
      <c r="AA89">
        <v>116</v>
      </c>
      <c r="AD89" t="s">
        <v>321</v>
      </c>
      <c r="AE89" s="27">
        <v>431</v>
      </c>
      <c r="AF89">
        <v>2578</v>
      </c>
      <c r="AH89">
        <v>0</v>
      </c>
    </row>
    <row r="90" spans="1:34" hidden="1">
      <c r="A90" s="38" t="s">
        <v>1754</v>
      </c>
      <c r="B90" s="38">
        <v>539</v>
      </c>
      <c r="C90" s="38">
        <v>362</v>
      </c>
      <c r="D90" s="38">
        <v>249</v>
      </c>
      <c r="E90" s="38">
        <v>229</v>
      </c>
      <c r="F90" s="38">
        <v>207</v>
      </c>
      <c r="G90" s="38">
        <v>220</v>
      </c>
      <c r="H90" s="38">
        <v>297</v>
      </c>
      <c r="I90" s="38">
        <v>137</v>
      </c>
      <c r="J90" s="38">
        <v>96</v>
      </c>
      <c r="K90">
        <v>140</v>
      </c>
      <c r="L90">
        <v>0</v>
      </c>
      <c r="M90">
        <v>134</v>
      </c>
      <c r="N90">
        <v>222</v>
      </c>
      <c r="O90">
        <v>72</v>
      </c>
      <c r="P90">
        <v>117</v>
      </c>
      <c r="Q90">
        <v>63</v>
      </c>
      <c r="R90">
        <v>80</v>
      </c>
      <c r="S90">
        <v>84</v>
      </c>
      <c r="T90">
        <v>75</v>
      </c>
      <c r="U90">
        <v>144</v>
      </c>
      <c r="V90">
        <v>60</v>
      </c>
      <c r="W90">
        <v>46</v>
      </c>
      <c r="X90">
        <v>75</v>
      </c>
      <c r="Y90">
        <v>0</v>
      </c>
      <c r="Z90">
        <v>40</v>
      </c>
      <c r="AA90">
        <v>56</v>
      </c>
      <c r="AD90" t="s">
        <v>1673</v>
      </c>
      <c r="AE90" s="27">
        <v>208</v>
      </c>
      <c r="AF90">
        <v>1108</v>
      </c>
      <c r="AH90">
        <v>0</v>
      </c>
    </row>
    <row r="91" spans="1:34" hidden="1">
      <c r="A91" s="38" t="s">
        <v>63</v>
      </c>
      <c r="B91" s="38">
        <v>2661</v>
      </c>
      <c r="C91" s="38">
        <v>3561</v>
      </c>
      <c r="D91" s="38">
        <v>3146</v>
      </c>
      <c r="E91" s="38">
        <v>3133</v>
      </c>
      <c r="F91" s="38">
        <v>2990</v>
      </c>
      <c r="G91" s="38">
        <v>5395</v>
      </c>
      <c r="H91" s="38">
        <v>3136</v>
      </c>
      <c r="I91" s="38">
        <v>2754</v>
      </c>
      <c r="J91" s="38">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397</v>
      </c>
      <c r="AE91" s="27">
        <v>427</v>
      </c>
      <c r="AF91">
        <v>2097</v>
      </c>
      <c r="AH91">
        <v>0</v>
      </c>
    </row>
    <row r="92" spans="1:34" hidden="1">
      <c r="A92" s="38" t="s">
        <v>254</v>
      </c>
      <c r="B92" s="38">
        <v>1256</v>
      </c>
      <c r="C92" s="38">
        <v>916</v>
      </c>
      <c r="D92" s="38">
        <v>731</v>
      </c>
      <c r="E92" s="38">
        <v>867</v>
      </c>
      <c r="F92" s="38">
        <v>838</v>
      </c>
      <c r="G92" s="38">
        <v>745</v>
      </c>
      <c r="H92" s="38">
        <v>692</v>
      </c>
      <c r="I92" s="38">
        <v>721</v>
      </c>
      <c r="J92" s="38">
        <v>652</v>
      </c>
      <c r="K92">
        <v>690</v>
      </c>
      <c r="L92">
        <v>597</v>
      </c>
      <c r="M92">
        <v>459</v>
      </c>
      <c r="N92">
        <v>2757</v>
      </c>
      <c r="O92">
        <v>210</v>
      </c>
      <c r="P92">
        <v>211</v>
      </c>
      <c r="Q92">
        <v>211</v>
      </c>
      <c r="R92">
        <v>334</v>
      </c>
      <c r="S92">
        <v>290</v>
      </c>
      <c r="T92">
        <v>296</v>
      </c>
      <c r="U92">
        <v>258</v>
      </c>
      <c r="V92">
        <v>260</v>
      </c>
      <c r="W92">
        <v>254</v>
      </c>
      <c r="X92">
        <v>376</v>
      </c>
      <c r="Y92">
        <v>333</v>
      </c>
      <c r="Z92">
        <v>293</v>
      </c>
      <c r="AA92">
        <v>669</v>
      </c>
      <c r="AD92" t="s">
        <v>901</v>
      </c>
      <c r="AE92" s="27">
        <v>6857</v>
      </c>
      <c r="AF92">
        <v>24329</v>
      </c>
      <c r="AG92">
        <v>6633</v>
      </c>
      <c r="AH92">
        <v>23253</v>
      </c>
    </row>
    <row r="93" spans="1:34" hidden="1">
      <c r="A93" s="38" t="s">
        <v>459</v>
      </c>
      <c r="B93" s="38">
        <v>0</v>
      </c>
      <c r="C93" s="38">
        <v>400</v>
      </c>
      <c r="D93" s="38">
        <v>321</v>
      </c>
      <c r="E93" s="38">
        <v>270</v>
      </c>
      <c r="F93" s="38">
        <v>345</v>
      </c>
      <c r="G93" s="38">
        <v>165</v>
      </c>
      <c r="H93" s="38">
        <v>426</v>
      </c>
      <c r="I93" s="38">
        <v>412</v>
      </c>
      <c r="J93" s="38">
        <v>372</v>
      </c>
      <c r="K93">
        <v>346</v>
      </c>
      <c r="L93">
        <v>504</v>
      </c>
      <c r="M93">
        <v>410</v>
      </c>
      <c r="N93">
        <v>650</v>
      </c>
      <c r="O93">
        <v>0</v>
      </c>
      <c r="P93">
        <v>73</v>
      </c>
      <c r="Q93">
        <v>49</v>
      </c>
      <c r="R93">
        <v>76</v>
      </c>
      <c r="S93">
        <v>101</v>
      </c>
      <c r="T93">
        <v>32</v>
      </c>
      <c r="U93">
        <v>102</v>
      </c>
      <c r="V93">
        <v>89</v>
      </c>
      <c r="W93">
        <v>105</v>
      </c>
      <c r="X93">
        <v>83</v>
      </c>
      <c r="Y93">
        <v>121</v>
      </c>
      <c r="Z93">
        <v>85</v>
      </c>
      <c r="AA93">
        <v>160</v>
      </c>
      <c r="AD93" t="s">
        <v>339</v>
      </c>
      <c r="AE93" s="27">
        <v>1277</v>
      </c>
      <c r="AF93">
        <v>5528</v>
      </c>
      <c r="AG93">
        <v>1354</v>
      </c>
      <c r="AH93">
        <v>5274</v>
      </c>
    </row>
    <row r="94" spans="1:34" hidden="1">
      <c r="A94" s="38" t="s">
        <v>1755</v>
      </c>
      <c r="B94" s="38">
        <v>1047</v>
      </c>
      <c r="C94" s="38">
        <v>1003</v>
      </c>
      <c r="D94" s="38">
        <v>1070</v>
      </c>
      <c r="E94" s="38">
        <v>936</v>
      </c>
      <c r="F94" s="38">
        <v>532</v>
      </c>
      <c r="G94" s="38">
        <v>490</v>
      </c>
      <c r="H94" s="38">
        <v>575</v>
      </c>
      <c r="I94" s="38">
        <v>466</v>
      </c>
      <c r="J94" s="38">
        <v>438</v>
      </c>
      <c r="K94">
        <v>373</v>
      </c>
      <c r="L94">
        <v>350</v>
      </c>
      <c r="M94">
        <v>403</v>
      </c>
      <c r="N94">
        <v>547</v>
      </c>
      <c r="O94">
        <v>200</v>
      </c>
      <c r="P94">
        <v>193</v>
      </c>
      <c r="Q94">
        <v>158</v>
      </c>
      <c r="R94">
        <v>172</v>
      </c>
      <c r="S94">
        <v>135</v>
      </c>
      <c r="T94">
        <v>145</v>
      </c>
      <c r="U94">
        <v>167</v>
      </c>
      <c r="V94">
        <v>149</v>
      </c>
      <c r="W94">
        <v>118</v>
      </c>
      <c r="X94">
        <v>137</v>
      </c>
      <c r="Y94">
        <v>141</v>
      </c>
      <c r="Z94">
        <v>138</v>
      </c>
      <c r="AA94">
        <v>119</v>
      </c>
      <c r="AD94" t="s">
        <v>471</v>
      </c>
      <c r="AE94" s="27">
        <v>1046</v>
      </c>
      <c r="AF94">
        <v>4252</v>
      </c>
      <c r="AG94">
        <v>963</v>
      </c>
      <c r="AH94">
        <v>3558</v>
      </c>
    </row>
    <row r="95" spans="1:34" hidden="1">
      <c r="A95" s="38" t="s">
        <v>1449</v>
      </c>
      <c r="B95" s="38">
        <v>569</v>
      </c>
      <c r="C95" s="38">
        <v>464</v>
      </c>
      <c r="D95" s="38">
        <v>413</v>
      </c>
      <c r="E95" s="38">
        <v>490</v>
      </c>
      <c r="F95" s="38">
        <v>388</v>
      </c>
      <c r="G95" s="38">
        <v>490</v>
      </c>
      <c r="H95" s="38">
        <v>570</v>
      </c>
      <c r="I95" s="38">
        <v>520</v>
      </c>
      <c r="J95" s="38">
        <v>455</v>
      </c>
      <c r="K95">
        <v>471</v>
      </c>
      <c r="L95">
        <v>330</v>
      </c>
      <c r="M95">
        <v>395</v>
      </c>
      <c r="N95">
        <v>623</v>
      </c>
      <c r="O95">
        <v>153</v>
      </c>
      <c r="P95">
        <v>131</v>
      </c>
      <c r="Q95">
        <v>113</v>
      </c>
      <c r="R95">
        <v>125</v>
      </c>
      <c r="S95">
        <v>141</v>
      </c>
      <c r="T95">
        <v>188</v>
      </c>
      <c r="U95">
        <v>215</v>
      </c>
      <c r="V95">
        <v>209</v>
      </c>
      <c r="W95">
        <v>181</v>
      </c>
      <c r="X95">
        <v>203</v>
      </c>
      <c r="Y95">
        <v>135</v>
      </c>
      <c r="Z95">
        <v>170</v>
      </c>
      <c r="AA95">
        <v>233</v>
      </c>
      <c r="AD95" t="s">
        <v>453</v>
      </c>
      <c r="AE95" s="27">
        <v>577</v>
      </c>
      <c r="AF95">
        <v>2249</v>
      </c>
      <c r="AH95">
        <v>0</v>
      </c>
    </row>
    <row r="96" spans="1:34" hidden="1">
      <c r="A96" s="38" t="s">
        <v>1535</v>
      </c>
      <c r="B96" s="38">
        <v>4013</v>
      </c>
      <c r="C96" s="38">
        <v>2760</v>
      </c>
      <c r="D96" s="38">
        <v>1710</v>
      </c>
      <c r="E96" s="38">
        <v>2229</v>
      </c>
      <c r="F96" s="38">
        <v>2199</v>
      </c>
      <c r="G96" s="38">
        <v>2033</v>
      </c>
      <c r="H96" s="38">
        <v>2284</v>
      </c>
      <c r="I96" s="38">
        <v>2387</v>
      </c>
      <c r="J96" s="38">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224</v>
      </c>
      <c r="AE96" s="27">
        <v>576</v>
      </c>
      <c r="AF96">
        <v>1593</v>
      </c>
      <c r="AH96">
        <v>0</v>
      </c>
    </row>
    <row r="97" spans="1:34" hidden="1">
      <c r="A97" s="38" t="s">
        <v>1520</v>
      </c>
      <c r="B97" s="38">
        <v>4430</v>
      </c>
      <c r="C97" s="38">
        <v>4077</v>
      </c>
      <c r="D97" s="38">
        <v>4073</v>
      </c>
      <c r="E97" s="38">
        <v>5819</v>
      </c>
      <c r="F97" s="38">
        <v>4803</v>
      </c>
      <c r="G97" s="38">
        <v>3465</v>
      </c>
      <c r="H97" s="38">
        <v>2984</v>
      </c>
      <c r="I97" s="38">
        <v>3286</v>
      </c>
      <c r="J97" s="38">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216</v>
      </c>
      <c r="AE97" s="27">
        <v>752</v>
      </c>
      <c r="AF97">
        <v>2822</v>
      </c>
      <c r="AH97">
        <v>0</v>
      </c>
    </row>
    <row r="98" spans="1:34" hidden="1">
      <c r="A98" s="38" t="s">
        <v>1018</v>
      </c>
      <c r="B98" s="38">
        <v>877</v>
      </c>
      <c r="C98" s="38">
        <v>834</v>
      </c>
      <c r="D98" s="38">
        <v>498</v>
      </c>
      <c r="E98" s="38">
        <v>593</v>
      </c>
      <c r="F98" s="38">
        <v>469</v>
      </c>
      <c r="G98" s="38">
        <v>364</v>
      </c>
      <c r="H98" s="38">
        <v>309</v>
      </c>
      <c r="I98" s="38">
        <v>310</v>
      </c>
      <c r="J98" s="38">
        <v>325</v>
      </c>
      <c r="K98">
        <v>292</v>
      </c>
      <c r="L98">
        <v>306</v>
      </c>
      <c r="M98">
        <v>409</v>
      </c>
      <c r="N98">
        <v>568</v>
      </c>
      <c r="O98">
        <v>335</v>
      </c>
      <c r="P98">
        <v>274</v>
      </c>
      <c r="Q98">
        <v>156</v>
      </c>
      <c r="R98">
        <v>169</v>
      </c>
      <c r="S98">
        <v>168</v>
      </c>
      <c r="T98">
        <v>105</v>
      </c>
      <c r="U98">
        <v>180</v>
      </c>
      <c r="V98">
        <v>157</v>
      </c>
      <c r="W98">
        <v>145</v>
      </c>
      <c r="X98">
        <v>211</v>
      </c>
      <c r="Y98">
        <v>159</v>
      </c>
      <c r="Z98">
        <v>204</v>
      </c>
      <c r="AA98">
        <v>269</v>
      </c>
      <c r="AD98" t="s">
        <v>307</v>
      </c>
      <c r="AE98" s="27">
        <v>613</v>
      </c>
      <c r="AF98">
        <v>10530</v>
      </c>
      <c r="AG98">
        <v>503</v>
      </c>
      <c r="AH98">
        <v>7597</v>
      </c>
    </row>
    <row r="99" spans="1:34" hidden="1">
      <c r="A99" s="38" t="s">
        <v>933</v>
      </c>
      <c r="B99" s="38">
        <v>8670</v>
      </c>
      <c r="C99" s="38">
        <v>10909</v>
      </c>
      <c r="D99" s="38">
        <v>20029</v>
      </c>
      <c r="E99" s="38">
        <v>36832</v>
      </c>
      <c r="F99" s="38">
        <v>48074</v>
      </c>
      <c r="G99" s="38">
        <v>8569</v>
      </c>
      <c r="H99" s="38">
        <v>38597</v>
      </c>
      <c r="I99" s="38">
        <v>35871</v>
      </c>
      <c r="J99" s="38">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439</v>
      </c>
      <c r="AE99" s="27">
        <v>1880</v>
      </c>
      <c r="AF99">
        <v>18081</v>
      </c>
      <c r="AG99">
        <v>1564</v>
      </c>
      <c r="AH99">
        <v>15682</v>
      </c>
    </row>
    <row r="100" spans="1:34" hidden="1">
      <c r="A100" s="38" t="s">
        <v>441</v>
      </c>
      <c r="B100" s="38">
        <v>760</v>
      </c>
      <c r="C100" s="38">
        <v>617</v>
      </c>
      <c r="D100" s="38">
        <v>797</v>
      </c>
      <c r="E100" s="38">
        <v>929</v>
      </c>
      <c r="F100" s="38">
        <v>661</v>
      </c>
      <c r="G100" s="38">
        <v>307</v>
      </c>
      <c r="H100" s="38">
        <v>441</v>
      </c>
      <c r="I100" s="38">
        <v>360</v>
      </c>
      <c r="J100" s="38">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695</v>
      </c>
      <c r="AE100" s="27">
        <v>513</v>
      </c>
      <c r="AF100">
        <v>2211</v>
      </c>
      <c r="AH100">
        <v>0</v>
      </c>
    </row>
    <row r="101" spans="1:34" hidden="1">
      <c r="A101" s="38" t="s">
        <v>491</v>
      </c>
      <c r="B101" s="38">
        <v>632</v>
      </c>
      <c r="C101" s="38">
        <v>1062</v>
      </c>
      <c r="D101" s="38">
        <v>1126</v>
      </c>
      <c r="E101" s="38">
        <v>1227</v>
      </c>
      <c r="F101" s="38">
        <v>713</v>
      </c>
      <c r="G101" s="38">
        <v>320</v>
      </c>
      <c r="H101" s="38">
        <v>544</v>
      </c>
      <c r="I101" s="38">
        <v>581</v>
      </c>
      <c r="J101" s="38">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1671</v>
      </c>
      <c r="AE101" s="27">
        <v>196</v>
      </c>
      <c r="AF101">
        <v>1176</v>
      </c>
      <c r="AH101">
        <v>0</v>
      </c>
    </row>
    <row r="102" spans="1:34" hidden="1">
      <c r="A102" s="38" t="s">
        <v>238</v>
      </c>
      <c r="B102" s="38">
        <v>417</v>
      </c>
      <c r="C102" s="38">
        <v>369</v>
      </c>
      <c r="D102" s="38">
        <v>427</v>
      </c>
      <c r="E102" s="38">
        <v>482</v>
      </c>
      <c r="F102" s="38">
        <v>418</v>
      </c>
      <c r="G102" s="38">
        <v>408</v>
      </c>
      <c r="H102" s="38">
        <v>412</v>
      </c>
      <c r="I102" s="38">
        <v>489</v>
      </c>
      <c r="J102" s="38">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541</v>
      </c>
      <c r="AE102" s="27">
        <v>707</v>
      </c>
      <c r="AF102">
        <v>3766</v>
      </c>
      <c r="AH102">
        <v>0</v>
      </c>
    </row>
    <row r="103" spans="1:34" hidden="1">
      <c r="A103" s="38" t="s">
        <v>30</v>
      </c>
      <c r="B103" s="38">
        <v>1416</v>
      </c>
      <c r="C103" s="38">
        <v>1319</v>
      </c>
      <c r="D103" s="38">
        <v>1252</v>
      </c>
      <c r="E103" s="38">
        <v>1470</v>
      </c>
      <c r="F103" s="38">
        <v>1502</v>
      </c>
      <c r="G103" s="38">
        <v>1536</v>
      </c>
      <c r="H103" s="38">
        <v>1132</v>
      </c>
      <c r="I103" s="38">
        <v>1296</v>
      </c>
      <c r="J103" s="38">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922</v>
      </c>
      <c r="AE103" s="27">
        <v>1594</v>
      </c>
      <c r="AF103">
        <v>8161</v>
      </c>
      <c r="AG103">
        <v>1148</v>
      </c>
      <c r="AH103">
        <v>7643</v>
      </c>
    </row>
    <row r="104" spans="1:34" hidden="1">
      <c r="A104" s="38" t="s">
        <v>325</v>
      </c>
      <c r="B104" s="38">
        <v>2658</v>
      </c>
      <c r="C104" s="38">
        <v>1941</v>
      </c>
      <c r="D104" s="38">
        <v>1600</v>
      </c>
      <c r="E104" s="38">
        <v>2850</v>
      </c>
      <c r="F104" s="38">
        <v>2049</v>
      </c>
      <c r="G104" s="38">
        <v>1591</v>
      </c>
      <c r="H104" s="38">
        <v>1100</v>
      </c>
      <c r="I104" s="38">
        <v>1282</v>
      </c>
      <c r="J104" s="38">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779</v>
      </c>
      <c r="AE104" s="27">
        <v>2511</v>
      </c>
      <c r="AF104">
        <v>12700</v>
      </c>
      <c r="AG104">
        <v>2624</v>
      </c>
      <c r="AH104">
        <v>11543</v>
      </c>
    </row>
    <row r="105" spans="1:34" hidden="1">
      <c r="A105" s="38" t="s">
        <v>622</v>
      </c>
      <c r="B105" s="38">
        <v>1711</v>
      </c>
      <c r="C105" s="38">
        <v>1517</v>
      </c>
      <c r="D105" s="38">
        <v>1607</v>
      </c>
      <c r="E105" s="38">
        <v>1913</v>
      </c>
      <c r="F105" s="38">
        <v>1166</v>
      </c>
      <c r="G105" s="38">
        <v>1267</v>
      </c>
      <c r="H105" s="38">
        <v>1273</v>
      </c>
      <c r="I105" s="38">
        <v>1016</v>
      </c>
      <c r="J105" s="38">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299</v>
      </c>
      <c r="AE105" s="27">
        <v>1114</v>
      </c>
      <c r="AF105">
        <v>6172</v>
      </c>
      <c r="AG105">
        <v>1024</v>
      </c>
      <c r="AH105">
        <v>5169</v>
      </c>
    </row>
    <row r="106" spans="1:34" hidden="1">
      <c r="A106" s="38" t="s">
        <v>1548</v>
      </c>
      <c r="B106" s="38">
        <v>1350</v>
      </c>
      <c r="C106" s="38">
        <v>1288</v>
      </c>
      <c r="D106" s="38">
        <v>1007</v>
      </c>
      <c r="E106" s="38">
        <v>920</v>
      </c>
      <c r="F106" s="38">
        <v>747</v>
      </c>
      <c r="G106" s="38">
        <v>676</v>
      </c>
      <c r="H106" s="38">
        <v>705</v>
      </c>
      <c r="I106" s="38">
        <v>751</v>
      </c>
      <c r="J106" s="38">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399</v>
      </c>
      <c r="AE106" s="27">
        <v>950</v>
      </c>
      <c r="AF106">
        <v>2213</v>
      </c>
      <c r="AH106">
        <v>0</v>
      </c>
    </row>
    <row r="107" spans="1:34" hidden="1">
      <c r="A107" s="38" t="s">
        <v>1756</v>
      </c>
      <c r="B107" s="38">
        <v>0</v>
      </c>
      <c r="C107" s="38">
        <v>0</v>
      </c>
      <c r="D107" s="38">
        <v>0</v>
      </c>
      <c r="E107" s="38">
        <v>0</v>
      </c>
      <c r="F107" s="38">
        <v>0</v>
      </c>
      <c r="G107" s="38">
        <v>0</v>
      </c>
      <c r="H107" s="38">
        <v>208</v>
      </c>
      <c r="I107" s="38">
        <v>163</v>
      </c>
      <c r="J107" s="38">
        <v>136</v>
      </c>
      <c r="K107">
        <v>90</v>
      </c>
      <c r="L107">
        <v>112</v>
      </c>
      <c r="M107">
        <v>98</v>
      </c>
      <c r="N107">
        <v>107</v>
      </c>
      <c r="O107">
        <v>0</v>
      </c>
      <c r="P107">
        <v>0</v>
      </c>
      <c r="Q107">
        <v>0</v>
      </c>
      <c r="R107">
        <v>0</v>
      </c>
      <c r="S107">
        <v>0</v>
      </c>
      <c r="T107">
        <v>0</v>
      </c>
      <c r="U107">
        <v>53</v>
      </c>
      <c r="V107">
        <v>0</v>
      </c>
      <c r="W107">
        <v>89</v>
      </c>
      <c r="X107">
        <v>76</v>
      </c>
      <c r="Y107">
        <v>65</v>
      </c>
      <c r="Z107">
        <v>59</v>
      </c>
      <c r="AA107">
        <v>71</v>
      </c>
      <c r="AD107" t="s">
        <v>358</v>
      </c>
      <c r="AE107" s="27">
        <v>756</v>
      </c>
      <c r="AF107">
        <v>2872</v>
      </c>
      <c r="AH107">
        <v>0</v>
      </c>
    </row>
    <row r="108" spans="1:34" hidden="1">
      <c r="A108" s="38" t="s">
        <v>1441</v>
      </c>
      <c r="B108" s="38">
        <v>974</v>
      </c>
      <c r="C108" s="38">
        <v>1095</v>
      </c>
      <c r="D108" s="38">
        <v>2094</v>
      </c>
      <c r="E108" s="38">
        <v>1713</v>
      </c>
      <c r="F108" s="38">
        <v>1063</v>
      </c>
      <c r="G108" s="38">
        <v>7926</v>
      </c>
      <c r="H108" s="38">
        <v>1635</v>
      </c>
      <c r="I108" s="38">
        <v>895</v>
      </c>
      <c r="J108" s="38">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1682</v>
      </c>
      <c r="AE108" s="27">
        <v>535</v>
      </c>
      <c r="AF108">
        <v>2720</v>
      </c>
      <c r="AH108">
        <v>0</v>
      </c>
    </row>
    <row r="109" spans="1:34" hidden="1">
      <c r="A109" s="38" t="s">
        <v>1568</v>
      </c>
      <c r="B109" s="38">
        <v>3177</v>
      </c>
      <c r="C109" s="38">
        <v>2464</v>
      </c>
      <c r="D109" s="38">
        <v>2763</v>
      </c>
      <c r="E109" s="38">
        <v>1976</v>
      </c>
      <c r="F109" s="38">
        <v>1821</v>
      </c>
      <c r="G109" s="38">
        <v>2050</v>
      </c>
      <c r="H109" s="38">
        <v>1848</v>
      </c>
      <c r="I109" s="38">
        <v>3303</v>
      </c>
      <c r="J109" s="38">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822</v>
      </c>
      <c r="AE109" s="27">
        <v>1992</v>
      </c>
      <c r="AF109">
        <v>4809</v>
      </c>
      <c r="AG109">
        <v>1876</v>
      </c>
      <c r="AH109">
        <v>4381</v>
      </c>
    </row>
    <row r="110" spans="1:34" hidden="1">
      <c r="A110" s="38" t="s">
        <v>860</v>
      </c>
      <c r="B110" s="38">
        <v>1558</v>
      </c>
      <c r="C110" s="38">
        <v>1634</v>
      </c>
      <c r="D110" s="38">
        <v>1646</v>
      </c>
      <c r="E110" s="38">
        <v>1521</v>
      </c>
      <c r="F110" s="38">
        <v>1323</v>
      </c>
      <c r="G110" s="38">
        <v>1390</v>
      </c>
      <c r="H110" s="38">
        <v>1297</v>
      </c>
      <c r="I110" s="38">
        <v>1409</v>
      </c>
      <c r="J110" s="38">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6" t="s">
        <v>574</v>
      </c>
      <c r="AE110" s="27">
        <v>910</v>
      </c>
      <c r="AF110">
        <v>4186</v>
      </c>
      <c r="AG110">
        <v>683</v>
      </c>
      <c r="AH110">
        <v>5958</v>
      </c>
    </row>
    <row r="111" spans="1:34" hidden="1">
      <c r="A111" s="38" t="s">
        <v>228</v>
      </c>
      <c r="B111" s="38">
        <v>1299</v>
      </c>
      <c r="C111" s="38">
        <v>1499</v>
      </c>
      <c r="D111" s="38">
        <v>1816</v>
      </c>
      <c r="E111" s="38">
        <v>1430</v>
      </c>
      <c r="F111" s="38">
        <v>1165</v>
      </c>
      <c r="G111" s="38">
        <v>1127</v>
      </c>
      <c r="H111" s="38">
        <v>1156</v>
      </c>
      <c r="I111" s="38">
        <v>1195</v>
      </c>
      <c r="J111" s="38">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475</v>
      </c>
      <c r="AE111" s="27">
        <v>991</v>
      </c>
      <c r="AF111">
        <v>4900</v>
      </c>
      <c r="AH111">
        <v>0</v>
      </c>
    </row>
    <row r="112" spans="1:34" hidden="1">
      <c r="A112" s="38" t="s">
        <v>1506</v>
      </c>
      <c r="B112" s="38">
        <v>1354</v>
      </c>
      <c r="C112" s="38">
        <v>1035</v>
      </c>
      <c r="D112" s="38">
        <v>988</v>
      </c>
      <c r="E112" s="38">
        <v>832</v>
      </c>
      <c r="F112" s="38">
        <v>578</v>
      </c>
      <c r="G112" s="38">
        <v>641</v>
      </c>
      <c r="H112" s="38">
        <v>495</v>
      </c>
      <c r="I112" s="38">
        <v>449</v>
      </c>
      <c r="J112" s="38">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765</v>
      </c>
      <c r="AE112" s="27">
        <v>1070</v>
      </c>
      <c r="AF112">
        <v>4644</v>
      </c>
      <c r="AG112">
        <v>1149</v>
      </c>
      <c r="AH112">
        <v>4926</v>
      </c>
    </row>
    <row r="113" spans="1:34" hidden="1">
      <c r="A113" s="38" t="s">
        <v>1757</v>
      </c>
      <c r="B113" s="38">
        <v>2000</v>
      </c>
      <c r="C113" s="38">
        <v>2085</v>
      </c>
      <c r="D113" s="38">
        <v>1899</v>
      </c>
      <c r="E113" s="38">
        <v>1650</v>
      </c>
      <c r="F113" s="38">
        <v>382</v>
      </c>
      <c r="G113" s="38">
        <v>0</v>
      </c>
      <c r="H113" s="38">
        <v>22</v>
      </c>
      <c r="I113" s="38">
        <v>12</v>
      </c>
      <c r="J113" s="38">
        <v>0</v>
      </c>
      <c r="K113">
        <v>6</v>
      </c>
      <c r="L113">
        <v>0</v>
      </c>
      <c r="M113">
        <v>0</v>
      </c>
      <c r="N113">
        <v>0</v>
      </c>
      <c r="O113">
        <v>746</v>
      </c>
      <c r="P113">
        <v>797</v>
      </c>
      <c r="Q113">
        <v>748</v>
      </c>
      <c r="R113">
        <v>696</v>
      </c>
      <c r="S113">
        <v>44</v>
      </c>
      <c r="T113">
        <v>0</v>
      </c>
      <c r="U113">
        <v>6</v>
      </c>
      <c r="V113">
        <v>2</v>
      </c>
      <c r="W113">
        <v>0</v>
      </c>
      <c r="X113">
        <v>1</v>
      </c>
      <c r="Y113">
        <v>0</v>
      </c>
      <c r="Z113">
        <v>0</v>
      </c>
      <c r="AA113">
        <v>0</v>
      </c>
      <c r="AD113" t="s">
        <v>271</v>
      </c>
      <c r="AE113" s="27">
        <v>269</v>
      </c>
      <c r="AF113">
        <v>1012</v>
      </c>
      <c r="AH113">
        <v>0</v>
      </c>
    </row>
    <row r="114" spans="1:34" hidden="1">
      <c r="A114" s="38" t="s">
        <v>1476</v>
      </c>
      <c r="B114" s="38">
        <v>485</v>
      </c>
      <c r="C114" s="38">
        <v>784</v>
      </c>
      <c r="D114" s="38">
        <v>1103</v>
      </c>
      <c r="E114" s="38">
        <v>586</v>
      </c>
      <c r="F114" s="38">
        <v>489</v>
      </c>
      <c r="G114" s="38">
        <v>498</v>
      </c>
      <c r="H114" s="38">
        <v>519</v>
      </c>
      <c r="I114" s="38">
        <v>491</v>
      </c>
      <c r="J114" s="38">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238</v>
      </c>
      <c r="AE114" s="27">
        <v>366</v>
      </c>
      <c r="AF114">
        <v>2376</v>
      </c>
      <c r="AG114">
        <v>335</v>
      </c>
      <c r="AH114">
        <v>2573</v>
      </c>
    </row>
    <row r="115" spans="1:34" hidden="1">
      <c r="A115" s="38" t="s">
        <v>1494</v>
      </c>
      <c r="B115" s="38">
        <v>1192</v>
      </c>
      <c r="C115" s="38">
        <v>1048</v>
      </c>
      <c r="D115" s="38">
        <v>821</v>
      </c>
      <c r="E115" s="38">
        <v>1049</v>
      </c>
      <c r="F115" s="38">
        <v>657</v>
      </c>
      <c r="G115" s="38">
        <v>569</v>
      </c>
      <c r="H115" s="38">
        <v>676</v>
      </c>
      <c r="I115" s="38">
        <v>751</v>
      </c>
      <c r="J115" s="38">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678</v>
      </c>
      <c r="AE115" s="27">
        <v>2113</v>
      </c>
      <c r="AF115">
        <v>5392</v>
      </c>
      <c r="AG115">
        <v>1765</v>
      </c>
      <c r="AH115">
        <v>4661</v>
      </c>
    </row>
    <row r="116" spans="1:34" hidden="1">
      <c r="A116" s="38" t="s">
        <v>1395</v>
      </c>
      <c r="B116" s="38">
        <v>1214</v>
      </c>
      <c r="C116" s="38">
        <v>674</v>
      </c>
      <c r="D116" s="38">
        <v>89</v>
      </c>
      <c r="E116" s="38">
        <v>820</v>
      </c>
      <c r="F116" s="38">
        <v>684</v>
      </c>
      <c r="G116" s="38">
        <v>594</v>
      </c>
      <c r="H116" s="38">
        <v>649</v>
      </c>
      <c r="I116" s="38">
        <v>840</v>
      </c>
      <c r="J116" s="38">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71</v>
      </c>
      <c r="AE116" s="27">
        <v>1161</v>
      </c>
      <c r="AF116">
        <v>5011</v>
      </c>
      <c r="AG116">
        <v>1486</v>
      </c>
      <c r="AH116">
        <v>6808</v>
      </c>
    </row>
    <row r="117" spans="1:34" hidden="1">
      <c r="A117" s="38" t="s">
        <v>1702</v>
      </c>
      <c r="B117" s="38">
        <v>128</v>
      </c>
      <c r="C117" s="38">
        <v>112</v>
      </c>
      <c r="D117" s="38">
        <v>69</v>
      </c>
      <c r="E117" s="38">
        <v>74</v>
      </c>
      <c r="F117" s="38">
        <v>64</v>
      </c>
      <c r="G117" s="38">
        <v>77</v>
      </c>
      <c r="H117" s="38">
        <v>86</v>
      </c>
      <c r="I117" s="38">
        <v>74</v>
      </c>
      <c r="J117" s="38">
        <v>72</v>
      </c>
      <c r="K117">
        <v>67</v>
      </c>
      <c r="L117">
        <v>63</v>
      </c>
      <c r="M117">
        <v>67</v>
      </c>
      <c r="N117">
        <v>263</v>
      </c>
      <c r="O117">
        <v>33</v>
      </c>
      <c r="P117">
        <v>29</v>
      </c>
      <c r="Q117">
        <v>23</v>
      </c>
      <c r="R117">
        <v>29</v>
      </c>
      <c r="S117">
        <v>18</v>
      </c>
      <c r="T117">
        <v>31</v>
      </c>
      <c r="U117">
        <v>36</v>
      </c>
      <c r="V117">
        <v>23</v>
      </c>
      <c r="W117">
        <v>33</v>
      </c>
      <c r="X117">
        <v>40</v>
      </c>
      <c r="Y117">
        <v>26</v>
      </c>
      <c r="Z117">
        <v>28</v>
      </c>
      <c r="AA117">
        <v>88</v>
      </c>
      <c r="AD117" t="s">
        <v>666</v>
      </c>
      <c r="AE117" s="27">
        <v>690</v>
      </c>
      <c r="AF117">
        <v>1755</v>
      </c>
      <c r="AH117">
        <v>0</v>
      </c>
    </row>
    <row r="118" spans="1:34" hidden="1">
      <c r="A118" s="38" t="s">
        <v>1022</v>
      </c>
      <c r="B118" s="38">
        <v>198</v>
      </c>
      <c r="C118" s="38">
        <v>302</v>
      </c>
      <c r="D118" s="38">
        <v>84</v>
      </c>
      <c r="E118" s="38">
        <v>72</v>
      </c>
      <c r="F118" s="38">
        <v>53</v>
      </c>
      <c r="G118" s="38">
        <v>62</v>
      </c>
      <c r="H118" s="38">
        <v>107</v>
      </c>
      <c r="I118" s="38">
        <v>137</v>
      </c>
      <c r="J118" s="38">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567</v>
      </c>
      <c r="AE118" s="27">
        <v>1115</v>
      </c>
      <c r="AF118">
        <v>4213</v>
      </c>
      <c r="AG118">
        <v>995</v>
      </c>
      <c r="AH118">
        <v>3952</v>
      </c>
    </row>
    <row r="119" spans="1:34" hidden="1">
      <c r="A119" s="38" t="s">
        <v>1707</v>
      </c>
      <c r="B119" s="38">
        <v>28</v>
      </c>
      <c r="C119" s="38">
        <v>33</v>
      </c>
      <c r="D119" s="38">
        <v>39</v>
      </c>
      <c r="E119" s="38">
        <v>35</v>
      </c>
      <c r="F119" s="38">
        <v>36</v>
      </c>
      <c r="G119" s="38">
        <v>26</v>
      </c>
      <c r="H119" s="38">
        <v>51</v>
      </c>
      <c r="I119" s="38">
        <v>43</v>
      </c>
      <c r="J119" s="38">
        <v>53</v>
      </c>
      <c r="K119">
        <v>67</v>
      </c>
      <c r="L119">
        <v>59</v>
      </c>
      <c r="M119">
        <v>63</v>
      </c>
      <c r="N119">
        <v>73</v>
      </c>
      <c r="O119">
        <v>20</v>
      </c>
      <c r="P119">
        <v>13</v>
      </c>
      <c r="Q119">
        <v>18</v>
      </c>
      <c r="R119">
        <v>17</v>
      </c>
      <c r="S119">
        <v>21</v>
      </c>
      <c r="T119">
        <v>21</v>
      </c>
      <c r="U119">
        <v>23</v>
      </c>
      <c r="V119">
        <v>20</v>
      </c>
      <c r="W119">
        <v>30</v>
      </c>
      <c r="X119">
        <v>29</v>
      </c>
      <c r="Y119">
        <v>33</v>
      </c>
      <c r="Z119">
        <v>23</v>
      </c>
      <c r="AA119">
        <v>29</v>
      </c>
      <c r="AD119" t="s">
        <v>572</v>
      </c>
      <c r="AE119" s="27">
        <v>1273</v>
      </c>
      <c r="AF119">
        <v>4614</v>
      </c>
      <c r="AG119">
        <v>1509</v>
      </c>
      <c r="AH119">
        <v>5326</v>
      </c>
    </row>
    <row r="120" spans="1:34" hidden="1">
      <c r="A120" s="38" t="s">
        <v>1062</v>
      </c>
      <c r="B120" s="38">
        <v>1002</v>
      </c>
      <c r="C120" s="38">
        <v>1034</v>
      </c>
      <c r="D120" s="38">
        <v>660</v>
      </c>
      <c r="E120" s="38">
        <v>563</v>
      </c>
      <c r="F120" s="38">
        <v>480</v>
      </c>
      <c r="G120" s="38">
        <v>479</v>
      </c>
      <c r="H120" s="38">
        <v>567</v>
      </c>
      <c r="I120" s="38">
        <v>408</v>
      </c>
      <c r="J120" s="38">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194</v>
      </c>
      <c r="AE120" s="27">
        <v>1003</v>
      </c>
      <c r="AF120">
        <v>5089</v>
      </c>
      <c r="AG120">
        <v>1135</v>
      </c>
      <c r="AH120">
        <v>6127</v>
      </c>
    </row>
    <row r="121" spans="1:34" hidden="1">
      <c r="A121" s="38" t="s">
        <v>572</v>
      </c>
      <c r="B121" s="38">
        <v>556</v>
      </c>
      <c r="C121" s="38">
        <v>644</v>
      </c>
      <c r="D121" s="38">
        <v>668</v>
      </c>
      <c r="E121" s="38">
        <v>708</v>
      </c>
      <c r="F121" s="38">
        <v>563</v>
      </c>
      <c r="G121" s="38">
        <v>598</v>
      </c>
      <c r="H121" s="38">
        <v>612</v>
      </c>
      <c r="I121" s="38">
        <v>598</v>
      </c>
      <c r="J121" s="38">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295</v>
      </c>
      <c r="AE121" s="27">
        <v>425</v>
      </c>
      <c r="AF121">
        <v>1216</v>
      </c>
      <c r="AH121">
        <v>0</v>
      </c>
    </row>
    <row r="122" spans="1:34" hidden="1">
      <c r="A122" s="38" t="s">
        <v>252</v>
      </c>
      <c r="B122" s="38">
        <v>1013</v>
      </c>
      <c r="C122" s="38">
        <v>1382</v>
      </c>
      <c r="D122" s="38">
        <v>1449</v>
      </c>
      <c r="E122" s="38">
        <v>2537</v>
      </c>
      <c r="F122" s="38">
        <v>1852</v>
      </c>
      <c r="G122" s="38">
        <v>1365</v>
      </c>
      <c r="H122" s="38">
        <v>998</v>
      </c>
      <c r="I122" s="38">
        <v>1016</v>
      </c>
      <c r="J122" s="38">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1684</v>
      </c>
      <c r="AE122" s="27">
        <v>457</v>
      </c>
      <c r="AF122">
        <v>2842</v>
      </c>
      <c r="AH122">
        <v>0</v>
      </c>
    </row>
    <row r="123" spans="1:34" hidden="1">
      <c r="A123" s="38" t="s">
        <v>137</v>
      </c>
      <c r="B123" s="38">
        <v>426</v>
      </c>
      <c r="C123" s="38">
        <v>462</v>
      </c>
      <c r="D123" s="38">
        <v>516</v>
      </c>
      <c r="E123" s="38">
        <v>557</v>
      </c>
      <c r="F123" s="38">
        <v>514</v>
      </c>
      <c r="G123" s="38">
        <v>606</v>
      </c>
      <c r="H123" s="38">
        <v>431</v>
      </c>
      <c r="I123" s="38">
        <v>496</v>
      </c>
      <c r="J123" s="38">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1674</v>
      </c>
      <c r="AE123" s="27">
        <v>396</v>
      </c>
      <c r="AF123">
        <v>1089</v>
      </c>
      <c r="AH123">
        <v>0</v>
      </c>
    </row>
    <row r="124" spans="1:34" hidden="1">
      <c r="A124" s="38" t="s">
        <v>604</v>
      </c>
      <c r="B124" s="38">
        <v>2274</v>
      </c>
      <c r="C124" s="38">
        <v>2856</v>
      </c>
      <c r="D124" s="38">
        <v>3377</v>
      </c>
      <c r="E124" s="38">
        <v>5031</v>
      </c>
      <c r="F124" s="38">
        <v>5590</v>
      </c>
      <c r="G124" s="38">
        <v>4851</v>
      </c>
      <c r="H124" s="38">
        <v>4649</v>
      </c>
      <c r="I124" s="38">
        <v>6101</v>
      </c>
      <c r="J124" s="38">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283</v>
      </c>
      <c r="AE124" s="27">
        <v>374</v>
      </c>
      <c r="AF124">
        <v>1383</v>
      </c>
      <c r="AH124">
        <v>0</v>
      </c>
    </row>
    <row r="125" spans="1:34" hidden="1">
      <c r="A125" s="38" t="s">
        <v>176</v>
      </c>
      <c r="B125" s="38">
        <v>879</v>
      </c>
      <c r="C125" s="38">
        <v>1082</v>
      </c>
      <c r="D125" s="38">
        <v>983</v>
      </c>
      <c r="E125" s="38">
        <v>1031</v>
      </c>
      <c r="F125" s="38">
        <v>927</v>
      </c>
      <c r="G125" s="38">
        <v>974</v>
      </c>
      <c r="H125" s="38">
        <v>1011</v>
      </c>
      <c r="I125" s="38">
        <v>1156</v>
      </c>
      <c r="J125" s="38">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232</v>
      </c>
      <c r="AE125" s="27">
        <v>2024</v>
      </c>
      <c r="AF125">
        <v>10130</v>
      </c>
      <c r="AG125">
        <v>2145</v>
      </c>
      <c r="AH125">
        <v>9967</v>
      </c>
    </row>
    <row r="126" spans="1:34" hidden="1">
      <c r="A126" s="38" t="s">
        <v>1468</v>
      </c>
      <c r="B126" s="38">
        <v>1634</v>
      </c>
      <c r="C126" s="38">
        <v>1088</v>
      </c>
      <c r="D126" s="38">
        <v>1379</v>
      </c>
      <c r="E126" s="38">
        <v>1401</v>
      </c>
      <c r="F126" s="38">
        <v>1057</v>
      </c>
      <c r="G126" s="38">
        <v>1155</v>
      </c>
      <c r="H126" s="38">
        <v>1143</v>
      </c>
      <c r="I126" s="38">
        <v>1093</v>
      </c>
      <c r="J126" s="38">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1679</v>
      </c>
      <c r="AE126" s="27">
        <v>444</v>
      </c>
      <c r="AF126">
        <v>1903</v>
      </c>
      <c r="AH126">
        <v>0</v>
      </c>
    </row>
    <row r="127" spans="1:34" hidden="1">
      <c r="A127" s="38" t="s">
        <v>1758</v>
      </c>
      <c r="B127" s="38">
        <v>550</v>
      </c>
      <c r="C127" s="38">
        <v>528</v>
      </c>
      <c r="D127" s="38">
        <v>327</v>
      </c>
      <c r="E127" s="38">
        <v>306</v>
      </c>
      <c r="F127" s="38">
        <v>296</v>
      </c>
      <c r="G127" s="38">
        <v>241</v>
      </c>
      <c r="H127" s="38">
        <v>257</v>
      </c>
      <c r="I127" s="38">
        <v>382</v>
      </c>
      <c r="J127" s="38">
        <v>0</v>
      </c>
      <c r="K127">
        <v>2</v>
      </c>
      <c r="L127">
        <v>0</v>
      </c>
      <c r="M127">
        <v>0</v>
      </c>
      <c r="N127">
        <v>0</v>
      </c>
      <c r="O127">
        <v>164</v>
      </c>
      <c r="P127">
        <v>142</v>
      </c>
      <c r="Q127">
        <v>146</v>
      </c>
      <c r="R127">
        <v>116</v>
      </c>
      <c r="S127">
        <v>130</v>
      </c>
      <c r="T127">
        <v>118</v>
      </c>
      <c r="U127">
        <v>138</v>
      </c>
      <c r="V127">
        <v>136</v>
      </c>
      <c r="W127">
        <v>0</v>
      </c>
      <c r="X127">
        <v>2</v>
      </c>
      <c r="Y127">
        <v>0</v>
      </c>
      <c r="Z127">
        <v>0</v>
      </c>
      <c r="AA127">
        <v>0</v>
      </c>
      <c r="AD127" t="s">
        <v>395</v>
      </c>
      <c r="AE127" s="27">
        <v>384</v>
      </c>
      <c r="AF127">
        <v>1342</v>
      </c>
      <c r="AH127">
        <v>0</v>
      </c>
    </row>
    <row r="128" spans="1:34" hidden="1">
      <c r="A128" s="38" t="s">
        <v>725</v>
      </c>
      <c r="B128" s="38">
        <v>0</v>
      </c>
      <c r="C128" s="38">
        <v>687</v>
      </c>
      <c r="D128" s="38">
        <v>1065</v>
      </c>
      <c r="E128" s="38">
        <v>1231</v>
      </c>
      <c r="F128" s="38">
        <v>754</v>
      </c>
      <c r="G128" s="38">
        <v>682</v>
      </c>
      <c r="H128" s="38">
        <v>1047</v>
      </c>
      <c r="I128" s="38">
        <v>797</v>
      </c>
      <c r="J128" s="38">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604</v>
      </c>
      <c r="AE128" s="27">
        <v>4667</v>
      </c>
      <c r="AF128">
        <v>17712</v>
      </c>
      <c r="AG128">
        <v>4531</v>
      </c>
      <c r="AH128">
        <v>24486</v>
      </c>
    </row>
    <row r="129" spans="1:34" hidden="1">
      <c r="A129" s="38" t="s">
        <v>1115</v>
      </c>
      <c r="B129" s="38">
        <v>109</v>
      </c>
      <c r="C129" s="38">
        <v>64</v>
      </c>
      <c r="D129" s="38">
        <v>94</v>
      </c>
      <c r="E129" s="38">
        <v>63</v>
      </c>
      <c r="F129" s="38">
        <v>86</v>
      </c>
      <c r="G129" s="38">
        <v>93</v>
      </c>
      <c r="H129" s="38">
        <v>96</v>
      </c>
      <c r="I129" s="38">
        <v>208</v>
      </c>
      <c r="J129" s="38">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86</v>
      </c>
      <c r="AE129" s="27">
        <v>2577</v>
      </c>
      <c r="AF129">
        <v>9416</v>
      </c>
      <c r="AG129">
        <v>2224</v>
      </c>
      <c r="AH129">
        <v>8107</v>
      </c>
    </row>
    <row r="130" spans="1:34" hidden="1">
      <c r="A130" s="38" t="s">
        <v>1425</v>
      </c>
      <c r="B130" s="38">
        <v>4323</v>
      </c>
      <c r="C130" s="38">
        <v>3717</v>
      </c>
      <c r="D130" s="38">
        <v>6969</v>
      </c>
      <c r="E130" s="38">
        <v>12230</v>
      </c>
      <c r="F130" s="38">
        <v>8131</v>
      </c>
      <c r="G130" s="38">
        <v>5322</v>
      </c>
      <c r="H130" s="38">
        <v>3436</v>
      </c>
      <c r="I130" s="38">
        <v>3161</v>
      </c>
      <c r="J130" s="38">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691</v>
      </c>
      <c r="AE130" s="27">
        <v>2165</v>
      </c>
      <c r="AF130">
        <v>5383</v>
      </c>
      <c r="AG130">
        <v>2320</v>
      </c>
      <c r="AH130">
        <v>5350</v>
      </c>
    </row>
    <row r="131" spans="1:34" hidden="1">
      <c r="A131" s="38" t="s">
        <v>1570</v>
      </c>
      <c r="B131" s="38">
        <v>1450</v>
      </c>
      <c r="C131" s="38">
        <v>1559</v>
      </c>
      <c r="D131" s="38">
        <v>1228</v>
      </c>
      <c r="E131" s="38">
        <v>1388</v>
      </c>
      <c r="F131" s="38">
        <v>1438</v>
      </c>
      <c r="G131" s="38">
        <v>1443</v>
      </c>
      <c r="H131" s="38">
        <v>1497</v>
      </c>
      <c r="I131" s="38">
        <v>1915</v>
      </c>
      <c r="J131" s="38">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429</v>
      </c>
      <c r="AE131" s="27">
        <v>1108</v>
      </c>
      <c r="AF131">
        <v>5115</v>
      </c>
      <c r="AG131">
        <v>971</v>
      </c>
      <c r="AH131">
        <v>4608</v>
      </c>
    </row>
    <row r="132" spans="1:34" hidden="1">
      <c r="A132" s="38" t="s">
        <v>1457</v>
      </c>
      <c r="B132" s="38">
        <v>1100</v>
      </c>
      <c r="C132" s="38">
        <v>860</v>
      </c>
      <c r="D132" s="38">
        <v>863</v>
      </c>
      <c r="E132" s="38">
        <v>884</v>
      </c>
      <c r="F132" s="38">
        <v>902</v>
      </c>
      <c r="G132" s="38">
        <v>813</v>
      </c>
      <c r="H132" s="38">
        <v>690</v>
      </c>
      <c r="I132" s="38">
        <v>871</v>
      </c>
      <c r="J132" s="38">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565</v>
      </c>
      <c r="AE132" s="27">
        <v>2302</v>
      </c>
      <c r="AF132">
        <v>10218</v>
      </c>
      <c r="AG132">
        <v>2189</v>
      </c>
      <c r="AH132">
        <v>9526</v>
      </c>
    </row>
    <row r="133" spans="1:34" hidden="1">
      <c r="A133" s="38" t="s">
        <v>1502</v>
      </c>
      <c r="B133" s="38">
        <v>310</v>
      </c>
      <c r="C133" s="38">
        <v>322</v>
      </c>
      <c r="D133" s="38">
        <v>924</v>
      </c>
      <c r="E133" s="38">
        <v>1220</v>
      </c>
      <c r="F133" s="38">
        <v>1061</v>
      </c>
      <c r="G133" s="38">
        <v>741</v>
      </c>
      <c r="H133" s="38">
        <v>669</v>
      </c>
      <c r="I133" s="38">
        <v>633</v>
      </c>
      <c r="J133" s="38">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176</v>
      </c>
      <c r="AE133" s="27">
        <v>2047</v>
      </c>
      <c r="AF133">
        <v>7282</v>
      </c>
      <c r="AG133">
        <v>1788</v>
      </c>
      <c r="AH133">
        <v>6367</v>
      </c>
    </row>
    <row r="134" spans="1:34" hidden="1">
      <c r="A134" s="38" t="s">
        <v>1364</v>
      </c>
      <c r="B134" s="38">
        <v>21</v>
      </c>
      <c r="C134" s="38">
        <v>23</v>
      </c>
      <c r="D134" s="38">
        <v>38</v>
      </c>
      <c r="E134" s="38">
        <v>47</v>
      </c>
      <c r="F134" s="38">
        <v>34</v>
      </c>
      <c r="G134" s="38">
        <v>33</v>
      </c>
      <c r="H134" s="38">
        <v>22</v>
      </c>
      <c r="I134" s="38">
        <v>28</v>
      </c>
      <c r="J134" s="38">
        <v>39</v>
      </c>
      <c r="K134">
        <v>30</v>
      </c>
      <c r="L134">
        <v>28</v>
      </c>
      <c r="M134">
        <v>24</v>
      </c>
      <c r="N134">
        <v>56</v>
      </c>
      <c r="O134">
        <v>3</v>
      </c>
      <c r="P134">
        <v>4</v>
      </c>
      <c r="Q134">
        <v>4</v>
      </c>
      <c r="R134">
        <v>3</v>
      </c>
      <c r="S134">
        <v>5</v>
      </c>
      <c r="T134">
        <v>1</v>
      </c>
      <c r="U134">
        <v>1</v>
      </c>
      <c r="V134">
        <v>2</v>
      </c>
      <c r="W134">
        <v>4</v>
      </c>
      <c r="X134">
        <v>1</v>
      </c>
      <c r="Y134">
        <v>6</v>
      </c>
      <c r="Z134">
        <v>3</v>
      </c>
      <c r="AA134">
        <v>6</v>
      </c>
      <c r="AD134" t="s">
        <v>626</v>
      </c>
      <c r="AE134" s="27">
        <v>760</v>
      </c>
      <c r="AF134">
        <v>2586</v>
      </c>
      <c r="AG134">
        <v>654</v>
      </c>
      <c r="AH134">
        <v>2486</v>
      </c>
    </row>
    <row r="135" spans="1:34" hidden="1">
      <c r="A135" s="38" t="s">
        <v>1372</v>
      </c>
      <c r="B135" s="38">
        <v>66</v>
      </c>
      <c r="C135" s="38">
        <v>134</v>
      </c>
      <c r="D135" s="38">
        <v>267</v>
      </c>
      <c r="E135" s="38">
        <v>141</v>
      </c>
      <c r="F135" s="38">
        <v>86</v>
      </c>
      <c r="G135" s="38">
        <v>77</v>
      </c>
      <c r="H135" s="38">
        <v>87</v>
      </c>
      <c r="I135" s="38">
        <v>169</v>
      </c>
      <c r="J135" s="38">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356</v>
      </c>
      <c r="AE135" s="27">
        <v>1249</v>
      </c>
      <c r="AF135">
        <v>5495</v>
      </c>
      <c r="AG135">
        <v>1127</v>
      </c>
      <c r="AH135">
        <v>5014</v>
      </c>
    </row>
    <row r="136" spans="1:34" hidden="1">
      <c r="A136" s="38" t="s">
        <v>131</v>
      </c>
      <c r="B136" s="38">
        <v>5320</v>
      </c>
      <c r="C136" s="38">
        <v>3011</v>
      </c>
      <c r="D136" s="38">
        <v>1145</v>
      </c>
      <c r="E136" s="38">
        <v>3689</v>
      </c>
      <c r="F136" s="38">
        <v>2504</v>
      </c>
      <c r="G136" s="38">
        <v>2187</v>
      </c>
      <c r="H136" s="38">
        <v>2306</v>
      </c>
      <c r="I136" s="38">
        <v>2366</v>
      </c>
      <c r="J136" s="38">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7">
        <v>0</v>
      </c>
      <c r="AF136">
        <v>0</v>
      </c>
    </row>
    <row r="137" spans="1:34" hidden="1">
      <c r="A137" s="38" t="s">
        <v>805</v>
      </c>
      <c r="B137" s="38">
        <v>1619</v>
      </c>
      <c r="C137" s="38">
        <v>1633</v>
      </c>
      <c r="D137" s="38">
        <v>717</v>
      </c>
      <c r="E137" s="38">
        <v>826</v>
      </c>
      <c r="F137" s="38">
        <v>650</v>
      </c>
      <c r="G137" s="38">
        <v>725</v>
      </c>
      <c r="H137" s="38">
        <v>777</v>
      </c>
      <c r="I137" s="38">
        <v>962</v>
      </c>
      <c r="J137" s="38">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7">
        <v>0</v>
      </c>
      <c r="AF137">
        <v>0</v>
      </c>
    </row>
    <row r="138" spans="1:34" hidden="1">
      <c r="A138" s="38" t="s">
        <v>365</v>
      </c>
      <c r="B138" s="38">
        <v>2361</v>
      </c>
      <c r="C138" s="38">
        <v>2605</v>
      </c>
      <c r="D138" s="38">
        <v>2688</v>
      </c>
      <c r="E138" s="38">
        <v>3554</v>
      </c>
      <c r="F138" s="38">
        <v>3657</v>
      </c>
      <c r="G138" s="38">
        <v>3360</v>
      </c>
      <c r="H138" s="38">
        <v>3137</v>
      </c>
      <c r="I138" s="38">
        <v>3454</v>
      </c>
      <c r="J138" s="38">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7">
        <v>0</v>
      </c>
      <c r="AF138">
        <v>0</v>
      </c>
    </row>
    <row r="139" spans="1:34" hidden="1">
      <c r="A139" s="38" t="s">
        <v>707</v>
      </c>
      <c r="B139" s="38">
        <v>1476</v>
      </c>
      <c r="C139" s="38">
        <v>1945</v>
      </c>
      <c r="D139" s="38">
        <v>2127</v>
      </c>
      <c r="E139" s="38">
        <v>2420</v>
      </c>
      <c r="F139" s="38">
        <v>2366</v>
      </c>
      <c r="G139" s="38">
        <v>2349</v>
      </c>
      <c r="H139" s="38">
        <v>2432</v>
      </c>
      <c r="I139" s="38">
        <v>2364</v>
      </c>
      <c r="J139" s="38">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7">
        <v>0</v>
      </c>
      <c r="AF139">
        <v>0</v>
      </c>
    </row>
    <row r="140" spans="1:34" hidden="1">
      <c r="A140" s="38" t="s">
        <v>509</v>
      </c>
      <c r="B140" s="38">
        <v>5127</v>
      </c>
      <c r="C140" s="38">
        <v>2691</v>
      </c>
      <c r="D140" s="38">
        <v>3374</v>
      </c>
      <c r="E140" s="38">
        <v>5722</v>
      </c>
      <c r="F140" s="38">
        <v>4410</v>
      </c>
      <c r="G140" s="38">
        <v>4656</v>
      </c>
      <c r="H140" s="38">
        <v>5272</v>
      </c>
      <c r="I140" s="38">
        <v>3944</v>
      </c>
      <c r="J140" s="38">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7">
        <v>0</v>
      </c>
      <c r="AF140">
        <v>0</v>
      </c>
    </row>
    <row r="141" spans="1:34" hidden="1">
      <c r="A141" s="38" t="s">
        <v>590</v>
      </c>
      <c r="B141" s="38">
        <v>5383</v>
      </c>
      <c r="C141" s="38">
        <v>4790</v>
      </c>
      <c r="D141" s="38">
        <v>3916</v>
      </c>
      <c r="E141" s="38">
        <v>3315</v>
      </c>
      <c r="F141" s="38">
        <v>2791</v>
      </c>
      <c r="G141" s="38">
        <v>2696</v>
      </c>
      <c r="H141" s="38">
        <v>2057</v>
      </c>
      <c r="I141" s="38">
        <v>3008</v>
      </c>
      <c r="J141" s="38">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7">
        <v>0</v>
      </c>
      <c r="AF141">
        <v>0</v>
      </c>
    </row>
    <row r="142" spans="1:34" hidden="1">
      <c r="A142" s="38" t="s">
        <v>705</v>
      </c>
      <c r="B142" s="38">
        <v>0</v>
      </c>
      <c r="C142" s="38">
        <v>2098</v>
      </c>
      <c r="D142" s="38">
        <v>2243</v>
      </c>
      <c r="E142" s="38">
        <v>2036</v>
      </c>
      <c r="F142" s="38">
        <v>1818</v>
      </c>
      <c r="G142" s="38">
        <v>2072</v>
      </c>
      <c r="H142" s="38">
        <v>1235</v>
      </c>
      <c r="I142" s="38">
        <v>1323</v>
      </c>
      <c r="J142" s="38">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437</v>
      </c>
      <c r="AE142" s="27">
        <v>477</v>
      </c>
      <c r="AF142">
        <v>2478</v>
      </c>
      <c r="AG142">
        <v>475</v>
      </c>
      <c r="AH142">
        <v>2376</v>
      </c>
    </row>
    <row r="143" spans="1:34" hidden="1">
      <c r="A143" s="38" t="s">
        <v>289</v>
      </c>
      <c r="B143" s="38">
        <v>762</v>
      </c>
      <c r="C143" s="38">
        <v>1141</v>
      </c>
      <c r="D143" s="38">
        <v>996</v>
      </c>
      <c r="E143" s="38">
        <v>2175</v>
      </c>
      <c r="F143" s="38">
        <v>1366</v>
      </c>
      <c r="G143" s="38">
        <v>2724</v>
      </c>
      <c r="H143" s="38">
        <v>1011</v>
      </c>
      <c r="I143" s="38">
        <v>1058</v>
      </c>
      <c r="J143" s="38">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6" t="s">
        <v>89</v>
      </c>
      <c r="AE143" s="27">
        <v>732</v>
      </c>
      <c r="AF143">
        <v>3414</v>
      </c>
      <c r="AG143">
        <v>738</v>
      </c>
      <c r="AH143">
        <v>3203</v>
      </c>
    </row>
    <row r="144" spans="1:34" hidden="1">
      <c r="A144" s="38" t="s">
        <v>752</v>
      </c>
      <c r="B144" s="38">
        <v>1491</v>
      </c>
      <c r="C144" s="38">
        <v>1436</v>
      </c>
      <c r="D144" s="38">
        <v>1225</v>
      </c>
      <c r="E144" s="38">
        <v>1684</v>
      </c>
      <c r="F144" s="38">
        <v>1462</v>
      </c>
      <c r="G144" s="38">
        <v>1782</v>
      </c>
      <c r="H144" s="38">
        <v>1906</v>
      </c>
      <c r="I144" s="38">
        <v>1800</v>
      </c>
      <c r="J144" s="38">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208</v>
      </c>
      <c r="AE144" s="27">
        <v>807</v>
      </c>
      <c r="AF144">
        <v>3474</v>
      </c>
      <c r="AG144">
        <v>685</v>
      </c>
      <c r="AH144">
        <v>3403</v>
      </c>
    </row>
    <row r="145" spans="1:34" hidden="1">
      <c r="A145" s="38" t="s">
        <v>1398</v>
      </c>
      <c r="B145" s="38">
        <v>1434</v>
      </c>
      <c r="C145" s="38">
        <v>1037</v>
      </c>
      <c r="D145" s="38">
        <v>643</v>
      </c>
      <c r="E145" s="38">
        <v>560</v>
      </c>
      <c r="F145" s="38">
        <v>454</v>
      </c>
      <c r="G145" s="38">
        <v>513</v>
      </c>
      <c r="H145" s="38">
        <v>583</v>
      </c>
      <c r="I145" s="38">
        <v>404</v>
      </c>
      <c r="J145" s="38">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580</v>
      </c>
      <c r="AE145" s="27">
        <v>1176</v>
      </c>
      <c r="AF145">
        <v>4928</v>
      </c>
      <c r="AG145">
        <v>1070</v>
      </c>
      <c r="AH145">
        <v>3829</v>
      </c>
    </row>
    <row r="146" spans="1:34" hidden="1">
      <c r="A146" s="38" t="s">
        <v>1759</v>
      </c>
      <c r="B146" s="38">
        <v>602</v>
      </c>
      <c r="C146" s="38">
        <v>454</v>
      </c>
      <c r="D146" s="38">
        <v>98</v>
      </c>
      <c r="E146" s="38">
        <v>417</v>
      </c>
      <c r="F146" s="38">
        <v>336</v>
      </c>
      <c r="G146" s="38">
        <v>285</v>
      </c>
      <c r="H146" s="38">
        <v>926</v>
      </c>
      <c r="I146" s="38">
        <v>289</v>
      </c>
      <c r="J146" s="38">
        <v>0</v>
      </c>
      <c r="K146">
        <v>4</v>
      </c>
      <c r="L146">
        <v>2</v>
      </c>
      <c r="M146">
        <v>0</v>
      </c>
      <c r="N146">
        <v>0</v>
      </c>
      <c r="O146">
        <v>175</v>
      </c>
      <c r="P146">
        <v>91</v>
      </c>
      <c r="Q146">
        <v>0</v>
      </c>
      <c r="R146">
        <v>160</v>
      </c>
      <c r="S146">
        <v>111</v>
      </c>
      <c r="T146">
        <v>111</v>
      </c>
      <c r="U146">
        <v>399</v>
      </c>
      <c r="V146">
        <v>61</v>
      </c>
      <c r="W146">
        <v>1</v>
      </c>
      <c r="X146">
        <v>2</v>
      </c>
      <c r="Y146">
        <v>1</v>
      </c>
      <c r="Z146">
        <v>0</v>
      </c>
      <c r="AA146">
        <v>0</v>
      </c>
      <c r="AD146" t="s">
        <v>491</v>
      </c>
      <c r="AE146" s="27">
        <v>485</v>
      </c>
      <c r="AF146">
        <v>1503</v>
      </c>
      <c r="AG146">
        <v>600</v>
      </c>
      <c r="AH146">
        <v>2244</v>
      </c>
    </row>
    <row r="147" spans="1:34" hidden="1">
      <c r="A147" s="38" t="s">
        <v>1760</v>
      </c>
      <c r="B147" s="38">
        <v>511</v>
      </c>
      <c r="C147" s="38">
        <v>0</v>
      </c>
      <c r="D147" s="38">
        <v>0</v>
      </c>
      <c r="E147" s="38">
        <v>0</v>
      </c>
      <c r="F147" s="38">
        <v>0</v>
      </c>
      <c r="G147" s="38">
        <v>0</v>
      </c>
      <c r="H147" s="38">
        <v>0</v>
      </c>
      <c r="I147" s="38">
        <v>0</v>
      </c>
      <c r="J147" s="38">
        <v>107</v>
      </c>
      <c r="K147">
        <v>0</v>
      </c>
      <c r="L147">
        <v>127</v>
      </c>
      <c r="M147">
        <v>22</v>
      </c>
      <c r="N147">
        <v>51</v>
      </c>
      <c r="O147">
        <v>153</v>
      </c>
      <c r="P147">
        <v>0</v>
      </c>
      <c r="Q147">
        <v>0</v>
      </c>
      <c r="R147">
        <v>0</v>
      </c>
      <c r="S147">
        <v>0</v>
      </c>
      <c r="T147">
        <v>0</v>
      </c>
      <c r="U147">
        <v>0</v>
      </c>
      <c r="V147">
        <v>0</v>
      </c>
      <c r="W147">
        <v>21</v>
      </c>
      <c r="X147">
        <v>1</v>
      </c>
      <c r="Y147">
        <v>25</v>
      </c>
      <c r="Z147">
        <v>1</v>
      </c>
      <c r="AA147">
        <v>9</v>
      </c>
      <c r="AD147" t="s">
        <v>889</v>
      </c>
      <c r="AE147" s="27">
        <v>1603</v>
      </c>
      <c r="AF147">
        <v>5425</v>
      </c>
      <c r="AG147">
        <v>1488</v>
      </c>
      <c r="AH147">
        <v>5220</v>
      </c>
    </row>
    <row r="148" spans="1:34" hidden="1">
      <c r="A148" s="38" t="s">
        <v>1384</v>
      </c>
      <c r="B148" s="38">
        <v>446</v>
      </c>
      <c r="C148" s="38">
        <v>408</v>
      </c>
      <c r="D148" s="38">
        <v>328</v>
      </c>
      <c r="E148" s="38">
        <v>346</v>
      </c>
      <c r="F148" s="38">
        <v>332</v>
      </c>
      <c r="G148" s="38">
        <v>369</v>
      </c>
      <c r="H148" s="38">
        <v>428</v>
      </c>
      <c r="I148" s="38">
        <v>522</v>
      </c>
      <c r="J148" s="38">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846</v>
      </c>
      <c r="AE148" s="27">
        <v>5633</v>
      </c>
      <c r="AF148">
        <v>24131</v>
      </c>
      <c r="AG148">
        <v>5006</v>
      </c>
      <c r="AH148">
        <v>20579</v>
      </c>
    </row>
    <row r="149" spans="1:34" hidden="1">
      <c r="A149" s="38" t="s">
        <v>1380</v>
      </c>
      <c r="B149" s="38">
        <v>198</v>
      </c>
      <c r="C149" s="38">
        <v>149</v>
      </c>
      <c r="D149" s="38">
        <v>200</v>
      </c>
      <c r="E149" s="38">
        <v>244</v>
      </c>
      <c r="F149" s="38">
        <v>134</v>
      </c>
      <c r="G149" s="38">
        <v>153</v>
      </c>
      <c r="H149" s="38">
        <v>155</v>
      </c>
      <c r="I149" s="38">
        <v>204</v>
      </c>
      <c r="J149" s="38">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775</v>
      </c>
      <c r="AE149" s="27">
        <v>3162</v>
      </c>
      <c r="AF149">
        <v>14680</v>
      </c>
      <c r="AG149">
        <v>3141</v>
      </c>
      <c r="AH149">
        <v>14722</v>
      </c>
    </row>
    <row r="150" spans="1:34" hidden="1">
      <c r="A150" s="38" t="s">
        <v>1269</v>
      </c>
      <c r="B150" s="38">
        <v>336</v>
      </c>
      <c r="C150" s="38">
        <v>468</v>
      </c>
      <c r="D150" s="38">
        <v>470</v>
      </c>
      <c r="E150" s="38">
        <v>532</v>
      </c>
      <c r="F150" s="38">
        <v>375</v>
      </c>
      <c r="G150" s="38">
        <v>397</v>
      </c>
      <c r="H150" s="38">
        <v>488</v>
      </c>
      <c r="I150" s="38">
        <v>590</v>
      </c>
      <c r="J150" s="38">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1675</v>
      </c>
      <c r="AE150" s="27">
        <v>401</v>
      </c>
      <c r="AF150">
        <v>2749</v>
      </c>
      <c r="AH150">
        <v>0</v>
      </c>
    </row>
    <row r="151" spans="1:34" hidden="1">
      <c r="A151" s="38" t="s">
        <v>1672</v>
      </c>
      <c r="B151" s="38">
        <v>0</v>
      </c>
      <c r="C151" s="38">
        <v>298</v>
      </c>
      <c r="D151" s="38">
        <v>1106</v>
      </c>
      <c r="E151" s="38">
        <v>743</v>
      </c>
      <c r="F151" s="38">
        <v>683</v>
      </c>
      <c r="G151" s="38">
        <v>854</v>
      </c>
      <c r="H151" s="38">
        <v>562</v>
      </c>
      <c r="I151" s="38">
        <v>553</v>
      </c>
      <c r="J151" s="38">
        <v>893</v>
      </c>
      <c r="K151">
        <v>3</v>
      </c>
      <c r="L151">
        <v>0</v>
      </c>
      <c r="M151">
        <v>0</v>
      </c>
      <c r="N151">
        <v>0</v>
      </c>
      <c r="O151">
        <v>0</v>
      </c>
      <c r="P151">
        <v>24</v>
      </c>
      <c r="Q151">
        <v>100</v>
      </c>
      <c r="R151">
        <v>73</v>
      </c>
      <c r="S151">
        <v>72</v>
      </c>
      <c r="T151">
        <v>110</v>
      </c>
      <c r="U151">
        <v>69</v>
      </c>
      <c r="V151">
        <v>65</v>
      </c>
      <c r="W151">
        <v>103</v>
      </c>
      <c r="X151">
        <v>2</v>
      </c>
      <c r="Y151">
        <v>0</v>
      </c>
      <c r="Z151">
        <v>0</v>
      </c>
      <c r="AA151">
        <v>0</v>
      </c>
      <c r="AD151" t="s">
        <v>143</v>
      </c>
      <c r="AE151" s="27">
        <v>1430</v>
      </c>
      <c r="AF151">
        <v>3218</v>
      </c>
      <c r="AG151">
        <v>1479</v>
      </c>
      <c r="AH151">
        <v>2963</v>
      </c>
    </row>
    <row r="152" spans="1:34" hidden="1">
      <c r="A152" s="38" t="s">
        <v>1472</v>
      </c>
      <c r="B152" s="38">
        <v>637</v>
      </c>
      <c r="C152" s="38">
        <v>380</v>
      </c>
      <c r="D152" s="38">
        <v>776</v>
      </c>
      <c r="E152" s="38">
        <v>625</v>
      </c>
      <c r="F152" s="38">
        <v>736</v>
      </c>
      <c r="G152" s="38">
        <v>1280</v>
      </c>
      <c r="H152" s="38">
        <v>1008</v>
      </c>
      <c r="I152" s="38">
        <v>646</v>
      </c>
      <c r="J152" s="38">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738</v>
      </c>
      <c r="AE152" s="27">
        <v>751</v>
      </c>
      <c r="AF152">
        <v>2346</v>
      </c>
      <c r="AH152">
        <v>0</v>
      </c>
    </row>
    <row r="153" spans="1:34" hidden="1">
      <c r="A153" s="38" t="s">
        <v>1706</v>
      </c>
      <c r="B153" s="38">
        <v>260</v>
      </c>
      <c r="C153" s="38">
        <v>216</v>
      </c>
      <c r="D153" s="38">
        <v>283</v>
      </c>
      <c r="E153" s="38">
        <v>204</v>
      </c>
      <c r="F153" s="38">
        <v>165</v>
      </c>
      <c r="G153" s="38">
        <v>228</v>
      </c>
      <c r="H153" s="38">
        <v>208</v>
      </c>
      <c r="I153" s="38">
        <v>201</v>
      </c>
      <c r="J153" s="38">
        <v>173</v>
      </c>
      <c r="K153">
        <v>160</v>
      </c>
      <c r="L153">
        <v>141</v>
      </c>
      <c r="M153">
        <v>148</v>
      </c>
      <c r="N153">
        <v>0</v>
      </c>
      <c r="O153">
        <v>88</v>
      </c>
      <c r="P153">
        <v>71</v>
      </c>
      <c r="Q153">
        <v>60</v>
      </c>
      <c r="R153">
        <v>72</v>
      </c>
      <c r="S153">
        <v>73</v>
      </c>
      <c r="T153">
        <v>84</v>
      </c>
      <c r="U153">
        <v>68</v>
      </c>
      <c r="V153">
        <v>81</v>
      </c>
      <c r="W153">
        <v>89</v>
      </c>
      <c r="X153">
        <v>56</v>
      </c>
      <c r="Y153">
        <v>72</v>
      </c>
      <c r="Z153">
        <v>63</v>
      </c>
      <c r="AA153">
        <v>0</v>
      </c>
      <c r="AD153" t="s">
        <v>1665</v>
      </c>
      <c r="AE153" s="27">
        <v>696</v>
      </c>
      <c r="AF153">
        <v>1647</v>
      </c>
      <c r="AH153">
        <v>0</v>
      </c>
    </row>
    <row r="154" spans="1:34" hidden="1">
      <c r="A154" s="38" t="s">
        <v>1709</v>
      </c>
      <c r="B154" s="38">
        <v>404</v>
      </c>
      <c r="C154" s="38">
        <v>496</v>
      </c>
      <c r="D154" s="38">
        <v>401</v>
      </c>
      <c r="E154" s="38">
        <v>381</v>
      </c>
      <c r="F154" s="38">
        <v>413</v>
      </c>
      <c r="G154" s="38">
        <v>334</v>
      </c>
      <c r="H154" s="38">
        <v>330</v>
      </c>
      <c r="I154" s="38">
        <v>340</v>
      </c>
      <c r="J154" s="38">
        <v>279</v>
      </c>
      <c r="K154">
        <v>18</v>
      </c>
      <c r="L154">
        <v>0</v>
      </c>
      <c r="M154">
        <v>3</v>
      </c>
      <c r="N154">
        <v>0</v>
      </c>
      <c r="O154">
        <v>111</v>
      </c>
      <c r="P154">
        <v>203</v>
      </c>
      <c r="Q154">
        <v>114</v>
      </c>
      <c r="R154">
        <v>201</v>
      </c>
      <c r="S154">
        <v>108</v>
      </c>
      <c r="T154">
        <v>98</v>
      </c>
      <c r="U154">
        <v>89</v>
      </c>
      <c r="V154">
        <v>101</v>
      </c>
      <c r="W154">
        <v>118</v>
      </c>
      <c r="X154">
        <v>6</v>
      </c>
      <c r="Y154">
        <v>0</v>
      </c>
      <c r="Z154">
        <v>0</v>
      </c>
      <c r="AA154">
        <v>0</v>
      </c>
      <c r="AD154" t="s">
        <v>624</v>
      </c>
      <c r="AE154" s="27">
        <v>1272</v>
      </c>
      <c r="AF154">
        <v>3593</v>
      </c>
      <c r="AG154">
        <v>1083</v>
      </c>
      <c r="AH154">
        <v>3121</v>
      </c>
    </row>
    <row r="155" spans="1:34" hidden="1">
      <c r="A155" s="38" t="s">
        <v>1287</v>
      </c>
      <c r="B155" s="38">
        <v>1239</v>
      </c>
      <c r="C155" s="38">
        <v>1315</v>
      </c>
      <c r="D155" s="38">
        <v>1112</v>
      </c>
      <c r="E155" s="38">
        <v>1316</v>
      </c>
      <c r="F155" s="38">
        <v>1188</v>
      </c>
      <c r="G155" s="38">
        <v>1019</v>
      </c>
      <c r="H155" s="38">
        <v>1042</v>
      </c>
      <c r="I155" s="38">
        <v>1211</v>
      </c>
      <c r="J155" s="38">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6" t="s">
        <v>856</v>
      </c>
      <c r="AE155" s="27">
        <v>924</v>
      </c>
      <c r="AF155">
        <v>5069</v>
      </c>
      <c r="AG155">
        <v>968</v>
      </c>
      <c r="AH155">
        <v>5496</v>
      </c>
    </row>
    <row r="156" spans="1:34" hidden="1">
      <c r="A156" s="38" t="s">
        <v>1538</v>
      </c>
      <c r="B156" s="38">
        <v>0</v>
      </c>
      <c r="C156" s="38">
        <v>334</v>
      </c>
      <c r="D156" s="38">
        <v>746</v>
      </c>
      <c r="E156" s="38">
        <v>755</v>
      </c>
      <c r="F156" s="38">
        <v>764</v>
      </c>
      <c r="G156" s="38">
        <v>776</v>
      </c>
      <c r="H156" s="38">
        <v>736</v>
      </c>
      <c r="I156" s="38">
        <v>863</v>
      </c>
      <c r="J156" s="38">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1687</v>
      </c>
      <c r="AE156" s="27">
        <v>3</v>
      </c>
      <c r="AF156">
        <v>134</v>
      </c>
      <c r="AG156">
        <v>11</v>
      </c>
      <c r="AH156">
        <v>171</v>
      </c>
    </row>
    <row r="157" spans="1:34" hidden="1">
      <c r="A157" s="38" t="s">
        <v>1388</v>
      </c>
      <c r="B157" s="38">
        <v>715</v>
      </c>
      <c r="C157" s="38">
        <v>979</v>
      </c>
      <c r="D157" s="38">
        <v>854</v>
      </c>
      <c r="E157" s="38">
        <v>785</v>
      </c>
      <c r="F157" s="38">
        <v>626</v>
      </c>
      <c r="G157" s="38">
        <v>719</v>
      </c>
      <c r="H157" s="38">
        <v>373</v>
      </c>
      <c r="I157" s="38">
        <v>642</v>
      </c>
      <c r="J157" s="38">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521</v>
      </c>
      <c r="AE157" s="27">
        <v>654</v>
      </c>
      <c r="AF157">
        <v>2670</v>
      </c>
      <c r="AG157">
        <v>562</v>
      </c>
      <c r="AH157">
        <v>2401</v>
      </c>
    </row>
    <row r="158" spans="1:34" hidden="1">
      <c r="A158" s="38" t="s">
        <v>1761</v>
      </c>
      <c r="B158" s="38">
        <v>1369</v>
      </c>
      <c r="C158" s="38">
        <v>297</v>
      </c>
      <c r="D158" s="38">
        <v>0</v>
      </c>
      <c r="E158" s="38">
        <v>848</v>
      </c>
      <c r="F158" s="38">
        <v>772</v>
      </c>
      <c r="G158" s="38">
        <v>797</v>
      </c>
      <c r="H158" s="38">
        <v>491</v>
      </c>
      <c r="I158" s="38">
        <v>684</v>
      </c>
      <c r="J158" s="38">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1659</v>
      </c>
      <c r="AE158" s="27">
        <v>272</v>
      </c>
      <c r="AF158">
        <v>858</v>
      </c>
      <c r="AH158">
        <v>0</v>
      </c>
    </row>
    <row r="159" spans="1:34" hidden="1">
      <c r="A159" s="38" t="s">
        <v>1529</v>
      </c>
      <c r="B159" s="38">
        <v>819</v>
      </c>
      <c r="C159" s="38">
        <v>1055</v>
      </c>
      <c r="D159" s="38">
        <v>723</v>
      </c>
      <c r="E159" s="38">
        <v>644</v>
      </c>
      <c r="F159" s="38">
        <v>477</v>
      </c>
      <c r="G159" s="38">
        <v>469</v>
      </c>
      <c r="H159" s="38">
        <v>483</v>
      </c>
      <c r="I159" s="38">
        <v>630</v>
      </c>
      <c r="J159" s="38">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1651</v>
      </c>
      <c r="AE159" s="27">
        <v>8</v>
      </c>
      <c r="AF159">
        <v>68</v>
      </c>
      <c r="AH159">
        <v>0</v>
      </c>
    </row>
    <row r="160" spans="1:34" hidden="1">
      <c r="A160" s="38" t="s">
        <v>1445</v>
      </c>
      <c r="B160" s="38">
        <v>2153</v>
      </c>
      <c r="C160" s="38">
        <v>2493</v>
      </c>
      <c r="D160" s="38">
        <v>2220</v>
      </c>
      <c r="E160" s="38">
        <v>2376</v>
      </c>
      <c r="F160" s="38">
        <v>1752</v>
      </c>
      <c r="G160" s="38">
        <v>1787</v>
      </c>
      <c r="H160" s="38">
        <v>1888</v>
      </c>
      <c r="I160" s="38">
        <v>2022</v>
      </c>
      <c r="J160" s="38">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636</v>
      </c>
      <c r="AE160" s="27">
        <v>460</v>
      </c>
      <c r="AF160">
        <v>2947</v>
      </c>
      <c r="AH160">
        <v>0</v>
      </c>
    </row>
    <row r="161" spans="1:34" hidden="1">
      <c r="A161" s="38" t="s">
        <v>1356</v>
      </c>
      <c r="B161" s="38">
        <v>0</v>
      </c>
      <c r="C161" s="38">
        <v>0</v>
      </c>
      <c r="D161" s="38">
        <v>0</v>
      </c>
      <c r="E161" s="38">
        <v>36</v>
      </c>
      <c r="F161" s="38">
        <v>172</v>
      </c>
      <c r="G161" s="38">
        <v>179</v>
      </c>
      <c r="H161" s="38">
        <v>394</v>
      </c>
      <c r="I161" s="38">
        <v>608</v>
      </c>
      <c r="J161" s="38">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228</v>
      </c>
      <c r="AE161" s="27">
        <v>1605</v>
      </c>
      <c r="AF161">
        <v>4839</v>
      </c>
      <c r="AG161">
        <v>1480</v>
      </c>
      <c r="AH161">
        <v>4715</v>
      </c>
    </row>
    <row r="162" spans="1:34" hidden="1">
      <c r="A162" s="38" t="s">
        <v>986</v>
      </c>
      <c r="B162" s="38">
        <v>558</v>
      </c>
      <c r="C162" s="38">
        <v>624</v>
      </c>
      <c r="D162" s="38">
        <v>980</v>
      </c>
      <c r="E162" s="38">
        <v>460</v>
      </c>
      <c r="F162" s="38">
        <v>324</v>
      </c>
      <c r="G162" s="38">
        <v>407</v>
      </c>
      <c r="H162" s="38">
        <v>537</v>
      </c>
      <c r="I162" s="38">
        <v>403</v>
      </c>
      <c r="J162" s="38">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345</v>
      </c>
      <c r="AE162" s="27">
        <v>906</v>
      </c>
      <c r="AF162">
        <v>2927</v>
      </c>
      <c r="AG162">
        <v>951</v>
      </c>
      <c r="AH162">
        <v>3156</v>
      </c>
    </row>
    <row r="163" spans="1:34" hidden="1">
      <c r="A163" s="38" t="s">
        <v>1020</v>
      </c>
      <c r="B163" s="38">
        <v>424</v>
      </c>
      <c r="C163" s="38">
        <v>475</v>
      </c>
      <c r="D163" s="38">
        <v>420</v>
      </c>
      <c r="E163" s="38">
        <v>447</v>
      </c>
      <c r="F163" s="38">
        <v>461</v>
      </c>
      <c r="G163" s="38">
        <v>434</v>
      </c>
      <c r="H163" s="38">
        <v>476</v>
      </c>
      <c r="I163" s="38">
        <v>441</v>
      </c>
      <c r="J163" s="38">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1667</v>
      </c>
      <c r="AE163" s="27">
        <v>2</v>
      </c>
      <c r="AF163">
        <v>10</v>
      </c>
      <c r="AH163">
        <v>0</v>
      </c>
    </row>
    <row r="164" spans="1:34" hidden="1">
      <c r="A164" s="38" t="s">
        <v>1435</v>
      </c>
      <c r="B164" s="38">
        <v>3418</v>
      </c>
      <c r="C164" s="38">
        <v>372</v>
      </c>
      <c r="D164" s="38">
        <v>1874</v>
      </c>
      <c r="E164" s="38">
        <v>2165</v>
      </c>
      <c r="F164" s="38">
        <v>1222</v>
      </c>
      <c r="G164" s="38">
        <v>918</v>
      </c>
      <c r="H164" s="38">
        <v>2617</v>
      </c>
      <c r="I164" s="38">
        <v>1522</v>
      </c>
      <c r="J164" s="38">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711</v>
      </c>
      <c r="AE164" s="27">
        <v>910</v>
      </c>
      <c r="AF164">
        <v>2491</v>
      </c>
      <c r="AG164">
        <v>794</v>
      </c>
      <c r="AH164">
        <v>2329</v>
      </c>
    </row>
    <row r="165" spans="1:34" hidden="1">
      <c r="A165" s="38" t="s">
        <v>1462</v>
      </c>
      <c r="B165" s="38">
        <v>985</v>
      </c>
      <c r="C165" s="38">
        <v>847</v>
      </c>
      <c r="D165" s="38">
        <v>817</v>
      </c>
      <c r="E165" s="38">
        <v>688</v>
      </c>
      <c r="F165" s="38">
        <v>499</v>
      </c>
      <c r="G165" s="38">
        <v>442</v>
      </c>
      <c r="H165" s="38">
        <v>445</v>
      </c>
      <c r="I165" s="38">
        <v>515</v>
      </c>
      <c r="J165" s="38">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30</v>
      </c>
      <c r="AE165" s="27">
        <v>2224</v>
      </c>
      <c r="AF165">
        <v>6292</v>
      </c>
      <c r="AG165">
        <v>2171</v>
      </c>
      <c r="AH165">
        <v>6267</v>
      </c>
    </row>
    <row r="166" spans="1:34" hidden="1">
      <c r="A166" s="38" t="s">
        <v>1235</v>
      </c>
      <c r="B166" s="38">
        <v>2497</v>
      </c>
      <c r="C166" s="38">
        <v>1850</v>
      </c>
      <c r="D166" s="38">
        <v>1991</v>
      </c>
      <c r="E166" s="38">
        <v>2772</v>
      </c>
      <c r="F166" s="38">
        <v>2176</v>
      </c>
      <c r="G166" s="38">
        <v>1501</v>
      </c>
      <c r="H166" s="38">
        <v>1366</v>
      </c>
      <c r="I166" s="38">
        <v>1596</v>
      </c>
      <c r="J166" s="38">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725</v>
      </c>
      <c r="AE166" s="27">
        <v>739</v>
      </c>
      <c r="AF166">
        <v>3285</v>
      </c>
      <c r="AG166">
        <v>766</v>
      </c>
      <c r="AH166">
        <v>3874</v>
      </c>
    </row>
    <row r="167" spans="1:34" hidden="1">
      <c r="A167" s="38" t="s">
        <v>71</v>
      </c>
      <c r="B167" s="38">
        <v>1688</v>
      </c>
      <c r="C167" s="38">
        <v>1053</v>
      </c>
      <c r="D167" s="38">
        <v>946</v>
      </c>
      <c r="E167" s="38">
        <v>928</v>
      </c>
      <c r="F167" s="38">
        <v>934</v>
      </c>
      <c r="G167" s="38">
        <v>895</v>
      </c>
      <c r="H167" s="38">
        <v>975</v>
      </c>
      <c r="I167" s="38">
        <v>944</v>
      </c>
      <c r="J167" s="38">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1666</v>
      </c>
      <c r="AE167" s="27">
        <v>189</v>
      </c>
      <c r="AF167">
        <v>685</v>
      </c>
      <c r="AH167">
        <v>0</v>
      </c>
    </row>
    <row r="168" spans="1:34" hidden="1">
      <c r="A168" s="38" t="s">
        <v>1224</v>
      </c>
      <c r="B168" s="38">
        <v>7650</v>
      </c>
      <c r="C168" s="38">
        <v>13806</v>
      </c>
      <c r="D168" s="38">
        <v>6603</v>
      </c>
      <c r="E168" s="38">
        <v>5324</v>
      </c>
      <c r="F168" s="38">
        <v>5917</v>
      </c>
      <c r="G168" s="38">
        <v>5980</v>
      </c>
      <c r="H168" s="38">
        <v>3818</v>
      </c>
      <c r="I168" s="38">
        <v>7142</v>
      </c>
      <c r="J168" s="38">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1670</v>
      </c>
      <c r="AE168" s="27">
        <v>131</v>
      </c>
      <c r="AF168">
        <v>710</v>
      </c>
      <c r="AH168">
        <v>0</v>
      </c>
    </row>
    <row r="169" spans="1:34" hidden="1">
      <c r="A169" s="38" t="s">
        <v>1099</v>
      </c>
      <c r="B169" s="38">
        <v>670</v>
      </c>
      <c r="C169" s="38">
        <v>116</v>
      </c>
      <c r="D169" s="38">
        <v>398</v>
      </c>
      <c r="E169" s="38">
        <v>445</v>
      </c>
      <c r="F169" s="38">
        <v>359</v>
      </c>
      <c r="G169" s="38">
        <v>355</v>
      </c>
      <c r="H169" s="38">
        <v>239</v>
      </c>
      <c r="I169" s="38">
        <v>322</v>
      </c>
      <c r="J169" s="38">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600</v>
      </c>
      <c r="AE169" s="28">
        <v>241</v>
      </c>
      <c r="AF169">
        <v>1588</v>
      </c>
      <c r="AG169">
        <v>264</v>
      </c>
      <c r="AH169">
        <v>1608</v>
      </c>
    </row>
    <row r="170" spans="1:34" hidden="1">
      <c r="A170" s="38" t="s">
        <v>586</v>
      </c>
      <c r="B170" s="38">
        <v>416</v>
      </c>
      <c r="C170" s="38">
        <v>1739</v>
      </c>
      <c r="D170" s="38">
        <v>1284</v>
      </c>
      <c r="E170" s="38">
        <v>1175</v>
      </c>
      <c r="F170" s="38">
        <v>1221</v>
      </c>
      <c r="G170" s="38">
        <v>1495</v>
      </c>
      <c r="H170" s="38">
        <v>657</v>
      </c>
      <c r="I170" s="38">
        <v>1287</v>
      </c>
      <c r="J170" s="38">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824</v>
      </c>
      <c r="AE170" s="27">
        <v>2823</v>
      </c>
      <c r="AF170">
        <v>12738</v>
      </c>
      <c r="AG170">
        <v>2583</v>
      </c>
      <c r="AH170">
        <v>13375</v>
      </c>
    </row>
    <row r="171" spans="1:34" hidden="1">
      <c r="A171" s="38" t="s">
        <v>1482</v>
      </c>
      <c r="B171" s="38">
        <v>0</v>
      </c>
      <c r="C171" s="38">
        <v>0</v>
      </c>
      <c r="D171" s="38">
        <v>0</v>
      </c>
      <c r="E171" s="38">
        <v>0</v>
      </c>
      <c r="F171" s="38">
        <v>0</v>
      </c>
      <c r="G171" s="38">
        <v>144</v>
      </c>
      <c r="H171" s="38">
        <v>2461</v>
      </c>
      <c r="I171" s="38">
        <v>2491</v>
      </c>
      <c r="J171" s="38">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529</v>
      </c>
      <c r="AE171" s="27">
        <v>1428</v>
      </c>
      <c r="AF171">
        <v>3763</v>
      </c>
      <c r="AG171">
        <v>1354</v>
      </c>
      <c r="AH171">
        <v>3424</v>
      </c>
    </row>
    <row r="172" spans="1:34" hidden="1">
      <c r="A172" s="38" t="s">
        <v>797</v>
      </c>
      <c r="B172" s="38">
        <v>4005</v>
      </c>
      <c r="C172" s="38">
        <v>3935</v>
      </c>
      <c r="D172" s="38">
        <v>4402</v>
      </c>
      <c r="E172" s="38">
        <v>4192</v>
      </c>
      <c r="F172" s="38">
        <v>3156</v>
      </c>
      <c r="G172" s="38">
        <v>3022</v>
      </c>
      <c r="H172" s="38">
        <v>3527</v>
      </c>
      <c r="I172" s="38">
        <v>3401</v>
      </c>
      <c r="J172" s="38">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214</v>
      </c>
      <c r="AE172" s="27">
        <v>623</v>
      </c>
      <c r="AF172">
        <v>2903</v>
      </c>
      <c r="AG172">
        <v>624</v>
      </c>
      <c r="AH172">
        <v>2785</v>
      </c>
    </row>
    <row r="173" spans="1:34" hidden="1">
      <c r="A173" s="38" t="s">
        <v>1581</v>
      </c>
      <c r="B173" s="38">
        <v>1177</v>
      </c>
      <c r="C173" s="38">
        <v>669</v>
      </c>
      <c r="D173" s="38">
        <v>478</v>
      </c>
      <c r="E173" s="38">
        <v>414</v>
      </c>
      <c r="F173" s="38">
        <v>676</v>
      </c>
      <c r="G173" s="38">
        <v>792</v>
      </c>
      <c r="H173" s="38">
        <v>567</v>
      </c>
      <c r="I173" s="38">
        <v>1795</v>
      </c>
      <c r="J173" s="38">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441</v>
      </c>
      <c r="AE173" s="27">
        <v>787</v>
      </c>
      <c r="AF173">
        <v>2041</v>
      </c>
      <c r="AG173">
        <v>864</v>
      </c>
      <c r="AH173">
        <v>2251</v>
      </c>
    </row>
    <row r="174" spans="1:34" hidden="1">
      <c r="A174" s="38" t="s">
        <v>1762</v>
      </c>
      <c r="B174" s="38">
        <v>420</v>
      </c>
      <c r="C174" s="38">
        <v>905</v>
      </c>
      <c r="D174" s="38">
        <v>0</v>
      </c>
      <c r="E174" s="38">
        <v>0</v>
      </c>
      <c r="F174" s="38">
        <v>243</v>
      </c>
      <c r="G174" s="38">
        <v>230</v>
      </c>
      <c r="H174" s="38">
        <v>245</v>
      </c>
      <c r="I174" s="38">
        <v>313</v>
      </c>
      <c r="J174" s="38">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415</v>
      </c>
      <c r="AE174" s="27">
        <v>626</v>
      </c>
      <c r="AF174">
        <v>2805</v>
      </c>
      <c r="AG174">
        <v>606</v>
      </c>
      <c r="AH174">
        <v>2642</v>
      </c>
    </row>
    <row r="175" spans="1:34" hidden="1">
      <c r="A175" s="38" t="s">
        <v>850</v>
      </c>
      <c r="B175" s="38">
        <v>1339</v>
      </c>
      <c r="C175" s="38">
        <v>1142</v>
      </c>
      <c r="D175" s="38">
        <v>1084</v>
      </c>
      <c r="E175" s="38">
        <v>933</v>
      </c>
      <c r="F175" s="38">
        <v>792</v>
      </c>
      <c r="G175" s="38">
        <v>1046</v>
      </c>
      <c r="H175" s="38">
        <v>1128</v>
      </c>
      <c r="I175" s="38">
        <v>1509</v>
      </c>
      <c r="J175" s="38">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648</v>
      </c>
      <c r="AE175" s="27">
        <v>685</v>
      </c>
      <c r="AF175">
        <v>3289</v>
      </c>
      <c r="AG175">
        <v>567</v>
      </c>
      <c r="AH175">
        <v>2661</v>
      </c>
    </row>
    <row r="176" spans="1:34" hidden="1">
      <c r="A176" s="38" t="s">
        <v>980</v>
      </c>
      <c r="B176" s="38">
        <v>265</v>
      </c>
      <c r="C176" s="38">
        <v>246</v>
      </c>
      <c r="D176" s="38">
        <v>232</v>
      </c>
      <c r="E176" s="38">
        <v>236</v>
      </c>
      <c r="F176" s="38">
        <v>206</v>
      </c>
      <c r="G176" s="38">
        <v>182</v>
      </c>
      <c r="H176" s="38">
        <v>226</v>
      </c>
      <c r="I176" s="38">
        <v>213</v>
      </c>
      <c r="J176" s="38">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630</v>
      </c>
      <c r="AE176" s="27">
        <v>1328</v>
      </c>
      <c r="AF176">
        <v>4299</v>
      </c>
      <c r="AG176">
        <v>1212</v>
      </c>
      <c r="AH176">
        <v>3861</v>
      </c>
    </row>
    <row r="177" spans="1:34" hidden="1">
      <c r="A177" s="38" t="s">
        <v>1261</v>
      </c>
      <c r="B177" s="38">
        <v>2923</v>
      </c>
      <c r="C177" s="38">
        <v>1362</v>
      </c>
      <c r="D177" s="38">
        <v>2460</v>
      </c>
      <c r="E177" s="38">
        <v>3056</v>
      </c>
      <c r="F177" s="38">
        <v>2721</v>
      </c>
      <c r="G177" s="38">
        <v>1512</v>
      </c>
      <c r="H177" s="38">
        <v>1170</v>
      </c>
      <c r="I177" s="38">
        <v>1378</v>
      </c>
      <c r="J177" s="38">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6" t="s">
        <v>758</v>
      </c>
      <c r="AE177" s="27">
        <v>668</v>
      </c>
      <c r="AF177">
        <v>7767</v>
      </c>
      <c r="AG177">
        <v>1143</v>
      </c>
      <c r="AH177">
        <v>10440</v>
      </c>
    </row>
    <row r="178" spans="1:34" hidden="1">
      <c r="A178" s="38" t="s">
        <v>872</v>
      </c>
      <c r="B178" s="38">
        <v>6001</v>
      </c>
      <c r="C178" s="38">
        <v>12082</v>
      </c>
      <c r="D178" s="38">
        <v>8755</v>
      </c>
      <c r="E178" s="38">
        <v>13184</v>
      </c>
      <c r="F178" s="38">
        <v>12988</v>
      </c>
      <c r="G178" s="38">
        <v>6562</v>
      </c>
      <c r="H178" s="38">
        <v>7094</v>
      </c>
      <c r="I178" s="38">
        <v>7373</v>
      </c>
      <c r="J178" s="38">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425</v>
      </c>
      <c r="AE178" s="27">
        <v>1208</v>
      </c>
      <c r="AF178">
        <v>4295</v>
      </c>
      <c r="AG178">
        <v>1090</v>
      </c>
      <c r="AH178">
        <v>3763</v>
      </c>
    </row>
    <row r="179" spans="1:34" hidden="1">
      <c r="A179" s="38" t="s">
        <v>769</v>
      </c>
      <c r="B179" s="38">
        <v>4791</v>
      </c>
      <c r="C179" s="38">
        <v>7626</v>
      </c>
      <c r="D179" s="38">
        <v>2539</v>
      </c>
      <c r="E179" s="38">
        <v>3770</v>
      </c>
      <c r="F179" s="38">
        <v>2839</v>
      </c>
      <c r="G179" s="38">
        <v>2086</v>
      </c>
      <c r="H179" s="38">
        <v>1005</v>
      </c>
      <c r="I179" s="38">
        <v>1990</v>
      </c>
      <c r="J179" s="38">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1763</v>
      </c>
      <c r="AE179" s="27">
        <v>1509</v>
      </c>
      <c r="AF179">
        <v>9133</v>
      </c>
      <c r="AG179">
        <v>1433</v>
      </c>
      <c r="AH179">
        <v>8539</v>
      </c>
    </row>
    <row r="180" spans="1:34" hidden="1">
      <c r="A180" s="38" t="s">
        <v>1348</v>
      </c>
      <c r="B180" s="38">
        <v>0</v>
      </c>
      <c r="C180" s="38">
        <v>0</v>
      </c>
      <c r="D180" s="38">
        <v>0</v>
      </c>
      <c r="E180" s="38">
        <v>0</v>
      </c>
      <c r="F180" s="38">
        <v>0</v>
      </c>
      <c r="G180" s="38">
        <v>15</v>
      </c>
      <c r="H180" s="38">
        <v>156</v>
      </c>
      <c r="I180" s="38">
        <v>386</v>
      </c>
      <c r="J180" s="38">
        <v>397</v>
      </c>
      <c r="K180">
        <v>168</v>
      </c>
      <c r="L180">
        <v>292</v>
      </c>
      <c r="M180">
        <v>335</v>
      </c>
      <c r="N180">
        <v>522</v>
      </c>
      <c r="O180">
        <v>0</v>
      </c>
      <c r="P180">
        <v>0</v>
      </c>
      <c r="Q180">
        <v>0</v>
      </c>
      <c r="R180">
        <v>0</v>
      </c>
      <c r="S180">
        <v>0</v>
      </c>
      <c r="T180">
        <v>0</v>
      </c>
      <c r="U180">
        <v>14</v>
      </c>
      <c r="V180">
        <v>3</v>
      </c>
      <c r="W180">
        <v>44</v>
      </c>
      <c r="X180">
        <v>18</v>
      </c>
      <c r="Y180">
        <v>37</v>
      </c>
      <c r="Z180">
        <v>29</v>
      </c>
      <c r="AA180">
        <v>77</v>
      </c>
      <c r="AD180" t="s">
        <v>767</v>
      </c>
      <c r="AE180" s="27">
        <v>3022</v>
      </c>
      <c r="AF180">
        <v>9157</v>
      </c>
      <c r="AG180">
        <v>3472</v>
      </c>
      <c r="AH180">
        <v>9708</v>
      </c>
    </row>
    <row r="181" spans="1:34" hidden="1">
      <c r="A181" s="38" t="s">
        <v>1267</v>
      </c>
      <c r="B181" s="38">
        <v>2331</v>
      </c>
      <c r="C181" s="38">
        <v>2258</v>
      </c>
      <c r="D181" s="38">
        <v>2009</v>
      </c>
      <c r="E181" s="38">
        <v>1233</v>
      </c>
      <c r="F181" s="38">
        <v>987</v>
      </c>
      <c r="G181" s="38">
        <v>1447</v>
      </c>
      <c r="H181" s="38">
        <v>3227</v>
      </c>
      <c r="I181" s="38">
        <v>1849</v>
      </c>
      <c r="J181" s="38">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481</v>
      </c>
      <c r="AE181" s="27">
        <v>1145</v>
      </c>
      <c r="AF181">
        <v>4679</v>
      </c>
      <c r="AG181">
        <v>696</v>
      </c>
      <c r="AH181">
        <v>3009</v>
      </c>
    </row>
    <row r="182" spans="1:34" hidden="1">
      <c r="A182" s="38" t="s">
        <v>715</v>
      </c>
      <c r="B182" s="38">
        <v>6166</v>
      </c>
      <c r="C182" s="38">
        <v>18443</v>
      </c>
      <c r="D182" s="38">
        <v>18111</v>
      </c>
      <c r="E182" s="38">
        <v>43927</v>
      </c>
      <c r="F182" s="38">
        <v>45214</v>
      </c>
      <c r="G182" s="38">
        <v>42221</v>
      </c>
      <c r="H182" s="38">
        <v>32418</v>
      </c>
      <c r="I182" s="38">
        <v>43067</v>
      </c>
      <c r="J182" s="38">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139</v>
      </c>
      <c r="AE182" s="27">
        <v>1394</v>
      </c>
      <c r="AF182">
        <v>5524</v>
      </c>
      <c r="AG182">
        <v>1299</v>
      </c>
      <c r="AH182">
        <v>5554</v>
      </c>
    </row>
    <row r="183" spans="1:34" hidden="1">
      <c r="A183" s="38" t="s">
        <v>1197</v>
      </c>
      <c r="B183" s="38">
        <v>2775</v>
      </c>
      <c r="C183" s="38">
        <v>5453</v>
      </c>
      <c r="D183" s="38">
        <v>3575</v>
      </c>
      <c r="E183" s="38">
        <v>939</v>
      </c>
      <c r="F183" s="38">
        <v>1665</v>
      </c>
      <c r="G183" s="38">
        <v>1015</v>
      </c>
      <c r="H183" s="38">
        <v>1447</v>
      </c>
      <c r="I183" s="38">
        <v>1250</v>
      </c>
      <c r="J183" s="38">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933</v>
      </c>
      <c r="AE183" s="27">
        <v>33472</v>
      </c>
      <c r="AF183">
        <v>138011</v>
      </c>
      <c r="AG183">
        <v>30123</v>
      </c>
      <c r="AH183">
        <v>128160</v>
      </c>
    </row>
    <row r="184" spans="1:34" hidden="1">
      <c r="A184" s="38" t="s">
        <v>1478</v>
      </c>
      <c r="B184" s="38">
        <v>772</v>
      </c>
      <c r="C184" s="38">
        <v>752</v>
      </c>
      <c r="D184" s="38">
        <v>882</v>
      </c>
      <c r="E184" s="38">
        <v>751</v>
      </c>
      <c r="F184" s="38">
        <v>516</v>
      </c>
      <c r="G184" s="38">
        <v>729</v>
      </c>
      <c r="H184" s="38">
        <v>560</v>
      </c>
      <c r="I184" s="38">
        <v>630</v>
      </c>
      <c r="J184" s="38">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325</v>
      </c>
      <c r="AE184" s="27">
        <v>1079</v>
      </c>
      <c r="AF184">
        <v>6617</v>
      </c>
      <c r="AG184">
        <v>1129</v>
      </c>
      <c r="AH184">
        <v>6537</v>
      </c>
    </row>
    <row r="185" spans="1:34" hidden="1">
      <c r="A185" s="38" t="s">
        <v>1550</v>
      </c>
      <c r="B185" s="38">
        <v>3362</v>
      </c>
      <c r="C185" s="38">
        <v>5362</v>
      </c>
      <c r="D185" s="38">
        <v>4587</v>
      </c>
      <c r="E185" s="38">
        <v>3398</v>
      </c>
      <c r="F185" s="38">
        <v>2881</v>
      </c>
      <c r="G185" s="38">
        <v>3856</v>
      </c>
      <c r="H185" s="38">
        <v>4317</v>
      </c>
      <c r="I185" s="38">
        <v>3115</v>
      </c>
      <c r="J185" s="38">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6" t="s">
        <v>51</v>
      </c>
      <c r="AE185" s="28">
        <v>1417</v>
      </c>
      <c r="AF185">
        <v>8552</v>
      </c>
      <c r="AG185">
        <v>1530</v>
      </c>
      <c r="AH185">
        <v>8951</v>
      </c>
    </row>
    <row r="186" spans="1:34" hidden="1">
      <c r="A186" s="38" t="s">
        <v>1510</v>
      </c>
      <c r="B186" s="38">
        <v>490</v>
      </c>
      <c r="C186" s="38">
        <v>818</v>
      </c>
      <c r="D186" s="38">
        <v>604</v>
      </c>
      <c r="E186" s="38">
        <v>782</v>
      </c>
      <c r="F186" s="38">
        <v>746</v>
      </c>
      <c r="G186" s="38">
        <v>684</v>
      </c>
      <c r="H186" s="38">
        <v>1002</v>
      </c>
      <c r="I186" s="38">
        <v>1213</v>
      </c>
      <c r="J186" s="38">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363</v>
      </c>
      <c r="AE186" s="27">
        <v>834</v>
      </c>
      <c r="AF186">
        <v>3151</v>
      </c>
      <c r="AG186">
        <v>740</v>
      </c>
      <c r="AH186">
        <v>2672</v>
      </c>
    </row>
    <row r="187" spans="1:34" hidden="1">
      <c r="A187" s="38" t="s">
        <v>1011</v>
      </c>
      <c r="B187" s="38">
        <v>0</v>
      </c>
      <c r="C187" s="38">
        <v>0</v>
      </c>
      <c r="D187" s="38">
        <v>0</v>
      </c>
      <c r="E187" s="38">
        <v>0</v>
      </c>
      <c r="F187" s="38">
        <v>0</v>
      </c>
      <c r="G187" s="38">
        <v>0</v>
      </c>
      <c r="H187" s="38">
        <v>0</v>
      </c>
      <c r="I187" s="38">
        <v>1279</v>
      </c>
      <c r="J187" s="38">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840</v>
      </c>
      <c r="AE187" s="27">
        <v>1625</v>
      </c>
      <c r="AF187">
        <v>5322</v>
      </c>
      <c r="AG187">
        <v>1697</v>
      </c>
      <c r="AH187">
        <v>6038</v>
      </c>
    </row>
    <row r="188" spans="1:34" hidden="1">
      <c r="A188" s="38" t="s">
        <v>1139</v>
      </c>
      <c r="B188" s="38">
        <v>803</v>
      </c>
      <c r="C188" s="38">
        <v>744</v>
      </c>
      <c r="D188" s="38">
        <v>538</v>
      </c>
      <c r="E188" s="38">
        <v>968</v>
      </c>
      <c r="F188" s="38">
        <v>1086</v>
      </c>
      <c r="G188" s="38">
        <v>1251</v>
      </c>
      <c r="H188" s="38">
        <v>1003</v>
      </c>
      <c r="I188" s="38">
        <v>1410</v>
      </c>
      <c r="J188" s="38">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103</v>
      </c>
      <c r="AE188" s="27">
        <v>1102</v>
      </c>
      <c r="AF188">
        <v>5414</v>
      </c>
      <c r="AG188">
        <v>1212</v>
      </c>
      <c r="AH188">
        <v>6482</v>
      </c>
    </row>
    <row r="189" spans="1:34" hidden="1">
      <c r="A189" s="38" t="s">
        <v>1585</v>
      </c>
      <c r="B189" s="38">
        <v>8044</v>
      </c>
      <c r="C189" s="38">
        <v>7125</v>
      </c>
      <c r="D189" s="38">
        <v>5755</v>
      </c>
      <c r="E189" s="38">
        <v>6160</v>
      </c>
      <c r="F189" s="38">
        <v>5552</v>
      </c>
      <c r="G189" s="38">
        <v>5251</v>
      </c>
      <c r="H189" s="38">
        <v>4817</v>
      </c>
      <c r="I189" s="38">
        <v>5169</v>
      </c>
      <c r="J189" s="38">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668</v>
      </c>
      <c r="AE189" s="27">
        <v>2369</v>
      </c>
      <c r="AF189">
        <v>7209</v>
      </c>
      <c r="AG189">
        <v>1913</v>
      </c>
      <c r="AH189">
        <v>5327</v>
      </c>
    </row>
    <row r="190" spans="1:34" hidden="1">
      <c r="A190" s="38" t="s">
        <v>1588</v>
      </c>
      <c r="B190" s="38">
        <v>1959</v>
      </c>
      <c r="C190" s="38">
        <v>1940</v>
      </c>
      <c r="D190" s="38">
        <v>1506</v>
      </c>
      <c r="E190" s="38">
        <v>1606</v>
      </c>
      <c r="F190" s="38">
        <v>1689</v>
      </c>
      <c r="G190" s="38">
        <v>1668</v>
      </c>
      <c r="H190" s="38">
        <v>1723</v>
      </c>
      <c r="I190" s="38">
        <v>3158</v>
      </c>
      <c r="J190" s="38">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267</v>
      </c>
      <c r="AE190" s="27">
        <v>399</v>
      </c>
      <c r="AF190">
        <v>1384</v>
      </c>
      <c r="AG190">
        <v>351</v>
      </c>
      <c r="AH190">
        <v>1247</v>
      </c>
    </row>
    <row r="191" spans="1:34" hidden="1">
      <c r="A191" s="38" t="s">
        <v>1423</v>
      </c>
      <c r="B191" s="38">
        <v>0</v>
      </c>
      <c r="C191" s="38">
        <v>0</v>
      </c>
      <c r="D191" s="38">
        <v>0</v>
      </c>
      <c r="E191" s="38">
        <v>0</v>
      </c>
      <c r="F191" s="38">
        <v>0</v>
      </c>
      <c r="G191" s="38">
        <v>0</v>
      </c>
      <c r="H191" s="38">
        <v>0</v>
      </c>
      <c r="I191" s="38">
        <v>0</v>
      </c>
      <c r="J191" s="38">
        <v>638</v>
      </c>
      <c r="K191">
        <v>1403</v>
      </c>
      <c r="L191">
        <v>422</v>
      </c>
      <c r="M191">
        <v>727</v>
      </c>
      <c r="N191">
        <v>698</v>
      </c>
      <c r="O191">
        <v>0</v>
      </c>
      <c r="P191">
        <v>0</v>
      </c>
      <c r="Q191">
        <v>0</v>
      </c>
      <c r="R191">
        <v>0</v>
      </c>
      <c r="S191">
        <v>0</v>
      </c>
      <c r="T191">
        <v>0</v>
      </c>
      <c r="U191">
        <v>0</v>
      </c>
      <c r="V191">
        <v>0</v>
      </c>
      <c r="W191">
        <v>237</v>
      </c>
      <c r="X191">
        <v>204</v>
      </c>
      <c r="Y191">
        <v>165</v>
      </c>
      <c r="Z191">
        <v>174</v>
      </c>
      <c r="AA191">
        <v>189</v>
      </c>
      <c r="AD191" s="36" t="s">
        <v>799</v>
      </c>
      <c r="AE191" s="27">
        <v>2274</v>
      </c>
      <c r="AF191">
        <v>14366</v>
      </c>
      <c r="AG191">
        <v>1868</v>
      </c>
      <c r="AH191">
        <v>10981</v>
      </c>
    </row>
    <row r="192" spans="1:34" hidden="1">
      <c r="A192" s="38" t="s">
        <v>1764</v>
      </c>
      <c r="B192" s="38">
        <v>34</v>
      </c>
      <c r="C192" s="38">
        <v>25</v>
      </c>
      <c r="D192" s="38">
        <v>24</v>
      </c>
      <c r="E192" s="38">
        <v>24</v>
      </c>
      <c r="F192" s="38">
        <v>23</v>
      </c>
      <c r="G192" s="38">
        <v>17</v>
      </c>
      <c r="H192" s="38">
        <v>19</v>
      </c>
      <c r="I192" s="38">
        <v>20</v>
      </c>
      <c r="J192" s="38">
        <v>20</v>
      </c>
      <c r="K192">
        <v>22</v>
      </c>
      <c r="L192">
        <v>24</v>
      </c>
      <c r="M192">
        <v>19</v>
      </c>
      <c r="N192">
        <v>16</v>
      </c>
      <c r="O192">
        <v>2</v>
      </c>
      <c r="P192">
        <v>1</v>
      </c>
      <c r="Q192">
        <v>8</v>
      </c>
      <c r="R192">
        <v>4</v>
      </c>
      <c r="S192">
        <v>3</v>
      </c>
      <c r="T192">
        <v>4</v>
      </c>
      <c r="U192">
        <v>6</v>
      </c>
      <c r="V192">
        <v>9</v>
      </c>
      <c r="W192">
        <v>3</v>
      </c>
      <c r="X192">
        <v>4</v>
      </c>
      <c r="Y192">
        <v>8</v>
      </c>
      <c r="Z192">
        <v>8</v>
      </c>
      <c r="AA192">
        <v>4</v>
      </c>
      <c r="AD192" t="s">
        <v>263</v>
      </c>
      <c r="AE192" s="27">
        <v>15</v>
      </c>
      <c r="AF192">
        <v>246</v>
      </c>
      <c r="AG192">
        <v>15</v>
      </c>
      <c r="AH192">
        <v>139</v>
      </c>
    </row>
    <row r="193" spans="1:34" hidden="1">
      <c r="A193" s="38" t="s">
        <v>1152</v>
      </c>
      <c r="B193" s="38">
        <v>243</v>
      </c>
      <c r="C193" s="38">
        <v>0</v>
      </c>
      <c r="D193" s="38">
        <v>379</v>
      </c>
      <c r="E193" s="38">
        <v>196</v>
      </c>
      <c r="F193" s="38">
        <v>201</v>
      </c>
      <c r="G193" s="38">
        <v>212</v>
      </c>
      <c r="H193" s="38">
        <v>110</v>
      </c>
      <c r="I193" s="38">
        <v>239</v>
      </c>
      <c r="J193" s="38">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703</v>
      </c>
      <c r="AE193" s="27">
        <v>1363</v>
      </c>
      <c r="AF193">
        <v>4949</v>
      </c>
      <c r="AG193">
        <v>1260</v>
      </c>
      <c r="AH193">
        <v>4741</v>
      </c>
    </row>
    <row r="194" spans="1:34" hidden="1">
      <c r="A194" s="38" t="s">
        <v>795</v>
      </c>
      <c r="B194" s="38">
        <v>2807</v>
      </c>
      <c r="C194" s="38">
        <v>3308</v>
      </c>
      <c r="D194" s="38">
        <v>2318</v>
      </c>
      <c r="E194" s="38">
        <v>1462</v>
      </c>
      <c r="F194" s="38">
        <v>1432</v>
      </c>
      <c r="G194" s="38">
        <v>1427</v>
      </c>
      <c r="H194" s="38">
        <v>1178</v>
      </c>
      <c r="I194" s="38">
        <v>1374</v>
      </c>
      <c r="J194" s="38">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752</v>
      </c>
      <c r="AE194" s="27">
        <v>3262</v>
      </c>
      <c r="AF194">
        <v>9770</v>
      </c>
      <c r="AG194">
        <v>3190</v>
      </c>
      <c r="AH194">
        <v>9222</v>
      </c>
    </row>
    <row r="195" spans="1:34" hidden="1">
      <c r="A195" s="38" t="s">
        <v>1208</v>
      </c>
      <c r="B195" s="38">
        <v>1489</v>
      </c>
      <c r="C195" s="38">
        <v>1414</v>
      </c>
      <c r="D195" s="38">
        <v>1815</v>
      </c>
      <c r="E195" s="38">
        <v>1285</v>
      </c>
      <c r="F195" s="38">
        <v>1025</v>
      </c>
      <c r="G195" s="38">
        <v>1202</v>
      </c>
      <c r="H195" s="38">
        <v>1602</v>
      </c>
      <c r="I195" s="38">
        <v>1525</v>
      </c>
      <c r="J195" s="38">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620</v>
      </c>
      <c r="AE195" s="27">
        <v>1048</v>
      </c>
      <c r="AF195">
        <v>4779</v>
      </c>
      <c r="AG195">
        <v>1064</v>
      </c>
      <c r="AH195">
        <v>4496</v>
      </c>
    </row>
    <row r="196" spans="1:34" hidden="1">
      <c r="A196" s="38" t="s">
        <v>1250</v>
      </c>
      <c r="B196" s="38">
        <v>944</v>
      </c>
      <c r="C196" s="38">
        <v>1028</v>
      </c>
      <c r="D196" s="38">
        <v>907</v>
      </c>
      <c r="E196" s="38">
        <v>912</v>
      </c>
      <c r="F196" s="38">
        <v>577</v>
      </c>
      <c r="G196" s="38">
        <v>850</v>
      </c>
      <c r="H196" s="38">
        <v>494</v>
      </c>
      <c r="I196" s="38">
        <v>552</v>
      </c>
      <c r="J196" s="38">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551</v>
      </c>
      <c r="AE196" s="27">
        <v>1647</v>
      </c>
      <c r="AF196">
        <v>5378</v>
      </c>
      <c r="AG196">
        <v>1530</v>
      </c>
      <c r="AH196">
        <v>5058</v>
      </c>
    </row>
    <row r="197" spans="1:34" hidden="1">
      <c r="A197" s="38" t="s">
        <v>1127</v>
      </c>
      <c r="B197" s="38">
        <v>1615</v>
      </c>
      <c r="C197" s="38">
        <v>1381</v>
      </c>
      <c r="D197" s="38">
        <v>982</v>
      </c>
      <c r="E197" s="38">
        <v>920</v>
      </c>
      <c r="F197" s="38">
        <v>824</v>
      </c>
      <c r="G197" s="38">
        <v>771</v>
      </c>
      <c r="H197" s="38">
        <v>667</v>
      </c>
      <c r="I197" s="38">
        <v>757</v>
      </c>
      <c r="J197" s="38">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137</v>
      </c>
      <c r="AE197" s="27">
        <v>704</v>
      </c>
      <c r="AF197">
        <v>2761</v>
      </c>
      <c r="AG197">
        <v>830</v>
      </c>
      <c r="AH197">
        <v>3002</v>
      </c>
    </row>
    <row r="198" spans="1:34" hidden="1">
      <c r="A198" s="38" t="s">
        <v>1263</v>
      </c>
      <c r="B198" s="38">
        <v>2755</v>
      </c>
      <c r="C198" s="38">
        <v>2732</v>
      </c>
      <c r="D198" s="38">
        <v>3730</v>
      </c>
      <c r="E198" s="38">
        <v>2782</v>
      </c>
      <c r="F198" s="38">
        <v>2268</v>
      </c>
      <c r="G198" s="38">
        <v>2521</v>
      </c>
      <c r="H198" s="38">
        <v>2102</v>
      </c>
      <c r="I198" s="38">
        <v>2669</v>
      </c>
      <c r="J198" s="38">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6" t="s">
        <v>783</v>
      </c>
      <c r="AE198" s="27">
        <v>1322</v>
      </c>
      <c r="AF198">
        <v>6586</v>
      </c>
      <c r="AG198">
        <v>1285</v>
      </c>
      <c r="AH198">
        <v>6266</v>
      </c>
    </row>
    <row r="199" spans="1:34" hidden="1">
      <c r="A199" s="38" t="s">
        <v>1117</v>
      </c>
      <c r="B199" s="38">
        <v>1109</v>
      </c>
      <c r="C199" s="38">
        <v>944</v>
      </c>
      <c r="D199" s="38">
        <v>927</v>
      </c>
      <c r="E199" s="38">
        <v>989</v>
      </c>
      <c r="F199" s="38">
        <v>1019</v>
      </c>
      <c r="G199" s="38">
        <v>945</v>
      </c>
      <c r="H199" s="38">
        <v>963</v>
      </c>
      <c r="I199" s="38">
        <v>934</v>
      </c>
      <c r="J199" s="38">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252</v>
      </c>
      <c r="AE199" s="27">
        <v>1858</v>
      </c>
      <c r="AF199">
        <v>4998</v>
      </c>
      <c r="AG199">
        <v>1799</v>
      </c>
      <c r="AH199">
        <v>4894</v>
      </c>
    </row>
    <row r="200" spans="1:34" hidden="1">
      <c r="A200" s="38" t="s">
        <v>1177</v>
      </c>
      <c r="B200" s="38">
        <v>788</v>
      </c>
      <c r="C200" s="38">
        <v>1486</v>
      </c>
      <c r="D200" s="38">
        <v>760</v>
      </c>
      <c r="E200" s="38">
        <v>625</v>
      </c>
      <c r="F200" s="38">
        <v>615</v>
      </c>
      <c r="G200" s="38">
        <v>631</v>
      </c>
      <c r="H200" s="38">
        <v>485</v>
      </c>
      <c r="I200" s="38">
        <v>978</v>
      </c>
      <c r="J200" s="38">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881</v>
      </c>
      <c r="AE200" s="27">
        <v>1829</v>
      </c>
      <c r="AF200">
        <v>9027</v>
      </c>
      <c r="AG200">
        <v>1855</v>
      </c>
      <c r="AH200">
        <v>7726</v>
      </c>
    </row>
    <row r="201" spans="1:34" hidden="1">
      <c r="A201" s="38" t="s">
        <v>620</v>
      </c>
      <c r="B201" s="38">
        <v>1756</v>
      </c>
      <c r="C201" s="38">
        <v>2130</v>
      </c>
      <c r="D201" s="38">
        <v>4704</v>
      </c>
      <c r="E201" s="38">
        <v>2398</v>
      </c>
      <c r="F201" s="38">
        <v>2991</v>
      </c>
      <c r="G201" s="38">
        <v>1792</v>
      </c>
      <c r="H201" s="38">
        <v>1099</v>
      </c>
      <c r="I201" s="38">
        <v>4398</v>
      </c>
      <c r="J201" s="38">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289</v>
      </c>
      <c r="AE201" s="27">
        <v>1488</v>
      </c>
      <c r="AF201">
        <v>6357</v>
      </c>
      <c r="AG201">
        <v>1363</v>
      </c>
      <c r="AH201">
        <v>5727</v>
      </c>
    </row>
    <row r="202" spans="1:34" hidden="1">
      <c r="A202" s="38" t="s">
        <v>1488</v>
      </c>
      <c r="B202" s="38">
        <v>1769</v>
      </c>
      <c r="C202" s="38">
        <v>891</v>
      </c>
      <c r="D202" s="38">
        <v>46</v>
      </c>
      <c r="E202" s="38">
        <v>1060</v>
      </c>
      <c r="F202" s="38">
        <v>1496</v>
      </c>
      <c r="G202" s="38">
        <v>1484</v>
      </c>
      <c r="H202" s="38">
        <v>1170</v>
      </c>
      <c r="I202" s="38">
        <v>1548</v>
      </c>
      <c r="J202" s="38">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769</v>
      </c>
      <c r="AE202" s="27">
        <v>4708</v>
      </c>
      <c r="AF202">
        <v>13533</v>
      </c>
      <c r="AG202">
        <v>4276</v>
      </c>
      <c r="AH202">
        <v>10352</v>
      </c>
    </row>
    <row r="203" spans="1:34" hidden="1">
      <c r="A203" s="38" t="s">
        <v>1523</v>
      </c>
      <c r="B203" s="38">
        <v>1169</v>
      </c>
      <c r="C203" s="38">
        <v>1287</v>
      </c>
      <c r="D203" s="38">
        <v>1659</v>
      </c>
      <c r="E203" s="38">
        <v>1409</v>
      </c>
      <c r="F203" s="38">
        <v>1673</v>
      </c>
      <c r="G203" s="38">
        <v>1641</v>
      </c>
      <c r="H203" s="38">
        <v>1234</v>
      </c>
      <c r="I203" s="38">
        <v>1346</v>
      </c>
      <c r="J203" s="38">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717</v>
      </c>
      <c r="AE203" s="27">
        <v>1863</v>
      </c>
      <c r="AF203">
        <v>7779</v>
      </c>
      <c r="AG203">
        <v>1886</v>
      </c>
      <c r="AH203">
        <v>7731</v>
      </c>
    </row>
    <row r="204" spans="1:34" hidden="1">
      <c r="A204" s="38" t="s">
        <v>1496</v>
      </c>
      <c r="B204" s="38">
        <v>2223</v>
      </c>
      <c r="C204" s="38">
        <v>2498</v>
      </c>
      <c r="D204" s="38">
        <v>2104</v>
      </c>
      <c r="E204" s="38">
        <v>2020</v>
      </c>
      <c r="F204" s="38">
        <v>1803</v>
      </c>
      <c r="G204" s="38">
        <v>1278</v>
      </c>
      <c r="H204" s="38">
        <v>1057</v>
      </c>
      <c r="I204" s="38">
        <v>1016</v>
      </c>
      <c r="J204" s="38">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497</v>
      </c>
      <c r="AE204" s="27">
        <v>872</v>
      </c>
      <c r="AF204">
        <v>2950</v>
      </c>
      <c r="AH204">
        <v>0</v>
      </c>
    </row>
    <row r="205" spans="1:34" hidden="1">
      <c r="A205" s="38" t="s">
        <v>1447</v>
      </c>
      <c r="B205" s="38">
        <v>1237</v>
      </c>
      <c r="C205" s="38">
        <v>833</v>
      </c>
      <c r="D205" s="38">
        <v>804</v>
      </c>
      <c r="E205" s="38">
        <v>2592</v>
      </c>
      <c r="F205" s="38">
        <v>984</v>
      </c>
      <c r="G205" s="38">
        <v>1591</v>
      </c>
      <c r="H205" s="38">
        <v>966</v>
      </c>
      <c r="I205" s="38">
        <v>1220</v>
      </c>
      <c r="J205" s="38">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705</v>
      </c>
      <c r="AE205" s="27">
        <v>881</v>
      </c>
      <c r="AF205">
        <v>4215</v>
      </c>
      <c r="AG205">
        <v>883</v>
      </c>
      <c r="AH205">
        <v>4039</v>
      </c>
    </row>
    <row r="206" spans="1:34" hidden="1">
      <c r="A206" s="38" t="s">
        <v>1512</v>
      </c>
      <c r="B206" s="38">
        <v>1768</v>
      </c>
      <c r="C206" s="38">
        <v>1586</v>
      </c>
      <c r="D206" s="38">
        <v>1711</v>
      </c>
      <c r="E206" s="38">
        <v>2105</v>
      </c>
      <c r="F206" s="38">
        <v>1778</v>
      </c>
      <c r="G206" s="38">
        <v>3232</v>
      </c>
      <c r="H206" s="38">
        <v>1148</v>
      </c>
      <c r="I206" s="38">
        <v>1287</v>
      </c>
      <c r="J206" s="38">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686</v>
      </c>
      <c r="AE206" s="27">
        <v>1829</v>
      </c>
      <c r="AF206">
        <v>5765</v>
      </c>
      <c r="AG206">
        <v>1757</v>
      </c>
      <c r="AH206">
        <v>5305</v>
      </c>
    </row>
    <row r="207" spans="1:34" hidden="1">
      <c r="A207" s="38" t="s">
        <v>1572</v>
      </c>
      <c r="B207" s="38">
        <v>1118</v>
      </c>
      <c r="C207" s="38">
        <v>1244</v>
      </c>
      <c r="D207" s="38">
        <v>1200</v>
      </c>
      <c r="E207" s="38">
        <v>1279</v>
      </c>
      <c r="F207" s="38">
        <v>1042</v>
      </c>
      <c r="G207" s="38">
        <v>1108</v>
      </c>
      <c r="H207" s="38">
        <v>981</v>
      </c>
      <c r="I207" s="38">
        <v>1299</v>
      </c>
      <c r="J207" s="38">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1681</v>
      </c>
      <c r="AE207" s="27">
        <v>0</v>
      </c>
      <c r="AF207">
        <v>0</v>
      </c>
      <c r="AH207">
        <v>0</v>
      </c>
    </row>
    <row r="208" spans="1:34" hidden="1">
      <c r="A208" s="38" t="s">
        <v>1350</v>
      </c>
      <c r="B208" s="38">
        <v>1120</v>
      </c>
      <c r="C208" s="38">
        <v>1188</v>
      </c>
      <c r="D208" s="38">
        <v>573</v>
      </c>
      <c r="E208" s="38">
        <v>556</v>
      </c>
      <c r="F208" s="38">
        <v>816</v>
      </c>
      <c r="G208" s="38">
        <v>832</v>
      </c>
      <c r="H208" s="38">
        <v>1186</v>
      </c>
      <c r="I208" s="38">
        <v>1343</v>
      </c>
      <c r="J208" s="38">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906</v>
      </c>
      <c r="AE208" s="27">
        <v>3661</v>
      </c>
      <c r="AF208">
        <v>22624</v>
      </c>
      <c r="AG208">
        <v>4033</v>
      </c>
      <c r="AH208">
        <v>23512</v>
      </c>
    </row>
    <row r="209" spans="1:34" hidden="1">
      <c r="A209" s="38" t="s">
        <v>1474</v>
      </c>
      <c r="B209" s="38">
        <v>0</v>
      </c>
      <c r="C209" s="38">
        <v>0</v>
      </c>
      <c r="D209" s="38">
        <v>0</v>
      </c>
      <c r="E209" s="38">
        <v>1898</v>
      </c>
      <c r="F209" s="38">
        <v>1728</v>
      </c>
      <c r="G209" s="38">
        <v>1394</v>
      </c>
      <c r="H209" s="38">
        <v>1405</v>
      </c>
      <c r="I209" s="38">
        <v>934</v>
      </c>
      <c r="J209" s="38">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449</v>
      </c>
      <c r="AE209" s="27">
        <v>941</v>
      </c>
      <c r="AF209">
        <v>5236</v>
      </c>
      <c r="AG209">
        <v>989</v>
      </c>
      <c r="AH209">
        <v>5612</v>
      </c>
    </row>
    <row r="210" spans="1:34" hidden="1">
      <c r="A210" s="38" t="s">
        <v>1765</v>
      </c>
      <c r="B210" s="38">
        <v>0</v>
      </c>
      <c r="C210" s="38">
        <v>5</v>
      </c>
      <c r="D210" s="38">
        <v>0</v>
      </c>
      <c r="E210" s="38">
        <v>0</v>
      </c>
      <c r="F210" s="38">
        <v>0</v>
      </c>
      <c r="G210" s="38">
        <v>0</v>
      </c>
      <c r="H210" s="38">
        <v>0</v>
      </c>
      <c r="I210" s="38">
        <v>0</v>
      </c>
      <c r="J210" s="38">
        <v>0</v>
      </c>
      <c r="K210">
        <v>154</v>
      </c>
      <c r="L210">
        <v>0</v>
      </c>
      <c r="M210">
        <v>0</v>
      </c>
      <c r="N210">
        <v>0</v>
      </c>
      <c r="O210">
        <v>0</v>
      </c>
      <c r="P210">
        <v>2</v>
      </c>
      <c r="Q210">
        <v>0</v>
      </c>
      <c r="R210">
        <v>0</v>
      </c>
      <c r="S210">
        <v>0</v>
      </c>
      <c r="T210">
        <v>0</v>
      </c>
      <c r="U210">
        <v>0</v>
      </c>
      <c r="V210">
        <v>0</v>
      </c>
      <c r="W210">
        <v>0</v>
      </c>
      <c r="X210">
        <v>15</v>
      </c>
      <c r="Y210">
        <v>0</v>
      </c>
      <c r="Z210">
        <v>0</v>
      </c>
      <c r="AA210">
        <v>0</v>
      </c>
      <c r="AD210" t="s">
        <v>99</v>
      </c>
      <c r="AE210" s="27">
        <v>1614</v>
      </c>
      <c r="AF210">
        <v>9176</v>
      </c>
      <c r="AG210">
        <v>1395</v>
      </c>
      <c r="AH210">
        <v>8238</v>
      </c>
    </row>
    <row r="211" spans="1:34" hidden="1">
      <c r="A211" s="38" t="s">
        <v>1460</v>
      </c>
      <c r="B211" s="38">
        <v>1237</v>
      </c>
      <c r="C211" s="38">
        <v>2363</v>
      </c>
      <c r="D211" s="38">
        <v>1303</v>
      </c>
      <c r="E211" s="38">
        <v>1272</v>
      </c>
      <c r="F211" s="38">
        <v>966</v>
      </c>
      <c r="G211" s="38">
        <v>979</v>
      </c>
      <c r="H211" s="38">
        <v>1008</v>
      </c>
      <c r="I211" s="38">
        <v>952</v>
      </c>
      <c r="J211" s="38">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693</v>
      </c>
      <c r="AE211" s="27">
        <v>627</v>
      </c>
      <c r="AF211">
        <v>2213</v>
      </c>
      <c r="AG211">
        <v>57</v>
      </c>
      <c r="AH211">
        <v>143</v>
      </c>
    </row>
    <row r="212" spans="1:34" hidden="1">
      <c r="A212" s="38" t="s">
        <v>1337</v>
      </c>
      <c r="B212" s="38">
        <v>635</v>
      </c>
      <c r="C212" s="38">
        <v>544</v>
      </c>
      <c r="D212" s="38">
        <v>394</v>
      </c>
      <c r="E212" s="38">
        <v>374</v>
      </c>
      <c r="F212" s="38">
        <v>247</v>
      </c>
      <c r="G212" s="38">
        <v>361</v>
      </c>
      <c r="H212" s="38">
        <v>1056</v>
      </c>
      <c r="I212" s="38">
        <v>749</v>
      </c>
      <c r="J212" s="38">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220</v>
      </c>
      <c r="AE212" s="27">
        <v>1753</v>
      </c>
      <c r="AF212">
        <v>6030</v>
      </c>
      <c r="AG212">
        <v>1659</v>
      </c>
      <c r="AH212">
        <v>4782</v>
      </c>
    </row>
    <row r="213" spans="1:34" hidden="1">
      <c r="A213" s="38" t="s">
        <v>143</v>
      </c>
      <c r="B213" s="38">
        <v>0</v>
      </c>
      <c r="C213" s="38">
        <v>639</v>
      </c>
      <c r="D213" s="38">
        <v>547</v>
      </c>
      <c r="E213" s="38">
        <v>724</v>
      </c>
      <c r="F213" s="38">
        <v>597</v>
      </c>
      <c r="G213" s="38">
        <v>623</v>
      </c>
      <c r="H213" s="38">
        <v>573</v>
      </c>
      <c r="I213" s="38">
        <v>591</v>
      </c>
      <c r="J213" s="38">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513</v>
      </c>
      <c r="AE213" s="27">
        <v>1376</v>
      </c>
      <c r="AF213">
        <v>6277</v>
      </c>
      <c r="AG213">
        <v>1364</v>
      </c>
      <c r="AH213">
        <v>5971</v>
      </c>
    </row>
    <row r="214" spans="1:34" hidden="1">
      <c r="A214" s="38" t="s">
        <v>624</v>
      </c>
      <c r="B214" s="38">
        <v>597</v>
      </c>
      <c r="C214" s="38">
        <v>557</v>
      </c>
      <c r="D214" s="38">
        <v>571</v>
      </c>
      <c r="E214" s="38">
        <v>571</v>
      </c>
      <c r="F214" s="38">
        <v>514</v>
      </c>
      <c r="G214" s="38">
        <v>590</v>
      </c>
      <c r="H214" s="38">
        <v>601</v>
      </c>
      <c r="I214" s="38">
        <v>587</v>
      </c>
      <c r="J214" s="38">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393</v>
      </c>
      <c r="AE214" s="27">
        <v>351</v>
      </c>
      <c r="AF214">
        <v>1660</v>
      </c>
      <c r="AG214">
        <v>871</v>
      </c>
      <c r="AH214">
        <v>2942</v>
      </c>
    </row>
    <row r="215" spans="1:34" hidden="1">
      <c r="A215" s="38" t="s">
        <v>57</v>
      </c>
      <c r="B215" s="38">
        <v>1712</v>
      </c>
      <c r="C215" s="38">
        <v>1625</v>
      </c>
      <c r="D215" s="38">
        <v>1508</v>
      </c>
      <c r="E215" s="38">
        <v>2088</v>
      </c>
      <c r="F215" s="38">
        <v>2519</v>
      </c>
      <c r="G215" s="38">
        <v>1783</v>
      </c>
      <c r="H215" s="38">
        <v>1946</v>
      </c>
      <c r="I215" s="38">
        <v>1727</v>
      </c>
      <c r="J215" s="38">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914</v>
      </c>
      <c r="AE215" s="27">
        <v>4617</v>
      </c>
      <c r="AF215">
        <v>30049</v>
      </c>
      <c r="AG215">
        <v>3650</v>
      </c>
      <c r="AH215">
        <v>25130</v>
      </c>
    </row>
    <row r="216" spans="1:34" hidden="1">
      <c r="A216" s="38" t="s">
        <v>407</v>
      </c>
      <c r="B216" s="38">
        <v>779</v>
      </c>
      <c r="C216" s="38">
        <v>580</v>
      </c>
      <c r="D216" s="38">
        <v>444</v>
      </c>
      <c r="E216" s="38">
        <v>479</v>
      </c>
      <c r="F216" s="38">
        <v>360</v>
      </c>
      <c r="G216" s="38">
        <v>449</v>
      </c>
      <c r="H216" s="38">
        <v>378</v>
      </c>
      <c r="I216" s="38">
        <v>741</v>
      </c>
      <c r="J216" s="38">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771</v>
      </c>
      <c r="AE216" s="27">
        <v>3350</v>
      </c>
      <c r="AF216">
        <v>13606</v>
      </c>
      <c r="AG216">
        <v>2931</v>
      </c>
      <c r="AH216">
        <v>11927</v>
      </c>
    </row>
    <row r="217" spans="1:34" hidden="1">
      <c r="A217" s="38" t="s">
        <v>676</v>
      </c>
      <c r="B217" s="38">
        <v>2633</v>
      </c>
      <c r="C217" s="38">
        <v>3011</v>
      </c>
      <c r="D217" s="38">
        <v>2255</v>
      </c>
      <c r="E217" s="38">
        <v>2706</v>
      </c>
      <c r="F217" s="38">
        <v>2629</v>
      </c>
      <c r="G217" s="38">
        <v>2994</v>
      </c>
      <c r="H217" s="38">
        <v>2355</v>
      </c>
      <c r="I217" s="38">
        <v>2124</v>
      </c>
      <c r="J217" s="38">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174</v>
      </c>
      <c r="AE217" s="27">
        <v>1866</v>
      </c>
      <c r="AF217">
        <v>6089</v>
      </c>
      <c r="AG217">
        <v>1815</v>
      </c>
      <c r="AH217">
        <v>6215</v>
      </c>
    </row>
    <row r="218" spans="1:34" hidden="1">
      <c r="A218" s="38" t="s">
        <v>27</v>
      </c>
      <c r="B218" s="38">
        <v>4738</v>
      </c>
      <c r="C218" s="38">
        <v>4476</v>
      </c>
      <c r="D218" s="38">
        <v>4408</v>
      </c>
      <c r="E218" s="38">
        <v>4991</v>
      </c>
      <c r="F218" s="38">
        <v>0</v>
      </c>
      <c r="G218" s="38">
        <v>18476</v>
      </c>
      <c r="H218" s="38">
        <v>4034</v>
      </c>
      <c r="I218" s="38">
        <v>12946</v>
      </c>
      <c r="J218" s="38">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660</v>
      </c>
      <c r="AE218" s="27">
        <v>1077</v>
      </c>
      <c r="AF218">
        <v>6667</v>
      </c>
      <c r="AG218">
        <v>881</v>
      </c>
      <c r="AH218">
        <v>8278</v>
      </c>
    </row>
    <row r="219" spans="1:34" hidden="1">
      <c r="A219" s="38" t="s">
        <v>1169</v>
      </c>
      <c r="B219" s="38">
        <v>1830</v>
      </c>
      <c r="C219" s="38">
        <v>2841</v>
      </c>
      <c r="D219" s="38">
        <v>3914</v>
      </c>
      <c r="E219" s="38">
        <v>5183</v>
      </c>
      <c r="F219" s="38">
        <v>1988</v>
      </c>
      <c r="G219" s="38">
        <v>1740</v>
      </c>
      <c r="H219" s="38">
        <v>1307</v>
      </c>
      <c r="I219" s="38">
        <v>1032</v>
      </c>
      <c r="J219" s="38">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184</v>
      </c>
      <c r="AE219" s="27">
        <v>746</v>
      </c>
      <c r="AF219">
        <v>3743</v>
      </c>
      <c r="AH219">
        <v>0</v>
      </c>
    </row>
    <row r="220" spans="1:34" hidden="1">
      <c r="A220" s="38" t="s">
        <v>1492</v>
      </c>
      <c r="B220" s="38">
        <v>859</v>
      </c>
      <c r="C220" s="38">
        <v>993</v>
      </c>
      <c r="D220" s="38">
        <v>921</v>
      </c>
      <c r="E220" s="38">
        <v>1014</v>
      </c>
      <c r="F220" s="38">
        <v>985</v>
      </c>
      <c r="G220" s="38">
        <v>907</v>
      </c>
      <c r="H220" s="38">
        <v>1104</v>
      </c>
      <c r="I220" s="38">
        <v>1503</v>
      </c>
      <c r="J220" s="38">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894</v>
      </c>
      <c r="AE220" s="27">
        <v>1508</v>
      </c>
      <c r="AF220">
        <v>5344</v>
      </c>
      <c r="AG220">
        <v>1937</v>
      </c>
      <c r="AH220">
        <v>7566</v>
      </c>
    </row>
    <row r="221" spans="1:34" hidden="1">
      <c r="A221" s="38" t="s">
        <v>1300</v>
      </c>
      <c r="B221" s="38">
        <v>0</v>
      </c>
      <c r="C221" s="38">
        <v>262</v>
      </c>
      <c r="D221" s="38">
        <v>1302</v>
      </c>
      <c r="E221" s="38">
        <v>1630</v>
      </c>
      <c r="F221" s="38">
        <v>1087</v>
      </c>
      <c r="G221" s="38">
        <v>967</v>
      </c>
      <c r="H221" s="38">
        <v>1199</v>
      </c>
      <c r="I221" s="38">
        <v>1971</v>
      </c>
      <c r="J221" s="38">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407</v>
      </c>
      <c r="AE221" s="27">
        <v>1031</v>
      </c>
      <c r="AF221">
        <v>2567</v>
      </c>
      <c r="AG221">
        <v>796</v>
      </c>
      <c r="AH221">
        <v>1997</v>
      </c>
    </row>
    <row r="222" spans="1:34" hidden="1">
      <c r="A222" s="38" t="s">
        <v>1089</v>
      </c>
      <c r="B222" s="38">
        <v>2136</v>
      </c>
      <c r="C222" s="38">
        <v>2353</v>
      </c>
      <c r="D222" s="38">
        <v>1497</v>
      </c>
      <c r="E222" s="38">
        <v>1319</v>
      </c>
      <c r="F222" s="38">
        <v>1243</v>
      </c>
      <c r="G222" s="38">
        <v>1281</v>
      </c>
      <c r="H222" s="38">
        <v>1054</v>
      </c>
      <c r="I222" s="38">
        <v>1336</v>
      </c>
      <c r="J222" s="38">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47</v>
      </c>
      <c r="AE222" s="27">
        <v>4286</v>
      </c>
      <c r="AF222">
        <v>16357</v>
      </c>
      <c r="AG222">
        <v>4089</v>
      </c>
      <c r="AH222">
        <v>14561</v>
      </c>
    </row>
    <row r="223" spans="1:34" hidden="1">
      <c r="A223" s="38" t="s">
        <v>1103</v>
      </c>
      <c r="B223" s="38">
        <v>1728</v>
      </c>
      <c r="C223" s="38">
        <v>813</v>
      </c>
      <c r="D223" s="38">
        <v>816</v>
      </c>
      <c r="E223" s="38">
        <v>1103</v>
      </c>
      <c r="F223" s="38">
        <v>891</v>
      </c>
      <c r="G223" s="38">
        <v>694</v>
      </c>
      <c r="H223" s="38">
        <v>648</v>
      </c>
      <c r="I223" s="38">
        <v>694</v>
      </c>
      <c r="J223" s="38">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590</v>
      </c>
      <c r="AE223" s="27">
        <v>5987</v>
      </c>
      <c r="AF223">
        <v>17769</v>
      </c>
      <c r="AG223">
        <v>4693</v>
      </c>
      <c r="AH223">
        <v>11762</v>
      </c>
    </row>
    <row r="224" spans="1:34" hidden="1">
      <c r="A224" s="38" t="s">
        <v>1766</v>
      </c>
      <c r="B224" s="38">
        <v>0</v>
      </c>
      <c r="C224" s="38">
        <v>0</v>
      </c>
      <c r="D224" s="38">
        <v>0</v>
      </c>
      <c r="E224" s="38">
        <v>0</v>
      </c>
      <c r="F224" s="38">
        <v>0</v>
      </c>
      <c r="G224" s="38">
        <v>0</v>
      </c>
      <c r="H224" s="38">
        <v>0</v>
      </c>
      <c r="I224" s="38">
        <v>0</v>
      </c>
      <c r="J224" s="38">
        <v>320</v>
      </c>
      <c r="K224">
        <v>1016</v>
      </c>
      <c r="L224">
        <v>435</v>
      </c>
      <c r="M224">
        <v>670</v>
      </c>
      <c r="N224">
        <v>683</v>
      </c>
      <c r="O224">
        <v>0</v>
      </c>
      <c r="P224">
        <v>0</v>
      </c>
      <c r="Q224">
        <v>0</v>
      </c>
      <c r="R224">
        <v>0</v>
      </c>
      <c r="S224">
        <v>0</v>
      </c>
      <c r="T224">
        <v>0</v>
      </c>
      <c r="U224">
        <v>0</v>
      </c>
      <c r="V224">
        <v>0</v>
      </c>
      <c r="W224">
        <v>91</v>
      </c>
      <c r="X224">
        <v>283</v>
      </c>
      <c r="Y224">
        <v>119</v>
      </c>
      <c r="Z224">
        <v>141</v>
      </c>
      <c r="AA224">
        <v>167</v>
      </c>
      <c r="AD224" t="s">
        <v>813</v>
      </c>
      <c r="AE224" s="27">
        <v>2067</v>
      </c>
      <c r="AF224">
        <v>8979</v>
      </c>
      <c r="AG224">
        <v>1894</v>
      </c>
      <c r="AH224">
        <v>6815</v>
      </c>
    </row>
    <row r="225" spans="1:34" hidden="1">
      <c r="A225" s="38" t="s">
        <v>990</v>
      </c>
      <c r="B225" s="38">
        <v>6790</v>
      </c>
      <c r="C225" s="38">
        <v>6625</v>
      </c>
      <c r="D225" s="38">
        <v>4246</v>
      </c>
      <c r="E225" s="38">
        <v>3787</v>
      </c>
      <c r="F225" s="38">
        <v>4239</v>
      </c>
      <c r="G225" s="38">
        <v>3515</v>
      </c>
      <c r="H225" s="38">
        <v>3929</v>
      </c>
      <c r="I225" s="38">
        <v>3313</v>
      </c>
      <c r="J225" s="38">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820</v>
      </c>
      <c r="AE225" s="27">
        <v>3090</v>
      </c>
      <c r="AF225">
        <v>13684</v>
      </c>
      <c r="AG225">
        <v>2906</v>
      </c>
      <c r="AH225">
        <v>11295</v>
      </c>
    </row>
    <row r="226" spans="1:34" hidden="1">
      <c r="A226" s="38" t="s">
        <v>1480</v>
      </c>
      <c r="B226" s="38">
        <v>1353</v>
      </c>
      <c r="C226" s="38">
        <v>1212</v>
      </c>
      <c r="D226" s="38">
        <v>1254</v>
      </c>
      <c r="E226" s="38">
        <v>1058</v>
      </c>
      <c r="F226" s="38">
        <v>1069</v>
      </c>
      <c r="G226" s="38">
        <v>992</v>
      </c>
      <c r="H226" s="38">
        <v>1002</v>
      </c>
      <c r="I226" s="38">
        <v>1015</v>
      </c>
      <c r="J226" s="38">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317</v>
      </c>
      <c r="AE226" s="27">
        <v>1664</v>
      </c>
      <c r="AF226">
        <v>9255</v>
      </c>
      <c r="AG226">
        <v>1604</v>
      </c>
      <c r="AH226">
        <v>7391</v>
      </c>
    </row>
    <row r="227" spans="1:34" hidden="1">
      <c r="A227" s="38" t="s">
        <v>1162</v>
      </c>
      <c r="B227" s="38">
        <v>2428</v>
      </c>
      <c r="C227" s="38">
        <v>2992</v>
      </c>
      <c r="D227" s="38">
        <v>3055</v>
      </c>
      <c r="E227" s="38">
        <v>2948</v>
      </c>
      <c r="F227" s="38">
        <v>2517</v>
      </c>
      <c r="G227" s="38">
        <v>2548</v>
      </c>
      <c r="H227" s="38">
        <v>2539</v>
      </c>
      <c r="I227" s="38">
        <v>2879</v>
      </c>
      <c r="J227" s="38">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576</v>
      </c>
      <c r="AE227" s="27">
        <v>124</v>
      </c>
      <c r="AF227">
        <v>519</v>
      </c>
      <c r="AG227">
        <v>412</v>
      </c>
      <c r="AH227">
        <v>1805</v>
      </c>
    </row>
    <row r="228" spans="1:34" hidden="1">
      <c r="A228" s="38" t="s">
        <v>1767</v>
      </c>
      <c r="B228" s="38">
        <v>2330</v>
      </c>
      <c r="C228" s="38">
        <v>1555</v>
      </c>
      <c r="D228" s="38">
        <v>2367</v>
      </c>
      <c r="E228" s="38">
        <v>1074</v>
      </c>
      <c r="F228" s="38">
        <v>585</v>
      </c>
      <c r="G228" s="38">
        <v>770</v>
      </c>
      <c r="H228" s="38">
        <v>721</v>
      </c>
      <c r="I228" s="38">
        <v>685</v>
      </c>
      <c r="J228" s="38">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1689</v>
      </c>
      <c r="AE228" s="27">
        <v>64</v>
      </c>
      <c r="AF228">
        <v>405</v>
      </c>
      <c r="AH228">
        <v>0</v>
      </c>
    </row>
    <row r="229" spans="1:34" hidden="1">
      <c r="A229" s="38" t="s">
        <v>1354</v>
      </c>
      <c r="B229" s="38">
        <v>641</v>
      </c>
      <c r="C229" s="38">
        <v>615</v>
      </c>
      <c r="D229" s="38">
        <v>441</v>
      </c>
      <c r="E229" s="38">
        <v>252</v>
      </c>
      <c r="F229" s="38">
        <v>319</v>
      </c>
      <c r="G229" s="38">
        <v>283</v>
      </c>
      <c r="H229" s="38">
        <v>127</v>
      </c>
      <c r="I229" s="38">
        <v>344</v>
      </c>
      <c r="J229" s="38">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499</v>
      </c>
      <c r="AE229" s="27">
        <v>1664</v>
      </c>
      <c r="AF229">
        <v>6998</v>
      </c>
      <c r="AG229">
        <v>1595</v>
      </c>
      <c r="AH229">
        <v>6871</v>
      </c>
    </row>
    <row r="230" spans="1:34" hidden="1">
      <c r="A230" s="38" t="s">
        <v>1400</v>
      </c>
      <c r="B230" s="38">
        <v>1539</v>
      </c>
      <c r="C230" s="38">
        <v>925</v>
      </c>
      <c r="D230" s="38">
        <v>921</v>
      </c>
      <c r="E230" s="38">
        <v>740</v>
      </c>
      <c r="F230" s="38">
        <v>659</v>
      </c>
      <c r="G230" s="38">
        <v>582</v>
      </c>
      <c r="H230" s="38">
        <v>467</v>
      </c>
      <c r="I230" s="38">
        <v>616</v>
      </c>
      <c r="J230" s="38">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153</v>
      </c>
      <c r="AE230" s="27">
        <v>1145</v>
      </c>
      <c r="AF230">
        <v>5474</v>
      </c>
      <c r="AG230">
        <v>928</v>
      </c>
      <c r="AH230">
        <v>4468</v>
      </c>
    </row>
    <row r="231" spans="1:34" hidden="1">
      <c r="A231" s="38" t="s">
        <v>1579</v>
      </c>
      <c r="B231" s="38">
        <v>2507</v>
      </c>
      <c r="C231" s="38">
        <v>2195</v>
      </c>
      <c r="D231" s="38">
        <v>5543</v>
      </c>
      <c r="E231" s="38">
        <v>2949</v>
      </c>
      <c r="F231" s="38">
        <v>4757</v>
      </c>
      <c r="G231" s="38">
        <v>2710</v>
      </c>
      <c r="H231" s="38">
        <v>2773</v>
      </c>
      <c r="I231" s="38">
        <v>2627</v>
      </c>
      <c r="J231" s="38">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656</v>
      </c>
      <c r="AE231" s="27">
        <v>1134</v>
      </c>
      <c r="AF231">
        <v>6878</v>
      </c>
      <c r="AG231">
        <v>1112</v>
      </c>
      <c r="AH231">
        <v>6349</v>
      </c>
    </row>
    <row r="232" spans="1:34" hidden="1">
      <c r="A232" s="38" t="s">
        <v>1553</v>
      </c>
      <c r="B232" s="38">
        <v>1053</v>
      </c>
      <c r="C232" s="38">
        <v>1148</v>
      </c>
      <c r="D232" s="38">
        <v>826</v>
      </c>
      <c r="E232" s="38">
        <v>993</v>
      </c>
      <c r="F232" s="38">
        <v>685</v>
      </c>
      <c r="G232" s="38">
        <v>806</v>
      </c>
      <c r="H232" s="38">
        <v>602</v>
      </c>
      <c r="I232" s="38">
        <v>1053</v>
      </c>
      <c r="J232" s="38">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433</v>
      </c>
      <c r="AE232" s="27">
        <v>38</v>
      </c>
      <c r="AF232">
        <v>780</v>
      </c>
      <c r="AG232">
        <v>951</v>
      </c>
      <c r="AH232">
        <v>3312</v>
      </c>
    </row>
    <row r="233" spans="1:34" hidden="1">
      <c r="A233" s="38" t="s">
        <v>1576</v>
      </c>
      <c r="B233" s="38">
        <v>5762</v>
      </c>
      <c r="C233" s="38">
        <v>4959</v>
      </c>
      <c r="D233" s="38">
        <v>5692</v>
      </c>
      <c r="E233" s="38">
        <v>5409</v>
      </c>
      <c r="F233" s="38">
        <v>4892</v>
      </c>
      <c r="G233" s="38">
        <v>4067</v>
      </c>
      <c r="H233" s="38">
        <v>2818</v>
      </c>
      <c r="I233" s="38">
        <v>2952</v>
      </c>
      <c r="J233" s="38">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864</v>
      </c>
      <c r="AE233" s="27">
        <v>4242</v>
      </c>
      <c r="AF233">
        <v>16553</v>
      </c>
      <c r="AG233">
        <v>4087</v>
      </c>
      <c r="AH233">
        <v>16799</v>
      </c>
    </row>
    <row r="234" spans="1:34" hidden="1">
      <c r="A234" s="38" t="s">
        <v>1516</v>
      </c>
      <c r="B234" s="38">
        <v>651</v>
      </c>
      <c r="C234" s="38">
        <v>722</v>
      </c>
      <c r="D234" s="38">
        <v>660</v>
      </c>
      <c r="E234" s="38">
        <v>708</v>
      </c>
      <c r="F234" s="38">
        <v>570</v>
      </c>
      <c r="G234" s="38">
        <v>553</v>
      </c>
      <c r="H234" s="38">
        <v>472</v>
      </c>
      <c r="I234" s="38">
        <v>615</v>
      </c>
      <c r="J234" s="38">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682</v>
      </c>
      <c r="AE234" s="27">
        <v>6399</v>
      </c>
      <c r="AF234">
        <v>28292</v>
      </c>
      <c r="AG234">
        <v>5244</v>
      </c>
      <c r="AH234">
        <v>21070</v>
      </c>
    </row>
    <row r="235" spans="1:34" hidden="1">
      <c r="A235" s="38" t="s">
        <v>1566</v>
      </c>
      <c r="B235" s="38">
        <v>981</v>
      </c>
      <c r="C235" s="38">
        <v>927</v>
      </c>
      <c r="D235" s="38">
        <v>872</v>
      </c>
      <c r="E235" s="38">
        <v>773</v>
      </c>
      <c r="F235" s="38">
        <v>884</v>
      </c>
      <c r="G235" s="38">
        <v>1202</v>
      </c>
      <c r="H235" s="38">
        <v>852</v>
      </c>
      <c r="I235" s="38">
        <v>1061</v>
      </c>
      <c r="J235" s="38">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715</v>
      </c>
      <c r="AE235" s="27">
        <v>18410</v>
      </c>
      <c r="AF235">
        <v>95635</v>
      </c>
      <c r="AG235">
        <v>15225</v>
      </c>
      <c r="AH235">
        <v>72670</v>
      </c>
    </row>
    <row r="236" spans="1:34" hidden="1">
      <c r="A236" s="38" t="s">
        <v>1514</v>
      </c>
      <c r="B236" s="38">
        <v>1446</v>
      </c>
      <c r="C236" s="38">
        <v>1145</v>
      </c>
      <c r="D236" s="38">
        <v>785</v>
      </c>
      <c r="E236" s="38">
        <v>592</v>
      </c>
      <c r="F236" s="38">
        <v>634</v>
      </c>
      <c r="G236" s="38">
        <v>737</v>
      </c>
      <c r="H236" s="38">
        <v>690</v>
      </c>
      <c r="I236" s="38">
        <v>906</v>
      </c>
      <c r="J236" s="38">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1146</v>
      </c>
      <c r="AE236" s="18">
        <v>7632</v>
      </c>
      <c r="AF236">
        <v>7844</v>
      </c>
      <c r="AG236">
        <v>5313</v>
      </c>
      <c r="AH236">
        <v>25511</v>
      </c>
    </row>
    <row r="237" spans="1:34" hidden="1">
      <c r="A237" s="38" t="s">
        <v>1484</v>
      </c>
      <c r="B237" s="38">
        <v>408</v>
      </c>
      <c r="C237" s="38">
        <v>0</v>
      </c>
      <c r="D237" s="38">
        <v>1257</v>
      </c>
      <c r="E237" s="38">
        <v>888</v>
      </c>
      <c r="F237" s="38">
        <v>826</v>
      </c>
      <c r="G237" s="38">
        <v>882</v>
      </c>
      <c r="H237" s="38">
        <v>725</v>
      </c>
      <c r="I237" s="38">
        <v>862</v>
      </c>
      <c r="J237" s="38">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990</v>
      </c>
      <c r="AE237" s="18">
        <v>3762</v>
      </c>
      <c r="AF237">
        <v>12737</v>
      </c>
      <c r="AG237">
        <v>3578</v>
      </c>
      <c r="AH237">
        <v>11786</v>
      </c>
    </row>
    <row r="238" spans="1:34" hidden="1">
      <c r="A238" s="38" t="s">
        <v>1500</v>
      </c>
      <c r="B238" s="38">
        <v>1417</v>
      </c>
      <c r="C238" s="38">
        <v>1243</v>
      </c>
      <c r="D238" s="38">
        <v>1246</v>
      </c>
      <c r="E238" s="38">
        <v>1187</v>
      </c>
      <c r="F238" s="38">
        <v>654</v>
      </c>
      <c r="G238" s="38">
        <v>666</v>
      </c>
      <c r="H238" s="38">
        <v>596</v>
      </c>
      <c r="I238" s="38">
        <v>553</v>
      </c>
      <c r="J238" s="38">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1228</v>
      </c>
      <c r="AE238" s="18">
        <v>3048</v>
      </c>
      <c r="AF238">
        <v>13735</v>
      </c>
      <c r="AG238">
        <v>3102</v>
      </c>
      <c r="AH238">
        <v>13480</v>
      </c>
    </row>
    <row r="239" spans="1:34" hidden="1">
      <c r="A239" s="38" t="s">
        <v>1412</v>
      </c>
      <c r="B239" s="38">
        <v>0</v>
      </c>
      <c r="C239" s="38">
        <v>0</v>
      </c>
      <c r="D239" s="38">
        <v>0</v>
      </c>
      <c r="E239" s="38">
        <v>0</v>
      </c>
      <c r="F239" s="38">
        <v>0</v>
      </c>
      <c r="G239" s="38">
        <v>0</v>
      </c>
      <c r="H239" s="38">
        <v>0</v>
      </c>
      <c r="I239" s="38">
        <v>0</v>
      </c>
      <c r="J239" s="38">
        <v>96</v>
      </c>
      <c r="K239">
        <v>306</v>
      </c>
      <c r="L239">
        <v>290</v>
      </c>
      <c r="M239">
        <v>605</v>
      </c>
      <c r="N239">
        <v>930</v>
      </c>
      <c r="O239">
        <v>0</v>
      </c>
      <c r="P239">
        <v>0</v>
      </c>
      <c r="Q239">
        <v>0</v>
      </c>
      <c r="R239">
        <v>0</v>
      </c>
      <c r="S239">
        <v>0</v>
      </c>
      <c r="T239">
        <v>0</v>
      </c>
      <c r="U239">
        <v>0</v>
      </c>
      <c r="V239">
        <v>0</v>
      </c>
      <c r="W239">
        <v>33</v>
      </c>
      <c r="X239">
        <v>76</v>
      </c>
      <c r="Y239">
        <v>76</v>
      </c>
      <c r="Z239">
        <v>191</v>
      </c>
      <c r="AA239">
        <v>280</v>
      </c>
      <c r="AD239" t="s">
        <v>1247</v>
      </c>
      <c r="AE239" s="18">
        <v>3637</v>
      </c>
      <c r="AF239">
        <v>12674</v>
      </c>
      <c r="AG239">
        <v>3318</v>
      </c>
      <c r="AH239">
        <v>12658</v>
      </c>
    </row>
    <row r="240" spans="1:34" hidden="1">
      <c r="A240" s="38" t="s">
        <v>1376</v>
      </c>
      <c r="B240" s="38">
        <v>1361</v>
      </c>
      <c r="C240" s="38">
        <v>1065</v>
      </c>
      <c r="D240" s="38">
        <v>1044</v>
      </c>
      <c r="E240" s="38">
        <v>1095</v>
      </c>
      <c r="F240" s="38">
        <v>1296</v>
      </c>
      <c r="G240" s="38">
        <v>920</v>
      </c>
      <c r="H240" s="38">
        <v>616</v>
      </c>
      <c r="I240" s="38">
        <v>591</v>
      </c>
      <c r="J240" s="38">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2" t="s">
        <v>970</v>
      </c>
      <c r="AE240" s="18">
        <v>4317</v>
      </c>
      <c r="AF240">
        <v>25101</v>
      </c>
      <c r="AG240">
        <v>3155</v>
      </c>
      <c r="AH240">
        <v>15732</v>
      </c>
    </row>
    <row r="241" spans="1:34" hidden="1">
      <c r="A241" s="38" t="s">
        <v>1279</v>
      </c>
      <c r="B241" s="38">
        <v>557</v>
      </c>
      <c r="C241" s="38">
        <v>580</v>
      </c>
      <c r="D241" s="38">
        <v>483</v>
      </c>
      <c r="E241" s="38">
        <v>472</v>
      </c>
      <c r="F241" s="38">
        <v>709</v>
      </c>
      <c r="G241" s="38">
        <v>656</v>
      </c>
      <c r="H241" s="38">
        <v>715</v>
      </c>
      <c r="I241" s="38">
        <v>797</v>
      </c>
      <c r="J241" s="38">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1162</v>
      </c>
      <c r="AE241" s="18">
        <v>5550</v>
      </c>
      <c r="AF241">
        <v>12512</v>
      </c>
      <c r="AG241">
        <v>5622</v>
      </c>
      <c r="AH241">
        <v>13227</v>
      </c>
    </row>
    <row r="242" spans="1:34" hidden="1">
      <c r="A242" s="38" t="s">
        <v>86</v>
      </c>
      <c r="B242" s="38">
        <v>1577</v>
      </c>
      <c r="C242" s="38">
        <v>1264</v>
      </c>
      <c r="D242" s="38">
        <v>1436</v>
      </c>
      <c r="E242" s="38">
        <v>1633</v>
      </c>
      <c r="F242" s="38">
        <v>1407</v>
      </c>
      <c r="G242" s="38">
        <v>2169</v>
      </c>
      <c r="H242" s="38">
        <v>1557</v>
      </c>
      <c r="I242" s="38">
        <v>1783</v>
      </c>
      <c r="J242" s="38">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1271</v>
      </c>
      <c r="AE242" s="18">
        <v>972</v>
      </c>
      <c r="AF242">
        <v>5298</v>
      </c>
      <c r="AG242">
        <v>1185</v>
      </c>
      <c r="AH242">
        <v>5678</v>
      </c>
    </row>
    <row r="243" spans="1:34" hidden="1">
      <c r="A243" s="38" t="s">
        <v>858</v>
      </c>
      <c r="B243" s="38">
        <v>3284</v>
      </c>
      <c r="C243" s="38">
        <v>4751</v>
      </c>
      <c r="D243" s="38">
        <v>2584</v>
      </c>
      <c r="E243" s="38">
        <v>1839</v>
      </c>
      <c r="F243" s="38">
        <v>1830</v>
      </c>
      <c r="G243" s="38">
        <v>1937</v>
      </c>
      <c r="H243" s="38">
        <v>1357</v>
      </c>
      <c r="I243" s="38">
        <v>1615</v>
      </c>
      <c r="J243" s="38">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1139</v>
      </c>
      <c r="AE243" s="18">
        <v>1894</v>
      </c>
      <c r="AF243">
        <v>4996</v>
      </c>
      <c r="AG243">
        <v>1618</v>
      </c>
      <c r="AH243">
        <v>4244</v>
      </c>
    </row>
    <row r="244" spans="1:34" hidden="1">
      <c r="A244" s="38" t="s">
        <v>567</v>
      </c>
      <c r="B244" s="38">
        <v>1110</v>
      </c>
      <c r="C244" s="38">
        <v>1155</v>
      </c>
      <c r="D244" s="38">
        <v>999</v>
      </c>
      <c r="E244" s="38">
        <v>915</v>
      </c>
      <c r="F244" s="38">
        <v>1005</v>
      </c>
      <c r="G244" s="38">
        <v>1661</v>
      </c>
      <c r="H244" s="38">
        <v>989</v>
      </c>
      <c r="I244" s="38">
        <v>1000</v>
      </c>
      <c r="J244" s="38">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1704</v>
      </c>
      <c r="AE244" s="18">
        <v>2</v>
      </c>
      <c r="AF244">
        <v>13</v>
      </c>
      <c r="AG244">
        <v>1</v>
      </c>
      <c r="AH244">
        <v>14</v>
      </c>
    </row>
    <row r="245" spans="1:34" hidden="1">
      <c r="A245" s="38" t="s">
        <v>493</v>
      </c>
      <c r="B245" s="38">
        <v>1780</v>
      </c>
      <c r="C245" s="38">
        <v>1869</v>
      </c>
      <c r="D245" s="38">
        <v>1656</v>
      </c>
      <c r="E245" s="38">
        <v>1440</v>
      </c>
      <c r="F245" s="38">
        <v>1081</v>
      </c>
      <c r="G245" s="38">
        <v>1009</v>
      </c>
      <c r="H245" s="38">
        <v>981</v>
      </c>
      <c r="I245" s="38">
        <v>1397</v>
      </c>
      <c r="J245" s="38">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1235</v>
      </c>
      <c r="AE245" s="18">
        <v>3398</v>
      </c>
      <c r="AF245">
        <v>8739</v>
      </c>
      <c r="AG245">
        <v>3242</v>
      </c>
      <c r="AH245">
        <v>7441</v>
      </c>
    </row>
    <row r="246" spans="1:34" hidden="1">
      <c r="A246" s="38" t="s">
        <v>779</v>
      </c>
      <c r="B246" s="38">
        <v>3612</v>
      </c>
      <c r="C246" s="38">
        <v>3948</v>
      </c>
      <c r="D246" s="38">
        <v>3511</v>
      </c>
      <c r="E246" s="38">
        <v>61</v>
      </c>
      <c r="F246" s="38">
        <v>10706</v>
      </c>
      <c r="G246" s="38">
        <v>6300</v>
      </c>
      <c r="H246" s="38">
        <v>2733</v>
      </c>
      <c r="I246" s="38">
        <v>2931</v>
      </c>
      <c r="J246" s="38">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1263</v>
      </c>
      <c r="AE246" s="18">
        <v>5137</v>
      </c>
      <c r="AF246">
        <v>8651</v>
      </c>
      <c r="AG246">
        <v>4951</v>
      </c>
      <c r="AH246">
        <v>8352</v>
      </c>
    </row>
    <row r="247" spans="1:34" hidden="1">
      <c r="A247" s="38" t="s">
        <v>668</v>
      </c>
      <c r="B247" s="38">
        <v>2451</v>
      </c>
      <c r="C247" s="38">
        <v>3313</v>
      </c>
      <c r="D247" s="38">
        <v>1362</v>
      </c>
      <c r="E247" s="38">
        <v>1958</v>
      </c>
      <c r="F247" s="38">
        <v>1726</v>
      </c>
      <c r="G247" s="38">
        <v>1144</v>
      </c>
      <c r="H247" s="38">
        <v>1378</v>
      </c>
      <c r="I247" s="38">
        <v>1174</v>
      </c>
      <c r="J247" s="38">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986</v>
      </c>
      <c r="AE247" s="18">
        <v>711</v>
      </c>
      <c r="AF247">
        <v>1902</v>
      </c>
      <c r="AG247">
        <v>742</v>
      </c>
      <c r="AH247">
        <v>1678</v>
      </c>
    </row>
    <row r="248" spans="1:34" hidden="1">
      <c r="A248" s="38" t="s">
        <v>686</v>
      </c>
      <c r="B248" s="38">
        <v>1233</v>
      </c>
      <c r="C248" s="38">
        <v>1416</v>
      </c>
      <c r="D248" s="38">
        <v>1396</v>
      </c>
      <c r="E248" s="38">
        <v>1992</v>
      </c>
      <c r="F248" s="38">
        <v>1444</v>
      </c>
      <c r="G248" s="38">
        <v>1030</v>
      </c>
      <c r="H248" s="38">
        <v>1037</v>
      </c>
      <c r="I248" s="38">
        <v>1802</v>
      </c>
      <c r="J248" s="38">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1222</v>
      </c>
      <c r="AE248" s="18">
        <v>2183</v>
      </c>
      <c r="AF248">
        <v>8750</v>
      </c>
      <c r="AG248">
        <v>2311</v>
      </c>
      <c r="AH248">
        <v>8895</v>
      </c>
    </row>
    <row r="249" spans="1:34" hidden="1">
      <c r="A249" s="38" t="s">
        <v>1574</v>
      </c>
      <c r="B249" s="38">
        <v>703</v>
      </c>
      <c r="C249" s="38">
        <v>542</v>
      </c>
      <c r="D249" s="38">
        <v>644</v>
      </c>
      <c r="E249" s="38">
        <v>682</v>
      </c>
      <c r="F249" s="38">
        <v>771</v>
      </c>
      <c r="G249" s="38">
        <v>775</v>
      </c>
      <c r="H249" s="38">
        <v>879</v>
      </c>
      <c r="I249" s="38">
        <v>731</v>
      </c>
      <c r="J249" s="38">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1089</v>
      </c>
      <c r="AE249" s="18">
        <v>1995</v>
      </c>
      <c r="AF249">
        <v>6914</v>
      </c>
      <c r="AG249">
        <v>1664</v>
      </c>
      <c r="AH249">
        <v>5240</v>
      </c>
    </row>
    <row r="250" spans="1:34" hidden="1">
      <c r="A250" s="38" t="s">
        <v>1165</v>
      </c>
      <c r="B250" s="38">
        <v>1663</v>
      </c>
      <c r="C250" s="38">
        <v>2104</v>
      </c>
      <c r="D250" s="38">
        <v>1680</v>
      </c>
      <c r="E250" s="38">
        <v>2200</v>
      </c>
      <c r="F250" s="38">
        <v>1696</v>
      </c>
      <c r="G250" s="38">
        <v>1276</v>
      </c>
      <c r="H250" s="38">
        <v>777</v>
      </c>
      <c r="I250" s="38">
        <v>609</v>
      </c>
      <c r="J250" s="38">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6" t="s">
        <v>968</v>
      </c>
      <c r="AE250" s="18">
        <v>1870</v>
      </c>
      <c r="AF250">
        <v>7749</v>
      </c>
      <c r="AG250">
        <v>1643</v>
      </c>
      <c r="AH250">
        <v>7204</v>
      </c>
    </row>
    <row r="251" spans="1:34" hidden="1">
      <c r="A251" s="38" t="s">
        <v>1555</v>
      </c>
      <c r="B251" s="38">
        <v>230</v>
      </c>
      <c r="C251" s="38">
        <v>222</v>
      </c>
      <c r="D251" s="38">
        <v>763</v>
      </c>
      <c r="E251" s="38">
        <v>688</v>
      </c>
      <c r="F251" s="38">
        <v>494</v>
      </c>
      <c r="G251" s="38">
        <v>492</v>
      </c>
      <c r="H251" s="38">
        <v>526</v>
      </c>
      <c r="I251" s="38">
        <v>726</v>
      </c>
      <c r="J251" s="38">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1009</v>
      </c>
      <c r="AE251" s="18">
        <v>1727</v>
      </c>
      <c r="AF251">
        <v>4094</v>
      </c>
      <c r="AG251">
        <v>1618</v>
      </c>
      <c r="AH251">
        <v>3721</v>
      </c>
    </row>
    <row r="252" spans="1:34" hidden="1">
      <c r="A252" s="38" t="s">
        <v>1768</v>
      </c>
      <c r="B252" s="38">
        <v>128</v>
      </c>
      <c r="C252" s="38">
        <v>78</v>
      </c>
      <c r="D252" s="38">
        <v>65</v>
      </c>
      <c r="E252" s="38">
        <v>130</v>
      </c>
      <c r="F252" s="38">
        <v>99</v>
      </c>
      <c r="G252" s="38">
        <v>115</v>
      </c>
      <c r="H252" s="38">
        <v>164</v>
      </c>
      <c r="I252" s="38">
        <v>153</v>
      </c>
      <c r="J252" s="38">
        <v>63</v>
      </c>
      <c r="K252">
        <v>69</v>
      </c>
      <c r="L252">
        <v>130</v>
      </c>
      <c r="M252">
        <v>60</v>
      </c>
      <c r="N252">
        <v>102</v>
      </c>
      <c r="O252">
        <v>0</v>
      </c>
      <c r="P252">
        <v>0</v>
      </c>
      <c r="Q252">
        <v>0</v>
      </c>
      <c r="R252">
        <v>0</v>
      </c>
      <c r="S252">
        <v>0</v>
      </c>
      <c r="T252">
        <v>0</v>
      </c>
      <c r="U252">
        <v>0</v>
      </c>
      <c r="V252">
        <v>0</v>
      </c>
      <c r="W252">
        <v>0</v>
      </c>
      <c r="X252">
        <v>0</v>
      </c>
      <c r="Y252">
        <v>0</v>
      </c>
      <c r="Z252">
        <v>0</v>
      </c>
      <c r="AA252">
        <v>0</v>
      </c>
      <c r="AD252" t="s">
        <v>1309</v>
      </c>
      <c r="AE252" s="18">
        <v>40373</v>
      </c>
      <c r="AF252">
        <v>136848</v>
      </c>
      <c r="AG252">
        <v>34307</v>
      </c>
      <c r="AH252">
        <v>108902</v>
      </c>
    </row>
    <row r="253" spans="1:34" hidden="1">
      <c r="A253" s="38" t="s">
        <v>1769</v>
      </c>
      <c r="B253" s="38">
        <v>66</v>
      </c>
      <c r="C253" s="38">
        <v>96</v>
      </c>
      <c r="D253" s="38">
        <v>90</v>
      </c>
      <c r="E253" s="38">
        <v>104</v>
      </c>
      <c r="F253" s="38">
        <v>99</v>
      </c>
      <c r="G253" s="38">
        <v>183</v>
      </c>
      <c r="H253" s="38">
        <v>113</v>
      </c>
      <c r="I253" s="38">
        <v>91</v>
      </c>
      <c r="J253" s="38">
        <v>51</v>
      </c>
      <c r="K253">
        <v>76</v>
      </c>
      <c r="L253">
        <v>76</v>
      </c>
      <c r="M253">
        <v>60</v>
      </c>
      <c r="N253">
        <v>68</v>
      </c>
      <c r="O253">
        <v>0</v>
      </c>
      <c r="P253">
        <v>0</v>
      </c>
      <c r="Q253">
        <v>0</v>
      </c>
      <c r="R253">
        <v>0</v>
      </c>
      <c r="S253">
        <v>0</v>
      </c>
      <c r="T253">
        <v>0</v>
      </c>
      <c r="U253">
        <v>0</v>
      </c>
      <c r="V253">
        <v>0</v>
      </c>
      <c r="W253">
        <v>0</v>
      </c>
      <c r="X253">
        <v>0</v>
      </c>
      <c r="Y253">
        <v>0</v>
      </c>
      <c r="Z253">
        <v>0</v>
      </c>
      <c r="AA253">
        <v>0</v>
      </c>
      <c r="AD253" t="s">
        <v>1300</v>
      </c>
      <c r="AE253" s="18">
        <v>1614</v>
      </c>
      <c r="AF253">
        <v>5004</v>
      </c>
      <c r="AG253">
        <v>1873</v>
      </c>
      <c r="AH253">
        <v>5650</v>
      </c>
    </row>
    <row r="254" spans="1:34" hidden="1">
      <c r="A254" s="38" t="s">
        <v>1770</v>
      </c>
      <c r="B254" s="38">
        <v>249</v>
      </c>
      <c r="C254" s="38">
        <v>289</v>
      </c>
      <c r="D254" s="38">
        <v>262</v>
      </c>
      <c r="E254" s="38">
        <v>251</v>
      </c>
      <c r="F254" s="38">
        <v>279</v>
      </c>
      <c r="G254" s="38">
        <v>166</v>
      </c>
      <c r="H254" s="38">
        <v>128</v>
      </c>
      <c r="I254" s="38">
        <v>144</v>
      </c>
      <c r="J254" s="38">
        <v>118</v>
      </c>
      <c r="K254">
        <v>52</v>
      </c>
      <c r="L254">
        <v>82</v>
      </c>
      <c r="M254">
        <v>55</v>
      </c>
      <c r="N254">
        <v>59</v>
      </c>
      <c r="O254">
        <v>0</v>
      </c>
      <c r="P254">
        <v>0</v>
      </c>
      <c r="Q254">
        <v>0</v>
      </c>
      <c r="R254">
        <v>0</v>
      </c>
      <c r="S254">
        <v>0</v>
      </c>
      <c r="T254">
        <v>0</v>
      </c>
      <c r="U254">
        <v>0</v>
      </c>
      <c r="V254">
        <v>0</v>
      </c>
      <c r="W254">
        <v>0</v>
      </c>
      <c r="X254">
        <v>0</v>
      </c>
      <c r="Y254">
        <v>0</v>
      </c>
      <c r="Z254">
        <v>0</v>
      </c>
      <c r="AA254">
        <v>0</v>
      </c>
      <c r="AD254" t="s">
        <v>1295</v>
      </c>
      <c r="AE254" s="18">
        <v>2721</v>
      </c>
      <c r="AF254">
        <v>7438</v>
      </c>
      <c r="AG254">
        <v>2794</v>
      </c>
      <c r="AH254">
        <v>7397</v>
      </c>
    </row>
    <row r="255" spans="1:34" hidden="1">
      <c r="A255" s="38" t="s">
        <v>1183</v>
      </c>
      <c r="B255" s="38">
        <v>757</v>
      </c>
      <c r="C255" s="38">
        <v>792</v>
      </c>
      <c r="D255" s="38">
        <v>718</v>
      </c>
      <c r="E255" s="38">
        <v>777</v>
      </c>
      <c r="F255" s="38">
        <v>818</v>
      </c>
      <c r="G255" s="38">
        <v>763</v>
      </c>
      <c r="H255" s="38">
        <v>939</v>
      </c>
      <c r="I255" s="38">
        <v>613</v>
      </c>
      <c r="J255" s="38">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1030</v>
      </c>
      <c r="AE255" s="18">
        <v>1207</v>
      </c>
      <c r="AF255">
        <v>3445</v>
      </c>
      <c r="AG255">
        <v>867</v>
      </c>
      <c r="AH255">
        <v>2558</v>
      </c>
    </row>
    <row r="256" spans="1:34" hidden="1">
      <c r="A256" s="38" t="s">
        <v>1771</v>
      </c>
      <c r="B256" s="38">
        <v>0</v>
      </c>
      <c r="C256" s="38">
        <v>0</v>
      </c>
      <c r="D256" s="38">
        <v>0</v>
      </c>
      <c r="E256" s="38">
        <v>0</v>
      </c>
      <c r="F256" s="38">
        <v>0</v>
      </c>
      <c r="G256" s="38">
        <v>0</v>
      </c>
      <c r="H256" s="38">
        <v>0</v>
      </c>
      <c r="I256" s="38">
        <v>0</v>
      </c>
      <c r="J256" s="38">
        <v>18</v>
      </c>
      <c r="K256">
        <v>450</v>
      </c>
      <c r="L256">
        <v>539</v>
      </c>
      <c r="M256">
        <v>0</v>
      </c>
      <c r="N256">
        <v>630</v>
      </c>
      <c r="O256">
        <v>0</v>
      </c>
      <c r="P256">
        <v>0</v>
      </c>
      <c r="Q256">
        <v>0</v>
      </c>
      <c r="R256">
        <v>0</v>
      </c>
      <c r="S256">
        <v>0</v>
      </c>
      <c r="T256">
        <v>0</v>
      </c>
      <c r="U256">
        <v>0</v>
      </c>
      <c r="V256">
        <v>0</v>
      </c>
      <c r="W256">
        <v>0</v>
      </c>
      <c r="X256">
        <v>127</v>
      </c>
      <c r="Y256">
        <v>159</v>
      </c>
      <c r="Z256">
        <v>0</v>
      </c>
      <c r="AA256">
        <v>241</v>
      </c>
      <c r="AD256" s="36" t="s">
        <v>1085</v>
      </c>
      <c r="AE256" s="18">
        <v>611</v>
      </c>
      <c r="AF256">
        <v>3692</v>
      </c>
      <c r="AG256">
        <v>699</v>
      </c>
      <c r="AH256">
        <v>3735</v>
      </c>
    </row>
    <row r="257" spans="1:34" hidden="1">
      <c r="A257" s="38" t="s">
        <v>1772</v>
      </c>
      <c r="B257" s="38">
        <v>415</v>
      </c>
      <c r="C257" s="38">
        <v>390</v>
      </c>
      <c r="D257" s="38">
        <v>389</v>
      </c>
      <c r="E257" s="38">
        <v>386</v>
      </c>
      <c r="F257" s="38">
        <v>247</v>
      </c>
      <c r="G257" s="38">
        <v>283</v>
      </c>
      <c r="H257" s="38">
        <v>275</v>
      </c>
      <c r="I257" s="38">
        <v>240</v>
      </c>
      <c r="J257" s="38">
        <v>132</v>
      </c>
      <c r="K257">
        <v>129</v>
      </c>
      <c r="L257">
        <v>130</v>
      </c>
      <c r="M257">
        <v>96</v>
      </c>
      <c r="N257">
        <v>181</v>
      </c>
      <c r="O257">
        <v>0</v>
      </c>
      <c r="P257">
        <v>0</v>
      </c>
      <c r="Q257">
        <v>0</v>
      </c>
      <c r="R257">
        <v>0</v>
      </c>
      <c r="S257">
        <v>0</v>
      </c>
      <c r="T257">
        <v>0</v>
      </c>
      <c r="U257">
        <v>0</v>
      </c>
      <c r="V257">
        <v>0</v>
      </c>
      <c r="W257">
        <v>0</v>
      </c>
      <c r="X257">
        <v>0</v>
      </c>
      <c r="Y257">
        <v>0</v>
      </c>
      <c r="Z257">
        <v>0</v>
      </c>
      <c r="AA257">
        <v>0</v>
      </c>
      <c r="AD257" t="s">
        <v>1237</v>
      </c>
      <c r="AE257" s="18">
        <v>2751</v>
      </c>
      <c r="AF257">
        <v>6496</v>
      </c>
      <c r="AG257">
        <v>2353</v>
      </c>
      <c r="AH257">
        <v>5603</v>
      </c>
    </row>
    <row r="258" spans="1:34" hidden="1">
      <c r="A258" s="38" t="s">
        <v>1241</v>
      </c>
      <c r="B258" s="38">
        <v>2526</v>
      </c>
      <c r="C258" s="38">
        <v>2812</v>
      </c>
      <c r="D258" s="38">
        <v>1885</v>
      </c>
      <c r="E258" s="38">
        <v>1859</v>
      </c>
      <c r="F258" s="38">
        <v>1363</v>
      </c>
      <c r="G258" s="38">
        <v>1537</v>
      </c>
      <c r="H258" s="38">
        <v>1028</v>
      </c>
      <c r="I258" s="38">
        <v>990</v>
      </c>
      <c r="J258" s="38">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8"/>
    </row>
    <row r="259" spans="1:34" hidden="1">
      <c r="A259" s="38" t="s">
        <v>1237</v>
      </c>
      <c r="B259" s="38">
        <v>6506</v>
      </c>
      <c r="C259" s="38">
        <v>1653</v>
      </c>
      <c r="D259" s="38">
        <v>1706</v>
      </c>
      <c r="E259" s="38">
        <v>3416</v>
      </c>
      <c r="F259" s="38">
        <v>2077</v>
      </c>
      <c r="G259" s="38">
        <v>1490</v>
      </c>
      <c r="H259" s="38">
        <v>1556</v>
      </c>
      <c r="I259" s="38">
        <v>1335</v>
      </c>
      <c r="J259" s="38">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1276</v>
      </c>
      <c r="AE259" s="18">
        <v>1005</v>
      </c>
      <c r="AF259">
        <v>2708</v>
      </c>
      <c r="AG259">
        <v>899</v>
      </c>
      <c r="AH259">
        <v>2439</v>
      </c>
    </row>
    <row r="260" spans="1:34" hidden="1">
      <c r="A260" s="38" t="s">
        <v>1773</v>
      </c>
      <c r="B260" s="38">
        <v>174</v>
      </c>
      <c r="C260" s="38">
        <v>135</v>
      </c>
      <c r="D260" s="38">
        <v>92</v>
      </c>
      <c r="E260" s="38">
        <v>87</v>
      </c>
      <c r="F260" s="38">
        <v>54</v>
      </c>
      <c r="G260" s="38">
        <v>58</v>
      </c>
      <c r="H260" s="38">
        <v>62</v>
      </c>
      <c r="I260" s="38">
        <v>54</v>
      </c>
      <c r="J260" s="38">
        <v>44</v>
      </c>
      <c r="K260">
        <v>42</v>
      </c>
      <c r="L260">
        <v>58</v>
      </c>
      <c r="M260">
        <v>59</v>
      </c>
      <c r="N260">
        <v>44</v>
      </c>
      <c r="O260">
        <v>0</v>
      </c>
      <c r="P260">
        <v>0</v>
      </c>
      <c r="Q260">
        <v>0</v>
      </c>
      <c r="R260">
        <v>0</v>
      </c>
      <c r="S260">
        <v>0</v>
      </c>
      <c r="T260">
        <v>0</v>
      </c>
      <c r="U260">
        <v>0</v>
      </c>
      <c r="V260">
        <v>0</v>
      </c>
      <c r="W260">
        <v>0</v>
      </c>
      <c r="X260">
        <v>0</v>
      </c>
      <c r="Y260">
        <v>0</v>
      </c>
      <c r="Z260">
        <v>0</v>
      </c>
      <c r="AA260">
        <v>0</v>
      </c>
      <c r="AD260" t="s">
        <v>1032</v>
      </c>
      <c r="AE260" s="18">
        <v>1039</v>
      </c>
      <c r="AF260">
        <v>4619</v>
      </c>
      <c r="AG260">
        <v>1048</v>
      </c>
      <c r="AH260">
        <v>4768</v>
      </c>
    </row>
    <row r="261" spans="1:34" hidden="1">
      <c r="A261" s="38" t="s">
        <v>1714</v>
      </c>
      <c r="B261" s="38">
        <v>469</v>
      </c>
      <c r="C261" s="38">
        <v>547</v>
      </c>
      <c r="D261" s="38">
        <v>493</v>
      </c>
      <c r="E261" s="38">
        <v>532</v>
      </c>
      <c r="F261" s="38">
        <v>375</v>
      </c>
      <c r="G261" s="38">
        <v>375</v>
      </c>
      <c r="H261" s="38">
        <v>334</v>
      </c>
      <c r="I261" s="38">
        <v>408</v>
      </c>
      <c r="J261" s="38">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1165</v>
      </c>
      <c r="AE261" s="18">
        <v>1195</v>
      </c>
      <c r="AF261">
        <v>4657</v>
      </c>
      <c r="AG261">
        <v>1234</v>
      </c>
      <c r="AH261">
        <v>5817</v>
      </c>
    </row>
    <row r="262" spans="1:34" hidden="1">
      <c r="A262" s="38" t="s">
        <v>1212</v>
      </c>
      <c r="B262" s="38">
        <v>1174</v>
      </c>
      <c r="C262" s="38">
        <v>1444</v>
      </c>
      <c r="D262" s="38">
        <v>894</v>
      </c>
      <c r="E262" s="38">
        <v>634</v>
      </c>
      <c r="F262" s="38">
        <v>688</v>
      </c>
      <c r="G262" s="38">
        <v>950</v>
      </c>
      <c r="H262" s="38">
        <v>795</v>
      </c>
      <c r="I262" s="38">
        <v>1036</v>
      </c>
      <c r="J262" s="38">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1187</v>
      </c>
      <c r="AE262" s="18">
        <v>2263</v>
      </c>
      <c r="AF262">
        <v>9919</v>
      </c>
      <c r="AG262">
        <v>1449</v>
      </c>
      <c r="AH262">
        <v>6933</v>
      </c>
    </row>
    <row r="263" spans="1:34" hidden="1">
      <c r="A263" s="38" t="s">
        <v>1295</v>
      </c>
      <c r="B263" s="38">
        <v>2377</v>
      </c>
      <c r="C263" s="38">
        <v>2724</v>
      </c>
      <c r="D263" s="38">
        <v>2647</v>
      </c>
      <c r="E263" s="38">
        <v>2129</v>
      </c>
      <c r="F263" s="38">
        <v>1557</v>
      </c>
      <c r="G263" s="38">
        <v>2007</v>
      </c>
      <c r="H263" s="38">
        <v>1624</v>
      </c>
      <c r="I263" s="38">
        <v>1818</v>
      </c>
      <c r="J263" s="38">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1154</v>
      </c>
      <c r="AE263" s="18">
        <v>2201</v>
      </c>
      <c r="AF263">
        <v>4203</v>
      </c>
      <c r="AG263">
        <v>2213</v>
      </c>
      <c r="AH263">
        <v>4449</v>
      </c>
    </row>
    <row r="264" spans="1:34" hidden="1">
      <c r="A264" s="38" t="s">
        <v>1542</v>
      </c>
      <c r="B264" s="38">
        <v>5506</v>
      </c>
      <c r="C264" s="38">
        <v>6106</v>
      </c>
      <c r="D264" s="38">
        <v>7999</v>
      </c>
      <c r="E264" s="38">
        <v>9107</v>
      </c>
      <c r="F264" s="38">
        <v>5073</v>
      </c>
      <c r="G264" s="38">
        <v>15811</v>
      </c>
      <c r="H264" s="38">
        <v>7910</v>
      </c>
      <c r="I264" s="38">
        <v>2182</v>
      </c>
      <c r="J264" s="38">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1158</v>
      </c>
      <c r="AE264" s="18">
        <v>1667</v>
      </c>
      <c r="AF264">
        <v>5879</v>
      </c>
      <c r="AG264">
        <v>1562</v>
      </c>
      <c r="AH264">
        <v>5830</v>
      </c>
    </row>
    <row r="265" spans="1:34" hidden="1">
      <c r="A265" s="38" t="s">
        <v>1774</v>
      </c>
      <c r="B265" s="38">
        <v>542</v>
      </c>
      <c r="C265" s="38">
        <v>447</v>
      </c>
      <c r="D265" s="38">
        <v>282</v>
      </c>
      <c r="E265" s="38">
        <v>395</v>
      </c>
      <c r="F265" s="38">
        <v>247</v>
      </c>
      <c r="G265" s="38">
        <v>312</v>
      </c>
      <c r="H265" s="38">
        <v>1053</v>
      </c>
      <c r="I265" s="38">
        <v>318</v>
      </c>
      <c r="J265" s="38">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982</v>
      </c>
      <c r="AE265" s="18">
        <v>4039</v>
      </c>
      <c r="AF265">
        <v>7601</v>
      </c>
      <c r="AG265">
        <v>3609</v>
      </c>
      <c r="AH265">
        <v>6505</v>
      </c>
    </row>
    <row r="266" spans="1:34" hidden="1">
      <c r="A266" s="38" t="s">
        <v>1309</v>
      </c>
      <c r="B266" s="38">
        <v>10487</v>
      </c>
      <c r="C266" s="38">
        <v>11096</v>
      </c>
      <c r="D266" s="38">
        <v>9969</v>
      </c>
      <c r="E266" s="38">
        <v>12032</v>
      </c>
      <c r="F266" s="38">
        <v>10029</v>
      </c>
      <c r="G266" s="38">
        <v>8746</v>
      </c>
      <c r="H266" s="38">
        <v>7125</v>
      </c>
      <c r="I266" s="38">
        <v>8281</v>
      </c>
      <c r="J266" s="38">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1285</v>
      </c>
      <c r="AE266" s="18">
        <v>1372</v>
      </c>
      <c r="AF266">
        <v>4022</v>
      </c>
      <c r="AG266">
        <v>1251</v>
      </c>
      <c r="AH266">
        <v>3319</v>
      </c>
    </row>
    <row r="267" spans="1:34" hidden="1">
      <c r="A267" s="38" t="s">
        <v>711</v>
      </c>
      <c r="B267" s="38">
        <v>386</v>
      </c>
      <c r="C267" s="38">
        <v>647</v>
      </c>
      <c r="D267" s="38">
        <v>473</v>
      </c>
      <c r="E267" s="38">
        <v>454</v>
      </c>
      <c r="F267" s="38">
        <v>433</v>
      </c>
      <c r="G267" s="38">
        <v>448</v>
      </c>
      <c r="H267" s="38">
        <v>460</v>
      </c>
      <c r="I267" s="38">
        <v>491</v>
      </c>
      <c r="J267" s="38">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1150</v>
      </c>
      <c r="AE267" s="18">
        <v>1220</v>
      </c>
      <c r="AF267">
        <v>3596</v>
      </c>
      <c r="AG267">
        <v>1315</v>
      </c>
      <c r="AH267">
        <v>3520</v>
      </c>
    </row>
    <row r="268" spans="1:34" hidden="1">
      <c r="A268" s="38" t="s">
        <v>1696</v>
      </c>
      <c r="B268" s="38">
        <v>445</v>
      </c>
      <c r="C268" s="38">
        <v>551</v>
      </c>
      <c r="D268" s="38">
        <v>534</v>
      </c>
      <c r="E268" s="38">
        <v>388</v>
      </c>
      <c r="F268" s="38">
        <v>262</v>
      </c>
      <c r="G268" s="38">
        <v>245</v>
      </c>
      <c r="H268" s="38">
        <v>228</v>
      </c>
      <c r="I268" s="38">
        <v>232</v>
      </c>
      <c r="J268" s="38">
        <v>134</v>
      </c>
      <c r="K268">
        <v>38</v>
      </c>
      <c r="L268">
        <v>0</v>
      </c>
      <c r="M268">
        <v>0</v>
      </c>
      <c r="N268">
        <v>0</v>
      </c>
      <c r="O268">
        <v>167</v>
      </c>
      <c r="P268">
        <v>239</v>
      </c>
      <c r="Q268">
        <v>240</v>
      </c>
      <c r="R268">
        <v>162</v>
      </c>
      <c r="S268">
        <v>123</v>
      </c>
      <c r="T268">
        <v>90</v>
      </c>
      <c r="U268">
        <v>96</v>
      </c>
      <c r="V268">
        <v>94</v>
      </c>
      <c r="W268">
        <v>50</v>
      </c>
      <c r="X268">
        <v>1</v>
      </c>
      <c r="Y268">
        <v>0</v>
      </c>
      <c r="Z268">
        <v>0</v>
      </c>
      <c r="AA268">
        <v>0</v>
      </c>
      <c r="AD268" t="s">
        <v>1706</v>
      </c>
      <c r="AE268" s="18">
        <v>3</v>
      </c>
      <c r="AF268">
        <v>17</v>
      </c>
      <c r="AH268">
        <v>0</v>
      </c>
    </row>
    <row r="269" spans="1:34" hidden="1">
      <c r="A269" s="38" t="s">
        <v>1416</v>
      </c>
      <c r="B269" s="38">
        <v>567</v>
      </c>
      <c r="C269" s="38">
        <v>717</v>
      </c>
      <c r="D269" s="38">
        <v>613</v>
      </c>
      <c r="E269" s="38">
        <v>721</v>
      </c>
      <c r="F269" s="38">
        <v>711</v>
      </c>
      <c r="G269" s="38">
        <v>650</v>
      </c>
      <c r="H269" s="38">
        <v>795</v>
      </c>
      <c r="I269" s="38">
        <v>643</v>
      </c>
      <c r="J269" s="38">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8"/>
      <c r="AH269">
        <v>0</v>
      </c>
    </row>
    <row r="270" spans="1:34" hidden="1">
      <c r="A270" s="38" t="s">
        <v>1525</v>
      </c>
      <c r="B270" s="38">
        <v>776</v>
      </c>
      <c r="C270" s="38">
        <v>961</v>
      </c>
      <c r="D270" s="38">
        <v>1120</v>
      </c>
      <c r="E270" s="38">
        <v>2090</v>
      </c>
      <c r="F270" s="38">
        <v>1559</v>
      </c>
      <c r="G270" s="38">
        <v>1571</v>
      </c>
      <c r="H270" s="38">
        <v>1068</v>
      </c>
      <c r="I270" s="38">
        <v>1080</v>
      </c>
      <c r="J270" s="38">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6" t="s">
        <v>1028</v>
      </c>
      <c r="AE270" s="18">
        <v>934</v>
      </c>
      <c r="AF270">
        <v>3630</v>
      </c>
      <c r="AG270">
        <v>1029</v>
      </c>
      <c r="AH270">
        <v>3531</v>
      </c>
    </row>
    <row r="271" spans="1:34" hidden="1">
      <c r="A271" s="38" t="s">
        <v>1443</v>
      </c>
      <c r="B271" s="38">
        <v>1071</v>
      </c>
      <c r="C271" s="38">
        <v>848</v>
      </c>
      <c r="D271" s="38">
        <v>759</v>
      </c>
      <c r="E271" s="38">
        <v>3829</v>
      </c>
      <c r="F271" s="38">
        <v>15</v>
      </c>
      <c r="G271" s="38">
        <v>466</v>
      </c>
      <c r="H271" s="38">
        <v>114</v>
      </c>
      <c r="I271" s="38">
        <v>1150</v>
      </c>
      <c r="J271" s="38">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1269</v>
      </c>
      <c r="AE271" s="18">
        <v>1303</v>
      </c>
      <c r="AF271">
        <v>3252</v>
      </c>
      <c r="AG271">
        <v>1070</v>
      </c>
      <c r="AH271">
        <v>2853</v>
      </c>
    </row>
    <row r="272" spans="1:34" hidden="1">
      <c r="A272" s="38" t="s">
        <v>1775</v>
      </c>
      <c r="B272" s="38">
        <v>0</v>
      </c>
      <c r="C272" s="38">
        <v>0</v>
      </c>
      <c r="D272" s="38">
        <v>0</v>
      </c>
      <c r="E272" s="38">
        <v>7</v>
      </c>
      <c r="F272" s="38">
        <v>127</v>
      </c>
      <c r="G272" s="38">
        <v>250</v>
      </c>
      <c r="H272" s="38">
        <v>317</v>
      </c>
      <c r="I272" s="38">
        <v>232</v>
      </c>
      <c r="J272" s="38">
        <v>152</v>
      </c>
      <c r="K272">
        <v>247</v>
      </c>
      <c r="L272">
        <v>175</v>
      </c>
      <c r="M272">
        <v>191</v>
      </c>
      <c r="N272">
        <v>365</v>
      </c>
      <c r="O272">
        <v>0</v>
      </c>
      <c r="P272">
        <v>0</v>
      </c>
      <c r="Q272">
        <v>0</v>
      </c>
      <c r="R272">
        <v>0</v>
      </c>
      <c r="S272">
        <v>22</v>
      </c>
      <c r="T272">
        <v>60</v>
      </c>
      <c r="U272">
        <v>93</v>
      </c>
      <c r="V272">
        <v>62</v>
      </c>
      <c r="W272">
        <v>43</v>
      </c>
      <c r="X272">
        <v>86</v>
      </c>
      <c r="Y272">
        <v>81</v>
      </c>
      <c r="Z272">
        <v>36</v>
      </c>
      <c r="AA272">
        <v>127</v>
      </c>
      <c r="AE272" s="18"/>
      <c r="AH272">
        <v>0</v>
      </c>
    </row>
    <row r="273" spans="1:34" hidden="1">
      <c r="A273" s="38" t="s">
        <v>1776</v>
      </c>
      <c r="B273" s="38">
        <v>0</v>
      </c>
      <c r="C273" s="38">
        <v>0</v>
      </c>
      <c r="D273" s="38">
        <v>0</v>
      </c>
      <c r="E273" s="38">
        <v>7</v>
      </c>
      <c r="F273" s="38">
        <v>78</v>
      </c>
      <c r="G273" s="38">
        <v>758</v>
      </c>
      <c r="H273" s="38">
        <v>617</v>
      </c>
      <c r="I273" s="38">
        <v>591</v>
      </c>
      <c r="J273" s="38">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999</v>
      </c>
      <c r="AE273" s="18">
        <v>706</v>
      </c>
      <c r="AF273">
        <v>2196</v>
      </c>
      <c r="AG273">
        <v>732</v>
      </c>
      <c r="AH273">
        <v>2397</v>
      </c>
    </row>
    <row r="274" spans="1:34" hidden="1">
      <c r="A274" s="38" t="s">
        <v>1532</v>
      </c>
      <c r="B274" s="38">
        <v>1376</v>
      </c>
      <c r="C274" s="38">
        <v>1490</v>
      </c>
      <c r="D274" s="38">
        <v>1633</v>
      </c>
      <c r="E274" s="38">
        <v>2115</v>
      </c>
      <c r="F274" s="38">
        <v>2313</v>
      </c>
      <c r="G274" s="38">
        <v>2024</v>
      </c>
      <c r="H274" s="38">
        <v>1534</v>
      </c>
      <c r="I274" s="38">
        <v>1289</v>
      </c>
      <c r="J274" s="38">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984</v>
      </c>
      <c r="AE274" s="18">
        <v>995</v>
      </c>
      <c r="AF274">
        <v>2538</v>
      </c>
      <c r="AG274">
        <v>871</v>
      </c>
      <c r="AH274">
        <v>2270</v>
      </c>
    </row>
    <row r="275" spans="1:34" hidden="1">
      <c r="A275" s="38" t="s">
        <v>1340</v>
      </c>
      <c r="B275" s="38">
        <v>1494</v>
      </c>
      <c r="C275" s="38">
        <v>1532</v>
      </c>
      <c r="D275" s="38">
        <v>901</v>
      </c>
      <c r="E275" s="38">
        <v>903</v>
      </c>
      <c r="F275" s="38">
        <v>880</v>
      </c>
      <c r="G275" s="38">
        <v>537</v>
      </c>
      <c r="H275" s="38">
        <v>563</v>
      </c>
      <c r="I275" s="38">
        <v>485</v>
      </c>
      <c r="J275" s="38">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1771</v>
      </c>
      <c r="AE275" s="18">
        <v>942</v>
      </c>
      <c r="AF275">
        <v>2473</v>
      </c>
      <c r="AG275">
        <v>937</v>
      </c>
      <c r="AH275">
        <v>2832</v>
      </c>
    </row>
    <row r="276" spans="1:34" hidden="1">
      <c r="A276" s="38" t="s">
        <v>1333</v>
      </c>
      <c r="B276" s="38">
        <v>1023</v>
      </c>
      <c r="C276" s="38">
        <v>1283</v>
      </c>
      <c r="D276" s="38">
        <v>920</v>
      </c>
      <c r="E276" s="38">
        <v>1123</v>
      </c>
      <c r="F276" s="38">
        <v>615</v>
      </c>
      <c r="G276" s="38">
        <v>941</v>
      </c>
      <c r="H276" s="38">
        <v>626</v>
      </c>
      <c r="I276" s="38">
        <v>624</v>
      </c>
      <c r="J276" s="38">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1071</v>
      </c>
      <c r="AE276" s="18">
        <v>697</v>
      </c>
      <c r="AF276">
        <v>1674</v>
      </c>
      <c r="AG276">
        <v>655</v>
      </c>
      <c r="AH276">
        <v>1477</v>
      </c>
    </row>
    <row r="277" spans="1:34" hidden="1">
      <c r="A277" s="38" t="s">
        <v>1777</v>
      </c>
      <c r="B277" s="38">
        <v>377</v>
      </c>
      <c r="C277" s="38">
        <v>285</v>
      </c>
      <c r="D277" s="38">
        <v>264</v>
      </c>
      <c r="E277" s="38">
        <v>244</v>
      </c>
      <c r="F277" s="38">
        <v>128</v>
      </c>
      <c r="G277" s="38">
        <v>161</v>
      </c>
      <c r="H277" s="38">
        <v>152</v>
      </c>
      <c r="I277" s="38">
        <v>126</v>
      </c>
      <c r="J277" s="38">
        <v>96</v>
      </c>
      <c r="K277">
        <v>64</v>
      </c>
      <c r="L277">
        <v>65</v>
      </c>
      <c r="M277">
        <v>50</v>
      </c>
      <c r="N277">
        <v>0</v>
      </c>
      <c r="O277">
        <v>125</v>
      </c>
      <c r="P277">
        <v>93</v>
      </c>
      <c r="Q277">
        <v>57</v>
      </c>
      <c r="R277">
        <v>87</v>
      </c>
      <c r="S277">
        <v>53</v>
      </c>
      <c r="T277">
        <v>79</v>
      </c>
      <c r="U277">
        <v>81</v>
      </c>
      <c r="V277">
        <v>52</v>
      </c>
      <c r="W277">
        <v>43</v>
      </c>
      <c r="X277">
        <v>47</v>
      </c>
      <c r="Y277">
        <v>42</v>
      </c>
      <c r="Z277">
        <v>35</v>
      </c>
      <c r="AA277">
        <v>1</v>
      </c>
      <c r="AE277" s="18"/>
      <c r="AH277">
        <v>0</v>
      </c>
    </row>
    <row r="278" spans="1:34" hidden="1">
      <c r="A278" s="38" t="s">
        <v>1431</v>
      </c>
      <c r="B278" s="38">
        <v>3171</v>
      </c>
      <c r="C278" s="38">
        <v>4127</v>
      </c>
      <c r="D278" s="38">
        <v>3524</v>
      </c>
      <c r="E278" s="38">
        <v>3184</v>
      </c>
      <c r="F278" s="38">
        <v>2090</v>
      </c>
      <c r="G278" s="38">
        <v>2207</v>
      </c>
      <c r="H278" s="38">
        <v>2204</v>
      </c>
      <c r="I278" s="38">
        <v>1840</v>
      </c>
      <c r="J278" s="38">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976</v>
      </c>
      <c r="AE278" s="18">
        <v>1841</v>
      </c>
      <c r="AF278">
        <v>5613</v>
      </c>
      <c r="AG278">
        <v>1598</v>
      </c>
      <c r="AH278">
        <v>4088</v>
      </c>
    </row>
    <row r="279" spans="1:34" hidden="1">
      <c r="A279" s="38" t="s">
        <v>1557</v>
      </c>
      <c r="B279" s="38">
        <v>2072</v>
      </c>
      <c r="C279" s="38">
        <v>1791</v>
      </c>
      <c r="D279" s="38">
        <v>1421</v>
      </c>
      <c r="E279" s="38">
        <v>1912</v>
      </c>
      <c r="F279" s="38">
        <v>1584</v>
      </c>
      <c r="G279" s="38">
        <v>1583</v>
      </c>
      <c r="H279" s="38">
        <v>1623</v>
      </c>
      <c r="I279" s="38">
        <v>1306</v>
      </c>
      <c r="J279" s="38">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8"/>
      <c r="AH279">
        <v>0</v>
      </c>
    </row>
    <row r="280" spans="1:34" hidden="1">
      <c r="A280" s="38" t="s">
        <v>1778</v>
      </c>
      <c r="B280" s="38">
        <v>187</v>
      </c>
      <c r="C280" s="38">
        <v>195</v>
      </c>
      <c r="D280" s="38">
        <v>162</v>
      </c>
      <c r="E280" s="38">
        <v>91</v>
      </c>
      <c r="F280" s="38">
        <v>296</v>
      </c>
      <c r="G280" s="38">
        <v>376</v>
      </c>
      <c r="H280" s="38">
        <v>287</v>
      </c>
      <c r="I280" s="38">
        <v>274</v>
      </c>
      <c r="J280" s="38">
        <v>175</v>
      </c>
      <c r="K280">
        <v>139</v>
      </c>
      <c r="L280">
        <v>142</v>
      </c>
      <c r="M280">
        <v>137</v>
      </c>
      <c r="N280">
        <v>269</v>
      </c>
      <c r="O280">
        <v>0</v>
      </c>
      <c r="P280">
        <v>0</v>
      </c>
      <c r="Q280">
        <v>0</v>
      </c>
      <c r="R280">
        <v>0</v>
      </c>
      <c r="S280">
        <v>0</v>
      </c>
      <c r="T280">
        <v>0</v>
      </c>
      <c r="U280">
        <v>0</v>
      </c>
      <c r="V280">
        <v>0</v>
      </c>
      <c r="W280">
        <v>0</v>
      </c>
      <c r="X280">
        <v>0</v>
      </c>
      <c r="Y280">
        <v>0</v>
      </c>
      <c r="Z280">
        <v>0</v>
      </c>
      <c r="AA280">
        <v>0</v>
      </c>
      <c r="AD280" t="s">
        <v>1103</v>
      </c>
      <c r="AE280" s="18">
        <v>337</v>
      </c>
      <c r="AF280">
        <v>1555</v>
      </c>
      <c r="AG280">
        <v>605</v>
      </c>
      <c r="AH280">
        <v>2345</v>
      </c>
    </row>
    <row r="281" spans="1:34" hidden="1">
      <c r="A281" s="38" t="s">
        <v>139</v>
      </c>
      <c r="B281" s="38">
        <v>3502</v>
      </c>
      <c r="C281" s="38">
        <v>2908</v>
      </c>
      <c r="D281" s="38">
        <v>1916</v>
      </c>
      <c r="E281" s="38">
        <v>1345</v>
      </c>
      <c r="F281" s="38">
        <v>1184</v>
      </c>
      <c r="G281" s="38">
        <v>1013</v>
      </c>
      <c r="H281" s="38">
        <v>922</v>
      </c>
      <c r="I281" s="38">
        <v>1373</v>
      </c>
      <c r="J281" s="38">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1099</v>
      </c>
      <c r="AE281" s="18">
        <v>456</v>
      </c>
      <c r="AF281">
        <v>1042</v>
      </c>
      <c r="AG281">
        <v>409</v>
      </c>
      <c r="AH281">
        <v>1124</v>
      </c>
    </row>
    <row r="282" spans="1:34" hidden="1">
      <c r="A282" s="38" t="s">
        <v>529</v>
      </c>
      <c r="B282" s="38">
        <v>955</v>
      </c>
      <c r="C282" s="38">
        <v>925</v>
      </c>
      <c r="D282" s="38">
        <v>790</v>
      </c>
      <c r="E282" s="38">
        <v>789</v>
      </c>
      <c r="F282" s="38">
        <v>679</v>
      </c>
      <c r="G282" s="38">
        <v>900</v>
      </c>
      <c r="H282" s="38">
        <v>740</v>
      </c>
      <c r="I282" s="38">
        <v>672</v>
      </c>
      <c r="J282" s="38">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1127</v>
      </c>
      <c r="AE282" s="18">
        <v>1330</v>
      </c>
      <c r="AF282">
        <v>3293</v>
      </c>
      <c r="AG282">
        <v>1483</v>
      </c>
      <c r="AH282">
        <v>4447</v>
      </c>
    </row>
    <row r="283" spans="1:34" hidden="1">
      <c r="A283" s="38" t="s">
        <v>433</v>
      </c>
      <c r="B283" s="38">
        <v>926</v>
      </c>
      <c r="C283" s="38">
        <v>1037</v>
      </c>
      <c r="D283" s="38">
        <v>1105</v>
      </c>
      <c r="E283" s="38">
        <v>1299</v>
      </c>
      <c r="F283" s="38">
        <v>1069</v>
      </c>
      <c r="G283" s="38">
        <v>1267</v>
      </c>
      <c r="H283" s="38">
        <v>832</v>
      </c>
      <c r="I283" s="38">
        <v>1225</v>
      </c>
      <c r="J283" s="38">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1111</v>
      </c>
      <c r="AE283" s="18">
        <v>736</v>
      </c>
      <c r="AF283">
        <v>3441</v>
      </c>
      <c r="AG283">
        <v>727</v>
      </c>
      <c r="AH283">
        <v>3537</v>
      </c>
    </row>
    <row r="284" spans="1:34" hidden="1">
      <c r="A284" s="38" t="s">
        <v>174</v>
      </c>
      <c r="B284" s="38">
        <v>3641</v>
      </c>
      <c r="C284" s="38">
        <v>2735</v>
      </c>
      <c r="D284" s="38">
        <v>3567</v>
      </c>
      <c r="E284" s="38">
        <v>2779</v>
      </c>
      <c r="F284" s="38">
        <v>2881</v>
      </c>
      <c r="G284" s="38">
        <v>2559</v>
      </c>
      <c r="H284" s="38">
        <v>2501</v>
      </c>
      <c r="I284" s="38">
        <v>2075</v>
      </c>
      <c r="J284" s="38">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8"/>
      <c r="AH284">
        <v>0</v>
      </c>
    </row>
    <row r="285" spans="1:34" hidden="1">
      <c r="A285" s="38" t="s">
        <v>889</v>
      </c>
      <c r="B285" s="38">
        <v>1513</v>
      </c>
      <c r="C285" s="38">
        <v>1383</v>
      </c>
      <c r="D285" s="38">
        <v>1814</v>
      </c>
      <c r="E285" s="38">
        <v>2238</v>
      </c>
      <c r="F285" s="38">
        <v>1732</v>
      </c>
      <c r="G285" s="38">
        <v>1325</v>
      </c>
      <c r="H285" s="38">
        <v>1186</v>
      </c>
      <c r="I285" s="38">
        <v>5017</v>
      </c>
      <c r="J285" s="38">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6" t="s">
        <v>1160</v>
      </c>
      <c r="AE285" s="18">
        <v>1391</v>
      </c>
      <c r="AF285">
        <v>4065</v>
      </c>
      <c r="AG285">
        <v>1341</v>
      </c>
      <c r="AH285">
        <v>3689</v>
      </c>
    </row>
    <row r="286" spans="1:34" hidden="1">
      <c r="A286" s="38" t="s">
        <v>767</v>
      </c>
      <c r="B286" s="38">
        <v>3781</v>
      </c>
      <c r="C286" s="38">
        <v>2038</v>
      </c>
      <c r="D286" s="38">
        <v>5905</v>
      </c>
      <c r="E286" s="38">
        <v>1004</v>
      </c>
      <c r="F286" s="38">
        <v>817</v>
      </c>
      <c r="G286" s="38">
        <v>984</v>
      </c>
      <c r="H286" s="38">
        <v>795</v>
      </c>
      <c r="I286" s="38">
        <v>1122</v>
      </c>
      <c r="J286" s="38">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1016</v>
      </c>
      <c r="AE286" s="18">
        <v>1388</v>
      </c>
      <c r="AF286">
        <v>3467</v>
      </c>
      <c r="AG286">
        <v>1360</v>
      </c>
      <c r="AH286">
        <v>3409</v>
      </c>
    </row>
    <row r="287" spans="1:34" hidden="1">
      <c r="A287" s="38" t="s">
        <v>449</v>
      </c>
      <c r="B287" s="38">
        <v>2591</v>
      </c>
      <c r="C287" s="38">
        <v>5074</v>
      </c>
      <c r="D287" s="38">
        <v>3286</v>
      </c>
      <c r="E287" s="38">
        <v>4622</v>
      </c>
      <c r="F287" s="38">
        <v>4504</v>
      </c>
      <c r="G287" s="38">
        <v>2900</v>
      </c>
      <c r="H287" s="38">
        <v>1937</v>
      </c>
      <c r="I287" s="38">
        <v>2049</v>
      </c>
      <c r="J287" s="38">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6" t="s">
        <v>950</v>
      </c>
      <c r="AE287" s="18">
        <v>2475</v>
      </c>
      <c r="AF287">
        <v>7874</v>
      </c>
      <c r="AG287">
        <v>3017</v>
      </c>
      <c r="AH287">
        <v>9520</v>
      </c>
    </row>
    <row r="288" spans="1:34" hidden="1">
      <c r="A288" s="38" t="s">
        <v>672</v>
      </c>
      <c r="B288" s="38">
        <v>0</v>
      </c>
      <c r="C288" s="38">
        <v>0</v>
      </c>
      <c r="D288" s="38">
        <v>0</v>
      </c>
      <c r="E288" s="38">
        <v>0</v>
      </c>
      <c r="F288" s="38">
        <v>0</v>
      </c>
      <c r="G288" s="38">
        <v>0</v>
      </c>
      <c r="H288" s="38">
        <v>44</v>
      </c>
      <c r="I288" s="38">
        <v>357</v>
      </c>
      <c r="J288" s="38">
        <v>1127</v>
      </c>
      <c r="K288">
        <v>1177</v>
      </c>
      <c r="L288">
        <v>707</v>
      </c>
      <c r="M288">
        <v>531</v>
      </c>
      <c r="N288">
        <v>704</v>
      </c>
      <c r="O288">
        <v>0</v>
      </c>
      <c r="P288">
        <v>0</v>
      </c>
      <c r="Q288">
        <v>0</v>
      </c>
      <c r="R288">
        <v>0</v>
      </c>
      <c r="S288">
        <v>0</v>
      </c>
      <c r="T288">
        <v>0</v>
      </c>
      <c r="U288">
        <v>1</v>
      </c>
      <c r="V288">
        <v>40</v>
      </c>
      <c r="W288">
        <v>101</v>
      </c>
      <c r="X288">
        <v>130</v>
      </c>
      <c r="Y288">
        <v>104</v>
      </c>
      <c r="Z288">
        <v>63</v>
      </c>
      <c r="AA288">
        <v>101</v>
      </c>
      <c r="AE288" s="18"/>
      <c r="AH288">
        <v>0</v>
      </c>
    </row>
    <row r="289" spans="1:34" hidden="1">
      <c r="A289" s="38" t="s">
        <v>1378</v>
      </c>
      <c r="B289" s="38">
        <v>0</v>
      </c>
      <c r="C289" s="38">
        <v>0</v>
      </c>
      <c r="D289" s="38">
        <v>0</v>
      </c>
      <c r="E289" s="38">
        <v>0</v>
      </c>
      <c r="F289" s="38">
        <v>0</v>
      </c>
      <c r="G289" s="38">
        <v>0</v>
      </c>
      <c r="H289" s="38">
        <v>0</v>
      </c>
      <c r="I289" s="38">
        <v>0</v>
      </c>
      <c r="J289" s="38">
        <v>2</v>
      </c>
      <c r="K289">
        <v>203</v>
      </c>
      <c r="L289">
        <v>248</v>
      </c>
      <c r="M289">
        <v>614</v>
      </c>
      <c r="N289">
        <v>482</v>
      </c>
      <c r="O289">
        <v>0</v>
      </c>
      <c r="P289">
        <v>0</v>
      </c>
      <c r="Q289">
        <v>0</v>
      </c>
      <c r="R289">
        <v>0</v>
      </c>
      <c r="S289">
        <v>0</v>
      </c>
      <c r="T289">
        <v>0</v>
      </c>
      <c r="U289">
        <v>0</v>
      </c>
      <c r="V289">
        <v>0</v>
      </c>
      <c r="W289">
        <v>0</v>
      </c>
      <c r="X289">
        <v>89</v>
      </c>
      <c r="Y289">
        <v>52</v>
      </c>
      <c r="Z289">
        <v>106</v>
      </c>
      <c r="AA289">
        <v>93</v>
      </c>
      <c r="AD289" t="s">
        <v>1173</v>
      </c>
      <c r="AE289" s="18">
        <v>2459</v>
      </c>
      <c r="AF289">
        <v>6009</v>
      </c>
      <c r="AG289">
        <v>935</v>
      </c>
      <c r="AH289">
        <v>3880</v>
      </c>
    </row>
    <row r="290" spans="1:34" hidden="1">
      <c r="A290" s="38" t="s">
        <v>1498</v>
      </c>
      <c r="B290" s="38">
        <v>1239</v>
      </c>
      <c r="C290" s="38">
        <v>1186</v>
      </c>
      <c r="D290" s="38">
        <v>1067</v>
      </c>
      <c r="E290" s="38">
        <v>1047</v>
      </c>
      <c r="F290" s="38">
        <v>773</v>
      </c>
      <c r="G290" s="38">
        <v>930</v>
      </c>
      <c r="H290" s="38">
        <v>776</v>
      </c>
      <c r="I290" s="38">
        <v>897</v>
      </c>
      <c r="J290" s="38">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1117</v>
      </c>
      <c r="AE290" s="18">
        <v>1983</v>
      </c>
      <c r="AF290">
        <v>4570</v>
      </c>
      <c r="AG290">
        <v>2077</v>
      </c>
      <c r="AH290">
        <v>5047</v>
      </c>
    </row>
    <row r="291" spans="1:34" hidden="1">
      <c r="A291" s="38" t="s">
        <v>1455</v>
      </c>
      <c r="B291" s="38">
        <v>797</v>
      </c>
      <c r="C291" s="38">
        <v>765</v>
      </c>
      <c r="D291" s="38">
        <v>729</v>
      </c>
      <c r="E291" s="38">
        <v>1009</v>
      </c>
      <c r="F291" s="38">
        <v>1347</v>
      </c>
      <c r="G291" s="38">
        <v>818</v>
      </c>
      <c r="H291" s="38">
        <v>567</v>
      </c>
      <c r="I291" s="38">
        <v>633</v>
      </c>
      <c r="J291" s="38">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1018</v>
      </c>
      <c r="AE291" s="18">
        <v>957</v>
      </c>
      <c r="AF291">
        <v>2138</v>
      </c>
      <c r="AG291">
        <v>828</v>
      </c>
      <c r="AH291">
        <v>1666</v>
      </c>
    </row>
    <row r="292" spans="1:34" hidden="1">
      <c r="A292" s="38" t="s">
        <v>1563</v>
      </c>
      <c r="B292" s="38">
        <v>0</v>
      </c>
      <c r="C292" s="38">
        <v>296</v>
      </c>
      <c r="D292" s="38">
        <v>624</v>
      </c>
      <c r="E292" s="38">
        <v>1056</v>
      </c>
      <c r="F292" s="38">
        <v>1062</v>
      </c>
      <c r="G292" s="38">
        <v>1368</v>
      </c>
      <c r="H292" s="38">
        <v>1293</v>
      </c>
      <c r="I292" s="38">
        <v>2189</v>
      </c>
      <c r="J292" s="38">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8"/>
      <c r="AH292">
        <v>0</v>
      </c>
    </row>
    <row r="293" spans="1:34" hidden="1">
      <c r="A293" s="38" t="s">
        <v>1518</v>
      </c>
      <c r="B293" s="38">
        <v>636</v>
      </c>
      <c r="C293" s="38">
        <v>662</v>
      </c>
      <c r="D293" s="38">
        <v>750</v>
      </c>
      <c r="E293" s="38">
        <v>974</v>
      </c>
      <c r="F293" s="38">
        <v>821</v>
      </c>
      <c r="G293" s="38">
        <v>70</v>
      </c>
      <c r="H293" s="38">
        <v>0</v>
      </c>
      <c r="I293" s="38">
        <v>755</v>
      </c>
      <c r="J293" s="38">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8"/>
      <c r="AH293">
        <v>0</v>
      </c>
    </row>
    <row r="294" spans="1:34" hidden="1">
      <c r="A294" s="38" t="s">
        <v>1433</v>
      </c>
      <c r="B294" s="38">
        <v>0</v>
      </c>
      <c r="C294" s="38">
        <v>905</v>
      </c>
      <c r="D294" s="38">
        <v>885</v>
      </c>
      <c r="E294" s="38">
        <v>1682</v>
      </c>
      <c r="F294" s="38">
        <v>1578</v>
      </c>
      <c r="G294" s="38">
        <v>1430</v>
      </c>
      <c r="H294" s="38">
        <v>1500</v>
      </c>
      <c r="I294" s="38">
        <v>1252</v>
      </c>
      <c r="J294" s="38">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1062</v>
      </c>
      <c r="AE294" s="18">
        <v>671</v>
      </c>
      <c r="AF294">
        <v>1371</v>
      </c>
      <c r="AG294">
        <v>636</v>
      </c>
      <c r="AH294">
        <v>1517</v>
      </c>
    </row>
    <row r="295" spans="1:34" hidden="1">
      <c r="A295" s="38" t="s">
        <v>1561</v>
      </c>
      <c r="B295" s="38">
        <v>606</v>
      </c>
      <c r="C295" s="38">
        <v>1263</v>
      </c>
      <c r="D295" s="38">
        <v>721</v>
      </c>
      <c r="E295" s="38">
        <v>712</v>
      </c>
      <c r="F295" s="38">
        <v>903</v>
      </c>
      <c r="G295" s="38">
        <v>1130</v>
      </c>
      <c r="H295" s="38">
        <v>605</v>
      </c>
      <c r="I295" s="38">
        <v>2738</v>
      </c>
      <c r="J295" s="38">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8"/>
      <c r="AH295">
        <v>0</v>
      </c>
    </row>
    <row r="296" spans="1:34" hidden="1">
      <c r="A296" s="38" t="s">
        <v>1346</v>
      </c>
      <c r="B296" s="38">
        <v>0</v>
      </c>
      <c r="C296" s="38">
        <v>181</v>
      </c>
      <c r="D296" s="38">
        <v>325</v>
      </c>
      <c r="E296" s="38">
        <v>325</v>
      </c>
      <c r="F296" s="38">
        <v>316</v>
      </c>
      <c r="G296" s="38">
        <v>407</v>
      </c>
      <c r="H296" s="38">
        <v>711</v>
      </c>
      <c r="I296" s="38">
        <v>844</v>
      </c>
      <c r="J296" s="38">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1197</v>
      </c>
      <c r="AE296" s="18">
        <v>1810</v>
      </c>
      <c r="AF296">
        <v>6177</v>
      </c>
      <c r="AG296">
        <v>1031</v>
      </c>
      <c r="AH296">
        <v>5005</v>
      </c>
    </row>
    <row r="297" spans="1:34" hidden="1">
      <c r="A297" s="38" t="s">
        <v>1490</v>
      </c>
      <c r="B297" s="38">
        <v>987</v>
      </c>
      <c r="C297" s="38">
        <v>1274</v>
      </c>
      <c r="D297" s="38">
        <v>947</v>
      </c>
      <c r="E297" s="38">
        <v>936</v>
      </c>
      <c r="F297" s="38">
        <v>1075</v>
      </c>
      <c r="G297" s="38">
        <v>1129</v>
      </c>
      <c r="H297" s="38">
        <v>872</v>
      </c>
      <c r="I297" s="38">
        <v>773</v>
      </c>
      <c r="J297" s="38">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1705</v>
      </c>
      <c r="AE297" s="18">
        <v>130</v>
      </c>
      <c r="AF297">
        <v>303</v>
      </c>
      <c r="AG297">
        <v>136</v>
      </c>
      <c r="AH297">
        <v>282</v>
      </c>
    </row>
    <row r="298" spans="1:34" hidden="1">
      <c r="A298" s="38" t="s">
        <v>1504</v>
      </c>
      <c r="B298" s="38">
        <v>2112</v>
      </c>
      <c r="C298" s="38">
        <v>2248</v>
      </c>
      <c r="D298" s="38">
        <v>1592</v>
      </c>
      <c r="E298" s="38">
        <v>1693</v>
      </c>
      <c r="F298" s="38">
        <v>1282</v>
      </c>
      <c r="G298" s="38">
        <v>1242</v>
      </c>
      <c r="H298" s="38">
        <v>1323</v>
      </c>
      <c r="I298" s="38">
        <v>1508</v>
      </c>
      <c r="J298" s="38">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1241</v>
      </c>
      <c r="AE298" s="18">
        <v>1461</v>
      </c>
      <c r="AF298">
        <v>4166</v>
      </c>
      <c r="AG298">
        <v>1563</v>
      </c>
      <c r="AH298">
        <v>4498</v>
      </c>
    </row>
    <row r="299" spans="1:34" hidden="1">
      <c r="A299" s="38" t="s">
        <v>1374</v>
      </c>
      <c r="B299" s="38">
        <v>182</v>
      </c>
      <c r="C299" s="38">
        <v>217</v>
      </c>
      <c r="D299" s="38">
        <v>215</v>
      </c>
      <c r="E299" s="38">
        <v>257</v>
      </c>
      <c r="F299" s="38">
        <v>519</v>
      </c>
      <c r="G299" s="38">
        <v>624</v>
      </c>
      <c r="H299" s="38">
        <v>229</v>
      </c>
      <c r="I299" s="38">
        <v>642</v>
      </c>
      <c r="J299" s="38">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8"/>
      <c r="AH299">
        <v>0</v>
      </c>
    </row>
    <row r="300" spans="1:34" hidden="1">
      <c r="A300" s="38" t="s">
        <v>972</v>
      </c>
      <c r="B300" s="38">
        <v>0</v>
      </c>
      <c r="C300" s="38">
        <v>0</v>
      </c>
      <c r="D300" s="38">
        <v>0</v>
      </c>
      <c r="E300" s="38">
        <v>0</v>
      </c>
      <c r="F300" s="38">
        <v>0</v>
      </c>
      <c r="G300" s="38">
        <v>0</v>
      </c>
      <c r="H300" s="38">
        <v>0</v>
      </c>
      <c r="I300" s="38">
        <v>0</v>
      </c>
      <c r="J300" s="38">
        <v>41</v>
      </c>
      <c r="K300">
        <v>448</v>
      </c>
      <c r="L300">
        <v>475</v>
      </c>
      <c r="M300">
        <v>503</v>
      </c>
      <c r="N300">
        <v>596</v>
      </c>
      <c r="O300">
        <v>0</v>
      </c>
      <c r="P300">
        <v>0</v>
      </c>
      <c r="Q300">
        <v>0</v>
      </c>
      <c r="R300">
        <v>0</v>
      </c>
      <c r="S300">
        <v>0</v>
      </c>
      <c r="T300">
        <v>0</v>
      </c>
      <c r="U300">
        <v>0</v>
      </c>
      <c r="V300">
        <v>0</v>
      </c>
      <c r="W300">
        <v>12</v>
      </c>
      <c r="X300">
        <v>152</v>
      </c>
      <c r="Y300">
        <v>148</v>
      </c>
      <c r="Z300">
        <v>180</v>
      </c>
      <c r="AA300">
        <v>205</v>
      </c>
      <c r="AD300" t="s">
        <v>980</v>
      </c>
      <c r="AE300" s="18">
        <v>767</v>
      </c>
      <c r="AF300">
        <v>1139</v>
      </c>
      <c r="AG300">
        <v>636</v>
      </c>
      <c r="AH300">
        <v>987</v>
      </c>
    </row>
    <row r="301" spans="1:34" hidden="1">
      <c r="A301" s="38" t="s">
        <v>1175</v>
      </c>
      <c r="B301" s="38">
        <v>0</v>
      </c>
      <c r="C301" s="38">
        <v>0</v>
      </c>
      <c r="D301" s="38">
        <v>0</v>
      </c>
      <c r="E301" s="38">
        <v>0</v>
      </c>
      <c r="F301" s="38">
        <v>0</v>
      </c>
      <c r="G301" s="38">
        <v>0</v>
      </c>
      <c r="H301" s="38">
        <v>0</v>
      </c>
      <c r="I301" s="38">
        <v>0</v>
      </c>
      <c r="J301" s="38">
        <v>0</v>
      </c>
      <c r="K301">
        <v>136</v>
      </c>
      <c r="L301">
        <v>240</v>
      </c>
      <c r="M301">
        <v>635</v>
      </c>
      <c r="N301">
        <v>979</v>
      </c>
      <c r="O301">
        <v>0</v>
      </c>
      <c r="P301">
        <v>0</v>
      </c>
      <c r="Q301">
        <v>0</v>
      </c>
      <c r="R301">
        <v>0</v>
      </c>
      <c r="S301">
        <v>0</v>
      </c>
      <c r="T301">
        <v>0</v>
      </c>
      <c r="U301">
        <v>0</v>
      </c>
      <c r="V301">
        <v>0</v>
      </c>
      <c r="W301">
        <v>0</v>
      </c>
      <c r="X301">
        <v>39</v>
      </c>
      <c r="Y301">
        <v>90</v>
      </c>
      <c r="Z301">
        <v>230</v>
      </c>
      <c r="AA301">
        <v>343</v>
      </c>
      <c r="AD301" t="s">
        <v>1020</v>
      </c>
      <c r="AE301" s="18">
        <v>1069</v>
      </c>
      <c r="AF301">
        <v>2732</v>
      </c>
      <c r="AG301">
        <v>1032</v>
      </c>
      <c r="AH301">
        <v>2212</v>
      </c>
    </row>
    <row r="302" spans="1:34" hidden="1">
      <c r="A302" s="38" t="s">
        <v>1305</v>
      </c>
      <c r="B302" s="38">
        <v>2315</v>
      </c>
      <c r="C302" s="38">
        <v>2405</v>
      </c>
      <c r="D302" s="38">
        <v>2006</v>
      </c>
      <c r="E302" s="38">
        <v>1413</v>
      </c>
      <c r="F302" s="38">
        <v>1434</v>
      </c>
      <c r="G302" s="38">
        <v>1782</v>
      </c>
      <c r="H302" s="38">
        <v>1669</v>
      </c>
      <c r="I302" s="38">
        <v>2225</v>
      </c>
      <c r="J302" s="38">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1279</v>
      </c>
      <c r="AE302" s="18">
        <v>1050</v>
      </c>
      <c r="AF302">
        <v>3373</v>
      </c>
      <c r="AG302">
        <v>894</v>
      </c>
      <c r="AH302">
        <v>2989</v>
      </c>
    </row>
    <row r="303" spans="1:34" hidden="1">
      <c r="A303" s="38" t="s">
        <v>1109</v>
      </c>
      <c r="B303" s="38">
        <v>980</v>
      </c>
      <c r="C303" s="38">
        <v>895</v>
      </c>
      <c r="D303" s="38">
        <v>759</v>
      </c>
      <c r="E303" s="38">
        <v>550</v>
      </c>
      <c r="F303" s="38">
        <v>545</v>
      </c>
      <c r="G303" s="38">
        <v>532</v>
      </c>
      <c r="H303" s="38">
        <v>726</v>
      </c>
      <c r="I303" s="38">
        <v>642</v>
      </c>
      <c r="J303" s="38">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1011</v>
      </c>
      <c r="AE303" s="18">
        <v>1599</v>
      </c>
      <c r="AF303">
        <v>4378</v>
      </c>
      <c r="AG303">
        <v>1603</v>
      </c>
      <c r="AH303">
        <v>4702</v>
      </c>
    </row>
    <row r="304" spans="1:34" hidden="1">
      <c r="A304" s="38" t="s">
        <v>1167</v>
      </c>
      <c r="B304" s="38">
        <v>1043</v>
      </c>
      <c r="C304" s="38">
        <v>1155</v>
      </c>
      <c r="D304" s="38">
        <v>1282</v>
      </c>
      <c r="E304" s="38">
        <v>1441</v>
      </c>
      <c r="F304" s="38">
        <v>883</v>
      </c>
      <c r="G304" s="38">
        <v>944</v>
      </c>
      <c r="H304" s="38">
        <v>800</v>
      </c>
      <c r="I304" s="38">
        <v>923</v>
      </c>
      <c r="J304" s="38">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1093</v>
      </c>
      <c r="AE304" s="18">
        <v>986</v>
      </c>
      <c r="AF304">
        <v>3049</v>
      </c>
      <c r="AG304">
        <v>1006</v>
      </c>
      <c r="AH304">
        <v>2782</v>
      </c>
    </row>
    <row r="305" spans="1:34" hidden="1">
      <c r="A305" s="38" t="s">
        <v>1285</v>
      </c>
      <c r="B305" s="38">
        <v>565</v>
      </c>
      <c r="C305" s="38">
        <v>576</v>
      </c>
      <c r="D305" s="38">
        <v>298</v>
      </c>
      <c r="E305" s="38">
        <v>435</v>
      </c>
      <c r="F305" s="38">
        <v>442</v>
      </c>
      <c r="G305" s="38">
        <v>682</v>
      </c>
      <c r="H305" s="38">
        <v>1040</v>
      </c>
      <c r="I305" s="38">
        <v>1030</v>
      </c>
      <c r="J305" s="38">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1214</v>
      </c>
      <c r="AE305" s="18">
        <v>1097</v>
      </c>
      <c r="AF305">
        <v>3777</v>
      </c>
      <c r="AG305">
        <v>1104</v>
      </c>
      <c r="AH305">
        <v>3937</v>
      </c>
    </row>
    <row r="306" spans="1:34" hidden="1">
      <c r="A306" s="38" t="s">
        <v>1024</v>
      </c>
      <c r="B306" s="38">
        <v>1662</v>
      </c>
      <c r="C306" s="38">
        <v>809</v>
      </c>
      <c r="D306" s="38">
        <v>1176</v>
      </c>
      <c r="E306" s="38">
        <v>2081</v>
      </c>
      <c r="F306" s="38">
        <v>901</v>
      </c>
      <c r="G306" s="38">
        <v>640</v>
      </c>
      <c r="H306" s="38">
        <v>90</v>
      </c>
      <c r="I306" s="38">
        <v>938</v>
      </c>
      <c r="J306" s="38">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1024</v>
      </c>
      <c r="AE306" s="18">
        <v>4451</v>
      </c>
      <c r="AF306">
        <v>16591</v>
      </c>
      <c r="AG306">
        <v>1697</v>
      </c>
      <c r="AH306">
        <v>7281</v>
      </c>
    </row>
    <row r="307" spans="1:34" hidden="1">
      <c r="A307" s="38" t="s">
        <v>1704</v>
      </c>
      <c r="B307" s="38">
        <v>859</v>
      </c>
      <c r="C307" s="38">
        <v>860</v>
      </c>
      <c r="D307" s="38">
        <v>1049</v>
      </c>
      <c r="E307" s="38">
        <v>459</v>
      </c>
      <c r="F307" s="38">
        <v>532</v>
      </c>
      <c r="G307" s="38">
        <v>1242</v>
      </c>
      <c r="H307" s="38">
        <v>1354</v>
      </c>
      <c r="I307" s="38">
        <v>1758</v>
      </c>
      <c r="J307" s="38">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1097</v>
      </c>
      <c r="AE307" s="18">
        <v>1048</v>
      </c>
      <c r="AF307">
        <v>2416</v>
      </c>
      <c r="AG307">
        <v>1064</v>
      </c>
      <c r="AH307">
        <v>2389</v>
      </c>
    </row>
    <row r="308" spans="1:34" hidden="1">
      <c r="A308" s="38" t="s">
        <v>1651</v>
      </c>
      <c r="B308" s="38">
        <v>537</v>
      </c>
      <c r="C308" s="38">
        <v>546</v>
      </c>
      <c r="D308" s="38">
        <v>627</v>
      </c>
      <c r="E308" s="38">
        <v>794</v>
      </c>
      <c r="F308" s="38">
        <v>558</v>
      </c>
      <c r="G308" s="38">
        <v>390</v>
      </c>
      <c r="H308" s="38">
        <v>351</v>
      </c>
      <c r="I308" s="38">
        <v>339</v>
      </c>
      <c r="J308" s="38">
        <v>251</v>
      </c>
      <c r="K308">
        <v>0</v>
      </c>
      <c r="L308">
        <v>0</v>
      </c>
      <c r="M308">
        <v>0</v>
      </c>
      <c r="N308">
        <v>0</v>
      </c>
      <c r="O308">
        <v>145</v>
      </c>
      <c r="P308">
        <v>168</v>
      </c>
      <c r="Q308">
        <v>292</v>
      </c>
      <c r="R308">
        <v>397</v>
      </c>
      <c r="S308">
        <v>264</v>
      </c>
      <c r="T308">
        <v>166</v>
      </c>
      <c r="U308">
        <v>121</v>
      </c>
      <c r="V308">
        <v>130</v>
      </c>
      <c r="W308">
        <v>79</v>
      </c>
      <c r="X308">
        <v>2</v>
      </c>
      <c r="Y308">
        <v>1</v>
      </c>
      <c r="Z308">
        <v>0</v>
      </c>
      <c r="AA308">
        <v>0</v>
      </c>
      <c r="AD308" t="s">
        <v>1707</v>
      </c>
      <c r="AE308" s="18">
        <v>140</v>
      </c>
      <c r="AF308">
        <v>309</v>
      </c>
      <c r="AG308">
        <v>135</v>
      </c>
      <c r="AH308">
        <v>238</v>
      </c>
    </row>
    <row r="309" spans="1:34" hidden="1">
      <c r="A309" s="38" t="s">
        <v>846</v>
      </c>
      <c r="B309" s="38">
        <v>4641</v>
      </c>
      <c r="C309" s="38">
        <v>5402</v>
      </c>
      <c r="D309" s="38">
        <v>12968</v>
      </c>
      <c r="E309" s="38">
        <v>405</v>
      </c>
      <c r="F309" s="38">
        <v>4626</v>
      </c>
      <c r="G309" s="38">
        <v>14443</v>
      </c>
      <c r="H309" s="38">
        <v>9978</v>
      </c>
      <c r="I309" s="38">
        <v>9294</v>
      </c>
      <c r="J309" s="38">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1250</v>
      </c>
      <c r="AE309" s="18">
        <v>931</v>
      </c>
      <c r="AF309">
        <v>1974</v>
      </c>
      <c r="AG309">
        <v>1129</v>
      </c>
      <c r="AH309">
        <v>1665</v>
      </c>
    </row>
    <row r="310" spans="1:34" hidden="1">
      <c r="A310" s="38" t="s">
        <v>803</v>
      </c>
      <c r="B310" s="38">
        <v>142</v>
      </c>
      <c r="C310" s="38">
        <v>784</v>
      </c>
      <c r="D310" s="38">
        <v>1453</v>
      </c>
      <c r="E310" s="38">
        <v>1497</v>
      </c>
      <c r="F310" s="38">
        <v>688</v>
      </c>
      <c r="G310" s="38">
        <v>965</v>
      </c>
      <c r="H310" s="38">
        <v>693</v>
      </c>
      <c r="I310" s="38">
        <v>706</v>
      </c>
      <c r="J310" s="38">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8"/>
      <c r="AH310">
        <v>0</v>
      </c>
    </row>
    <row r="311" spans="1:34" hidden="1">
      <c r="A311" s="38" t="s">
        <v>906</v>
      </c>
      <c r="B311" s="38">
        <v>3132</v>
      </c>
      <c r="C311" s="38">
        <v>2039</v>
      </c>
      <c r="D311" s="38">
        <v>3023</v>
      </c>
      <c r="E311" s="38">
        <v>3663</v>
      </c>
      <c r="F311" s="38">
        <v>3838</v>
      </c>
      <c r="G311" s="38">
        <v>4391</v>
      </c>
      <c r="H311" s="38">
        <v>4888</v>
      </c>
      <c r="I311" s="38">
        <v>4759</v>
      </c>
      <c r="J311" s="38">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6" t="s">
        <v>1252</v>
      </c>
      <c r="AE311" s="18">
        <v>1493</v>
      </c>
      <c r="AF311">
        <v>3832</v>
      </c>
      <c r="AG311">
        <v>874</v>
      </c>
      <c r="AH311">
        <v>2577</v>
      </c>
    </row>
    <row r="312" spans="1:34" hidden="1">
      <c r="A312" s="38" t="s">
        <v>218</v>
      </c>
      <c r="B312" s="38">
        <v>1659</v>
      </c>
      <c r="C312" s="38">
        <v>1434</v>
      </c>
      <c r="D312" s="38">
        <v>1562</v>
      </c>
      <c r="E312" s="38">
        <v>1244</v>
      </c>
      <c r="F312" s="38">
        <v>1149</v>
      </c>
      <c r="G312" s="38">
        <v>1155</v>
      </c>
      <c r="H312" s="38">
        <v>1334</v>
      </c>
      <c r="I312" s="38">
        <v>1368</v>
      </c>
      <c r="J312" s="38">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961</v>
      </c>
      <c r="AE312" s="18">
        <v>1954</v>
      </c>
      <c r="AF312">
        <v>3897</v>
      </c>
      <c r="AG312">
        <v>2114</v>
      </c>
      <c r="AH312">
        <v>4208</v>
      </c>
    </row>
    <row r="313" spans="1:34" hidden="1">
      <c r="A313" s="38" t="s">
        <v>854</v>
      </c>
      <c r="B313" s="38">
        <v>876</v>
      </c>
      <c r="C313" s="38">
        <v>860</v>
      </c>
      <c r="D313" s="38">
        <v>1105</v>
      </c>
      <c r="E313" s="38">
        <v>1072</v>
      </c>
      <c r="F313" s="38">
        <v>983</v>
      </c>
      <c r="G313" s="38">
        <v>1089</v>
      </c>
      <c r="H313" s="38">
        <v>848</v>
      </c>
      <c r="I313" s="38">
        <v>1287</v>
      </c>
      <c r="J313" s="38">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8"/>
      <c r="AH313">
        <v>0</v>
      </c>
    </row>
    <row r="314" spans="1:34" hidden="1">
      <c r="A314" s="38" t="s">
        <v>1150</v>
      </c>
      <c r="B314" s="38">
        <v>997</v>
      </c>
      <c r="C314" s="38">
        <v>1850</v>
      </c>
      <c r="D314" s="38">
        <v>1025</v>
      </c>
      <c r="E314" s="38">
        <v>799</v>
      </c>
      <c r="F314" s="38">
        <v>710</v>
      </c>
      <c r="G314" s="38">
        <v>691</v>
      </c>
      <c r="H314" s="38">
        <v>660</v>
      </c>
      <c r="I314" s="38">
        <v>770</v>
      </c>
      <c r="J314" s="38">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1189</v>
      </c>
      <c r="AE314" s="18">
        <v>1003</v>
      </c>
      <c r="AF314">
        <v>1589</v>
      </c>
      <c r="AG314">
        <v>890</v>
      </c>
      <c r="AH314">
        <v>1398</v>
      </c>
    </row>
    <row r="315" spans="1:34" hidden="1">
      <c r="A315" s="38" t="s">
        <v>1282</v>
      </c>
      <c r="B315" s="38">
        <v>2355</v>
      </c>
      <c r="C315" s="38">
        <v>1934</v>
      </c>
      <c r="D315" s="38">
        <v>2039</v>
      </c>
      <c r="E315" s="38">
        <v>1536</v>
      </c>
      <c r="F315" s="38">
        <v>1410</v>
      </c>
      <c r="G315" s="38">
        <v>1279</v>
      </c>
      <c r="H315" s="38">
        <v>1075</v>
      </c>
      <c r="I315" s="38">
        <v>1303</v>
      </c>
      <c r="J315" s="38">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8"/>
      <c r="AH315">
        <v>0</v>
      </c>
    </row>
    <row r="316" spans="1:34" hidden="1">
      <c r="A316" s="38" t="s">
        <v>1158</v>
      </c>
      <c r="B316" s="38">
        <v>2621</v>
      </c>
      <c r="C316" s="38">
        <v>2019</v>
      </c>
      <c r="D316" s="38">
        <v>2673</v>
      </c>
      <c r="E316" s="38">
        <v>2544</v>
      </c>
      <c r="F316" s="38">
        <v>1653</v>
      </c>
      <c r="G316" s="38">
        <v>1577</v>
      </c>
      <c r="H316" s="38">
        <v>1246</v>
      </c>
      <c r="I316" s="38">
        <v>1403</v>
      </c>
      <c r="J316" s="38">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1121</v>
      </c>
      <c r="AE316" s="18">
        <v>567</v>
      </c>
      <c r="AF316">
        <v>1504</v>
      </c>
      <c r="AG316">
        <v>580</v>
      </c>
      <c r="AH316">
        <v>1328</v>
      </c>
    </row>
    <row r="317" spans="1:34" hidden="1">
      <c r="A317" s="38" t="s">
        <v>1016</v>
      </c>
      <c r="B317" s="38">
        <v>0</v>
      </c>
      <c r="C317" s="38">
        <v>0</v>
      </c>
      <c r="D317" s="38">
        <v>11</v>
      </c>
      <c r="E317" s="38">
        <v>1977</v>
      </c>
      <c r="F317" s="38">
        <v>2804</v>
      </c>
      <c r="G317" s="38">
        <v>1930</v>
      </c>
      <c r="H317" s="38">
        <v>863</v>
      </c>
      <c r="I317" s="38">
        <v>540</v>
      </c>
      <c r="J317" s="38">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1193</v>
      </c>
      <c r="AE317" s="18">
        <v>1221</v>
      </c>
      <c r="AF317">
        <v>4464</v>
      </c>
      <c r="AG317">
        <v>1315</v>
      </c>
      <c r="AH317">
        <v>4510</v>
      </c>
    </row>
    <row r="318" spans="1:34" hidden="1">
      <c r="A318" s="38" t="s">
        <v>1689</v>
      </c>
      <c r="B318" s="38">
        <v>0</v>
      </c>
      <c r="C318" s="38">
        <v>1336</v>
      </c>
      <c r="D318" s="38">
        <v>1505</v>
      </c>
      <c r="E318" s="38">
        <v>392</v>
      </c>
      <c r="F318" s="38">
        <v>847</v>
      </c>
      <c r="G318" s="38">
        <v>516</v>
      </c>
      <c r="H318" s="38">
        <v>980</v>
      </c>
      <c r="I318" s="38">
        <v>968</v>
      </c>
      <c r="J318" s="38">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8"/>
      <c r="AH318">
        <v>0</v>
      </c>
    </row>
    <row r="319" spans="1:34" hidden="1">
      <c r="A319" s="38" t="s">
        <v>881</v>
      </c>
      <c r="B319" s="38">
        <v>1136</v>
      </c>
      <c r="C319" s="38">
        <v>1864</v>
      </c>
      <c r="D319" s="38">
        <v>4153</v>
      </c>
      <c r="E319" s="38">
        <v>4283</v>
      </c>
      <c r="F319" s="38">
        <v>4912</v>
      </c>
      <c r="G319" s="38">
        <v>2632</v>
      </c>
      <c r="H319" s="38">
        <v>1166</v>
      </c>
      <c r="I319" s="38">
        <v>4260</v>
      </c>
      <c r="J319" s="38">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1245</v>
      </c>
      <c r="AE319" s="18">
        <v>1270</v>
      </c>
      <c r="AF319">
        <v>3786</v>
      </c>
      <c r="AG319">
        <v>1078</v>
      </c>
      <c r="AH319">
        <v>3372</v>
      </c>
    </row>
    <row r="320" spans="1:34" hidden="1">
      <c r="A320" s="38" t="s">
        <v>267</v>
      </c>
      <c r="B320" s="38">
        <v>0</v>
      </c>
      <c r="C320" s="38">
        <v>0</v>
      </c>
      <c r="D320" s="38">
        <v>0</v>
      </c>
      <c r="E320" s="38">
        <v>164</v>
      </c>
      <c r="F320" s="38">
        <v>53</v>
      </c>
      <c r="G320" s="38">
        <v>371</v>
      </c>
      <c r="H320" s="38">
        <v>517</v>
      </c>
      <c r="I320" s="38">
        <v>388</v>
      </c>
      <c r="J320" s="38">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1298</v>
      </c>
      <c r="AE320" s="18">
        <v>3590</v>
      </c>
      <c r="AF320">
        <v>14550</v>
      </c>
      <c r="AG320">
        <v>3606</v>
      </c>
      <c r="AH320">
        <v>14106</v>
      </c>
    </row>
    <row r="321" spans="1:34" hidden="1">
      <c r="A321" s="38" t="s">
        <v>263</v>
      </c>
      <c r="B321" s="38">
        <v>0</v>
      </c>
      <c r="C321" s="38">
        <v>0</v>
      </c>
      <c r="D321" s="38">
        <v>0</v>
      </c>
      <c r="E321" s="38">
        <v>0</v>
      </c>
      <c r="F321" s="38">
        <v>0</v>
      </c>
      <c r="G321" s="38">
        <v>0</v>
      </c>
      <c r="H321" s="38">
        <v>1040</v>
      </c>
      <c r="I321" s="38">
        <v>0</v>
      </c>
      <c r="J321" s="38">
        <v>756</v>
      </c>
      <c r="K321">
        <v>1171</v>
      </c>
      <c r="L321">
        <v>1110</v>
      </c>
      <c r="M321">
        <v>1275</v>
      </c>
      <c r="N321">
        <v>0</v>
      </c>
      <c r="O321">
        <v>0</v>
      </c>
      <c r="P321">
        <v>0</v>
      </c>
      <c r="Q321">
        <v>0</v>
      </c>
      <c r="R321">
        <v>0</v>
      </c>
      <c r="S321">
        <v>0</v>
      </c>
      <c r="T321">
        <v>0</v>
      </c>
      <c r="U321">
        <v>374</v>
      </c>
      <c r="V321">
        <v>0</v>
      </c>
      <c r="W321">
        <v>222</v>
      </c>
      <c r="X321">
        <v>287</v>
      </c>
      <c r="Y321">
        <v>167</v>
      </c>
      <c r="Z321">
        <v>150</v>
      </c>
      <c r="AA321">
        <v>0</v>
      </c>
      <c r="AE321" s="18"/>
      <c r="AH321">
        <v>0</v>
      </c>
    </row>
    <row r="322" spans="1:34" hidden="1">
      <c r="A322" s="38" t="s">
        <v>481</v>
      </c>
      <c r="B322" s="38">
        <v>0</v>
      </c>
      <c r="C322" s="38">
        <v>435</v>
      </c>
      <c r="D322" s="38">
        <v>405</v>
      </c>
      <c r="E322" s="38">
        <v>972</v>
      </c>
      <c r="F322" s="38">
        <v>925</v>
      </c>
      <c r="G322" s="38">
        <v>761</v>
      </c>
      <c r="H322" s="38">
        <v>830</v>
      </c>
      <c r="I322" s="38">
        <v>1199</v>
      </c>
      <c r="J322" s="38">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1167</v>
      </c>
      <c r="AE322" s="18">
        <v>1934</v>
      </c>
      <c r="AF322">
        <v>3707</v>
      </c>
      <c r="AG322">
        <v>1678</v>
      </c>
      <c r="AH322">
        <v>3103</v>
      </c>
    </row>
    <row r="323" spans="1:34" hidden="1">
      <c r="A323" s="38" t="s">
        <v>576</v>
      </c>
      <c r="B323" s="38">
        <v>0</v>
      </c>
      <c r="C323" s="38">
        <v>0</v>
      </c>
      <c r="D323" s="38">
        <v>356</v>
      </c>
      <c r="E323" s="38">
        <v>1037</v>
      </c>
      <c r="F323" s="38">
        <v>959</v>
      </c>
      <c r="G323" s="38">
        <v>880</v>
      </c>
      <c r="H323" s="38">
        <v>751</v>
      </c>
      <c r="I323" s="38">
        <v>1087</v>
      </c>
      <c r="J323" s="38">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6" t="s">
        <v>1131</v>
      </c>
      <c r="AE323" s="18">
        <v>1019</v>
      </c>
      <c r="AF323">
        <v>4079</v>
      </c>
      <c r="AG323">
        <v>1135</v>
      </c>
      <c r="AH323">
        <v>4140</v>
      </c>
    </row>
    <row r="324" spans="1:34" hidden="1">
      <c r="A324" s="38" t="s">
        <v>864</v>
      </c>
      <c r="B324" s="38">
        <v>1577</v>
      </c>
      <c r="C324" s="38">
        <v>2979</v>
      </c>
      <c r="D324" s="38">
        <v>2259</v>
      </c>
      <c r="E324" s="38">
        <v>1840</v>
      </c>
      <c r="F324" s="38">
        <v>1839</v>
      </c>
      <c r="G324" s="38">
        <v>2765</v>
      </c>
      <c r="H324" s="38">
        <v>2954</v>
      </c>
      <c r="I324" s="38">
        <v>2655</v>
      </c>
      <c r="J324" s="38">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1261</v>
      </c>
      <c r="AE324" s="18">
        <v>2100</v>
      </c>
      <c r="AF324">
        <v>5134</v>
      </c>
      <c r="AG324">
        <v>2163</v>
      </c>
      <c r="AH324">
        <v>4948</v>
      </c>
    </row>
    <row r="325" spans="1:34" hidden="1">
      <c r="A325" s="38" t="s">
        <v>693</v>
      </c>
      <c r="B325" s="38">
        <v>0</v>
      </c>
      <c r="C325" s="38">
        <v>0</v>
      </c>
      <c r="D325" s="38">
        <v>0</v>
      </c>
      <c r="E325" s="38">
        <v>104</v>
      </c>
      <c r="F325" s="38">
        <v>0</v>
      </c>
      <c r="G325" s="38">
        <v>815</v>
      </c>
      <c r="H325" s="38">
        <v>1012</v>
      </c>
      <c r="I325" s="38">
        <v>957</v>
      </c>
      <c r="J325" s="38">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1305</v>
      </c>
      <c r="AE325" s="18">
        <v>2322</v>
      </c>
      <c r="AF325">
        <v>7537</v>
      </c>
      <c r="AG325">
        <v>2139</v>
      </c>
      <c r="AH325">
        <v>6324</v>
      </c>
    </row>
    <row r="326" spans="1:34" hidden="1">
      <c r="A326" s="38" t="s">
        <v>602</v>
      </c>
      <c r="B326" s="38">
        <v>0</v>
      </c>
      <c r="C326" s="38">
        <v>123</v>
      </c>
      <c r="D326" s="38">
        <v>330</v>
      </c>
      <c r="E326" s="38">
        <v>372</v>
      </c>
      <c r="F326" s="38">
        <v>240</v>
      </c>
      <c r="G326" s="38">
        <v>375</v>
      </c>
      <c r="H326" s="38">
        <v>438</v>
      </c>
      <c r="I326" s="38">
        <v>591</v>
      </c>
      <c r="J326" s="38">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1135</v>
      </c>
      <c r="AE326" s="18">
        <v>485</v>
      </c>
      <c r="AF326">
        <v>854</v>
      </c>
      <c r="AG326">
        <v>464</v>
      </c>
      <c r="AH326">
        <v>810</v>
      </c>
    </row>
    <row r="327" spans="1:34" hidden="1">
      <c r="A327" s="38" t="s">
        <v>521</v>
      </c>
      <c r="B327" s="38">
        <v>0</v>
      </c>
      <c r="C327" s="38">
        <v>0</v>
      </c>
      <c r="D327" s="38">
        <v>0</v>
      </c>
      <c r="E327" s="38">
        <v>0</v>
      </c>
      <c r="F327" s="38">
        <v>0</v>
      </c>
      <c r="G327" s="38">
        <v>0</v>
      </c>
      <c r="H327" s="38">
        <v>3</v>
      </c>
      <c r="I327" s="38">
        <v>285</v>
      </c>
      <c r="J327" s="38">
        <v>734</v>
      </c>
      <c r="K327">
        <v>788</v>
      </c>
      <c r="L327">
        <v>450</v>
      </c>
      <c r="M327">
        <v>417</v>
      </c>
      <c r="N327">
        <v>668</v>
      </c>
      <c r="O327">
        <v>0</v>
      </c>
      <c r="P327">
        <v>0</v>
      </c>
      <c r="Q327">
        <v>0</v>
      </c>
      <c r="R327">
        <v>0</v>
      </c>
      <c r="S327">
        <v>0</v>
      </c>
      <c r="T327">
        <v>0</v>
      </c>
      <c r="U327">
        <v>0</v>
      </c>
      <c r="V327">
        <v>56</v>
      </c>
      <c r="W327">
        <v>184</v>
      </c>
      <c r="X327">
        <v>193</v>
      </c>
      <c r="Y327">
        <v>82</v>
      </c>
      <c r="Z327">
        <v>146</v>
      </c>
      <c r="AA327">
        <v>155</v>
      </c>
      <c r="AD327" t="s">
        <v>1267</v>
      </c>
      <c r="AE327" s="18">
        <v>1498</v>
      </c>
      <c r="AF327">
        <v>5370</v>
      </c>
      <c r="AG327">
        <v>1227</v>
      </c>
      <c r="AH327">
        <v>3936</v>
      </c>
    </row>
    <row r="328" spans="1:34" hidden="1">
      <c r="A328" s="38" t="s">
        <v>1187</v>
      </c>
      <c r="B328" s="38">
        <v>0</v>
      </c>
      <c r="C328" s="38">
        <v>0</v>
      </c>
      <c r="D328" s="38">
        <v>822</v>
      </c>
      <c r="E328" s="38">
        <v>1928</v>
      </c>
      <c r="F328" s="38">
        <v>1563</v>
      </c>
      <c r="G328" s="38">
        <v>2064</v>
      </c>
      <c r="H328" s="38">
        <v>2099</v>
      </c>
      <c r="I328" s="38">
        <v>2454</v>
      </c>
      <c r="J328" s="38">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1224</v>
      </c>
      <c r="AE328" s="18">
        <v>10278</v>
      </c>
      <c r="AF328">
        <v>19771</v>
      </c>
      <c r="AG328">
        <v>8072</v>
      </c>
      <c r="AH328">
        <v>16361</v>
      </c>
    </row>
    <row r="329" spans="1:34" hidden="1">
      <c r="A329" s="38" t="s">
        <v>1298</v>
      </c>
      <c r="B329" s="38">
        <v>1295</v>
      </c>
      <c r="C329" s="38">
        <v>3249</v>
      </c>
      <c r="D329" s="38">
        <v>2721</v>
      </c>
      <c r="E329" s="38">
        <v>2361</v>
      </c>
      <c r="F329" s="38">
        <v>2349</v>
      </c>
      <c r="G329" s="38">
        <v>1891</v>
      </c>
      <c r="H329" s="38">
        <v>2300</v>
      </c>
      <c r="I329" s="38">
        <v>1954</v>
      </c>
      <c r="J329" s="38">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1218</v>
      </c>
      <c r="AE329" s="18">
        <v>1468</v>
      </c>
      <c r="AF329">
        <v>3867</v>
      </c>
      <c r="AG329">
        <v>1315</v>
      </c>
      <c r="AH329">
        <v>3480</v>
      </c>
    </row>
    <row r="330" spans="1:34" hidden="1">
      <c r="A330" s="38" t="s">
        <v>1259</v>
      </c>
      <c r="B330" s="38">
        <v>0</v>
      </c>
      <c r="C330" s="38">
        <v>0</v>
      </c>
      <c r="D330" s="38">
        <v>41</v>
      </c>
      <c r="E330" s="38">
        <v>419</v>
      </c>
      <c r="F330" s="38">
        <v>509</v>
      </c>
      <c r="G330" s="38">
        <v>582</v>
      </c>
      <c r="H330" s="38">
        <v>1850</v>
      </c>
      <c r="I330" s="38">
        <v>1334</v>
      </c>
      <c r="J330" s="38">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1212</v>
      </c>
      <c r="AE330" s="18">
        <v>1079</v>
      </c>
      <c r="AF330">
        <v>2673</v>
      </c>
      <c r="AG330">
        <v>1148</v>
      </c>
      <c r="AH330">
        <v>2673</v>
      </c>
    </row>
    <row r="331" spans="1:34" hidden="1">
      <c r="A331" s="38" t="s">
        <v>976</v>
      </c>
      <c r="B331" s="38">
        <v>0</v>
      </c>
      <c r="C331" s="38">
        <v>0</v>
      </c>
      <c r="D331" s="38">
        <v>136</v>
      </c>
      <c r="E331" s="38">
        <v>1743</v>
      </c>
      <c r="F331" s="38">
        <v>962</v>
      </c>
      <c r="G331" s="38">
        <v>672</v>
      </c>
      <c r="H331" s="38">
        <v>854</v>
      </c>
      <c r="I331" s="38">
        <v>999</v>
      </c>
      <c r="J331" s="38">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8"/>
      <c r="AH331">
        <v>0</v>
      </c>
    </row>
    <row r="332" spans="1:34" hidden="1">
      <c r="A332" s="38" t="s">
        <v>1214</v>
      </c>
      <c r="B332" s="38">
        <v>0</v>
      </c>
      <c r="C332" s="38">
        <v>0</v>
      </c>
      <c r="D332" s="38">
        <v>1136</v>
      </c>
      <c r="E332" s="38">
        <v>1169</v>
      </c>
      <c r="F332" s="38">
        <v>907</v>
      </c>
      <c r="G332" s="38">
        <v>861</v>
      </c>
      <c r="H332" s="38">
        <v>710</v>
      </c>
      <c r="I332" s="38">
        <v>602</v>
      </c>
      <c r="J332" s="38">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1095</v>
      </c>
      <c r="AE332" s="18">
        <v>1132</v>
      </c>
      <c r="AF332">
        <v>2219</v>
      </c>
      <c r="AG332">
        <v>746</v>
      </c>
      <c r="AH332">
        <v>1647</v>
      </c>
    </row>
    <row r="333" spans="1:34" hidden="1">
      <c r="A333" s="38" t="s">
        <v>1030</v>
      </c>
      <c r="B333" s="38">
        <v>2010</v>
      </c>
      <c r="C333" s="38">
        <v>3174</v>
      </c>
      <c r="D333" s="38">
        <v>823</v>
      </c>
      <c r="E333" s="38">
        <v>3749</v>
      </c>
      <c r="F333" s="38">
        <v>2541</v>
      </c>
      <c r="G333" s="38">
        <v>2523</v>
      </c>
      <c r="H333" s="38">
        <v>1288</v>
      </c>
      <c r="I333" s="38">
        <v>3176</v>
      </c>
      <c r="J333" s="38">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6" t="s">
        <v>972</v>
      </c>
      <c r="AE333" s="18">
        <v>1142</v>
      </c>
      <c r="AF333">
        <v>2951</v>
      </c>
      <c r="AG333">
        <v>1087</v>
      </c>
      <c r="AH333">
        <v>2839</v>
      </c>
    </row>
    <row r="334" spans="1:34" hidden="1">
      <c r="A334" s="38" t="s">
        <v>186</v>
      </c>
      <c r="B334" s="38">
        <v>0</v>
      </c>
      <c r="C334" s="38">
        <v>0</v>
      </c>
      <c r="D334" s="38">
        <v>0</v>
      </c>
      <c r="E334" s="38">
        <v>0</v>
      </c>
      <c r="F334" s="38">
        <v>0</v>
      </c>
      <c r="G334" s="38">
        <v>0</v>
      </c>
      <c r="H334" s="38">
        <v>326</v>
      </c>
      <c r="I334" s="38">
        <v>736</v>
      </c>
      <c r="J334" s="38">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1109</v>
      </c>
      <c r="AE334" s="18">
        <v>1001</v>
      </c>
      <c r="AF334">
        <v>1621</v>
      </c>
      <c r="AG334">
        <v>860</v>
      </c>
      <c r="AH334">
        <v>1427</v>
      </c>
    </row>
    <row r="335" spans="1:34" hidden="1">
      <c r="A335" s="38" t="s">
        <v>103</v>
      </c>
      <c r="B335" s="38">
        <v>0</v>
      </c>
      <c r="C335" s="38">
        <v>0</v>
      </c>
      <c r="D335" s="38">
        <v>0</v>
      </c>
      <c r="E335" s="38">
        <v>0</v>
      </c>
      <c r="F335" s="38">
        <v>0</v>
      </c>
      <c r="G335" s="38">
        <v>495</v>
      </c>
      <c r="H335" s="38">
        <v>934</v>
      </c>
      <c r="I335" s="38">
        <v>2236</v>
      </c>
      <c r="J335" s="38">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6" t="s">
        <v>1206</v>
      </c>
      <c r="AE335" s="18">
        <v>1255</v>
      </c>
      <c r="AF335">
        <v>2585</v>
      </c>
      <c r="AG335">
        <v>994</v>
      </c>
      <c r="AH335">
        <v>2553</v>
      </c>
    </row>
    <row r="336" spans="1:34" hidden="1">
      <c r="A336" s="38" t="s">
        <v>99</v>
      </c>
      <c r="B336" s="38">
        <v>0</v>
      </c>
      <c r="C336" s="38">
        <v>0</v>
      </c>
      <c r="D336" s="38">
        <v>0</v>
      </c>
      <c r="E336" s="38">
        <v>0</v>
      </c>
      <c r="F336" s="38">
        <v>0</v>
      </c>
      <c r="G336" s="38">
        <v>145</v>
      </c>
      <c r="H336" s="38">
        <v>2954</v>
      </c>
      <c r="I336" s="38">
        <v>3011</v>
      </c>
      <c r="J336" s="38">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1022</v>
      </c>
      <c r="AE336" s="18">
        <v>442</v>
      </c>
      <c r="AF336">
        <v>907</v>
      </c>
      <c r="AG336">
        <v>361</v>
      </c>
      <c r="AH336">
        <v>768</v>
      </c>
    </row>
    <row r="337" spans="1:34" hidden="1">
      <c r="A337" s="38" t="s">
        <v>914</v>
      </c>
      <c r="B337" s="38">
        <v>0</v>
      </c>
      <c r="C337" s="38">
        <v>0</v>
      </c>
      <c r="D337" s="38">
        <v>0</v>
      </c>
      <c r="E337" s="38">
        <v>0</v>
      </c>
      <c r="F337" s="38">
        <v>8530</v>
      </c>
      <c r="G337" s="38">
        <v>9175</v>
      </c>
      <c r="H337" s="38">
        <v>7003</v>
      </c>
      <c r="I337" s="38">
        <v>6856</v>
      </c>
      <c r="J337" s="38">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1081</v>
      </c>
      <c r="AE337" s="18">
        <v>352</v>
      </c>
      <c r="AF337">
        <v>894</v>
      </c>
      <c r="AG337">
        <v>317</v>
      </c>
      <c r="AH337">
        <v>856</v>
      </c>
    </row>
    <row r="338" spans="1:34" hidden="1">
      <c r="A338" s="38" t="s">
        <v>214</v>
      </c>
      <c r="B338" s="38">
        <v>0</v>
      </c>
      <c r="C338" s="38">
        <v>0</v>
      </c>
      <c r="D338" s="38">
        <v>0</v>
      </c>
      <c r="E338" s="38">
        <v>0</v>
      </c>
      <c r="F338" s="38">
        <v>0</v>
      </c>
      <c r="G338" s="38">
        <v>334</v>
      </c>
      <c r="H338" s="38">
        <v>456</v>
      </c>
      <c r="I338" s="38">
        <v>562</v>
      </c>
      <c r="J338" s="38">
        <v>607</v>
      </c>
      <c r="K338">
        <v>792</v>
      </c>
      <c r="L338">
        <v>430</v>
      </c>
      <c r="M338">
        <v>476</v>
      </c>
      <c r="N338">
        <v>784</v>
      </c>
      <c r="O338">
        <v>0</v>
      </c>
      <c r="P338">
        <v>0</v>
      </c>
      <c r="Q338">
        <v>0</v>
      </c>
      <c r="R338">
        <v>0</v>
      </c>
      <c r="S338">
        <v>0</v>
      </c>
      <c r="T338">
        <v>41</v>
      </c>
      <c r="U338">
        <v>75</v>
      </c>
      <c r="V338">
        <v>78</v>
      </c>
      <c r="W338">
        <v>88</v>
      </c>
      <c r="X338">
        <v>127</v>
      </c>
      <c r="Y338">
        <v>94</v>
      </c>
      <c r="Z338">
        <v>103</v>
      </c>
      <c r="AA338">
        <v>171</v>
      </c>
      <c r="AE338" s="18"/>
      <c r="AH338">
        <v>0</v>
      </c>
    </row>
    <row r="339" spans="1:34" hidden="1">
      <c r="A339" s="38" t="s">
        <v>626</v>
      </c>
      <c r="B339" s="38">
        <v>0</v>
      </c>
      <c r="C339" s="38">
        <v>0</v>
      </c>
      <c r="D339" s="38">
        <v>0</v>
      </c>
      <c r="E339" s="38">
        <v>0</v>
      </c>
      <c r="F339" s="38">
        <v>0</v>
      </c>
      <c r="G339" s="38">
        <v>212</v>
      </c>
      <c r="H339" s="38">
        <v>308</v>
      </c>
      <c r="I339" s="38">
        <v>326</v>
      </c>
      <c r="J339" s="38">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1702</v>
      </c>
      <c r="AE339" s="18">
        <v>304</v>
      </c>
      <c r="AF339">
        <v>744</v>
      </c>
      <c r="AG339">
        <v>254</v>
      </c>
      <c r="AH339">
        <v>671</v>
      </c>
    </row>
    <row r="340" spans="1:34" hidden="1">
      <c r="A340" s="38" t="s">
        <v>1779</v>
      </c>
      <c r="B340" s="38">
        <v>0</v>
      </c>
      <c r="C340" s="38">
        <v>0</v>
      </c>
      <c r="D340" s="38">
        <v>0</v>
      </c>
      <c r="E340" s="38">
        <v>0</v>
      </c>
      <c r="F340" s="38">
        <v>0</v>
      </c>
      <c r="G340" s="38">
        <v>0</v>
      </c>
      <c r="H340" s="38">
        <v>3140</v>
      </c>
      <c r="I340" s="38">
        <v>1959</v>
      </c>
      <c r="J340" s="38">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1169</v>
      </c>
      <c r="AE340" s="18">
        <v>1773</v>
      </c>
      <c r="AF340">
        <v>3891</v>
      </c>
      <c r="AG340">
        <v>1766</v>
      </c>
      <c r="AH340">
        <v>4227</v>
      </c>
    </row>
    <row r="341" spans="1:34" hidden="1">
      <c r="A341" s="38" t="s">
        <v>606</v>
      </c>
      <c r="B341" s="38">
        <v>0</v>
      </c>
      <c r="C341" s="38">
        <v>0</v>
      </c>
      <c r="D341" s="38">
        <v>0</v>
      </c>
      <c r="E341" s="38">
        <v>0</v>
      </c>
      <c r="F341" s="38">
        <v>10326</v>
      </c>
      <c r="G341" s="38">
        <v>8337</v>
      </c>
      <c r="H341" s="38">
        <v>7328</v>
      </c>
      <c r="I341" s="38">
        <v>8243</v>
      </c>
      <c r="J341" s="38">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1003</v>
      </c>
      <c r="AE341" s="18">
        <v>4088</v>
      </c>
      <c r="AF341">
        <v>8958</v>
      </c>
      <c r="AG341">
        <v>4072</v>
      </c>
      <c r="AH341">
        <v>8698</v>
      </c>
    </row>
    <row r="342" spans="1:34" hidden="1">
      <c r="A342" s="38" t="s">
        <v>785</v>
      </c>
      <c r="B342" s="38">
        <v>0</v>
      </c>
      <c r="C342" s="38">
        <v>0</v>
      </c>
      <c r="D342" s="38">
        <v>0</v>
      </c>
      <c r="E342" s="38">
        <v>0</v>
      </c>
      <c r="F342" s="38">
        <v>0</v>
      </c>
      <c r="G342" s="38">
        <v>0</v>
      </c>
      <c r="H342" s="38">
        <v>172</v>
      </c>
      <c r="I342" s="38">
        <v>1743</v>
      </c>
      <c r="J342" s="38">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1152</v>
      </c>
      <c r="AE342" s="18">
        <v>307</v>
      </c>
      <c r="AF342">
        <v>913</v>
      </c>
      <c r="AG342">
        <v>303</v>
      </c>
      <c r="AH342">
        <v>791</v>
      </c>
    </row>
    <row r="343" spans="1:34" hidden="1">
      <c r="A343" s="38" t="s">
        <v>660</v>
      </c>
      <c r="B343" s="38">
        <v>0</v>
      </c>
      <c r="C343" s="38">
        <v>0</v>
      </c>
      <c r="D343" s="38">
        <v>0</v>
      </c>
      <c r="E343" s="38">
        <v>0</v>
      </c>
      <c r="F343" s="38">
        <v>8752</v>
      </c>
      <c r="G343" s="38">
        <v>12087</v>
      </c>
      <c r="H343" s="38">
        <v>10201</v>
      </c>
      <c r="I343" s="38">
        <v>8685</v>
      </c>
      <c r="J343" s="38">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1259</v>
      </c>
      <c r="AE343" s="18">
        <v>1359</v>
      </c>
      <c r="AF343">
        <v>3067</v>
      </c>
      <c r="AG343">
        <v>1324</v>
      </c>
      <c r="AH343">
        <v>2917</v>
      </c>
    </row>
    <row r="344" spans="1:34" hidden="1">
      <c r="A344" s="38" t="s">
        <v>111</v>
      </c>
      <c r="B344" s="38">
        <v>0</v>
      </c>
      <c r="C344" s="38">
        <v>0</v>
      </c>
      <c r="D344" s="38">
        <v>0</v>
      </c>
      <c r="E344" s="38">
        <v>0</v>
      </c>
      <c r="F344" s="38">
        <v>0</v>
      </c>
      <c r="G344" s="38">
        <v>436</v>
      </c>
      <c r="H344" s="38">
        <v>0</v>
      </c>
      <c r="I344" s="38">
        <v>0</v>
      </c>
      <c r="J344" s="38">
        <v>564</v>
      </c>
      <c r="K344">
        <v>852</v>
      </c>
      <c r="L344">
        <v>648</v>
      </c>
      <c r="M344">
        <v>473</v>
      </c>
      <c r="N344">
        <v>828</v>
      </c>
      <c r="O344">
        <v>0</v>
      </c>
      <c r="P344">
        <v>0</v>
      </c>
      <c r="Q344">
        <v>0</v>
      </c>
      <c r="R344">
        <v>0</v>
      </c>
      <c r="S344">
        <v>0</v>
      </c>
      <c r="T344">
        <v>94</v>
      </c>
      <c r="U344">
        <v>0</v>
      </c>
      <c r="V344">
        <v>0</v>
      </c>
      <c r="W344">
        <v>68</v>
      </c>
      <c r="X344">
        <v>121</v>
      </c>
      <c r="Y344">
        <v>117</v>
      </c>
      <c r="Z344">
        <v>70</v>
      </c>
      <c r="AA344">
        <v>153</v>
      </c>
      <c r="AD344" t="s">
        <v>1210</v>
      </c>
      <c r="AE344" s="18">
        <v>4341</v>
      </c>
      <c r="AF344">
        <v>9371</v>
      </c>
      <c r="AG344">
        <v>4145</v>
      </c>
      <c r="AH344">
        <v>9738</v>
      </c>
    </row>
    <row r="345" spans="1:34" hidden="1">
      <c r="A345" s="38" t="s">
        <v>1222</v>
      </c>
      <c r="B345" s="38">
        <v>0</v>
      </c>
      <c r="C345" s="38">
        <v>0</v>
      </c>
      <c r="D345" s="38">
        <v>0</v>
      </c>
      <c r="E345" s="38">
        <v>0</v>
      </c>
      <c r="F345" s="38">
        <v>0</v>
      </c>
      <c r="G345" s="38">
        <v>390</v>
      </c>
      <c r="H345" s="38">
        <v>691</v>
      </c>
      <c r="I345" s="38">
        <v>1148</v>
      </c>
      <c r="J345" s="38">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1282</v>
      </c>
      <c r="AE345" s="18">
        <v>1730</v>
      </c>
      <c r="AF345">
        <v>5884</v>
      </c>
      <c r="AG345">
        <v>1880</v>
      </c>
      <c r="AH345">
        <v>5451</v>
      </c>
    </row>
    <row r="346" spans="1:34" hidden="1">
      <c r="A346" s="38" t="s">
        <v>1245</v>
      </c>
      <c r="B346" s="38">
        <v>0</v>
      </c>
      <c r="C346" s="38">
        <v>0</v>
      </c>
      <c r="D346" s="38">
        <v>0</v>
      </c>
      <c r="E346" s="38">
        <v>0</v>
      </c>
      <c r="F346" s="38">
        <v>0</v>
      </c>
      <c r="G346" s="38">
        <v>739</v>
      </c>
      <c r="H346" s="38">
        <v>1555</v>
      </c>
      <c r="I346" s="38">
        <v>751</v>
      </c>
      <c r="J346" s="38">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1204</v>
      </c>
      <c r="AE346" s="18">
        <v>2197</v>
      </c>
      <c r="AF346">
        <v>7621</v>
      </c>
      <c r="AG346">
        <v>2076</v>
      </c>
      <c r="AH346">
        <v>7276</v>
      </c>
    </row>
    <row r="347" spans="1:34" hidden="1">
      <c r="A347" s="38" t="s">
        <v>1271</v>
      </c>
      <c r="B347" s="38">
        <v>0</v>
      </c>
      <c r="C347" s="38">
        <v>0</v>
      </c>
      <c r="D347" s="38">
        <v>0</v>
      </c>
      <c r="E347" s="38">
        <v>0</v>
      </c>
      <c r="F347" s="38">
        <v>98</v>
      </c>
      <c r="G347" s="38">
        <v>561</v>
      </c>
      <c r="H347" s="38">
        <v>584</v>
      </c>
      <c r="I347" s="38">
        <v>524</v>
      </c>
      <c r="J347" s="38">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1087</v>
      </c>
      <c r="AE347" s="18">
        <v>680</v>
      </c>
      <c r="AF347">
        <v>1839</v>
      </c>
      <c r="AG347">
        <v>673</v>
      </c>
      <c r="AH347">
        <v>1900</v>
      </c>
    </row>
    <row r="348" spans="1:34" hidden="1">
      <c r="A348" s="38" t="s">
        <v>1204</v>
      </c>
      <c r="B348" s="38">
        <v>0</v>
      </c>
      <c r="C348" s="38">
        <v>0</v>
      </c>
      <c r="D348" s="38">
        <v>0</v>
      </c>
      <c r="E348" s="38">
        <v>0</v>
      </c>
      <c r="F348" s="38">
        <v>0</v>
      </c>
      <c r="G348" s="38">
        <v>0</v>
      </c>
      <c r="H348" s="38">
        <v>393</v>
      </c>
      <c r="I348" s="38">
        <v>2532</v>
      </c>
      <c r="J348" s="38">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1129</v>
      </c>
      <c r="AE348" s="18">
        <v>556</v>
      </c>
      <c r="AF348">
        <v>3328</v>
      </c>
      <c r="AG348">
        <v>492</v>
      </c>
      <c r="AH348">
        <v>2903</v>
      </c>
    </row>
    <row r="349" spans="1:34" hidden="1">
      <c r="A349" s="38" t="s">
        <v>51</v>
      </c>
      <c r="B349" s="38">
        <v>0</v>
      </c>
      <c r="C349" s="38">
        <v>0</v>
      </c>
      <c r="D349" s="38">
        <v>0</v>
      </c>
      <c r="E349" s="38">
        <v>0</v>
      </c>
      <c r="F349" s="38">
        <v>0</v>
      </c>
      <c r="G349" s="38">
        <v>0</v>
      </c>
      <c r="H349" s="38">
        <v>0</v>
      </c>
      <c r="I349" s="38">
        <v>0</v>
      </c>
      <c r="J349" s="38">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1137</v>
      </c>
      <c r="AE349" s="18">
        <v>709</v>
      </c>
      <c r="AF349">
        <v>1617</v>
      </c>
      <c r="AG349">
        <v>780</v>
      </c>
      <c r="AH349">
        <v>1828</v>
      </c>
    </row>
    <row r="350" spans="1:34" hidden="1">
      <c r="A350" s="38" t="s">
        <v>1129</v>
      </c>
      <c r="B350" s="38">
        <v>0</v>
      </c>
      <c r="C350" s="38">
        <v>0</v>
      </c>
      <c r="D350" s="38">
        <v>0</v>
      </c>
      <c r="E350" s="38">
        <v>0</v>
      </c>
      <c r="F350" s="38">
        <v>0</v>
      </c>
      <c r="G350" s="38">
        <v>12</v>
      </c>
      <c r="H350" s="38">
        <v>279</v>
      </c>
      <c r="I350" s="38">
        <v>1318</v>
      </c>
      <c r="J350" s="38">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1208</v>
      </c>
      <c r="AE350" s="18">
        <v>1391</v>
      </c>
      <c r="AF350">
        <v>6386</v>
      </c>
      <c r="AG350">
        <v>1391</v>
      </c>
      <c r="AH350">
        <v>6380</v>
      </c>
    </row>
    <row r="351" spans="1:34" hidden="1">
      <c r="A351" s="38" t="s">
        <v>992</v>
      </c>
      <c r="B351" s="38">
        <v>0</v>
      </c>
      <c r="C351" s="38">
        <v>0</v>
      </c>
      <c r="D351" s="38">
        <v>0</v>
      </c>
      <c r="E351" s="38">
        <v>0</v>
      </c>
      <c r="F351" s="38">
        <v>0</v>
      </c>
      <c r="G351" s="38">
        <v>0</v>
      </c>
      <c r="H351" s="38">
        <v>160</v>
      </c>
      <c r="I351" s="38">
        <v>1483</v>
      </c>
      <c r="J351" s="38">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1183</v>
      </c>
      <c r="AE351" s="18">
        <v>1104</v>
      </c>
      <c r="AF351">
        <v>3041</v>
      </c>
      <c r="AG351">
        <v>1124</v>
      </c>
      <c r="AH351">
        <v>3196</v>
      </c>
    </row>
    <row r="352" spans="1:34" hidden="1">
      <c r="A352" s="38" t="s">
        <v>1239</v>
      </c>
      <c r="B352" s="38">
        <v>0</v>
      </c>
      <c r="C352" s="38">
        <v>0</v>
      </c>
      <c r="D352" s="38">
        <v>0</v>
      </c>
      <c r="E352" s="38">
        <v>0</v>
      </c>
      <c r="F352" s="38">
        <v>0</v>
      </c>
      <c r="G352" s="38">
        <v>301</v>
      </c>
      <c r="H352" s="38">
        <v>600</v>
      </c>
      <c r="I352" s="38">
        <v>576</v>
      </c>
      <c r="J352" s="38">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6" t="s">
        <v>1200</v>
      </c>
      <c r="AE352" s="18">
        <v>1012</v>
      </c>
      <c r="AF352">
        <v>4711</v>
      </c>
      <c r="AG352">
        <v>900</v>
      </c>
      <c r="AH352">
        <v>3957</v>
      </c>
    </row>
    <row r="353" spans="1:34" hidden="1">
      <c r="A353" s="38" t="s">
        <v>1780</v>
      </c>
      <c r="B353" s="38">
        <v>0</v>
      </c>
      <c r="C353" s="38">
        <v>0</v>
      </c>
      <c r="D353" s="38">
        <v>0</v>
      </c>
      <c r="E353" s="38">
        <v>0</v>
      </c>
      <c r="F353" s="38">
        <v>0</v>
      </c>
      <c r="G353" s="38">
        <v>138</v>
      </c>
      <c r="H353" s="38">
        <v>416</v>
      </c>
      <c r="I353" s="38">
        <v>484</v>
      </c>
      <c r="J353" s="38">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1115</v>
      </c>
      <c r="AE353" s="18">
        <v>563</v>
      </c>
      <c r="AF353">
        <v>1126</v>
      </c>
      <c r="AG353">
        <v>553</v>
      </c>
      <c r="AH353">
        <v>1189</v>
      </c>
    </row>
    <row r="354" spans="1:34" hidden="1">
      <c r="A354" s="38" t="s">
        <v>1781</v>
      </c>
      <c r="B354" s="38">
        <v>0</v>
      </c>
      <c r="C354" s="38">
        <v>0</v>
      </c>
      <c r="D354" s="38">
        <v>0</v>
      </c>
      <c r="E354" s="38">
        <v>0</v>
      </c>
      <c r="F354" s="38">
        <v>0</v>
      </c>
      <c r="G354" s="38">
        <v>0</v>
      </c>
      <c r="H354" s="38">
        <v>0</v>
      </c>
      <c r="I354" s="38">
        <v>408</v>
      </c>
      <c r="J354" s="38">
        <v>599</v>
      </c>
      <c r="K354">
        <v>871</v>
      </c>
      <c r="L354">
        <v>557</v>
      </c>
      <c r="M354">
        <v>780</v>
      </c>
      <c r="N354">
        <v>550</v>
      </c>
      <c r="O354">
        <v>0</v>
      </c>
      <c r="P354">
        <v>0</v>
      </c>
      <c r="Q354">
        <v>0</v>
      </c>
      <c r="R354">
        <v>0</v>
      </c>
      <c r="S354">
        <v>0</v>
      </c>
      <c r="T354">
        <v>0</v>
      </c>
      <c r="U354">
        <v>0</v>
      </c>
      <c r="V354">
        <v>122</v>
      </c>
      <c r="W354">
        <v>234</v>
      </c>
      <c r="X354">
        <v>328</v>
      </c>
      <c r="Y354">
        <v>236</v>
      </c>
      <c r="Z354">
        <v>330</v>
      </c>
      <c r="AA354">
        <v>182</v>
      </c>
      <c r="AD354" s="36" t="s">
        <v>1133</v>
      </c>
      <c r="AE354" s="18">
        <v>994</v>
      </c>
      <c r="AF354">
        <v>5341</v>
      </c>
      <c r="AG354">
        <v>781</v>
      </c>
      <c r="AH354">
        <v>4714</v>
      </c>
    </row>
    <row r="355" spans="1:34" hidden="1">
      <c r="A355" s="38" t="s">
        <v>1470</v>
      </c>
      <c r="B355" s="38">
        <v>0</v>
      </c>
      <c r="C355" s="38">
        <v>0</v>
      </c>
      <c r="D355" s="38">
        <v>0</v>
      </c>
      <c r="E355" s="38">
        <v>0</v>
      </c>
      <c r="F355" s="38">
        <v>0</v>
      </c>
      <c r="G355" s="38">
        <v>0</v>
      </c>
      <c r="H355" s="38">
        <v>6</v>
      </c>
      <c r="I355" s="38">
        <v>957</v>
      </c>
      <c r="J355" s="38">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1287</v>
      </c>
      <c r="AE355" s="18">
        <v>2392</v>
      </c>
      <c r="AF355">
        <v>4813</v>
      </c>
      <c r="AG355">
        <v>2708</v>
      </c>
      <c r="AH355">
        <v>4674</v>
      </c>
    </row>
    <row r="356" spans="1:34" hidden="1">
      <c r="A356" s="38" t="s">
        <v>1437</v>
      </c>
      <c r="B356" s="38">
        <v>0</v>
      </c>
      <c r="C356" s="38">
        <v>0</v>
      </c>
      <c r="D356" s="38">
        <v>0</v>
      </c>
      <c r="E356" s="38">
        <v>0</v>
      </c>
      <c r="F356" s="38">
        <v>0</v>
      </c>
      <c r="G356" s="38">
        <v>773</v>
      </c>
      <c r="H356" s="38">
        <v>647</v>
      </c>
      <c r="I356" s="38">
        <v>608</v>
      </c>
      <c r="J356" s="38">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2" t="s">
        <v>1239</v>
      </c>
      <c r="AE356" s="18">
        <v>968</v>
      </c>
      <c r="AF356">
        <v>2161</v>
      </c>
      <c r="AG356">
        <v>1003</v>
      </c>
      <c r="AH356">
        <v>2293</v>
      </c>
    </row>
    <row r="357" spans="1:34" hidden="1">
      <c r="A357" s="38" t="s">
        <v>1508</v>
      </c>
      <c r="B357" s="38">
        <v>0</v>
      </c>
      <c r="C357" s="38">
        <v>0</v>
      </c>
      <c r="D357" s="38">
        <v>0</v>
      </c>
      <c r="E357" s="38">
        <v>0</v>
      </c>
      <c r="F357" s="38">
        <v>0</v>
      </c>
      <c r="G357" s="38">
        <v>7</v>
      </c>
      <c r="H357" s="38">
        <v>2458</v>
      </c>
      <c r="I357" s="38">
        <v>1177</v>
      </c>
      <c r="J357" s="38">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1177</v>
      </c>
      <c r="AE357" s="18">
        <v>1050</v>
      </c>
      <c r="AF357">
        <v>3313</v>
      </c>
      <c r="AG357">
        <v>647</v>
      </c>
      <c r="AH357">
        <v>2596</v>
      </c>
    </row>
    <row r="358" spans="1:34" hidden="1">
      <c r="A358" s="38" t="s">
        <v>1583</v>
      </c>
      <c r="B358" s="38">
        <v>0</v>
      </c>
      <c r="C358" s="38">
        <v>0</v>
      </c>
      <c r="D358" s="38">
        <v>0</v>
      </c>
      <c r="E358" s="38">
        <v>0</v>
      </c>
      <c r="F358" s="38">
        <v>0</v>
      </c>
      <c r="G358" s="38">
        <v>1446</v>
      </c>
      <c r="H358" s="38">
        <v>2491</v>
      </c>
      <c r="I358" s="38">
        <v>3474</v>
      </c>
      <c r="J358" s="38">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1185</v>
      </c>
      <c r="AE358" s="18">
        <v>1164</v>
      </c>
      <c r="AF358">
        <v>2760</v>
      </c>
      <c r="AG358">
        <v>1126</v>
      </c>
      <c r="AH358">
        <v>2712</v>
      </c>
    </row>
    <row r="359" spans="1:34" hidden="1">
      <c r="A359" s="38" t="s">
        <v>1782</v>
      </c>
      <c r="B359" s="38">
        <v>0</v>
      </c>
      <c r="C359" s="38">
        <v>0</v>
      </c>
      <c r="D359" s="38">
        <v>0</v>
      </c>
      <c r="E359" s="38">
        <v>0</v>
      </c>
      <c r="F359" s="38">
        <v>0</v>
      </c>
      <c r="G359" s="38">
        <v>1785</v>
      </c>
      <c r="H359" s="38">
        <v>1444</v>
      </c>
      <c r="I359" s="38">
        <v>1189</v>
      </c>
      <c r="J359" s="38">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6" t="s">
        <v>1231</v>
      </c>
      <c r="AE359" s="18">
        <v>1206</v>
      </c>
      <c r="AF359">
        <v>5369</v>
      </c>
      <c r="AG359">
        <v>679</v>
      </c>
      <c r="AH359">
        <v>3541</v>
      </c>
    </row>
    <row r="360" spans="1:34" hidden="1">
      <c r="A360" s="38" t="s">
        <v>151</v>
      </c>
      <c r="B360" s="38">
        <v>0</v>
      </c>
      <c r="C360" s="38">
        <v>0</v>
      </c>
      <c r="D360" s="38">
        <v>0</v>
      </c>
      <c r="E360" s="38">
        <v>0</v>
      </c>
      <c r="F360" s="38">
        <v>0</v>
      </c>
      <c r="G360" s="38">
        <v>0</v>
      </c>
      <c r="H360" s="38">
        <v>0</v>
      </c>
      <c r="I360" s="38">
        <v>762</v>
      </c>
      <c r="J360" s="38">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2" t="s">
        <v>992</v>
      </c>
      <c r="AE360" s="18">
        <v>2452</v>
      </c>
      <c r="AF360">
        <v>11987</v>
      </c>
      <c r="AG360">
        <v>2540</v>
      </c>
      <c r="AH360">
        <v>11724</v>
      </c>
    </row>
    <row r="361" spans="1:34" hidden="1">
      <c r="A361" s="38" t="s">
        <v>439</v>
      </c>
      <c r="B361" s="38">
        <v>0</v>
      </c>
      <c r="C361" s="38">
        <v>0</v>
      </c>
      <c r="D361" s="38">
        <v>0</v>
      </c>
      <c r="E361" s="38">
        <v>0</v>
      </c>
      <c r="F361" s="38">
        <v>0</v>
      </c>
      <c r="G361" s="38">
        <v>7630</v>
      </c>
      <c r="H361" s="38">
        <v>2562</v>
      </c>
      <c r="I361" s="38">
        <v>2152</v>
      </c>
      <c r="J361" s="38">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6" t="s">
        <v>1175</v>
      </c>
      <c r="AE361" s="18">
        <v>1081</v>
      </c>
      <c r="AF361">
        <v>2997</v>
      </c>
      <c r="AG361">
        <v>1041</v>
      </c>
      <c r="AH361">
        <v>2820</v>
      </c>
    </row>
    <row r="362" spans="1:34" hidden="1">
      <c r="A362" s="38" t="s">
        <v>1179</v>
      </c>
      <c r="B362" s="38">
        <v>0</v>
      </c>
      <c r="C362" s="38">
        <v>0</v>
      </c>
      <c r="D362" s="38">
        <v>0</v>
      </c>
      <c r="E362" s="38">
        <v>0</v>
      </c>
      <c r="F362" s="38">
        <v>0</v>
      </c>
      <c r="G362" s="38">
        <v>260</v>
      </c>
      <c r="H362" s="38">
        <v>228</v>
      </c>
      <c r="I362" s="38">
        <v>499</v>
      </c>
      <c r="J362" s="38">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1181</v>
      </c>
      <c r="AE362" s="18">
        <v>2435</v>
      </c>
      <c r="AF362">
        <v>9302</v>
      </c>
      <c r="AG362">
        <v>3143</v>
      </c>
      <c r="AH362">
        <v>11288</v>
      </c>
    </row>
    <row r="363" spans="1:34" hidden="1">
      <c r="A363" s="38" t="s">
        <v>1783</v>
      </c>
      <c r="B363" s="38">
        <v>0</v>
      </c>
      <c r="C363" s="38">
        <v>0</v>
      </c>
      <c r="D363" s="38">
        <v>0</v>
      </c>
      <c r="E363" s="38">
        <v>74</v>
      </c>
      <c r="F363" s="38">
        <v>732</v>
      </c>
      <c r="G363" s="38">
        <v>2355</v>
      </c>
      <c r="H363" s="38">
        <v>1554</v>
      </c>
      <c r="I363" s="38">
        <v>1083</v>
      </c>
      <c r="J363" s="38">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6" t="s">
        <v>1255</v>
      </c>
      <c r="AE363" s="18">
        <v>932</v>
      </c>
      <c r="AF363">
        <v>2798</v>
      </c>
      <c r="AG363">
        <v>849</v>
      </c>
      <c r="AH363">
        <v>3058</v>
      </c>
    </row>
    <row r="364" spans="1:34" hidden="1">
      <c r="A364" s="38" t="s">
        <v>1784</v>
      </c>
      <c r="B364" s="38">
        <v>0</v>
      </c>
      <c r="C364" s="38">
        <v>0</v>
      </c>
      <c r="D364" s="38">
        <v>0</v>
      </c>
      <c r="E364" s="38">
        <v>66</v>
      </c>
      <c r="F364" s="38">
        <v>40</v>
      </c>
      <c r="G364" s="38">
        <v>147</v>
      </c>
      <c r="H364" s="38">
        <v>138</v>
      </c>
      <c r="I364" s="38">
        <v>116</v>
      </c>
      <c r="J364" s="38">
        <v>178</v>
      </c>
      <c r="K364">
        <v>141</v>
      </c>
      <c r="L364">
        <v>183</v>
      </c>
      <c r="M364">
        <v>0</v>
      </c>
      <c r="N364">
        <v>61</v>
      </c>
      <c r="O364">
        <v>0</v>
      </c>
      <c r="P364">
        <v>0</v>
      </c>
      <c r="Q364">
        <v>0</v>
      </c>
      <c r="R364">
        <v>18</v>
      </c>
      <c r="S364">
        <v>12</v>
      </c>
      <c r="T364">
        <v>25</v>
      </c>
      <c r="U364">
        <v>31</v>
      </c>
      <c r="V364">
        <v>27</v>
      </c>
      <c r="W364">
        <v>45</v>
      </c>
      <c r="X364">
        <v>28</v>
      </c>
      <c r="Y364">
        <v>68</v>
      </c>
      <c r="Z364">
        <v>0</v>
      </c>
      <c r="AA364">
        <v>26</v>
      </c>
      <c r="AD364" s="36" t="s">
        <v>1156</v>
      </c>
      <c r="AE364" s="18">
        <v>2202</v>
      </c>
      <c r="AF364">
        <v>6672</v>
      </c>
      <c r="AG364">
        <v>1648</v>
      </c>
      <c r="AH364">
        <v>5181</v>
      </c>
    </row>
    <row r="365" spans="1:34" hidden="1">
      <c r="A365" s="38" t="s">
        <v>415</v>
      </c>
      <c r="B365" s="38">
        <v>0</v>
      </c>
      <c r="C365" s="38">
        <v>0</v>
      </c>
      <c r="D365" s="38">
        <v>0</v>
      </c>
      <c r="E365" s="38">
        <v>216</v>
      </c>
      <c r="F365" s="38">
        <v>572</v>
      </c>
      <c r="G365" s="38">
        <v>531</v>
      </c>
      <c r="H365" s="38">
        <v>442</v>
      </c>
      <c r="I365" s="38">
        <v>923</v>
      </c>
      <c r="J365" s="38">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1125</v>
      </c>
      <c r="AE365" s="18">
        <v>1002</v>
      </c>
      <c r="AF365">
        <v>3000</v>
      </c>
      <c r="AG365">
        <v>1090</v>
      </c>
      <c r="AH365">
        <v>3750</v>
      </c>
    </row>
    <row r="366" spans="1:34" hidden="1">
      <c r="A366" s="38" t="s">
        <v>1785</v>
      </c>
      <c r="B366" s="38">
        <v>0</v>
      </c>
      <c r="C366" s="38">
        <v>0</v>
      </c>
      <c r="D366" s="38">
        <v>0</v>
      </c>
      <c r="E366" s="38">
        <v>0</v>
      </c>
      <c r="F366" s="38">
        <v>0</v>
      </c>
      <c r="G366" s="38">
        <v>0</v>
      </c>
      <c r="H366" s="38">
        <v>0</v>
      </c>
      <c r="I366" s="38">
        <v>0</v>
      </c>
      <c r="J366" s="38">
        <v>187</v>
      </c>
      <c r="K366">
        <v>988</v>
      </c>
      <c r="L366">
        <v>532</v>
      </c>
      <c r="M366">
        <v>680</v>
      </c>
      <c r="N366">
        <v>0</v>
      </c>
      <c r="O366">
        <v>0</v>
      </c>
      <c r="P366">
        <v>0</v>
      </c>
      <c r="Q366">
        <v>0</v>
      </c>
      <c r="R366">
        <v>0</v>
      </c>
      <c r="S366">
        <v>0</v>
      </c>
      <c r="T366">
        <v>0</v>
      </c>
      <c r="U366">
        <v>0</v>
      </c>
      <c r="V366">
        <v>0</v>
      </c>
      <c r="W366">
        <v>38</v>
      </c>
      <c r="X366">
        <v>121</v>
      </c>
      <c r="Y366">
        <v>86</v>
      </c>
      <c r="Z366">
        <v>89</v>
      </c>
      <c r="AA366">
        <v>0</v>
      </c>
      <c r="AD366" s="26" t="s">
        <v>1216</v>
      </c>
      <c r="AE366" s="18">
        <v>871</v>
      </c>
      <c r="AF366">
        <v>3124</v>
      </c>
      <c r="AG366">
        <v>1337</v>
      </c>
      <c r="AH366">
        <v>4374</v>
      </c>
    </row>
    <row r="367" spans="1:34" hidden="1">
      <c r="A367" s="38" t="s">
        <v>600</v>
      </c>
      <c r="B367" s="38">
        <v>0</v>
      </c>
      <c r="C367" s="38">
        <v>0</v>
      </c>
      <c r="D367" s="38">
        <v>0</v>
      </c>
      <c r="E367" s="38">
        <v>0</v>
      </c>
      <c r="F367" s="38">
        <v>0</v>
      </c>
      <c r="G367" s="38">
        <v>0</v>
      </c>
      <c r="H367" s="38">
        <v>0</v>
      </c>
      <c r="I367" s="38">
        <v>15</v>
      </c>
      <c r="J367" s="38">
        <v>282</v>
      </c>
      <c r="K367">
        <v>279</v>
      </c>
      <c r="L367">
        <v>175</v>
      </c>
      <c r="M367">
        <v>310</v>
      </c>
      <c r="N367">
        <v>457</v>
      </c>
      <c r="O367">
        <v>0</v>
      </c>
      <c r="P367">
        <v>0</v>
      </c>
      <c r="Q367">
        <v>0</v>
      </c>
      <c r="R367">
        <v>0</v>
      </c>
      <c r="S367">
        <v>0</v>
      </c>
      <c r="T367">
        <v>0</v>
      </c>
      <c r="U367">
        <v>0</v>
      </c>
      <c r="V367">
        <v>0</v>
      </c>
      <c r="W367">
        <v>50</v>
      </c>
      <c r="X367">
        <v>47</v>
      </c>
      <c r="Y367">
        <v>22</v>
      </c>
      <c r="Z367">
        <v>38</v>
      </c>
      <c r="AA367">
        <v>72</v>
      </c>
      <c r="AE367" s="18"/>
    </row>
    <row r="368" spans="1:34" hidden="1">
      <c r="A368" s="38" t="s">
        <v>161</v>
      </c>
      <c r="B368" s="38">
        <v>0</v>
      </c>
      <c r="C368" s="38">
        <v>0</v>
      </c>
      <c r="D368" s="38">
        <v>0</v>
      </c>
      <c r="E368" s="38">
        <v>0</v>
      </c>
      <c r="F368" s="38">
        <v>0</v>
      </c>
      <c r="G368" s="38">
        <v>0</v>
      </c>
      <c r="H368" s="38">
        <v>0</v>
      </c>
      <c r="I368" s="38">
        <v>3</v>
      </c>
      <c r="J368" s="38">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8"/>
    </row>
    <row r="369" spans="1:34" hidden="1">
      <c r="A369" s="38" t="s">
        <v>517</v>
      </c>
      <c r="B369" s="38">
        <v>0</v>
      </c>
      <c r="C369" s="38">
        <v>0</v>
      </c>
      <c r="D369" s="38">
        <v>0</v>
      </c>
      <c r="E369" s="38">
        <v>0</v>
      </c>
      <c r="F369" s="38">
        <v>0</v>
      </c>
      <c r="G369" s="38">
        <v>0</v>
      </c>
      <c r="H369" s="38">
        <v>0</v>
      </c>
      <c r="I369" s="38">
        <v>0</v>
      </c>
      <c r="J369" s="38">
        <v>0</v>
      </c>
      <c r="K369">
        <v>89</v>
      </c>
      <c r="L369">
        <v>1099</v>
      </c>
      <c r="M369">
        <v>901</v>
      </c>
      <c r="N369">
        <v>1775</v>
      </c>
      <c r="O369">
        <v>0</v>
      </c>
      <c r="P369">
        <v>0</v>
      </c>
      <c r="Q369">
        <v>0</v>
      </c>
      <c r="R369">
        <v>0</v>
      </c>
      <c r="S369">
        <v>0</v>
      </c>
      <c r="T369">
        <v>0</v>
      </c>
      <c r="U369">
        <v>0</v>
      </c>
      <c r="V369">
        <v>0</v>
      </c>
      <c r="W369">
        <v>0</v>
      </c>
      <c r="X369">
        <v>24</v>
      </c>
      <c r="Y369">
        <v>339</v>
      </c>
      <c r="Z369">
        <v>137</v>
      </c>
      <c r="AA369">
        <v>370</v>
      </c>
      <c r="AE369" s="18"/>
    </row>
    <row r="370" spans="1:34" hidden="1">
      <c r="A370" s="38" t="s">
        <v>682</v>
      </c>
      <c r="B370" s="38">
        <v>0</v>
      </c>
      <c r="C370" s="38">
        <v>0</v>
      </c>
      <c r="D370" s="38">
        <v>0</v>
      </c>
      <c r="E370" s="38">
        <v>0</v>
      </c>
      <c r="F370" s="38">
        <v>0</v>
      </c>
      <c r="G370" s="38">
        <v>0</v>
      </c>
      <c r="H370" s="38">
        <v>0</v>
      </c>
      <c r="I370" s="38">
        <v>1854</v>
      </c>
      <c r="J370" s="38">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8"/>
    </row>
    <row r="371" spans="1:34" hidden="1">
      <c r="A371" s="38" t="s">
        <v>307</v>
      </c>
      <c r="B371" s="38">
        <v>0</v>
      </c>
      <c r="C371" s="38">
        <v>0</v>
      </c>
      <c r="D371" s="38">
        <v>0</v>
      </c>
      <c r="E371" s="38">
        <v>0</v>
      </c>
      <c r="F371" s="38">
        <v>0</v>
      </c>
      <c r="G371" s="38">
        <v>0</v>
      </c>
      <c r="H371" s="38">
        <v>18</v>
      </c>
      <c r="I371" s="38">
        <v>1584</v>
      </c>
      <c r="J371" s="38">
        <v>722</v>
      </c>
      <c r="K371">
        <v>2957</v>
      </c>
      <c r="L371">
        <v>3729</v>
      </c>
      <c r="M371">
        <v>1711</v>
      </c>
      <c r="N371">
        <v>4745</v>
      </c>
      <c r="O371">
        <v>0</v>
      </c>
      <c r="P371">
        <v>0</v>
      </c>
      <c r="Q371">
        <v>0</v>
      </c>
      <c r="R371">
        <v>0</v>
      </c>
      <c r="S371">
        <v>0</v>
      </c>
      <c r="T371">
        <v>0</v>
      </c>
      <c r="U371">
        <v>0</v>
      </c>
      <c r="V371">
        <v>24</v>
      </c>
      <c r="W371">
        <v>20</v>
      </c>
      <c r="X371">
        <v>87</v>
      </c>
      <c r="Y371">
        <v>66</v>
      </c>
      <c r="Z371">
        <v>67</v>
      </c>
      <c r="AA371">
        <v>201</v>
      </c>
      <c r="AE371" s="18"/>
    </row>
    <row r="372" spans="1:34" hidden="1">
      <c r="A372" s="38" t="s">
        <v>584</v>
      </c>
      <c r="B372" s="38">
        <v>0</v>
      </c>
      <c r="C372" s="38">
        <v>0</v>
      </c>
      <c r="D372" s="38">
        <v>0</v>
      </c>
      <c r="E372" s="38">
        <v>0</v>
      </c>
      <c r="F372" s="38">
        <v>0</v>
      </c>
      <c r="G372" s="38">
        <v>0</v>
      </c>
      <c r="H372" s="38">
        <v>0</v>
      </c>
      <c r="I372" s="38">
        <v>169</v>
      </c>
      <c r="J372" s="38">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8"/>
    </row>
    <row r="373" spans="1:34" hidden="1">
      <c r="A373" s="38" t="s">
        <v>551</v>
      </c>
      <c r="B373" s="38">
        <v>0</v>
      </c>
      <c r="C373" s="38">
        <v>0</v>
      </c>
      <c r="D373" s="38">
        <v>0</v>
      </c>
      <c r="E373" s="38">
        <v>0</v>
      </c>
      <c r="F373" s="38">
        <v>0</v>
      </c>
      <c r="G373" s="38">
        <v>0</v>
      </c>
      <c r="H373" s="38">
        <v>0</v>
      </c>
      <c r="I373" s="38">
        <v>0</v>
      </c>
      <c r="J373" s="38">
        <v>0</v>
      </c>
      <c r="K373">
        <v>1</v>
      </c>
      <c r="L373">
        <v>432</v>
      </c>
      <c r="M373">
        <v>794</v>
      </c>
      <c r="N373">
        <v>1176</v>
      </c>
      <c r="O373">
        <v>0</v>
      </c>
      <c r="P373">
        <v>0</v>
      </c>
      <c r="Q373">
        <v>0</v>
      </c>
      <c r="R373">
        <v>0</v>
      </c>
      <c r="S373">
        <v>0</v>
      </c>
      <c r="T373">
        <v>0</v>
      </c>
      <c r="U373">
        <v>0</v>
      </c>
      <c r="V373">
        <v>0</v>
      </c>
      <c r="W373">
        <v>0</v>
      </c>
      <c r="X373">
        <v>0</v>
      </c>
      <c r="Y373">
        <v>153</v>
      </c>
      <c r="Z373">
        <v>202</v>
      </c>
      <c r="AA373">
        <v>338</v>
      </c>
      <c r="AE373" s="18"/>
    </row>
    <row r="374" spans="1:34" hidden="1">
      <c r="A374" s="38" t="s">
        <v>656</v>
      </c>
      <c r="B374" s="38">
        <v>0</v>
      </c>
      <c r="C374" s="38">
        <v>0</v>
      </c>
      <c r="D374" s="38">
        <v>0</v>
      </c>
      <c r="E374" s="38">
        <v>0</v>
      </c>
      <c r="F374" s="38">
        <v>0</v>
      </c>
      <c r="G374" s="38">
        <v>0</v>
      </c>
      <c r="H374" s="38">
        <v>0</v>
      </c>
      <c r="I374" s="38">
        <v>699</v>
      </c>
      <c r="J374" s="38">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8"/>
    </row>
    <row r="375" spans="1:34" hidden="1">
      <c r="A375" s="38" t="s">
        <v>713</v>
      </c>
      <c r="B375" s="38">
        <v>0</v>
      </c>
      <c r="C375" s="38">
        <v>0</v>
      </c>
      <c r="D375" s="38">
        <v>0</v>
      </c>
      <c r="E375" s="38">
        <v>0</v>
      </c>
      <c r="F375" s="38">
        <v>0</v>
      </c>
      <c r="G375" s="38">
        <v>0</v>
      </c>
      <c r="H375" s="38">
        <v>0</v>
      </c>
      <c r="I375" s="38">
        <v>0</v>
      </c>
      <c r="J375" s="38">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1709</v>
      </c>
      <c r="AE375" s="18">
        <v>0</v>
      </c>
      <c r="AF375">
        <v>204</v>
      </c>
      <c r="AG375">
        <v>0</v>
      </c>
      <c r="AH375">
        <v>319</v>
      </c>
    </row>
    <row r="376" spans="1:34" hidden="1">
      <c r="A376" s="38" t="s">
        <v>638</v>
      </c>
      <c r="B376" s="38">
        <v>0</v>
      </c>
      <c r="C376" s="38">
        <v>0</v>
      </c>
      <c r="D376" s="38">
        <v>0</v>
      </c>
      <c r="E376" s="38">
        <v>0</v>
      </c>
      <c r="F376" s="38">
        <v>0</v>
      </c>
      <c r="G376" s="38">
        <v>0</v>
      </c>
      <c r="H376" s="38">
        <v>0</v>
      </c>
      <c r="I376" s="38">
        <v>0</v>
      </c>
      <c r="J376" s="38">
        <v>0</v>
      </c>
      <c r="K376">
        <v>199</v>
      </c>
      <c r="L376">
        <v>944</v>
      </c>
      <c r="M376">
        <v>1775</v>
      </c>
      <c r="N376">
        <v>2660</v>
      </c>
      <c r="O376">
        <v>0</v>
      </c>
      <c r="P376">
        <v>0</v>
      </c>
      <c r="Q376">
        <v>0</v>
      </c>
      <c r="R376">
        <v>0</v>
      </c>
      <c r="S376">
        <v>0</v>
      </c>
      <c r="T376">
        <v>0</v>
      </c>
      <c r="U376">
        <v>0</v>
      </c>
      <c r="V376">
        <v>0</v>
      </c>
      <c r="W376">
        <v>0</v>
      </c>
      <c r="X376">
        <v>36</v>
      </c>
      <c r="Y376">
        <v>154</v>
      </c>
      <c r="Z376">
        <v>291</v>
      </c>
      <c r="AA376">
        <v>400</v>
      </c>
      <c r="AD376" t="s">
        <v>1583</v>
      </c>
      <c r="AE376" s="18">
        <v>3508</v>
      </c>
      <c r="AF376">
        <v>15392</v>
      </c>
      <c r="AG376">
        <v>3259</v>
      </c>
      <c r="AH376">
        <v>13188</v>
      </c>
    </row>
    <row r="377" spans="1:34" hidden="1">
      <c r="A377" s="38" t="s">
        <v>1763</v>
      </c>
      <c r="B377" s="38">
        <v>0</v>
      </c>
      <c r="C377" s="38">
        <v>0</v>
      </c>
      <c r="D377" s="38">
        <v>0</v>
      </c>
      <c r="E377" s="38">
        <v>0</v>
      </c>
      <c r="F377" s="38">
        <v>0</v>
      </c>
      <c r="G377" s="38">
        <v>0</v>
      </c>
      <c r="H377" s="38">
        <v>0</v>
      </c>
      <c r="I377" s="38">
        <v>0</v>
      </c>
      <c r="J377" s="38">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1561</v>
      </c>
      <c r="AE377" s="18">
        <v>4183</v>
      </c>
      <c r="AF377">
        <v>8194</v>
      </c>
      <c r="AG377">
        <v>4580</v>
      </c>
      <c r="AH377">
        <v>8690</v>
      </c>
    </row>
    <row r="378" spans="1:34" hidden="1">
      <c r="A378" s="38" t="s">
        <v>153</v>
      </c>
      <c r="B378" s="38">
        <v>0</v>
      </c>
      <c r="C378" s="38">
        <v>0</v>
      </c>
      <c r="D378" s="38">
        <v>0</v>
      </c>
      <c r="E378" s="38">
        <v>0</v>
      </c>
      <c r="F378" s="38">
        <v>0</v>
      </c>
      <c r="G378" s="38">
        <v>0</v>
      </c>
      <c r="H378" s="38">
        <v>0</v>
      </c>
      <c r="I378" s="38">
        <v>0</v>
      </c>
      <c r="J378" s="38">
        <v>0</v>
      </c>
      <c r="K378">
        <v>365</v>
      </c>
      <c r="L378">
        <v>961</v>
      </c>
      <c r="M378">
        <v>851</v>
      </c>
      <c r="N378">
        <v>1606</v>
      </c>
      <c r="O378">
        <v>0</v>
      </c>
      <c r="P378">
        <v>0</v>
      </c>
      <c r="Q378">
        <v>0</v>
      </c>
      <c r="R378">
        <v>0</v>
      </c>
      <c r="S378">
        <v>0</v>
      </c>
      <c r="T378">
        <v>0</v>
      </c>
      <c r="U378">
        <v>0</v>
      </c>
      <c r="V378">
        <v>0</v>
      </c>
      <c r="W378">
        <v>0</v>
      </c>
      <c r="X378">
        <v>73</v>
      </c>
      <c r="Y378">
        <v>253</v>
      </c>
      <c r="Z378">
        <v>222</v>
      </c>
      <c r="AA378">
        <v>355</v>
      </c>
      <c r="AD378" t="s">
        <v>1542</v>
      </c>
      <c r="AE378" s="18">
        <v>2357</v>
      </c>
      <c r="AF378">
        <v>9489</v>
      </c>
      <c r="AG378">
        <v>2852</v>
      </c>
      <c r="AH378">
        <v>12715</v>
      </c>
    </row>
    <row r="379" spans="1:34" hidden="1">
      <c r="A379" s="38" t="s">
        <v>1786</v>
      </c>
      <c r="B379" s="38">
        <v>0</v>
      </c>
      <c r="C379" s="38">
        <v>0</v>
      </c>
      <c r="D379" s="38">
        <v>0</v>
      </c>
      <c r="E379" s="38">
        <v>0</v>
      </c>
      <c r="F379" s="38">
        <v>0</v>
      </c>
      <c r="G379" s="38">
        <v>1321</v>
      </c>
      <c r="H379" s="38">
        <v>2615</v>
      </c>
      <c r="I379" s="38">
        <v>2472</v>
      </c>
      <c r="J379" s="38">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1523</v>
      </c>
      <c r="AE379" s="18">
        <v>1605</v>
      </c>
      <c r="AF379">
        <v>3876</v>
      </c>
      <c r="AG379">
        <v>1204</v>
      </c>
      <c r="AH379">
        <v>3437</v>
      </c>
    </row>
    <row r="380" spans="1:34" hidden="1">
      <c r="A380" s="38" t="s">
        <v>1200</v>
      </c>
      <c r="B380" s="38">
        <v>0</v>
      </c>
      <c r="C380" s="38">
        <v>0</v>
      </c>
      <c r="D380" s="38">
        <v>0</v>
      </c>
      <c r="E380" s="38">
        <v>0</v>
      </c>
      <c r="F380" s="38">
        <v>0</v>
      </c>
      <c r="G380" s="38">
        <v>0</v>
      </c>
      <c r="H380" s="38">
        <v>0</v>
      </c>
      <c r="I380" s="38">
        <v>0</v>
      </c>
      <c r="J380" s="38">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1563</v>
      </c>
      <c r="AE380" s="18">
        <v>1961</v>
      </c>
      <c r="AF380">
        <v>6052</v>
      </c>
      <c r="AG380">
        <v>1504</v>
      </c>
      <c r="AH380">
        <v>4817</v>
      </c>
    </row>
    <row r="381" spans="1:34" hidden="1">
      <c r="A381" s="38" t="s">
        <v>970</v>
      </c>
      <c r="B381" s="38">
        <v>0</v>
      </c>
      <c r="C381" s="38">
        <v>0</v>
      </c>
      <c r="D381" s="38">
        <v>0</v>
      </c>
      <c r="E381" s="38">
        <v>0</v>
      </c>
      <c r="F381" s="38">
        <v>0</v>
      </c>
      <c r="G381" s="38">
        <v>0</v>
      </c>
      <c r="H381" s="38">
        <v>0</v>
      </c>
      <c r="I381" s="38">
        <v>0</v>
      </c>
      <c r="J381" s="38">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1568</v>
      </c>
      <c r="AE381" s="18">
        <v>2820</v>
      </c>
      <c r="AF381">
        <v>8999</v>
      </c>
      <c r="AG381">
        <v>3060</v>
      </c>
      <c r="AH381">
        <v>10194</v>
      </c>
    </row>
    <row r="382" spans="1:34" hidden="1">
      <c r="A382" s="38" t="s">
        <v>1028</v>
      </c>
      <c r="B382" s="38">
        <v>0</v>
      </c>
      <c r="C382" s="38">
        <v>0</v>
      </c>
      <c r="D382" s="38">
        <v>0</v>
      </c>
      <c r="E382" s="38">
        <v>0</v>
      </c>
      <c r="F382" s="38">
        <v>0</v>
      </c>
      <c r="G382" s="38">
        <v>0</v>
      </c>
      <c r="H382" s="38">
        <v>0</v>
      </c>
      <c r="I382" s="38">
        <v>0</v>
      </c>
      <c r="J382" s="38">
        <v>0</v>
      </c>
      <c r="K382">
        <v>75</v>
      </c>
      <c r="L382">
        <v>647</v>
      </c>
      <c r="M382">
        <v>1370</v>
      </c>
      <c r="N382">
        <v>949</v>
      </c>
      <c r="O382">
        <v>0</v>
      </c>
      <c r="P382">
        <v>0</v>
      </c>
      <c r="Q382">
        <v>0</v>
      </c>
      <c r="R382">
        <v>0</v>
      </c>
      <c r="S382">
        <v>0</v>
      </c>
      <c r="T382">
        <v>0</v>
      </c>
      <c r="U382">
        <v>0</v>
      </c>
      <c r="V382">
        <v>0</v>
      </c>
      <c r="W382">
        <v>0</v>
      </c>
      <c r="X382">
        <v>21</v>
      </c>
      <c r="Y382">
        <v>197</v>
      </c>
      <c r="Z382">
        <v>381</v>
      </c>
      <c r="AA382">
        <v>235</v>
      </c>
      <c r="AD382" t="s">
        <v>1550</v>
      </c>
      <c r="AE382" s="18">
        <v>4202</v>
      </c>
      <c r="AF382">
        <v>11724</v>
      </c>
      <c r="AG382">
        <v>3828</v>
      </c>
      <c r="AH382">
        <v>10399</v>
      </c>
    </row>
    <row r="383" spans="1:34" hidden="1">
      <c r="A383" s="38" t="s">
        <v>1173</v>
      </c>
      <c r="B383" s="38">
        <v>0</v>
      </c>
      <c r="C383" s="38">
        <v>0</v>
      </c>
      <c r="D383" s="38">
        <v>0</v>
      </c>
      <c r="E383" s="38">
        <v>0</v>
      </c>
      <c r="F383" s="38">
        <v>0</v>
      </c>
      <c r="G383" s="38">
        <v>0</v>
      </c>
      <c r="H383" s="38">
        <v>0</v>
      </c>
      <c r="I383" s="38">
        <v>0</v>
      </c>
      <c r="J383" s="38">
        <v>19</v>
      </c>
      <c r="K383">
        <v>317</v>
      </c>
      <c r="L383">
        <v>353</v>
      </c>
      <c r="M383">
        <v>423</v>
      </c>
      <c r="N383">
        <v>836</v>
      </c>
      <c r="O383">
        <v>0</v>
      </c>
      <c r="P383">
        <v>0</v>
      </c>
      <c r="Q383">
        <v>0</v>
      </c>
      <c r="R383">
        <v>0</v>
      </c>
      <c r="S383">
        <v>0</v>
      </c>
      <c r="T383">
        <v>0</v>
      </c>
      <c r="U383">
        <v>0</v>
      </c>
      <c r="V383">
        <v>0</v>
      </c>
      <c r="W383">
        <v>4</v>
      </c>
      <c r="X383">
        <v>83</v>
      </c>
      <c r="Y383">
        <v>89</v>
      </c>
      <c r="Z383">
        <v>101</v>
      </c>
      <c r="AA383">
        <v>231</v>
      </c>
      <c r="AD383" t="s">
        <v>1395</v>
      </c>
      <c r="AE383" s="18">
        <v>706</v>
      </c>
      <c r="AF383">
        <v>2687</v>
      </c>
      <c r="AG383">
        <v>665</v>
      </c>
      <c r="AH383">
        <v>2636</v>
      </c>
    </row>
    <row r="384" spans="1:34" hidden="1">
      <c r="A384" s="38" t="s">
        <v>1787</v>
      </c>
      <c r="B384" s="38">
        <v>0</v>
      </c>
      <c r="C384" s="38">
        <v>0</v>
      </c>
      <c r="D384" s="38">
        <v>0</v>
      </c>
      <c r="E384" s="38">
        <v>0</v>
      </c>
      <c r="F384" s="38">
        <v>0</v>
      </c>
      <c r="G384" s="38">
        <v>0</v>
      </c>
      <c r="H384" s="38">
        <v>0</v>
      </c>
      <c r="I384" s="38">
        <v>729</v>
      </c>
      <c r="J384" s="38">
        <v>77</v>
      </c>
      <c r="K384">
        <v>36</v>
      </c>
      <c r="L384">
        <v>48</v>
      </c>
      <c r="M384">
        <v>9</v>
      </c>
      <c r="N384">
        <v>13</v>
      </c>
      <c r="O384">
        <v>0</v>
      </c>
      <c r="P384">
        <v>0</v>
      </c>
      <c r="Q384">
        <v>0</v>
      </c>
      <c r="R384">
        <v>0</v>
      </c>
      <c r="S384">
        <v>0</v>
      </c>
      <c r="T384">
        <v>0</v>
      </c>
      <c r="U384">
        <v>0</v>
      </c>
      <c r="V384">
        <v>0</v>
      </c>
      <c r="W384">
        <v>0</v>
      </c>
      <c r="X384">
        <v>0</v>
      </c>
      <c r="Y384">
        <v>0</v>
      </c>
      <c r="Z384">
        <v>0</v>
      </c>
      <c r="AA384">
        <v>0</v>
      </c>
      <c r="AD384" t="s">
        <v>1488</v>
      </c>
      <c r="AE384" s="18">
        <v>1460</v>
      </c>
      <c r="AF384">
        <v>5677</v>
      </c>
      <c r="AG384">
        <v>1391</v>
      </c>
      <c r="AH384">
        <v>5239</v>
      </c>
    </row>
    <row r="385" spans="1:34" hidden="1">
      <c r="A385" s="38" t="s">
        <v>1788</v>
      </c>
      <c r="B385" s="38">
        <v>0</v>
      </c>
      <c r="C385" s="38">
        <v>0</v>
      </c>
      <c r="D385" s="38">
        <v>0</v>
      </c>
      <c r="E385" s="38">
        <v>0</v>
      </c>
      <c r="F385" s="38">
        <v>0</v>
      </c>
      <c r="G385" s="38">
        <v>0</v>
      </c>
      <c r="H385" s="38">
        <v>0</v>
      </c>
      <c r="I385" s="38">
        <v>1351</v>
      </c>
      <c r="J385" s="38">
        <v>465</v>
      </c>
      <c r="K385">
        <v>306</v>
      </c>
      <c r="L385">
        <v>240</v>
      </c>
      <c r="M385">
        <v>151</v>
      </c>
      <c r="N385">
        <v>102</v>
      </c>
      <c r="O385">
        <v>0</v>
      </c>
      <c r="P385">
        <v>0</v>
      </c>
      <c r="Q385">
        <v>0</v>
      </c>
      <c r="R385">
        <v>0</v>
      </c>
      <c r="S385">
        <v>0</v>
      </c>
      <c r="T385">
        <v>0</v>
      </c>
      <c r="U385">
        <v>0</v>
      </c>
      <c r="V385">
        <v>0</v>
      </c>
      <c r="W385">
        <v>0</v>
      </c>
      <c r="X385">
        <v>0</v>
      </c>
      <c r="Y385">
        <v>0</v>
      </c>
      <c r="Z385">
        <v>0</v>
      </c>
      <c r="AA385">
        <v>0</v>
      </c>
      <c r="AD385" t="s">
        <v>1376</v>
      </c>
      <c r="AE385" s="18">
        <v>871</v>
      </c>
      <c r="AF385">
        <v>2362</v>
      </c>
      <c r="AG385">
        <v>856</v>
      </c>
      <c r="AH385">
        <v>2160</v>
      </c>
    </row>
    <row r="386" spans="1:34" hidden="1">
      <c r="A386" s="38" t="s">
        <v>1546</v>
      </c>
      <c r="B386" s="38">
        <v>0</v>
      </c>
      <c r="C386" s="38">
        <v>0</v>
      </c>
      <c r="D386" s="38">
        <v>0</v>
      </c>
      <c r="E386" s="38">
        <v>0</v>
      </c>
      <c r="F386" s="38">
        <v>0</v>
      </c>
      <c r="G386" s="38">
        <v>0</v>
      </c>
      <c r="H386" s="38">
        <v>0</v>
      </c>
      <c r="I386" s="38">
        <v>0</v>
      </c>
      <c r="J386" s="38">
        <v>0</v>
      </c>
      <c r="K386">
        <v>574</v>
      </c>
      <c r="L386">
        <v>1481</v>
      </c>
      <c r="M386">
        <v>1922</v>
      </c>
      <c r="N386">
        <v>2377</v>
      </c>
      <c r="O386">
        <v>0</v>
      </c>
      <c r="P386">
        <v>0</v>
      </c>
      <c r="Q386">
        <v>0</v>
      </c>
      <c r="R386">
        <v>0</v>
      </c>
      <c r="S386">
        <v>0</v>
      </c>
      <c r="T386">
        <v>0</v>
      </c>
      <c r="U386">
        <v>0</v>
      </c>
      <c r="V386">
        <v>0</v>
      </c>
      <c r="W386">
        <v>0</v>
      </c>
      <c r="X386">
        <v>4</v>
      </c>
      <c r="Y386">
        <v>102</v>
      </c>
      <c r="Z386">
        <v>153</v>
      </c>
      <c r="AA386">
        <v>215</v>
      </c>
      <c r="AD386" t="s">
        <v>1576</v>
      </c>
      <c r="AE386" s="18">
        <v>4871</v>
      </c>
      <c r="AF386">
        <v>10959</v>
      </c>
      <c r="AG386">
        <v>5077</v>
      </c>
      <c r="AH386">
        <v>10868</v>
      </c>
    </row>
    <row r="387" spans="1:34" hidden="1">
      <c r="A387" s="38" t="s">
        <v>1362</v>
      </c>
      <c r="B387" s="38">
        <v>0</v>
      </c>
      <c r="C387" s="38">
        <v>0</v>
      </c>
      <c r="D387" s="38">
        <v>0</v>
      </c>
      <c r="E387" s="38">
        <v>0</v>
      </c>
      <c r="F387" s="38">
        <v>0</v>
      </c>
      <c r="G387" s="38">
        <v>0</v>
      </c>
      <c r="H387" s="38">
        <v>0</v>
      </c>
      <c r="I387" s="38">
        <v>0</v>
      </c>
      <c r="J387" s="38">
        <v>0</v>
      </c>
      <c r="K387">
        <v>8</v>
      </c>
      <c r="L387">
        <v>98</v>
      </c>
      <c r="M387">
        <v>578</v>
      </c>
      <c r="N387">
        <v>559</v>
      </c>
      <c r="O387">
        <v>0</v>
      </c>
      <c r="P387">
        <v>0</v>
      </c>
      <c r="Q387">
        <v>0</v>
      </c>
      <c r="R387">
        <v>0</v>
      </c>
      <c r="S387">
        <v>0</v>
      </c>
      <c r="T387">
        <v>0</v>
      </c>
      <c r="U387">
        <v>0</v>
      </c>
      <c r="V387">
        <v>0</v>
      </c>
      <c r="W387">
        <v>0</v>
      </c>
      <c r="X387">
        <v>0</v>
      </c>
      <c r="Y387">
        <v>15</v>
      </c>
      <c r="Z387">
        <v>78</v>
      </c>
      <c r="AA387">
        <v>75</v>
      </c>
      <c r="AD387" t="s">
        <v>1585</v>
      </c>
      <c r="AE387" s="18">
        <v>10863</v>
      </c>
      <c r="AF387">
        <v>29065</v>
      </c>
      <c r="AG387">
        <v>10681</v>
      </c>
      <c r="AH387">
        <v>28479</v>
      </c>
    </row>
    <row r="388" spans="1:34" hidden="1">
      <c r="A388" s="38" t="s">
        <v>1789</v>
      </c>
      <c r="B388" s="38">
        <v>0</v>
      </c>
      <c r="C388" s="38">
        <v>0</v>
      </c>
      <c r="D388" s="38">
        <v>0</v>
      </c>
      <c r="E388" s="38">
        <v>0</v>
      </c>
      <c r="F388" s="38">
        <v>0</v>
      </c>
      <c r="G388" s="38">
        <v>0</v>
      </c>
      <c r="H388" s="38">
        <v>0</v>
      </c>
      <c r="I388" s="38">
        <v>0</v>
      </c>
      <c r="J388" s="38">
        <v>0</v>
      </c>
      <c r="K388">
        <v>30</v>
      </c>
      <c r="L388">
        <v>119</v>
      </c>
      <c r="M388">
        <v>327</v>
      </c>
      <c r="N388">
        <v>295</v>
      </c>
      <c r="O388">
        <v>0</v>
      </c>
      <c r="P388">
        <v>0</v>
      </c>
      <c r="Q388">
        <v>0</v>
      </c>
      <c r="R388">
        <v>0</v>
      </c>
      <c r="S388">
        <v>0</v>
      </c>
      <c r="T388">
        <v>0</v>
      </c>
      <c r="U388">
        <v>0</v>
      </c>
      <c r="V388">
        <v>0</v>
      </c>
      <c r="W388">
        <v>0</v>
      </c>
      <c r="X388">
        <v>0</v>
      </c>
      <c r="Y388">
        <v>15</v>
      </c>
      <c r="Z388">
        <v>43</v>
      </c>
      <c r="AA388">
        <v>53</v>
      </c>
      <c r="AD388" t="s">
        <v>1447</v>
      </c>
      <c r="AE388" s="18">
        <v>2105</v>
      </c>
      <c r="AF388">
        <v>8662</v>
      </c>
      <c r="AG388">
        <v>1579</v>
      </c>
      <c r="AH388">
        <v>7006</v>
      </c>
    </row>
    <row r="389" spans="1:34" hidden="1">
      <c r="A389" s="38" t="s">
        <v>1790</v>
      </c>
      <c r="B389" s="38">
        <v>0</v>
      </c>
      <c r="C389" s="38">
        <v>0</v>
      </c>
      <c r="D389" s="38">
        <v>0</v>
      </c>
      <c r="E389" s="38">
        <v>0</v>
      </c>
      <c r="F389" s="38">
        <v>0</v>
      </c>
      <c r="G389" s="38">
        <v>0</v>
      </c>
      <c r="H389" s="38">
        <v>0</v>
      </c>
      <c r="I389" s="38">
        <v>1661</v>
      </c>
      <c r="J389" s="38">
        <v>427</v>
      </c>
      <c r="K389">
        <v>205</v>
      </c>
      <c r="L389">
        <v>301</v>
      </c>
      <c r="M389">
        <v>64</v>
      </c>
      <c r="N389">
        <v>36</v>
      </c>
      <c r="O389">
        <v>0</v>
      </c>
      <c r="P389">
        <v>0</v>
      </c>
      <c r="Q389">
        <v>0</v>
      </c>
      <c r="R389">
        <v>0</v>
      </c>
      <c r="S389">
        <v>0</v>
      </c>
      <c r="T389">
        <v>0</v>
      </c>
      <c r="U389">
        <v>0</v>
      </c>
      <c r="V389">
        <v>0</v>
      </c>
      <c r="W389">
        <v>0</v>
      </c>
      <c r="X389">
        <v>0</v>
      </c>
      <c r="Y389">
        <v>0</v>
      </c>
      <c r="Z389">
        <v>0</v>
      </c>
      <c r="AA389">
        <v>0</v>
      </c>
      <c r="AD389" t="s">
        <v>1518</v>
      </c>
      <c r="AE389" s="18">
        <v>1161</v>
      </c>
      <c r="AF389">
        <v>2977</v>
      </c>
      <c r="AG389">
        <v>1190</v>
      </c>
      <c r="AH389">
        <v>3629</v>
      </c>
    </row>
    <row r="390" spans="1:34" hidden="1">
      <c r="A390" s="38" t="s">
        <v>1791</v>
      </c>
      <c r="B390" s="38">
        <v>0</v>
      </c>
      <c r="C390" s="38">
        <v>0</v>
      </c>
      <c r="D390" s="38">
        <v>0</v>
      </c>
      <c r="E390" s="38">
        <v>0</v>
      </c>
      <c r="F390" s="38">
        <v>0</v>
      </c>
      <c r="G390" s="38">
        <v>0</v>
      </c>
      <c r="H390" s="38">
        <v>0</v>
      </c>
      <c r="I390" s="38">
        <v>1163</v>
      </c>
      <c r="J390" s="38">
        <v>215</v>
      </c>
      <c r="K390">
        <v>165</v>
      </c>
      <c r="L390">
        <v>57</v>
      </c>
      <c r="M390">
        <v>28</v>
      </c>
      <c r="N390">
        <v>50</v>
      </c>
      <c r="O390">
        <v>0</v>
      </c>
      <c r="P390">
        <v>0</v>
      </c>
      <c r="Q390">
        <v>0</v>
      </c>
      <c r="R390">
        <v>0</v>
      </c>
      <c r="S390">
        <v>0</v>
      </c>
      <c r="T390">
        <v>0</v>
      </c>
      <c r="U390">
        <v>0</v>
      </c>
      <c r="V390">
        <v>0</v>
      </c>
      <c r="W390">
        <v>0</v>
      </c>
      <c r="X390">
        <v>0</v>
      </c>
      <c r="Y390">
        <v>0</v>
      </c>
      <c r="Z390">
        <v>0</v>
      </c>
      <c r="AA390">
        <v>0</v>
      </c>
      <c r="AD390" t="s">
        <v>1431</v>
      </c>
      <c r="AE390" s="18">
        <v>2704</v>
      </c>
      <c r="AF390">
        <v>8137</v>
      </c>
      <c r="AG390">
        <v>2967</v>
      </c>
      <c r="AH390">
        <v>8267</v>
      </c>
    </row>
    <row r="391" spans="1:34" hidden="1">
      <c r="A391" s="38" t="s">
        <v>1160</v>
      </c>
      <c r="B391" s="38">
        <v>0</v>
      </c>
      <c r="C391" s="38">
        <v>0</v>
      </c>
      <c r="D391" s="38">
        <v>0</v>
      </c>
      <c r="E391" s="38">
        <v>0</v>
      </c>
      <c r="F391" s="38">
        <v>0</v>
      </c>
      <c r="G391" s="38">
        <v>0</v>
      </c>
      <c r="H391" s="38">
        <v>0</v>
      </c>
      <c r="I391" s="38">
        <v>0</v>
      </c>
      <c r="J391" s="38">
        <v>0</v>
      </c>
      <c r="K391">
        <v>866</v>
      </c>
      <c r="L391">
        <v>1026</v>
      </c>
      <c r="M391">
        <v>1378</v>
      </c>
      <c r="N391">
        <v>1195</v>
      </c>
      <c r="O391">
        <v>0</v>
      </c>
      <c r="P391">
        <v>0</v>
      </c>
      <c r="Q391">
        <v>0</v>
      </c>
      <c r="R391">
        <v>0</v>
      </c>
      <c r="S391">
        <v>0</v>
      </c>
      <c r="T391">
        <v>0</v>
      </c>
      <c r="U391">
        <v>0</v>
      </c>
      <c r="V391">
        <v>0</v>
      </c>
      <c r="W391">
        <v>0</v>
      </c>
      <c r="X391">
        <v>306</v>
      </c>
      <c r="Y391">
        <v>420</v>
      </c>
      <c r="Z391">
        <v>412</v>
      </c>
      <c r="AA391">
        <v>377</v>
      </c>
      <c r="AD391" t="s">
        <v>1506</v>
      </c>
      <c r="AE391" s="18">
        <v>1464</v>
      </c>
      <c r="AF391">
        <v>2994</v>
      </c>
      <c r="AG391">
        <v>1261</v>
      </c>
      <c r="AH391">
        <v>2301</v>
      </c>
    </row>
    <row r="392" spans="1:34" hidden="1">
      <c r="A392" s="38" t="s">
        <v>1792</v>
      </c>
      <c r="B392" s="38">
        <v>0</v>
      </c>
      <c r="C392" s="38">
        <v>0</v>
      </c>
      <c r="D392" s="38">
        <v>0</v>
      </c>
      <c r="E392" s="38">
        <v>0</v>
      </c>
      <c r="F392" s="38">
        <v>0</v>
      </c>
      <c r="G392" s="38">
        <v>0</v>
      </c>
      <c r="H392" s="38">
        <v>0</v>
      </c>
      <c r="I392" s="38">
        <v>327</v>
      </c>
      <c r="J392" s="38">
        <v>298</v>
      </c>
      <c r="K392">
        <v>313</v>
      </c>
      <c r="L392">
        <v>379</v>
      </c>
      <c r="M392">
        <v>113</v>
      </c>
      <c r="N392">
        <v>209</v>
      </c>
      <c r="O392">
        <v>0</v>
      </c>
      <c r="P392">
        <v>0</v>
      </c>
      <c r="Q392">
        <v>0</v>
      </c>
      <c r="R392">
        <v>0</v>
      </c>
      <c r="S392">
        <v>0</v>
      </c>
      <c r="T392">
        <v>0</v>
      </c>
      <c r="U392">
        <v>0</v>
      </c>
      <c r="V392">
        <v>0</v>
      </c>
      <c r="W392">
        <v>0</v>
      </c>
      <c r="X392">
        <v>0</v>
      </c>
      <c r="Y392">
        <v>0</v>
      </c>
      <c r="Z392">
        <v>0</v>
      </c>
      <c r="AA392">
        <v>0</v>
      </c>
      <c r="AD392" t="s">
        <v>1337</v>
      </c>
      <c r="AE392" s="18">
        <v>432</v>
      </c>
      <c r="AF392">
        <v>1316</v>
      </c>
      <c r="AG392">
        <v>298</v>
      </c>
      <c r="AH392">
        <v>986</v>
      </c>
    </row>
    <row r="393" spans="1:34" hidden="1">
      <c r="A393" s="38" t="s">
        <v>1793</v>
      </c>
      <c r="B393" s="38">
        <v>0</v>
      </c>
      <c r="C393" s="38">
        <v>0</v>
      </c>
      <c r="D393" s="38">
        <v>0</v>
      </c>
      <c r="E393" s="38">
        <v>0</v>
      </c>
      <c r="F393" s="38">
        <v>0</v>
      </c>
      <c r="G393" s="38">
        <v>0</v>
      </c>
      <c r="H393" s="38">
        <v>0</v>
      </c>
      <c r="I393" s="38">
        <v>184</v>
      </c>
      <c r="J393" s="38">
        <v>103</v>
      </c>
      <c r="K393">
        <v>76</v>
      </c>
      <c r="L393">
        <v>90</v>
      </c>
      <c r="M393">
        <v>44</v>
      </c>
      <c r="N393">
        <v>69</v>
      </c>
      <c r="O393">
        <v>0</v>
      </c>
      <c r="P393">
        <v>0</v>
      </c>
      <c r="Q393">
        <v>0</v>
      </c>
      <c r="R393">
        <v>0</v>
      </c>
      <c r="S393">
        <v>0</v>
      </c>
      <c r="T393">
        <v>0</v>
      </c>
      <c r="U393">
        <v>0</v>
      </c>
      <c r="V393">
        <v>0</v>
      </c>
      <c r="W393">
        <v>0</v>
      </c>
      <c r="X393">
        <v>0</v>
      </c>
      <c r="Y393">
        <v>0</v>
      </c>
      <c r="Z393">
        <v>0</v>
      </c>
      <c r="AA393">
        <v>0</v>
      </c>
      <c r="AD393" t="s">
        <v>1498</v>
      </c>
      <c r="AE393" s="18">
        <v>1424</v>
      </c>
      <c r="AF393">
        <v>4497</v>
      </c>
      <c r="AG393">
        <v>1548</v>
      </c>
      <c r="AH393">
        <v>4885</v>
      </c>
    </row>
    <row r="394" spans="1:34" hidden="1">
      <c r="A394" s="38" t="s">
        <v>968</v>
      </c>
      <c r="B394" s="38">
        <v>0</v>
      </c>
      <c r="C394" s="38">
        <v>0</v>
      </c>
      <c r="D394" s="38">
        <v>0</v>
      </c>
      <c r="E394" s="38">
        <v>0</v>
      </c>
      <c r="F394" s="38">
        <v>0</v>
      </c>
      <c r="G394" s="38">
        <v>0</v>
      </c>
      <c r="H394" s="38">
        <v>0</v>
      </c>
      <c r="I394" s="38">
        <v>0</v>
      </c>
      <c r="J394" s="38">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1532</v>
      </c>
      <c r="AE394" s="18">
        <v>1014</v>
      </c>
      <c r="AF394">
        <v>3217</v>
      </c>
      <c r="AG394">
        <v>988</v>
      </c>
      <c r="AH394">
        <v>3110</v>
      </c>
    </row>
    <row r="395" spans="1:34" hidden="1">
      <c r="A395" s="38" t="s">
        <v>507</v>
      </c>
      <c r="B395" s="38">
        <v>0</v>
      </c>
      <c r="C395" s="38">
        <v>0</v>
      </c>
      <c r="D395" s="38">
        <v>0</v>
      </c>
      <c r="E395" s="38">
        <v>0</v>
      </c>
      <c r="F395" s="38">
        <v>0</v>
      </c>
      <c r="G395" s="38">
        <v>0</v>
      </c>
      <c r="H395" s="38">
        <v>0</v>
      </c>
      <c r="I395" s="38">
        <v>0</v>
      </c>
      <c r="J395" s="38">
        <v>0</v>
      </c>
      <c r="K395">
        <v>2</v>
      </c>
      <c r="L395">
        <v>1208</v>
      </c>
      <c r="M395">
        <v>2572</v>
      </c>
      <c r="N395">
        <v>2779</v>
      </c>
      <c r="O395">
        <v>0</v>
      </c>
      <c r="P395">
        <v>0</v>
      </c>
      <c r="Q395">
        <v>0</v>
      </c>
      <c r="R395">
        <v>0</v>
      </c>
      <c r="S395">
        <v>0</v>
      </c>
      <c r="T395">
        <v>0</v>
      </c>
      <c r="U395">
        <v>0</v>
      </c>
      <c r="V395">
        <v>0</v>
      </c>
      <c r="W395">
        <v>0</v>
      </c>
      <c r="X395">
        <v>0</v>
      </c>
      <c r="Y395">
        <v>488</v>
      </c>
      <c r="Z395">
        <v>684</v>
      </c>
      <c r="AA395">
        <v>463</v>
      </c>
      <c r="AD395" t="s">
        <v>1445</v>
      </c>
      <c r="AE395" s="18">
        <v>1525</v>
      </c>
      <c r="AF395">
        <v>6316</v>
      </c>
      <c r="AG395">
        <v>1476</v>
      </c>
      <c r="AH395">
        <v>5853</v>
      </c>
    </row>
    <row r="396" spans="1:34" hidden="1">
      <c r="A396" s="38" t="s">
        <v>1794</v>
      </c>
      <c r="B396" s="38">
        <v>0</v>
      </c>
      <c r="C396" s="38">
        <v>0</v>
      </c>
      <c r="D396" s="38">
        <v>0</v>
      </c>
      <c r="E396" s="38">
        <v>0</v>
      </c>
      <c r="F396" s="38">
        <v>0</v>
      </c>
      <c r="G396" s="38">
        <v>0</v>
      </c>
      <c r="H396" s="38">
        <v>0</v>
      </c>
      <c r="I396" s="38">
        <v>864</v>
      </c>
      <c r="J396" s="38">
        <v>253</v>
      </c>
      <c r="K396">
        <v>224</v>
      </c>
      <c r="L396">
        <v>389</v>
      </c>
      <c r="M396">
        <v>517</v>
      </c>
      <c r="N396">
        <v>415</v>
      </c>
      <c r="O396">
        <v>0</v>
      </c>
      <c r="P396">
        <v>0</v>
      </c>
      <c r="Q396">
        <v>0</v>
      </c>
      <c r="R396">
        <v>0</v>
      </c>
      <c r="S396">
        <v>0</v>
      </c>
      <c r="T396">
        <v>0</v>
      </c>
      <c r="U396">
        <v>0</v>
      </c>
      <c r="V396">
        <v>0</v>
      </c>
      <c r="W396">
        <v>0</v>
      </c>
      <c r="X396">
        <v>0</v>
      </c>
      <c r="Y396">
        <v>0</v>
      </c>
      <c r="Z396">
        <v>0</v>
      </c>
      <c r="AA396">
        <v>0</v>
      </c>
      <c r="AD396" t="s">
        <v>1455</v>
      </c>
      <c r="AE396" s="18">
        <v>816</v>
      </c>
      <c r="AF396">
        <v>2696</v>
      </c>
      <c r="AG396">
        <v>946</v>
      </c>
      <c r="AH396">
        <v>2666</v>
      </c>
    </row>
    <row r="397" spans="1:34" hidden="1">
      <c r="A397" s="38" t="s">
        <v>1795</v>
      </c>
      <c r="B397" s="38">
        <v>0</v>
      </c>
      <c r="C397" s="38">
        <v>0</v>
      </c>
      <c r="D397" s="38">
        <v>0</v>
      </c>
      <c r="E397" s="38">
        <v>0</v>
      </c>
      <c r="F397" s="38">
        <v>0</v>
      </c>
      <c r="G397" s="38">
        <v>0</v>
      </c>
      <c r="H397" s="38">
        <v>0</v>
      </c>
      <c r="I397" s="38">
        <v>1066</v>
      </c>
      <c r="J397" s="38">
        <v>373</v>
      </c>
      <c r="K397">
        <v>349</v>
      </c>
      <c r="L397">
        <v>534</v>
      </c>
      <c r="M397">
        <v>303</v>
      </c>
      <c r="N397">
        <v>554</v>
      </c>
      <c r="O397">
        <v>0</v>
      </c>
      <c r="P397">
        <v>0</v>
      </c>
      <c r="Q397">
        <v>0</v>
      </c>
      <c r="R397">
        <v>0</v>
      </c>
      <c r="S397">
        <v>0</v>
      </c>
      <c r="T397">
        <v>0</v>
      </c>
      <c r="U397">
        <v>0</v>
      </c>
      <c r="V397">
        <v>0</v>
      </c>
      <c r="W397">
        <v>0</v>
      </c>
      <c r="X397">
        <v>0</v>
      </c>
      <c r="Y397">
        <v>0</v>
      </c>
      <c r="Z397">
        <v>0</v>
      </c>
      <c r="AA397">
        <v>0</v>
      </c>
      <c r="AD397" t="s">
        <v>1435</v>
      </c>
      <c r="AE397" s="18">
        <v>1682</v>
      </c>
      <c r="AF397">
        <v>4809</v>
      </c>
      <c r="AG397">
        <v>1416</v>
      </c>
      <c r="AH397">
        <v>3743</v>
      </c>
    </row>
    <row r="398" spans="1:34" hidden="1">
      <c r="A398" s="38" t="s">
        <v>1796</v>
      </c>
      <c r="B398" s="38">
        <v>0</v>
      </c>
      <c r="C398" s="38">
        <v>0</v>
      </c>
      <c r="D398" s="38">
        <v>0</v>
      </c>
      <c r="E398" s="38">
        <v>0</v>
      </c>
      <c r="F398" s="38">
        <v>0</v>
      </c>
      <c r="G398" s="38">
        <v>0</v>
      </c>
      <c r="H398" s="38">
        <v>0</v>
      </c>
      <c r="I398" s="38">
        <v>113</v>
      </c>
      <c r="J398" s="38">
        <v>126</v>
      </c>
      <c r="K398">
        <v>150</v>
      </c>
      <c r="L398">
        <v>242</v>
      </c>
      <c r="M398">
        <v>129</v>
      </c>
      <c r="N398">
        <v>109</v>
      </c>
      <c r="O398">
        <v>0</v>
      </c>
      <c r="P398">
        <v>0</v>
      </c>
      <c r="Q398">
        <v>0</v>
      </c>
      <c r="R398">
        <v>0</v>
      </c>
      <c r="S398">
        <v>0</v>
      </c>
      <c r="T398">
        <v>0</v>
      </c>
      <c r="U398">
        <v>0</v>
      </c>
      <c r="V398">
        <v>0</v>
      </c>
      <c r="W398">
        <v>0</v>
      </c>
      <c r="X398">
        <v>0</v>
      </c>
      <c r="Y398">
        <v>0</v>
      </c>
      <c r="Z398">
        <v>0</v>
      </c>
      <c r="AA398">
        <v>0</v>
      </c>
      <c r="AD398" s="36" t="s">
        <v>1393</v>
      </c>
      <c r="AE398" s="111">
        <v>261</v>
      </c>
      <c r="AF398">
        <v>1911</v>
      </c>
      <c r="AG398">
        <v>298</v>
      </c>
      <c r="AH398">
        <v>2394</v>
      </c>
    </row>
    <row r="399" spans="1:34" hidden="1">
      <c r="A399" s="38" t="s">
        <v>1797</v>
      </c>
      <c r="B399" s="38">
        <v>0</v>
      </c>
      <c r="C399" s="38">
        <v>0</v>
      </c>
      <c r="D399" s="38">
        <v>0</v>
      </c>
      <c r="E399" s="38">
        <v>0</v>
      </c>
      <c r="F399" s="38">
        <v>0</v>
      </c>
      <c r="G399" s="38">
        <v>0</v>
      </c>
      <c r="H399" s="38">
        <v>0</v>
      </c>
      <c r="I399" s="38">
        <v>132</v>
      </c>
      <c r="J399" s="38">
        <v>167</v>
      </c>
      <c r="K399">
        <v>161</v>
      </c>
      <c r="L399">
        <v>147</v>
      </c>
      <c r="M399">
        <v>86</v>
      </c>
      <c r="N399">
        <v>80</v>
      </c>
      <c r="O399">
        <v>0</v>
      </c>
      <c r="P399">
        <v>0</v>
      </c>
      <c r="Q399">
        <v>0</v>
      </c>
      <c r="R399">
        <v>0</v>
      </c>
      <c r="S399">
        <v>0</v>
      </c>
      <c r="T399">
        <v>0</v>
      </c>
      <c r="U399">
        <v>0</v>
      </c>
      <c r="V399">
        <v>0</v>
      </c>
      <c r="W399">
        <v>0</v>
      </c>
      <c r="X399">
        <v>0</v>
      </c>
      <c r="Y399">
        <v>0</v>
      </c>
      <c r="Z399">
        <v>0</v>
      </c>
      <c r="AA399">
        <v>0</v>
      </c>
      <c r="AD399" t="s">
        <v>1566</v>
      </c>
      <c r="AE399" s="18">
        <v>1366</v>
      </c>
      <c r="AF399">
        <v>3989</v>
      </c>
      <c r="AG399">
        <v>1278</v>
      </c>
      <c r="AH399">
        <v>4055</v>
      </c>
    </row>
    <row r="400" spans="1:34" hidden="1">
      <c r="A400" s="38" t="s">
        <v>1798</v>
      </c>
      <c r="B400" s="38">
        <v>0</v>
      </c>
      <c r="C400" s="38">
        <v>0</v>
      </c>
      <c r="D400" s="38">
        <v>0</v>
      </c>
      <c r="E400" s="38">
        <v>0</v>
      </c>
      <c r="F400" s="38">
        <v>0</v>
      </c>
      <c r="G400" s="38">
        <v>0</v>
      </c>
      <c r="H400" s="38">
        <v>0</v>
      </c>
      <c r="I400" s="38">
        <v>23</v>
      </c>
      <c r="J400" s="38">
        <v>36</v>
      </c>
      <c r="K400">
        <v>45</v>
      </c>
      <c r="L400">
        <v>61</v>
      </c>
      <c r="M400">
        <v>8</v>
      </c>
      <c r="N400">
        <v>13</v>
      </c>
      <c r="O400">
        <v>0</v>
      </c>
      <c r="P400">
        <v>0</v>
      </c>
      <c r="Q400">
        <v>0</v>
      </c>
      <c r="R400">
        <v>0</v>
      </c>
      <c r="S400">
        <v>0</v>
      </c>
      <c r="T400">
        <v>0</v>
      </c>
      <c r="U400">
        <v>0</v>
      </c>
      <c r="V400">
        <v>0</v>
      </c>
      <c r="W400">
        <v>0</v>
      </c>
      <c r="X400">
        <v>0</v>
      </c>
      <c r="Y400">
        <v>0</v>
      </c>
      <c r="Z400">
        <v>0</v>
      </c>
      <c r="AA400">
        <v>0</v>
      </c>
      <c r="AD400" s="36" t="s">
        <v>1427</v>
      </c>
      <c r="AE400" s="111">
        <v>1601</v>
      </c>
      <c r="AF400">
        <v>6395</v>
      </c>
      <c r="AG400">
        <v>1173</v>
      </c>
      <c r="AH400">
        <v>10534</v>
      </c>
    </row>
    <row r="401" spans="1:34" hidden="1">
      <c r="A401" s="38" t="s">
        <v>1799</v>
      </c>
      <c r="B401" s="38">
        <v>0</v>
      </c>
      <c r="C401" s="38">
        <v>0</v>
      </c>
      <c r="D401" s="38">
        <v>0</v>
      </c>
      <c r="E401" s="38">
        <v>0</v>
      </c>
      <c r="F401" s="38">
        <v>0</v>
      </c>
      <c r="G401" s="38">
        <v>0</v>
      </c>
      <c r="H401" s="38">
        <v>0</v>
      </c>
      <c r="I401" s="38">
        <v>355</v>
      </c>
      <c r="J401" s="38">
        <v>161</v>
      </c>
      <c r="K401">
        <v>106</v>
      </c>
      <c r="L401">
        <v>130</v>
      </c>
      <c r="M401">
        <v>46</v>
      </c>
      <c r="N401">
        <v>19</v>
      </c>
      <c r="O401">
        <v>0</v>
      </c>
      <c r="P401">
        <v>0</v>
      </c>
      <c r="Q401">
        <v>0</v>
      </c>
      <c r="R401">
        <v>0</v>
      </c>
      <c r="S401">
        <v>0</v>
      </c>
      <c r="T401">
        <v>0</v>
      </c>
      <c r="U401">
        <v>0</v>
      </c>
      <c r="V401">
        <v>0</v>
      </c>
      <c r="W401">
        <v>0</v>
      </c>
      <c r="X401">
        <v>0</v>
      </c>
      <c r="Y401">
        <v>0</v>
      </c>
      <c r="Z401">
        <v>0</v>
      </c>
      <c r="AA401">
        <v>0</v>
      </c>
      <c r="AD401" t="s">
        <v>1520</v>
      </c>
      <c r="AE401" s="18">
        <v>7185</v>
      </c>
      <c r="AF401">
        <v>28733</v>
      </c>
      <c r="AG401">
        <v>7189</v>
      </c>
      <c r="AH401">
        <v>27435</v>
      </c>
    </row>
    <row r="402" spans="1:34" hidden="1">
      <c r="A402" s="38" t="s">
        <v>1800</v>
      </c>
      <c r="B402" s="38">
        <v>0</v>
      </c>
      <c r="C402" s="38">
        <v>0</v>
      </c>
      <c r="D402" s="38">
        <v>0</v>
      </c>
      <c r="E402" s="38">
        <v>0</v>
      </c>
      <c r="F402" s="38">
        <v>0</v>
      </c>
      <c r="G402" s="38">
        <v>0</v>
      </c>
      <c r="H402" s="38">
        <v>0</v>
      </c>
      <c r="I402" s="38">
        <v>23</v>
      </c>
      <c r="J402" s="38">
        <v>26</v>
      </c>
      <c r="K402">
        <v>35</v>
      </c>
      <c r="L402">
        <v>13</v>
      </c>
      <c r="M402">
        <v>19</v>
      </c>
      <c r="N402">
        <v>18</v>
      </c>
      <c r="O402">
        <v>0</v>
      </c>
      <c r="P402">
        <v>0</v>
      </c>
      <c r="Q402">
        <v>0</v>
      </c>
      <c r="R402">
        <v>0</v>
      </c>
      <c r="S402">
        <v>0</v>
      </c>
      <c r="T402">
        <v>0</v>
      </c>
      <c r="U402">
        <v>0</v>
      </c>
      <c r="V402">
        <v>0</v>
      </c>
      <c r="W402">
        <v>0</v>
      </c>
      <c r="X402">
        <v>0</v>
      </c>
      <c r="Y402">
        <v>0</v>
      </c>
      <c r="Z402">
        <v>0</v>
      </c>
      <c r="AA402">
        <v>0</v>
      </c>
      <c r="AD402" t="s">
        <v>1484</v>
      </c>
      <c r="AE402" s="18">
        <v>1016</v>
      </c>
      <c r="AF402">
        <v>3413</v>
      </c>
      <c r="AG402">
        <v>1066</v>
      </c>
      <c r="AH402">
        <v>3236</v>
      </c>
    </row>
    <row r="403" spans="1:34" hidden="1">
      <c r="A403" s="38" t="s">
        <v>1801</v>
      </c>
      <c r="B403" s="38">
        <v>0</v>
      </c>
      <c r="C403" s="38">
        <v>0</v>
      </c>
      <c r="D403" s="38">
        <v>0</v>
      </c>
      <c r="E403" s="38">
        <v>0</v>
      </c>
      <c r="F403" s="38">
        <v>0</v>
      </c>
      <c r="G403" s="38">
        <v>0</v>
      </c>
      <c r="H403" s="38">
        <v>0</v>
      </c>
      <c r="I403" s="38">
        <v>211</v>
      </c>
      <c r="J403" s="38">
        <v>98</v>
      </c>
      <c r="K403">
        <v>82</v>
      </c>
      <c r="L403">
        <v>85</v>
      </c>
      <c r="M403">
        <v>7</v>
      </c>
      <c r="N403">
        <v>10</v>
      </c>
      <c r="O403">
        <v>0</v>
      </c>
      <c r="P403">
        <v>0</v>
      </c>
      <c r="Q403">
        <v>0</v>
      </c>
      <c r="R403">
        <v>0</v>
      </c>
      <c r="S403">
        <v>0</v>
      </c>
      <c r="T403">
        <v>0</v>
      </c>
      <c r="U403">
        <v>0</v>
      </c>
      <c r="V403">
        <v>0</v>
      </c>
      <c r="W403">
        <v>0</v>
      </c>
      <c r="X403">
        <v>0</v>
      </c>
      <c r="Y403">
        <v>0</v>
      </c>
      <c r="Z403">
        <v>0</v>
      </c>
      <c r="AA403">
        <v>0</v>
      </c>
      <c r="AD403" t="s">
        <v>1441</v>
      </c>
      <c r="AE403" s="18">
        <v>1074</v>
      </c>
      <c r="AF403">
        <v>3459</v>
      </c>
      <c r="AG403">
        <v>952</v>
      </c>
      <c r="AH403">
        <v>3082</v>
      </c>
    </row>
    <row r="404" spans="1:34" hidden="1">
      <c r="A404" s="38" t="s">
        <v>1802</v>
      </c>
      <c r="B404" s="38">
        <v>0</v>
      </c>
      <c r="C404" s="38">
        <v>0</v>
      </c>
      <c r="D404" s="38">
        <v>0</v>
      </c>
      <c r="E404" s="38">
        <v>0</v>
      </c>
      <c r="F404" s="38">
        <v>0</v>
      </c>
      <c r="G404" s="38">
        <v>0</v>
      </c>
      <c r="H404" s="38">
        <v>0</v>
      </c>
      <c r="I404" s="38">
        <v>367</v>
      </c>
      <c r="J404" s="38">
        <v>469</v>
      </c>
      <c r="K404">
        <v>215</v>
      </c>
      <c r="L404">
        <v>252</v>
      </c>
      <c r="M404">
        <v>135</v>
      </c>
      <c r="N404">
        <v>360</v>
      </c>
      <c r="O404">
        <v>0</v>
      </c>
      <c r="P404">
        <v>0</v>
      </c>
      <c r="Q404">
        <v>0</v>
      </c>
      <c r="R404">
        <v>0</v>
      </c>
      <c r="S404">
        <v>0</v>
      </c>
      <c r="T404">
        <v>0</v>
      </c>
      <c r="U404">
        <v>0</v>
      </c>
      <c r="V404">
        <v>0</v>
      </c>
      <c r="W404">
        <v>0</v>
      </c>
      <c r="X404">
        <v>0</v>
      </c>
      <c r="Y404">
        <v>0</v>
      </c>
      <c r="Z404">
        <v>0</v>
      </c>
      <c r="AA404">
        <v>0</v>
      </c>
      <c r="AE404" s="18"/>
    </row>
    <row r="405" spans="1:34" hidden="1">
      <c r="A405" s="38" t="s">
        <v>1803</v>
      </c>
      <c r="B405" s="38">
        <v>0</v>
      </c>
      <c r="C405" s="38">
        <v>0</v>
      </c>
      <c r="D405" s="38">
        <v>0</v>
      </c>
      <c r="E405" s="38">
        <v>0</v>
      </c>
      <c r="F405" s="38">
        <v>0</v>
      </c>
      <c r="G405" s="38">
        <v>0</v>
      </c>
      <c r="H405" s="38">
        <v>0</v>
      </c>
      <c r="I405" s="38">
        <v>68</v>
      </c>
      <c r="J405" s="38">
        <v>90</v>
      </c>
      <c r="K405">
        <v>50</v>
      </c>
      <c r="L405">
        <v>68</v>
      </c>
      <c r="M405">
        <v>13</v>
      </c>
      <c r="N405">
        <v>14</v>
      </c>
      <c r="O405">
        <v>0</v>
      </c>
      <c r="P405">
        <v>0</v>
      </c>
      <c r="Q405">
        <v>0</v>
      </c>
      <c r="R405">
        <v>0</v>
      </c>
      <c r="S405">
        <v>0</v>
      </c>
      <c r="T405">
        <v>0</v>
      </c>
      <c r="U405">
        <v>0</v>
      </c>
      <c r="V405">
        <v>0</v>
      </c>
      <c r="W405">
        <v>0</v>
      </c>
      <c r="X405">
        <v>0</v>
      </c>
      <c r="Y405">
        <v>0</v>
      </c>
      <c r="Z405">
        <v>0</v>
      </c>
      <c r="AA405">
        <v>0</v>
      </c>
      <c r="AD405" t="s">
        <v>1423</v>
      </c>
      <c r="AE405" s="18">
        <v>539</v>
      </c>
      <c r="AF405">
        <v>1920</v>
      </c>
      <c r="AG405">
        <v>460</v>
      </c>
      <c r="AH405">
        <v>1426</v>
      </c>
    </row>
    <row r="406" spans="1:34" hidden="1">
      <c r="A406" s="38" t="s">
        <v>1804</v>
      </c>
      <c r="B406" s="38">
        <v>0</v>
      </c>
      <c r="C406" s="38">
        <v>0</v>
      </c>
      <c r="D406" s="38">
        <v>0</v>
      </c>
      <c r="E406" s="38">
        <v>0</v>
      </c>
      <c r="F406" s="38">
        <v>0</v>
      </c>
      <c r="G406" s="38">
        <v>0</v>
      </c>
      <c r="H406" s="38">
        <v>0</v>
      </c>
      <c r="I406" s="38">
        <v>0</v>
      </c>
      <c r="J406" s="38">
        <v>156</v>
      </c>
      <c r="K406">
        <v>354</v>
      </c>
      <c r="L406">
        <v>834</v>
      </c>
      <c r="M406">
        <v>732</v>
      </c>
      <c r="N406">
        <v>654</v>
      </c>
      <c r="O406">
        <v>0</v>
      </c>
      <c r="P406">
        <v>0</v>
      </c>
      <c r="Q406">
        <v>0</v>
      </c>
      <c r="R406">
        <v>0</v>
      </c>
      <c r="S406">
        <v>0</v>
      </c>
      <c r="T406">
        <v>0</v>
      </c>
      <c r="U406">
        <v>0</v>
      </c>
      <c r="V406">
        <v>0</v>
      </c>
      <c r="W406">
        <v>34</v>
      </c>
      <c r="X406">
        <v>126</v>
      </c>
      <c r="Y406">
        <v>251</v>
      </c>
      <c r="Z406">
        <v>239</v>
      </c>
      <c r="AA406">
        <v>237</v>
      </c>
      <c r="AD406" t="s">
        <v>1510</v>
      </c>
      <c r="AE406" s="18">
        <v>1075</v>
      </c>
      <c r="AF406">
        <v>2871</v>
      </c>
      <c r="AG406">
        <v>1086</v>
      </c>
      <c r="AH406">
        <v>3252</v>
      </c>
    </row>
    <row r="407" spans="1:34" hidden="1">
      <c r="A407" s="38" t="s">
        <v>1805</v>
      </c>
      <c r="B407" s="38">
        <v>0</v>
      </c>
      <c r="C407" s="38">
        <v>0</v>
      </c>
      <c r="D407" s="38">
        <v>0</v>
      </c>
      <c r="E407" s="38">
        <v>0</v>
      </c>
      <c r="F407" s="38">
        <v>0</v>
      </c>
      <c r="G407" s="38">
        <v>0</v>
      </c>
      <c r="H407" s="38">
        <v>0</v>
      </c>
      <c r="I407" s="38">
        <v>0</v>
      </c>
      <c r="J407" s="38">
        <v>112</v>
      </c>
      <c r="K407">
        <v>104</v>
      </c>
      <c r="L407">
        <v>156</v>
      </c>
      <c r="M407">
        <v>112</v>
      </c>
      <c r="N407">
        <v>151</v>
      </c>
      <c r="O407">
        <v>0</v>
      </c>
      <c r="P407">
        <v>0</v>
      </c>
      <c r="Q407">
        <v>0</v>
      </c>
      <c r="R407">
        <v>0</v>
      </c>
      <c r="S407">
        <v>0</v>
      </c>
      <c r="T407">
        <v>0</v>
      </c>
      <c r="U407">
        <v>0</v>
      </c>
      <c r="V407">
        <v>0</v>
      </c>
      <c r="W407">
        <v>0</v>
      </c>
      <c r="X407">
        <v>0</v>
      </c>
      <c r="Y407">
        <v>0</v>
      </c>
      <c r="Z407">
        <v>0</v>
      </c>
      <c r="AA407">
        <v>0</v>
      </c>
      <c r="AD407" t="s">
        <v>1480</v>
      </c>
      <c r="AE407" s="18">
        <v>1470</v>
      </c>
      <c r="AF407">
        <v>2142</v>
      </c>
      <c r="AG407">
        <v>1327</v>
      </c>
      <c r="AH407">
        <v>1702</v>
      </c>
    </row>
    <row r="408" spans="1:34" hidden="1">
      <c r="A408" s="38" t="s">
        <v>1806</v>
      </c>
      <c r="B408" s="38">
        <v>0</v>
      </c>
      <c r="C408" s="38">
        <v>0</v>
      </c>
      <c r="D408" s="38">
        <v>0</v>
      </c>
      <c r="E408" s="38">
        <v>0</v>
      </c>
      <c r="F408" s="38">
        <v>0</v>
      </c>
      <c r="G408" s="38">
        <v>0</v>
      </c>
      <c r="H408" s="38">
        <v>0</v>
      </c>
      <c r="I408" s="38">
        <v>0</v>
      </c>
      <c r="J408" s="38">
        <v>104</v>
      </c>
      <c r="K408">
        <v>59</v>
      </c>
      <c r="L408">
        <v>26</v>
      </c>
      <c r="M408">
        <v>27</v>
      </c>
      <c r="N408">
        <v>23</v>
      </c>
      <c r="O408">
        <v>0</v>
      </c>
      <c r="P408">
        <v>0</v>
      </c>
      <c r="Q408">
        <v>0</v>
      </c>
      <c r="R408">
        <v>0</v>
      </c>
      <c r="S408">
        <v>0</v>
      </c>
      <c r="T408">
        <v>0</v>
      </c>
      <c r="U408">
        <v>0</v>
      </c>
      <c r="V408">
        <v>0</v>
      </c>
      <c r="W408">
        <v>0</v>
      </c>
      <c r="X408">
        <v>0</v>
      </c>
      <c r="Y408">
        <v>0</v>
      </c>
      <c r="Z408">
        <v>0</v>
      </c>
      <c r="AA408">
        <v>0</v>
      </c>
      <c r="AD408" t="s">
        <v>1504</v>
      </c>
      <c r="AE408" s="18">
        <v>1676</v>
      </c>
      <c r="AF408">
        <v>4615</v>
      </c>
      <c r="AG408">
        <v>1635</v>
      </c>
      <c r="AH408">
        <v>4368</v>
      </c>
    </row>
    <row r="409" spans="1:34" hidden="1">
      <c r="A409" s="38" t="s">
        <v>1807</v>
      </c>
      <c r="B409" s="38">
        <v>0</v>
      </c>
      <c r="C409" s="38">
        <v>0</v>
      </c>
      <c r="D409" s="38">
        <v>0</v>
      </c>
      <c r="E409" s="38">
        <v>0</v>
      </c>
      <c r="F409" s="38">
        <v>0</v>
      </c>
      <c r="G409" s="38">
        <v>0</v>
      </c>
      <c r="H409" s="38">
        <v>0</v>
      </c>
      <c r="I409" s="38">
        <v>0</v>
      </c>
      <c r="J409" s="38">
        <v>59</v>
      </c>
      <c r="K409">
        <v>43</v>
      </c>
      <c r="L409">
        <v>94</v>
      </c>
      <c r="M409">
        <v>142</v>
      </c>
      <c r="N409">
        <v>122</v>
      </c>
      <c r="O409">
        <v>0</v>
      </c>
      <c r="P409">
        <v>0</v>
      </c>
      <c r="Q409">
        <v>0</v>
      </c>
      <c r="R409">
        <v>0</v>
      </c>
      <c r="S409">
        <v>0</v>
      </c>
      <c r="T409">
        <v>0</v>
      </c>
      <c r="U409">
        <v>0</v>
      </c>
      <c r="V409">
        <v>0</v>
      </c>
      <c r="W409">
        <v>0</v>
      </c>
      <c r="X409">
        <v>0</v>
      </c>
      <c r="Y409">
        <v>0</v>
      </c>
      <c r="Z409">
        <v>0</v>
      </c>
      <c r="AA409">
        <v>0</v>
      </c>
      <c r="AD409" t="s">
        <v>1774</v>
      </c>
      <c r="AE409" s="18">
        <v>556</v>
      </c>
      <c r="AF409">
        <v>1914</v>
      </c>
      <c r="AG409">
        <v>86</v>
      </c>
      <c r="AH409">
        <v>233</v>
      </c>
    </row>
    <row r="410" spans="1:34" hidden="1">
      <c r="A410" s="38" t="s">
        <v>1808</v>
      </c>
      <c r="B410" s="38">
        <v>0</v>
      </c>
      <c r="C410" s="38">
        <v>0</v>
      </c>
      <c r="D410" s="38">
        <v>0</v>
      </c>
      <c r="E410" s="38">
        <v>0</v>
      </c>
      <c r="F410" s="38">
        <v>0</v>
      </c>
      <c r="G410" s="38">
        <v>0</v>
      </c>
      <c r="H410" s="38">
        <v>0</v>
      </c>
      <c r="I410" s="38">
        <v>0</v>
      </c>
      <c r="J410" s="38">
        <v>99</v>
      </c>
      <c r="K410">
        <v>45</v>
      </c>
      <c r="L410">
        <v>20</v>
      </c>
      <c r="M410">
        <v>5</v>
      </c>
      <c r="N410">
        <v>7</v>
      </c>
      <c r="O410">
        <v>0</v>
      </c>
      <c r="P410">
        <v>0</v>
      </c>
      <c r="Q410">
        <v>0</v>
      </c>
      <c r="R410">
        <v>0</v>
      </c>
      <c r="S410">
        <v>0</v>
      </c>
      <c r="T410">
        <v>0</v>
      </c>
      <c r="U410">
        <v>0</v>
      </c>
      <c r="V410">
        <v>0</v>
      </c>
      <c r="W410">
        <v>0</v>
      </c>
      <c r="X410">
        <v>0</v>
      </c>
      <c r="Y410">
        <v>0</v>
      </c>
      <c r="Z410">
        <v>0</v>
      </c>
      <c r="AA410">
        <v>0</v>
      </c>
      <c r="AD410" t="s">
        <v>1416</v>
      </c>
      <c r="AE410" s="18">
        <v>1179</v>
      </c>
      <c r="AF410">
        <v>3377</v>
      </c>
      <c r="AG410">
        <v>1063</v>
      </c>
      <c r="AH410">
        <v>3009</v>
      </c>
    </row>
    <row r="411" spans="1:34" hidden="1">
      <c r="A411" s="38" t="s">
        <v>1809</v>
      </c>
      <c r="B411" s="38">
        <v>0</v>
      </c>
      <c r="C411" s="38">
        <v>0</v>
      </c>
      <c r="D411" s="38">
        <v>0</v>
      </c>
      <c r="E411" s="38">
        <v>0</v>
      </c>
      <c r="F411" s="38">
        <v>0</v>
      </c>
      <c r="G411" s="38">
        <v>0</v>
      </c>
      <c r="H411" s="38">
        <v>0</v>
      </c>
      <c r="I411" s="38">
        <v>0</v>
      </c>
      <c r="J411" s="38">
        <v>41</v>
      </c>
      <c r="K411">
        <v>37</v>
      </c>
      <c r="L411">
        <v>50</v>
      </c>
      <c r="M411">
        <v>32</v>
      </c>
      <c r="N411">
        <v>15</v>
      </c>
      <c r="O411">
        <v>0</v>
      </c>
      <c r="P411">
        <v>0</v>
      </c>
      <c r="Q411">
        <v>0</v>
      </c>
      <c r="R411">
        <v>0</v>
      </c>
      <c r="S411">
        <v>0</v>
      </c>
      <c r="T411">
        <v>0</v>
      </c>
      <c r="U411">
        <v>0</v>
      </c>
      <c r="V411">
        <v>0</v>
      </c>
      <c r="W411">
        <v>0</v>
      </c>
      <c r="X411">
        <v>0</v>
      </c>
      <c r="Y411">
        <v>0</v>
      </c>
      <c r="Z411">
        <v>0</v>
      </c>
      <c r="AA411">
        <v>0</v>
      </c>
      <c r="AD411" t="s">
        <v>1559</v>
      </c>
      <c r="AE411" s="18">
        <v>1553</v>
      </c>
      <c r="AF411">
        <v>1555</v>
      </c>
      <c r="AG411">
        <v>60</v>
      </c>
      <c r="AH411">
        <v>2978</v>
      </c>
    </row>
    <row r="412" spans="1:34" hidden="1">
      <c r="A412" s="38" t="s">
        <v>1810</v>
      </c>
      <c r="B412" s="38">
        <v>0</v>
      </c>
      <c r="C412" s="38">
        <v>0</v>
      </c>
      <c r="D412" s="38">
        <v>0</v>
      </c>
      <c r="E412" s="38">
        <v>0</v>
      </c>
      <c r="F412" s="38">
        <v>0</v>
      </c>
      <c r="G412" s="38">
        <v>0</v>
      </c>
      <c r="H412" s="38">
        <v>0</v>
      </c>
      <c r="I412" s="38">
        <v>0</v>
      </c>
      <c r="J412" s="38">
        <v>20</v>
      </c>
      <c r="K412">
        <v>30</v>
      </c>
      <c r="L412">
        <v>17</v>
      </c>
      <c r="M412">
        <v>14</v>
      </c>
      <c r="N412">
        <v>13</v>
      </c>
      <c r="O412">
        <v>0</v>
      </c>
      <c r="P412">
        <v>0</v>
      </c>
      <c r="Q412">
        <v>0</v>
      </c>
      <c r="R412">
        <v>0</v>
      </c>
      <c r="S412">
        <v>0</v>
      </c>
      <c r="T412">
        <v>0</v>
      </c>
      <c r="U412">
        <v>0</v>
      </c>
      <c r="V412">
        <v>0</v>
      </c>
      <c r="W412">
        <v>0</v>
      </c>
      <c r="X412">
        <v>0</v>
      </c>
      <c r="Y412">
        <v>0</v>
      </c>
      <c r="Z412">
        <v>0</v>
      </c>
      <c r="AA412">
        <v>0</v>
      </c>
      <c r="AD412" t="s">
        <v>1494</v>
      </c>
      <c r="AE412" s="18">
        <v>1400</v>
      </c>
      <c r="AF412">
        <v>2776</v>
      </c>
      <c r="AG412">
        <v>1368</v>
      </c>
      <c r="AH412">
        <v>2916</v>
      </c>
    </row>
    <row r="413" spans="1:34" hidden="1">
      <c r="A413" s="38" t="s">
        <v>1811</v>
      </c>
      <c r="B413" s="38">
        <v>0</v>
      </c>
      <c r="C413" s="38">
        <v>0</v>
      </c>
      <c r="D413" s="38">
        <v>0</v>
      </c>
      <c r="E413" s="38">
        <v>0</v>
      </c>
      <c r="F413" s="38">
        <v>0</v>
      </c>
      <c r="G413" s="38">
        <v>0</v>
      </c>
      <c r="H413" s="38">
        <v>0</v>
      </c>
      <c r="I413" s="38">
        <v>0</v>
      </c>
      <c r="J413" s="38">
        <v>109</v>
      </c>
      <c r="K413">
        <v>153</v>
      </c>
      <c r="L413">
        <v>130</v>
      </c>
      <c r="M413">
        <v>43</v>
      </c>
      <c r="N413">
        <v>42</v>
      </c>
      <c r="O413">
        <v>0</v>
      </c>
      <c r="P413">
        <v>0</v>
      </c>
      <c r="Q413">
        <v>0</v>
      </c>
      <c r="R413">
        <v>0</v>
      </c>
      <c r="S413">
        <v>0</v>
      </c>
      <c r="T413">
        <v>0</v>
      </c>
      <c r="U413">
        <v>0</v>
      </c>
      <c r="V413">
        <v>0</v>
      </c>
      <c r="W413">
        <v>0</v>
      </c>
      <c r="X413">
        <v>0</v>
      </c>
      <c r="Y413">
        <v>0</v>
      </c>
      <c r="Z413">
        <v>0</v>
      </c>
      <c r="AA413">
        <v>0</v>
      </c>
      <c r="AD413" t="s">
        <v>1457</v>
      </c>
      <c r="AE413" s="18">
        <v>1462</v>
      </c>
      <c r="AF413">
        <v>2606</v>
      </c>
      <c r="AG413">
        <v>1404</v>
      </c>
      <c r="AH413">
        <v>2549</v>
      </c>
    </row>
    <row r="414" spans="1:34" hidden="1">
      <c r="A414" s="38" t="s">
        <v>1812</v>
      </c>
      <c r="B414" s="38">
        <v>0</v>
      </c>
      <c r="C414" s="38">
        <v>0</v>
      </c>
      <c r="D414" s="38">
        <v>0</v>
      </c>
      <c r="E414" s="38">
        <v>0</v>
      </c>
      <c r="F414" s="38">
        <v>0</v>
      </c>
      <c r="G414" s="38">
        <v>0</v>
      </c>
      <c r="H414" s="38">
        <v>0</v>
      </c>
      <c r="I414" s="38">
        <v>0</v>
      </c>
      <c r="J414" s="38">
        <v>0</v>
      </c>
      <c r="K414">
        <v>18</v>
      </c>
      <c r="L414">
        <v>54</v>
      </c>
      <c r="M414">
        <v>9</v>
      </c>
      <c r="N414">
        <v>9</v>
      </c>
      <c r="O414">
        <v>0</v>
      </c>
      <c r="P414">
        <v>0</v>
      </c>
      <c r="Q414">
        <v>0</v>
      </c>
      <c r="R414">
        <v>0</v>
      </c>
      <c r="S414">
        <v>0</v>
      </c>
      <c r="T414">
        <v>0</v>
      </c>
      <c r="U414">
        <v>0</v>
      </c>
      <c r="V414">
        <v>0</v>
      </c>
      <c r="W414">
        <v>0</v>
      </c>
      <c r="X414">
        <v>0</v>
      </c>
      <c r="Y414">
        <v>0</v>
      </c>
      <c r="Z414">
        <v>0</v>
      </c>
      <c r="AA414">
        <v>0</v>
      </c>
      <c r="AD414" t="s">
        <v>1425</v>
      </c>
      <c r="AE414" s="18">
        <v>7031</v>
      </c>
      <c r="AF414">
        <v>26136</v>
      </c>
      <c r="AG414">
        <v>6489</v>
      </c>
      <c r="AH414">
        <v>24125</v>
      </c>
    </row>
    <row r="415" spans="1:34" hidden="1">
      <c r="A415" s="38" t="s">
        <v>1813</v>
      </c>
      <c r="B415" s="38">
        <v>0</v>
      </c>
      <c r="C415" s="38">
        <v>0</v>
      </c>
      <c r="D415" s="38">
        <v>0</v>
      </c>
      <c r="E415" s="38">
        <v>0</v>
      </c>
      <c r="F415" s="38">
        <v>0</v>
      </c>
      <c r="G415" s="38">
        <v>0</v>
      </c>
      <c r="H415" s="38">
        <v>0</v>
      </c>
      <c r="I415" s="38">
        <v>0</v>
      </c>
      <c r="J415" s="38">
        <v>0</v>
      </c>
      <c r="K415">
        <v>7</v>
      </c>
      <c r="L415">
        <v>23</v>
      </c>
      <c r="M415">
        <v>12</v>
      </c>
      <c r="N415">
        <v>22</v>
      </c>
      <c r="O415">
        <v>0</v>
      </c>
      <c r="P415">
        <v>0</v>
      </c>
      <c r="Q415">
        <v>0</v>
      </c>
      <c r="R415">
        <v>0</v>
      </c>
      <c r="S415">
        <v>0</v>
      </c>
      <c r="T415">
        <v>0</v>
      </c>
      <c r="U415">
        <v>0</v>
      </c>
      <c r="V415">
        <v>0</v>
      </c>
      <c r="W415">
        <v>0</v>
      </c>
      <c r="X415">
        <v>0</v>
      </c>
      <c r="Y415">
        <v>0</v>
      </c>
      <c r="Z415">
        <v>0</v>
      </c>
      <c r="AA415">
        <v>0</v>
      </c>
      <c r="AD415" t="s">
        <v>1474</v>
      </c>
      <c r="AE415" s="18">
        <v>1743</v>
      </c>
      <c r="AF415">
        <v>6270</v>
      </c>
      <c r="AG415">
        <v>1658</v>
      </c>
      <c r="AH415">
        <v>5768</v>
      </c>
    </row>
    <row r="416" spans="1:34" hidden="1">
      <c r="A416" s="38" t="s">
        <v>1814</v>
      </c>
      <c r="B416" s="38">
        <v>0</v>
      </c>
      <c r="C416" s="38">
        <v>0</v>
      </c>
      <c r="D416" s="38">
        <v>0</v>
      </c>
      <c r="E416" s="38">
        <v>0</v>
      </c>
      <c r="F416" s="38">
        <v>0</v>
      </c>
      <c r="G416" s="38">
        <v>0</v>
      </c>
      <c r="H416" s="38">
        <v>0</v>
      </c>
      <c r="I416" s="38">
        <v>0</v>
      </c>
      <c r="J416" s="38">
        <v>83</v>
      </c>
      <c r="K416">
        <v>80</v>
      </c>
      <c r="L416">
        <v>111</v>
      </c>
      <c r="M416">
        <v>53</v>
      </c>
      <c r="N416">
        <v>51</v>
      </c>
      <c r="O416">
        <v>0</v>
      </c>
      <c r="P416">
        <v>0</v>
      </c>
      <c r="Q416">
        <v>0</v>
      </c>
      <c r="R416">
        <v>0</v>
      </c>
      <c r="S416">
        <v>0</v>
      </c>
      <c r="T416">
        <v>0</v>
      </c>
      <c r="U416">
        <v>0</v>
      </c>
      <c r="V416">
        <v>0</v>
      </c>
      <c r="W416">
        <v>0</v>
      </c>
      <c r="X416">
        <v>0</v>
      </c>
      <c r="Y416">
        <v>0</v>
      </c>
      <c r="Z416">
        <v>0</v>
      </c>
      <c r="AA416">
        <v>0</v>
      </c>
      <c r="AD416" t="s">
        <v>1350</v>
      </c>
      <c r="AE416" s="18">
        <v>1235</v>
      </c>
      <c r="AF416">
        <v>3687</v>
      </c>
      <c r="AG416">
        <v>1056</v>
      </c>
      <c r="AH416">
        <v>3284</v>
      </c>
    </row>
    <row r="417" spans="1:34" hidden="1">
      <c r="A417" s="38" t="s">
        <v>1815</v>
      </c>
      <c r="B417" s="38">
        <v>0</v>
      </c>
      <c r="C417" s="38">
        <v>0</v>
      </c>
      <c r="D417" s="38">
        <v>0</v>
      </c>
      <c r="E417" s="38">
        <v>0</v>
      </c>
      <c r="F417" s="38">
        <v>0</v>
      </c>
      <c r="G417" s="38">
        <v>0</v>
      </c>
      <c r="H417" s="38">
        <v>0</v>
      </c>
      <c r="I417" s="38">
        <v>0</v>
      </c>
      <c r="J417" s="38">
        <v>226</v>
      </c>
      <c r="K417">
        <v>171</v>
      </c>
      <c r="L417">
        <v>164</v>
      </c>
      <c r="M417">
        <v>93</v>
      </c>
      <c r="N417">
        <v>79</v>
      </c>
      <c r="O417">
        <v>0</v>
      </c>
      <c r="P417">
        <v>0</v>
      </c>
      <c r="Q417">
        <v>0</v>
      </c>
      <c r="R417">
        <v>0</v>
      </c>
      <c r="S417">
        <v>0</v>
      </c>
      <c r="T417">
        <v>0</v>
      </c>
      <c r="U417">
        <v>0</v>
      </c>
      <c r="V417">
        <v>0</v>
      </c>
      <c r="W417">
        <v>0</v>
      </c>
      <c r="X417">
        <v>0</v>
      </c>
      <c r="Y417">
        <v>0</v>
      </c>
      <c r="Z417">
        <v>0</v>
      </c>
      <c r="AA417">
        <v>0</v>
      </c>
      <c r="AD417" t="s">
        <v>1777</v>
      </c>
      <c r="AE417" s="18">
        <v>1</v>
      </c>
      <c r="AF417">
        <v>0</v>
      </c>
    </row>
    <row r="418" spans="1:34" hidden="1">
      <c r="A418" s="38" t="s">
        <v>1816</v>
      </c>
      <c r="B418" s="38">
        <v>0</v>
      </c>
      <c r="C418" s="38">
        <v>0</v>
      </c>
      <c r="D418" s="38">
        <v>0</v>
      </c>
      <c r="E418" s="38">
        <v>0</v>
      </c>
      <c r="F418" s="38">
        <v>0</v>
      </c>
      <c r="G418" s="38">
        <v>0</v>
      </c>
      <c r="H418" s="38">
        <v>0</v>
      </c>
      <c r="I418" s="38">
        <v>0</v>
      </c>
      <c r="J418" s="38">
        <v>196</v>
      </c>
      <c r="K418">
        <v>206</v>
      </c>
      <c r="L418">
        <v>200</v>
      </c>
      <c r="M418">
        <v>150</v>
      </c>
      <c r="N418">
        <v>93</v>
      </c>
      <c r="O418">
        <v>0</v>
      </c>
      <c r="P418">
        <v>0</v>
      </c>
      <c r="Q418">
        <v>0</v>
      </c>
      <c r="R418">
        <v>0</v>
      </c>
      <c r="S418">
        <v>0</v>
      </c>
      <c r="T418">
        <v>0</v>
      </c>
      <c r="U418">
        <v>0</v>
      </c>
      <c r="V418">
        <v>0</v>
      </c>
      <c r="W418">
        <v>0</v>
      </c>
      <c r="X418">
        <v>0</v>
      </c>
      <c r="Y418">
        <v>0</v>
      </c>
      <c r="Z418">
        <v>0</v>
      </c>
      <c r="AA418">
        <v>0</v>
      </c>
      <c r="AD418" t="s">
        <v>1400</v>
      </c>
      <c r="AE418" s="18">
        <v>1060</v>
      </c>
      <c r="AF418">
        <v>2714</v>
      </c>
      <c r="AG418">
        <v>1016</v>
      </c>
      <c r="AH418">
        <v>2615</v>
      </c>
    </row>
    <row r="419" spans="1:34" hidden="1">
      <c r="A419" s="38" t="s">
        <v>1817</v>
      </c>
      <c r="B419" s="38">
        <v>0</v>
      </c>
      <c r="C419" s="38">
        <v>0</v>
      </c>
      <c r="D419" s="38">
        <v>0</v>
      </c>
      <c r="E419" s="38">
        <v>0</v>
      </c>
      <c r="F419" s="38">
        <v>0</v>
      </c>
      <c r="G419" s="38">
        <v>0</v>
      </c>
      <c r="H419" s="38">
        <v>0</v>
      </c>
      <c r="I419" s="38">
        <v>0</v>
      </c>
      <c r="J419" s="38">
        <v>160</v>
      </c>
      <c r="K419">
        <v>212</v>
      </c>
      <c r="L419">
        <v>442</v>
      </c>
      <c r="M419">
        <v>140</v>
      </c>
      <c r="N419">
        <v>289</v>
      </c>
      <c r="O419">
        <v>0</v>
      </c>
      <c r="P419">
        <v>0</v>
      </c>
      <c r="Q419">
        <v>0</v>
      </c>
      <c r="R419">
        <v>0</v>
      </c>
      <c r="S419">
        <v>0</v>
      </c>
      <c r="T419">
        <v>0</v>
      </c>
      <c r="U419">
        <v>0</v>
      </c>
      <c r="V419">
        <v>0</v>
      </c>
      <c r="W419">
        <v>0</v>
      </c>
      <c r="X419">
        <v>0</v>
      </c>
      <c r="Y419">
        <v>0</v>
      </c>
      <c r="Z419">
        <v>0</v>
      </c>
      <c r="AA419">
        <v>0</v>
      </c>
      <c r="AD419" t="s">
        <v>1398</v>
      </c>
      <c r="AE419" s="18">
        <v>810</v>
      </c>
      <c r="AF419">
        <v>2057</v>
      </c>
      <c r="AG419">
        <v>781</v>
      </c>
      <c r="AH419">
        <v>2165</v>
      </c>
    </row>
    <row r="420" spans="1:34" hidden="1">
      <c r="A420" s="38" t="s">
        <v>1818</v>
      </c>
      <c r="B420" s="38">
        <v>0</v>
      </c>
      <c r="C420" s="38">
        <v>0</v>
      </c>
      <c r="D420" s="38">
        <v>0</v>
      </c>
      <c r="E420" s="38">
        <v>0</v>
      </c>
      <c r="F420" s="38">
        <v>0</v>
      </c>
      <c r="G420" s="38">
        <v>0</v>
      </c>
      <c r="H420" s="38">
        <v>0</v>
      </c>
      <c r="I420" s="38">
        <v>0</v>
      </c>
      <c r="J420" s="38">
        <v>56</v>
      </c>
      <c r="K420">
        <v>116</v>
      </c>
      <c r="L420">
        <v>143</v>
      </c>
      <c r="M420">
        <v>79</v>
      </c>
      <c r="N420">
        <v>74</v>
      </c>
      <c r="O420">
        <v>0</v>
      </c>
      <c r="P420">
        <v>0</v>
      </c>
      <c r="Q420">
        <v>0</v>
      </c>
      <c r="R420">
        <v>0</v>
      </c>
      <c r="S420">
        <v>0</v>
      </c>
      <c r="T420">
        <v>0</v>
      </c>
      <c r="U420">
        <v>0</v>
      </c>
      <c r="V420">
        <v>0</v>
      </c>
      <c r="W420">
        <v>0</v>
      </c>
      <c r="X420">
        <v>0</v>
      </c>
      <c r="Y420">
        <v>0</v>
      </c>
      <c r="Z420">
        <v>0</v>
      </c>
      <c r="AA420">
        <v>0</v>
      </c>
      <c r="AD420" t="s">
        <v>1529</v>
      </c>
      <c r="AE420" s="18">
        <v>1161</v>
      </c>
      <c r="AF420">
        <v>3943</v>
      </c>
      <c r="AG420">
        <v>1200</v>
      </c>
      <c r="AH420">
        <v>4438</v>
      </c>
    </row>
    <row r="421" spans="1:34" hidden="1">
      <c r="A421" s="38" t="s">
        <v>1819</v>
      </c>
      <c r="B421" s="38">
        <v>0</v>
      </c>
      <c r="C421" s="38">
        <v>0</v>
      </c>
      <c r="D421" s="38">
        <v>0</v>
      </c>
      <c r="E421" s="38">
        <v>0</v>
      </c>
      <c r="F421" s="38">
        <v>0</v>
      </c>
      <c r="G421" s="38">
        <v>0</v>
      </c>
      <c r="H421" s="38">
        <v>0</v>
      </c>
      <c r="I421" s="38">
        <v>0</v>
      </c>
      <c r="J421" s="38">
        <v>0</v>
      </c>
      <c r="K421">
        <v>126</v>
      </c>
      <c r="L421">
        <v>181</v>
      </c>
      <c r="M421">
        <v>145</v>
      </c>
      <c r="N421">
        <v>91</v>
      </c>
      <c r="O421">
        <v>0</v>
      </c>
      <c r="P421">
        <v>0</v>
      </c>
      <c r="Q421">
        <v>0</v>
      </c>
      <c r="R421">
        <v>0</v>
      </c>
      <c r="S421">
        <v>0</v>
      </c>
      <c r="T421">
        <v>0</v>
      </c>
      <c r="U421">
        <v>0</v>
      </c>
      <c r="V421">
        <v>0</v>
      </c>
      <c r="W421">
        <v>0</v>
      </c>
      <c r="X421">
        <v>0</v>
      </c>
      <c r="Y421">
        <v>0</v>
      </c>
      <c r="Z421">
        <v>0</v>
      </c>
      <c r="AA421">
        <v>0</v>
      </c>
      <c r="AD421" t="s">
        <v>1548</v>
      </c>
      <c r="AE421" s="18">
        <v>1609</v>
      </c>
      <c r="AF421">
        <v>2968</v>
      </c>
      <c r="AG421">
        <v>1599</v>
      </c>
      <c r="AH421">
        <v>2916</v>
      </c>
    </row>
    <row r="422" spans="1:34" hidden="1">
      <c r="A422" s="38" t="s">
        <v>1820</v>
      </c>
      <c r="B422" s="38">
        <v>0</v>
      </c>
      <c r="C422" s="38">
        <v>0</v>
      </c>
      <c r="D422" s="38">
        <v>0</v>
      </c>
      <c r="E422" s="38">
        <v>0</v>
      </c>
      <c r="F422" s="38">
        <v>0</v>
      </c>
      <c r="G422" s="38">
        <v>0</v>
      </c>
      <c r="H422" s="38">
        <v>0</v>
      </c>
      <c r="I422" s="38">
        <v>0</v>
      </c>
      <c r="J422" s="38">
        <v>0</v>
      </c>
      <c r="K422">
        <v>890</v>
      </c>
      <c r="L422">
        <v>860</v>
      </c>
      <c r="M422">
        <v>532</v>
      </c>
      <c r="N422">
        <v>667</v>
      </c>
      <c r="O422">
        <v>0</v>
      </c>
      <c r="P422">
        <v>0</v>
      </c>
      <c r="Q422">
        <v>0</v>
      </c>
      <c r="R422">
        <v>0</v>
      </c>
      <c r="S422">
        <v>0</v>
      </c>
      <c r="T422">
        <v>0</v>
      </c>
      <c r="U422">
        <v>0</v>
      </c>
      <c r="V422">
        <v>0</v>
      </c>
      <c r="W422">
        <v>0</v>
      </c>
      <c r="X422">
        <v>0</v>
      </c>
      <c r="Y422">
        <v>0</v>
      </c>
      <c r="Z422">
        <v>0</v>
      </c>
      <c r="AA422">
        <v>0</v>
      </c>
      <c r="AD422" t="s">
        <v>1496</v>
      </c>
      <c r="AE422" s="18">
        <v>1107</v>
      </c>
      <c r="AF422">
        <v>3665</v>
      </c>
      <c r="AG422">
        <v>969</v>
      </c>
      <c r="AH422">
        <v>3460</v>
      </c>
    </row>
    <row r="423" spans="1:34" hidden="1">
      <c r="A423" s="38" t="s">
        <v>1821</v>
      </c>
      <c r="B423" s="38">
        <v>0</v>
      </c>
      <c r="C423" s="38">
        <v>0</v>
      </c>
      <c r="D423" s="38">
        <v>0</v>
      </c>
      <c r="E423" s="38">
        <v>0</v>
      </c>
      <c r="F423" s="38">
        <v>0</v>
      </c>
      <c r="G423" s="38">
        <v>0</v>
      </c>
      <c r="H423" s="38">
        <v>0</v>
      </c>
      <c r="I423" s="38">
        <v>0</v>
      </c>
      <c r="J423" s="38">
        <v>0</v>
      </c>
      <c r="K423">
        <v>260</v>
      </c>
      <c r="L423">
        <v>409</v>
      </c>
      <c r="M423">
        <v>186</v>
      </c>
      <c r="N423">
        <v>459</v>
      </c>
      <c r="O423">
        <v>0</v>
      </c>
      <c r="P423">
        <v>0</v>
      </c>
      <c r="Q423">
        <v>0</v>
      </c>
      <c r="R423">
        <v>0</v>
      </c>
      <c r="S423">
        <v>0</v>
      </c>
      <c r="T423">
        <v>0</v>
      </c>
      <c r="U423">
        <v>0</v>
      </c>
      <c r="V423">
        <v>0</v>
      </c>
      <c r="W423">
        <v>0</v>
      </c>
      <c r="X423">
        <v>0</v>
      </c>
      <c r="Y423">
        <v>0</v>
      </c>
      <c r="Z423">
        <v>0</v>
      </c>
      <c r="AA423">
        <v>0</v>
      </c>
      <c r="AD423" t="s">
        <v>1755</v>
      </c>
      <c r="AE423" s="18">
        <v>550</v>
      </c>
      <c r="AF423">
        <v>1773</v>
      </c>
      <c r="AG423">
        <v>494</v>
      </c>
      <c r="AH423">
        <v>1693</v>
      </c>
    </row>
    <row r="424" spans="1:34" hidden="1">
      <c r="B424" s="38"/>
      <c r="C424" s="38"/>
      <c r="D424" s="38"/>
      <c r="E424" s="38"/>
      <c r="F424" s="38"/>
      <c r="G424" s="38"/>
      <c r="H424" s="38"/>
      <c r="I424" s="38"/>
      <c r="AD424" t="s">
        <v>1470</v>
      </c>
      <c r="AE424" s="18">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1514</v>
      </c>
      <c r="AE425" s="18">
        <v>1375</v>
      </c>
      <c r="AF425">
        <v>3541</v>
      </c>
      <c r="AG425">
        <v>1348</v>
      </c>
      <c r="AH425">
        <v>3357</v>
      </c>
    </row>
    <row r="426" spans="1:34" hidden="1">
      <c r="B426" s="38"/>
      <c r="C426" s="38"/>
      <c r="D426" s="38"/>
      <c r="E426" s="38"/>
      <c r="F426" s="38"/>
      <c r="G426" s="38"/>
      <c r="H426" s="38"/>
      <c r="I426" s="38"/>
      <c r="AD426" t="s">
        <v>1388</v>
      </c>
      <c r="AE426" s="18">
        <v>770</v>
      </c>
      <c r="AF426">
        <v>2206</v>
      </c>
      <c r="AG426">
        <v>708</v>
      </c>
      <c r="AH426">
        <v>2045</v>
      </c>
    </row>
    <row r="427" spans="1:34" hidden="1">
      <c r="B427" s="38"/>
      <c r="C427" s="38"/>
      <c r="D427" s="38"/>
      <c r="E427" s="38"/>
      <c r="F427" s="38"/>
      <c r="G427" s="38"/>
      <c r="H427" s="38"/>
      <c r="I427" s="38"/>
      <c r="AD427" t="s">
        <v>1490</v>
      </c>
      <c r="AE427" s="18">
        <v>1104</v>
      </c>
      <c r="AF427">
        <v>3593</v>
      </c>
      <c r="AG427">
        <v>1145</v>
      </c>
      <c r="AH427">
        <v>3700</v>
      </c>
    </row>
    <row r="428" spans="1:34" hidden="1">
      <c r="B428" s="38"/>
      <c r="C428" s="38"/>
      <c r="D428" s="38"/>
      <c r="E428" s="38"/>
      <c r="F428" s="38"/>
      <c r="G428" s="38"/>
      <c r="H428" s="38"/>
      <c r="J428" s="38"/>
      <c r="AD428" t="s">
        <v>1516</v>
      </c>
      <c r="AE428" s="18">
        <v>1299</v>
      </c>
      <c r="AF428">
        <v>2917</v>
      </c>
      <c r="AG428">
        <v>1294</v>
      </c>
      <c r="AH428">
        <v>2694</v>
      </c>
    </row>
    <row r="429" spans="1:34" ht="18.75" hidden="1" customHeight="1">
      <c r="B429" s="38"/>
      <c r="C429" s="38"/>
      <c r="D429" s="38"/>
      <c r="E429" s="38"/>
      <c r="F429" s="38"/>
      <c r="G429" s="38"/>
      <c r="H429" s="38"/>
      <c r="I429" s="38"/>
      <c r="AD429" t="s">
        <v>1346</v>
      </c>
      <c r="AE429" s="18">
        <v>930</v>
      </c>
      <c r="AF429">
        <v>3702</v>
      </c>
      <c r="AG429">
        <v>856</v>
      </c>
      <c r="AH429">
        <v>3015</v>
      </c>
    </row>
    <row r="430" spans="1:34">
      <c r="B430" s="38"/>
      <c r="C430" s="38"/>
      <c r="D430" s="38"/>
      <c r="E430" s="38"/>
      <c r="F430" s="38"/>
      <c r="G430" s="38"/>
      <c r="H430" s="38"/>
      <c r="I430" s="38"/>
      <c r="AD430" t="s">
        <v>1443</v>
      </c>
      <c r="AE430" s="18">
        <v>531</v>
      </c>
      <c r="AF430">
        <v>1889</v>
      </c>
      <c r="AG430">
        <v>382</v>
      </c>
      <c r="AH430">
        <v>1239</v>
      </c>
    </row>
    <row r="431" spans="1:34" ht="12.75" customHeight="1">
      <c r="A431">
        <v>2024</v>
      </c>
      <c r="B431">
        <v>2024</v>
      </c>
      <c r="C431">
        <v>2024</v>
      </c>
      <c r="D431">
        <v>2024</v>
      </c>
      <c r="E431">
        <v>2024</v>
      </c>
      <c r="F431">
        <v>2024</v>
      </c>
      <c r="G431">
        <v>2024</v>
      </c>
      <c r="H431">
        <v>2024</v>
      </c>
      <c r="I431">
        <v>2024</v>
      </c>
      <c r="J431">
        <v>2024</v>
      </c>
      <c r="K431">
        <v>2024</v>
      </c>
      <c r="L431">
        <v>2024</v>
      </c>
      <c r="M431">
        <v>2025</v>
      </c>
      <c r="N431">
        <v>2025</v>
      </c>
      <c r="O431">
        <v>2025</v>
      </c>
      <c r="P431">
        <v>2025</v>
      </c>
      <c r="Q431">
        <v>2025</v>
      </c>
      <c r="R431">
        <v>2025</v>
      </c>
      <c r="S431">
        <v>2025</v>
      </c>
      <c r="T431">
        <v>2025</v>
      </c>
      <c r="U431">
        <v>2025</v>
      </c>
      <c r="V431">
        <v>2025</v>
      </c>
      <c r="W431">
        <v>2025</v>
      </c>
      <c r="X431">
        <v>2025</v>
      </c>
      <c r="Y431">
        <v>2026</v>
      </c>
      <c r="Z431">
        <v>2026</v>
      </c>
      <c r="AA431">
        <v>2026</v>
      </c>
      <c r="AD431" s="36" t="s">
        <v>1319</v>
      </c>
      <c r="AE431" s="111">
        <v>1122</v>
      </c>
      <c r="AF431">
        <v>4381</v>
      </c>
      <c r="AG431">
        <v>741</v>
      </c>
      <c r="AH431">
        <v>3467</v>
      </c>
    </row>
    <row r="432" spans="1:34">
      <c r="A432" t="s">
        <v>1822</v>
      </c>
      <c r="B432" t="s">
        <v>12</v>
      </c>
      <c r="C432" t="s">
        <v>13</v>
      </c>
      <c r="D432" t="s">
        <v>1823</v>
      </c>
      <c r="E432" t="s">
        <v>1824</v>
      </c>
      <c r="F432" t="s">
        <v>1825</v>
      </c>
      <c r="G432" t="s">
        <v>1826</v>
      </c>
      <c r="H432" t="s">
        <v>1827</v>
      </c>
      <c r="I432" t="s">
        <v>1828</v>
      </c>
      <c r="J432" t="s">
        <v>1829</v>
      </c>
      <c r="K432" t="s">
        <v>1830</v>
      </c>
      <c r="L432" t="s">
        <v>1831</v>
      </c>
      <c r="M432" t="s">
        <v>1822</v>
      </c>
      <c r="N432" t="s">
        <v>12</v>
      </c>
      <c r="O432" t="s">
        <v>13</v>
      </c>
      <c r="P432" t="s">
        <v>1823</v>
      </c>
      <c r="Q432" t="s">
        <v>1824</v>
      </c>
      <c r="R432" t="s">
        <v>1825</v>
      </c>
      <c r="S432" t="s">
        <v>1826</v>
      </c>
      <c r="T432" t="s">
        <v>1827</v>
      </c>
      <c r="U432" t="s">
        <v>1828</v>
      </c>
      <c r="V432" t="s">
        <v>1829</v>
      </c>
      <c r="W432" t="s">
        <v>1830</v>
      </c>
      <c r="X432" t="s">
        <v>1831</v>
      </c>
      <c r="Y432" t="s">
        <v>1822</v>
      </c>
      <c r="Z432" t="s">
        <v>12</v>
      </c>
      <c r="AA432" t="s">
        <v>13</v>
      </c>
      <c r="AD432" s="26" t="s">
        <v>1362</v>
      </c>
      <c r="AE432" s="18">
        <v>325</v>
      </c>
      <c r="AF432">
        <v>3278</v>
      </c>
      <c r="AG432">
        <v>355</v>
      </c>
      <c r="AH432">
        <v>2834</v>
      </c>
    </row>
    <row r="433" spans="1:34">
      <c r="A433" s="169">
        <v>0.17119999999999999</v>
      </c>
      <c r="B433" s="169">
        <v>0.16869999999999999</v>
      </c>
      <c r="C433" s="169">
        <v>0.15559999999999999</v>
      </c>
      <c r="D433" s="169">
        <v>0.15379999999999999</v>
      </c>
      <c r="E433" s="169">
        <v>0.17710000000000001</v>
      </c>
      <c r="F433" s="169">
        <v>0.192</v>
      </c>
      <c r="G433" s="169">
        <v>0.19189999999999999</v>
      </c>
      <c r="H433" s="169">
        <v>0.19600000000000001</v>
      </c>
      <c r="I433" s="169">
        <v>0.1981</v>
      </c>
      <c r="J433" s="169">
        <v>0.20469999999999999</v>
      </c>
      <c r="K433" s="169">
        <v>0.1976</v>
      </c>
      <c r="L433" s="169">
        <v>0.2024</v>
      </c>
      <c r="M433" s="169">
        <v>0.182</v>
      </c>
      <c r="N433" s="169">
        <v>0.189</v>
      </c>
      <c r="O433" s="169">
        <v>0.1938</v>
      </c>
      <c r="P433" s="169">
        <v>0.1951</v>
      </c>
      <c r="Q433" s="169">
        <v>0.1973</v>
      </c>
      <c r="R433" s="169">
        <v>0.2051</v>
      </c>
      <c r="S433" s="169">
        <v>0.2167</v>
      </c>
      <c r="T433" s="169">
        <v>0.2099</v>
      </c>
      <c r="U433" s="169">
        <v>0.2248</v>
      </c>
      <c r="V433" s="169">
        <v>0.2351</v>
      </c>
      <c r="W433" s="169">
        <v>0.22670000000000001</v>
      </c>
      <c r="X433" s="169">
        <v>0.24079999999999999</v>
      </c>
      <c r="Y433" s="169">
        <v>0.2243</v>
      </c>
      <c r="Z433" s="169">
        <v>0.2288</v>
      </c>
      <c r="AA433" s="176">
        <v>0.23319999999999999</v>
      </c>
      <c r="AD433" s="26" t="s">
        <v>1546</v>
      </c>
      <c r="AE433" s="18">
        <v>1173</v>
      </c>
      <c r="AF433">
        <v>13082</v>
      </c>
      <c r="AG433">
        <v>1294</v>
      </c>
      <c r="AH433">
        <v>13075</v>
      </c>
    </row>
    <row r="434" spans="1:34">
      <c r="A434" s="169"/>
      <c r="B434" s="169"/>
      <c r="C434" s="169"/>
      <c r="D434" s="169"/>
      <c r="E434" s="169"/>
      <c r="F434" s="169"/>
      <c r="G434" s="169"/>
      <c r="H434" s="169"/>
      <c r="I434" s="169"/>
      <c r="J434" s="169"/>
      <c r="K434" s="169"/>
      <c r="L434" s="169"/>
      <c r="M434" s="169"/>
      <c r="N434" s="169"/>
      <c r="P434" s="169"/>
      <c r="Q434" s="169"/>
      <c r="S434" s="169"/>
      <c r="T434" s="169"/>
      <c r="V434" s="169"/>
      <c r="W434" s="169"/>
      <c r="Y434" s="169"/>
      <c r="AD434" t="s">
        <v>1832</v>
      </c>
      <c r="AE434" s="18">
        <v>0</v>
      </c>
    </row>
    <row r="435" spans="1:34">
      <c r="AE435" s="18">
        <v>0</v>
      </c>
    </row>
    <row r="436" spans="1:34">
      <c r="AE436" s="18">
        <v>0</v>
      </c>
    </row>
    <row r="437" spans="1:34">
      <c r="AD437" t="s">
        <v>1460</v>
      </c>
      <c r="AE437" s="18">
        <v>1253</v>
      </c>
      <c r="AF437">
        <v>3107</v>
      </c>
      <c r="AG437">
        <v>1273</v>
      </c>
      <c r="AH437">
        <v>3054</v>
      </c>
    </row>
    <row r="438" spans="1:34">
      <c r="AE438" s="18"/>
    </row>
    <row r="439" spans="1:34">
      <c r="AD439" t="s">
        <v>1333</v>
      </c>
      <c r="AE439" s="18">
        <v>566</v>
      </c>
      <c r="AF439">
        <v>2475</v>
      </c>
      <c r="AG439">
        <v>531</v>
      </c>
      <c r="AH439">
        <v>2223</v>
      </c>
    </row>
    <row r="440" spans="1:34">
      <c r="AD440" t="s">
        <v>1412</v>
      </c>
      <c r="AE440" s="18">
        <v>601</v>
      </c>
      <c r="AF440">
        <v>2371</v>
      </c>
      <c r="AG440">
        <v>444</v>
      </c>
      <c r="AH440">
        <v>1884</v>
      </c>
    </row>
    <row r="441" spans="1:34">
      <c r="AD441" t="s">
        <v>1782</v>
      </c>
      <c r="AE441" s="18">
        <v>375</v>
      </c>
      <c r="AF441">
        <v>2654</v>
      </c>
      <c r="AG441">
        <v>317</v>
      </c>
      <c r="AH441">
        <v>2644</v>
      </c>
    </row>
    <row r="442" spans="1:34">
      <c r="AD442" t="s">
        <v>1764</v>
      </c>
      <c r="AE442" s="18">
        <v>17</v>
      </c>
      <c r="AF442">
        <v>75</v>
      </c>
      <c r="AG442">
        <v>31</v>
      </c>
      <c r="AH442">
        <v>81</v>
      </c>
    </row>
    <row r="443" spans="1:34">
      <c r="AD443" t="s">
        <v>1342</v>
      </c>
      <c r="AE443" s="18">
        <v>0</v>
      </c>
      <c r="AF443">
        <v>656</v>
      </c>
      <c r="AG443">
        <v>162</v>
      </c>
      <c r="AH443">
        <v>702</v>
      </c>
    </row>
    <row r="444" spans="1:34">
      <c r="AD444" t="s">
        <v>1462</v>
      </c>
      <c r="AE444" s="18">
        <v>966</v>
      </c>
      <c r="AF444">
        <v>1681</v>
      </c>
      <c r="AG444">
        <v>903</v>
      </c>
      <c r="AH444">
        <v>1681</v>
      </c>
    </row>
    <row r="445" spans="1:34">
      <c r="AD445" t="s">
        <v>1364</v>
      </c>
      <c r="AE445" s="18">
        <v>22</v>
      </c>
      <c r="AF445">
        <v>170</v>
      </c>
      <c r="AG445">
        <v>8</v>
      </c>
      <c r="AH445">
        <v>146</v>
      </c>
    </row>
    <row r="446" spans="1:34">
      <c r="AD446" t="s">
        <v>1500</v>
      </c>
      <c r="AE446" s="18">
        <v>1292</v>
      </c>
      <c r="AF446">
        <v>3882</v>
      </c>
      <c r="AG446">
        <v>1188</v>
      </c>
      <c r="AH446">
        <v>3764</v>
      </c>
    </row>
    <row r="447" spans="1:34">
      <c r="AD447" t="s">
        <v>1555</v>
      </c>
      <c r="AE447" s="18">
        <v>840</v>
      </c>
      <c r="AF447">
        <v>4795</v>
      </c>
      <c r="AG447">
        <v>954</v>
      </c>
      <c r="AH447">
        <v>4619</v>
      </c>
    </row>
    <row r="448" spans="1:34">
      <c r="AD448" t="s">
        <v>1754</v>
      </c>
      <c r="AE448" s="18">
        <v>142</v>
      </c>
      <c r="AF448">
        <v>864</v>
      </c>
      <c r="AG448">
        <v>168</v>
      </c>
      <c r="AH448">
        <v>824</v>
      </c>
    </row>
    <row r="449" spans="30:34">
      <c r="AD449" s="36" t="s">
        <v>1789</v>
      </c>
      <c r="AE449" s="111">
        <v>131</v>
      </c>
      <c r="AF449">
        <v>712</v>
      </c>
      <c r="AG449">
        <v>112</v>
      </c>
      <c r="AH449">
        <v>685</v>
      </c>
    </row>
    <row r="450" spans="30:34">
      <c r="AD450" t="s">
        <v>1366</v>
      </c>
      <c r="AE450" s="18">
        <v>0</v>
      </c>
      <c r="AF450">
        <v>97</v>
      </c>
      <c r="AG450">
        <v>2</v>
      </c>
      <c r="AH450">
        <v>1506</v>
      </c>
    </row>
    <row r="451" spans="30:34">
      <c r="AD451" t="s">
        <v>1476</v>
      </c>
      <c r="AE451" s="18">
        <v>683</v>
      </c>
      <c r="AF451">
        <v>1859</v>
      </c>
      <c r="AG451">
        <v>789</v>
      </c>
      <c r="AH451">
        <v>2046</v>
      </c>
    </row>
    <row r="452" spans="30:34">
      <c r="AD452" t="s">
        <v>1354</v>
      </c>
      <c r="AE452" s="18">
        <v>276</v>
      </c>
      <c r="AF452">
        <v>1244</v>
      </c>
      <c r="AG452">
        <v>293</v>
      </c>
      <c r="AH452">
        <v>1147</v>
      </c>
    </row>
    <row r="453" spans="30:34">
      <c r="AD453" t="s">
        <v>1356</v>
      </c>
      <c r="AE453" s="18">
        <v>295</v>
      </c>
      <c r="AF453">
        <v>1136</v>
      </c>
      <c r="AG453">
        <v>343</v>
      </c>
      <c r="AH453">
        <v>1641</v>
      </c>
    </row>
    <row r="454" spans="30:34">
      <c r="AD454" t="s">
        <v>1756</v>
      </c>
      <c r="AE454" s="18">
        <v>279</v>
      </c>
      <c r="AF454">
        <v>441</v>
      </c>
      <c r="AG454">
        <v>203</v>
      </c>
      <c r="AH454">
        <v>400</v>
      </c>
    </row>
    <row r="455" spans="30:34">
      <c r="AD455" t="s">
        <v>1579</v>
      </c>
      <c r="AE455" s="18">
        <v>1946</v>
      </c>
      <c r="AF455">
        <v>7171</v>
      </c>
      <c r="AG455">
        <v>1777</v>
      </c>
      <c r="AH455">
        <v>5772</v>
      </c>
    </row>
    <row r="456" spans="30:34">
      <c r="AD456" t="s">
        <v>1557</v>
      </c>
      <c r="AE456" s="18">
        <v>1462</v>
      </c>
      <c r="AF456">
        <v>5018</v>
      </c>
      <c r="AG456">
        <v>1152</v>
      </c>
      <c r="AH456">
        <v>4407</v>
      </c>
    </row>
    <row r="457" spans="30:34">
      <c r="AD457" t="s">
        <v>1581</v>
      </c>
      <c r="AE457" s="18">
        <v>2083</v>
      </c>
      <c r="AF457">
        <v>5548</v>
      </c>
      <c r="AG457">
        <v>2042</v>
      </c>
      <c r="AH457">
        <v>5663</v>
      </c>
    </row>
    <row r="458" spans="30:34">
      <c r="AD458" s="26" t="s">
        <v>1378</v>
      </c>
      <c r="AE458" s="18">
        <v>336</v>
      </c>
      <c r="AF458">
        <v>1519</v>
      </c>
      <c r="AG458">
        <v>352</v>
      </c>
      <c r="AH458">
        <v>1583</v>
      </c>
    </row>
    <row r="459" spans="30:34">
      <c r="AD459" t="s">
        <v>1340</v>
      </c>
      <c r="AE459" s="18">
        <v>1332</v>
      </c>
      <c r="AF459">
        <v>3144</v>
      </c>
      <c r="AG459">
        <v>1166</v>
      </c>
      <c r="AH459">
        <v>2653</v>
      </c>
    </row>
    <row r="460" spans="30:34">
      <c r="AD460" t="s">
        <v>1478</v>
      </c>
      <c r="AE460" s="18">
        <v>796</v>
      </c>
      <c r="AF460">
        <v>2372</v>
      </c>
      <c r="AG460">
        <v>656</v>
      </c>
      <c r="AH460">
        <v>2225</v>
      </c>
    </row>
    <row r="461" spans="30:34">
      <c r="AD461" t="s">
        <v>1540</v>
      </c>
      <c r="AE461" s="18">
        <v>3891</v>
      </c>
      <c r="AF461">
        <v>11080</v>
      </c>
      <c r="AG461">
        <v>3754</v>
      </c>
      <c r="AH461">
        <v>10592</v>
      </c>
    </row>
    <row r="462" spans="30:34">
      <c r="AD462" t="s">
        <v>1553</v>
      </c>
      <c r="AE462" s="18">
        <v>1452</v>
      </c>
      <c r="AF462">
        <v>4180</v>
      </c>
      <c r="AG462">
        <v>1291</v>
      </c>
      <c r="AH462">
        <v>3452</v>
      </c>
    </row>
    <row r="463" spans="30:34">
      <c r="AD463" t="s">
        <v>1525</v>
      </c>
      <c r="AE463" s="18">
        <v>1547</v>
      </c>
      <c r="AF463">
        <v>8203</v>
      </c>
      <c r="AG463">
        <v>1368</v>
      </c>
      <c r="AH463">
        <v>9377</v>
      </c>
    </row>
    <row r="464" spans="30:34">
      <c r="AD464" t="s">
        <v>1348</v>
      </c>
      <c r="AE464" s="18">
        <v>303</v>
      </c>
      <c r="AF464">
        <v>2468</v>
      </c>
      <c r="AG464">
        <v>327</v>
      </c>
      <c r="AH464">
        <v>2674</v>
      </c>
    </row>
    <row r="465" spans="30:34">
      <c r="AD465" t="s">
        <v>1538</v>
      </c>
      <c r="AE465" s="18">
        <v>1797</v>
      </c>
      <c r="AF465">
        <v>3968</v>
      </c>
      <c r="AG465">
        <v>1837</v>
      </c>
      <c r="AH465">
        <v>3753</v>
      </c>
    </row>
    <row r="466" spans="30:34">
      <c r="AD466" t="s">
        <v>1762</v>
      </c>
      <c r="AE466" s="18">
        <v>313</v>
      </c>
      <c r="AF466">
        <v>1233</v>
      </c>
      <c r="AG466">
        <v>123</v>
      </c>
      <c r="AH466">
        <v>505</v>
      </c>
    </row>
    <row r="467" spans="30:34">
      <c r="AD467" t="s">
        <v>1384</v>
      </c>
      <c r="AE467" s="18">
        <v>742</v>
      </c>
      <c r="AF467">
        <v>2328</v>
      </c>
      <c r="AG467">
        <v>760</v>
      </c>
      <c r="AH467">
        <v>2605</v>
      </c>
    </row>
    <row r="468" spans="30:34">
      <c r="AD468" t="s">
        <v>1380</v>
      </c>
      <c r="AE468" s="18">
        <v>356</v>
      </c>
      <c r="AF468">
        <v>678</v>
      </c>
      <c r="AG468">
        <v>312</v>
      </c>
      <c r="AH468">
        <v>640</v>
      </c>
    </row>
    <row r="469" spans="30:34">
      <c r="AD469" t="s">
        <v>1512</v>
      </c>
      <c r="AE469" s="18">
        <v>1874</v>
      </c>
      <c r="AF469">
        <v>7170</v>
      </c>
      <c r="AG469">
        <v>1651</v>
      </c>
      <c r="AH469">
        <v>6647</v>
      </c>
    </row>
    <row r="470" spans="30:34">
      <c r="AD470" t="s">
        <v>1761</v>
      </c>
      <c r="AE470" s="18">
        <v>434</v>
      </c>
      <c r="AF470">
        <v>1699</v>
      </c>
      <c r="AG470">
        <v>16</v>
      </c>
      <c r="AH470">
        <v>15</v>
      </c>
    </row>
    <row r="471" spans="30:34">
      <c r="AD471" t="s">
        <v>1449</v>
      </c>
      <c r="AE471" s="18">
        <v>922</v>
      </c>
      <c r="AF471">
        <v>2223</v>
      </c>
      <c r="AG471">
        <v>818</v>
      </c>
      <c r="AH471">
        <v>2568</v>
      </c>
    </row>
    <row r="472" spans="30:34">
      <c r="AD472" t="s">
        <v>1433</v>
      </c>
      <c r="AE472" s="18">
        <v>1303</v>
      </c>
      <c r="AF472">
        <v>8739</v>
      </c>
      <c r="AG472">
        <v>1458</v>
      </c>
      <c r="AH472">
        <v>8971</v>
      </c>
    </row>
    <row r="473" spans="30:34">
      <c r="AD473" t="s">
        <v>1508</v>
      </c>
      <c r="AE473" s="18">
        <v>1967</v>
      </c>
      <c r="AF473">
        <v>6950</v>
      </c>
      <c r="AG473">
        <v>2394</v>
      </c>
      <c r="AH473">
        <v>8538</v>
      </c>
    </row>
    <row r="474" spans="30:34">
      <c r="AD474" t="s">
        <v>1468</v>
      </c>
      <c r="AE474" s="18">
        <v>2648</v>
      </c>
      <c r="AF474">
        <v>5829</v>
      </c>
      <c r="AG474">
        <v>2540</v>
      </c>
      <c r="AH474">
        <v>5875</v>
      </c>
    </row>
    <row r="475" spans="30:34">
      <c r="AD475" t="s">
        <v>1374</v>
      </c>
      <c r="AE475" s="18">
        <v>1099</v>
      </c>
      <c r="AF475">
        <v>3946</v>
      </c>
      <c r="AG475">
        <v>805</v>
      </c>
      <c r="AH475">
        <v>3422</v>
      </c>
    </row>
    <row r="476" spans="30:34">
      <c r="AD476" t="s">
        <v>1492</v>
      </c>
      <c r="AE476" s="18">
        <v>3298</v>
      </c>
      <c r="AF476">
        <v>9439</v>
      </c>
      <c r="AG476">
        <v>3094</v>
      </c>
      <c r="AH476">
        <v>8484</v>
      </c>
    </row>
    <row r="477" spans="30:34">
      <c r="AD477" t="s">
        <v>1372</v>
      </c>
      <c r="AE477" s="18">
        <v>355</v>
      </c>
      <c r="AF477">
        <v>1594</v>
      </c>
      <c r="AG477">
        <v>332</v>
      </c>
      <c r="AH477">
        <v>1652</v>
      </c>
    </row>
    <row r="478" spans="30:34">
      <c r="AD478" t="s">
        <v>1535</v>
      </c>
      <c r="AE478" s="18">
        <v>4192</v>
      </c>
      <c r="AF478">
        <v>14541</v>
      </c>
      <c r="AG478">
        <v>4135</v>
      </c>
      <c r="AH478">
        <v>13649</v>
      </c>
    </row>
    <row r="479" spans="30:34">
      <c r="AD479" t="s">
        <v>1482</v>
      </c>
      <c r="AE479" s="18">
        <v>5893</v>
      </c>
      <c r="AF479">
        <v>16635</v>
      </c>
      <c r="AG479">
        <v>6172</v>
      </c>
      <c r="AH479">
        <v>17200</v>
      </c>
    </row>
    <row r="480" spans="30:34">
      <c r="AD480" t="s">
        <v>1502</v>
      </c>
      <c r="AE480" s="18">
        <v>1168</v>
      </c>
      <c r="AF480">
        <v>6111</v>
      </c>
      <c r="AG480">
        <v>1334</v>
      </c>
      <c r="AH480">
        <v>6479</v>
      </c>
    </row>
    <row r="481" spans="30:38">
      <c r="AD481" t="s">
        <v>1472</v>
      </c>
      <c r="AE481" s="18">
        <v>660</v>
      </c>
      <c r="AF481">
        <v>2399</v>
      </c>
      <c r="AG481">
        <v>577</v>
      </c>
      <c r="AH481">
        <v>2079</v>
      </c>
    </row>
    <row r="482" spans="30:38">
      <c r="AD482" t="s">
        <v>1574</v>
      </c>
      <c r="AE482" s="18">
        <v>1341</v>
      </c>
      <c r="AF482">
        <v>4218</v>
      </c>
      <c r="AG482">
        <v>1501</v>
      </c>
      <c r="AH482">
        <v>4158</v>
      </c>
    </row>
    <row r="483" spans="30:38">
      <c r="AD483" t="s">
        <v>1570</v>
      </c>
      <c r="AE483" s="18">
        <v>3129</v>
      </c>
      <c r="AF483">
        <v>9988</v>
      </c>
      <c r="AG483">
        <v>3119</v>
      </c>
      <c r="AH483">
        <v>10232</v>
      </c>
    </row>
    <row r="484" spans="30:38">
      <c r="AD484" t="s">
        <v>1572</v>
      </c>
      <c r="AE484" s="18">
        <v>3780</v>
      </c>
      <c r="AF484">
        <v>9966</v>
      </c>
      <c r="AG484">
        <v>4347</v>
      </c>
      <c r="AH484">
        <v>11844</v>
      </c>
    </row>
    <row r="485" spans="30:38">
      <c r="AD485" t="s">
        <v>1588</v>
      </c>
      <c r="AE485" s="18">
        <v>4424</v>
      </c>
      <c r="AF485">
        <v>19236</v>
      </c>
      <c r="AG485">
        <v>3796</v>
      </c>
      <c r="AH485">
        <v>15646</v>
      </c>
    </row>
    <row r="486" spans="30:38">
      <c r="AD486" t="s">
        <v>1437</v>
      </c>
      <c r="AE486" s="18">
        <v>910</v>
      </c>
      <c r="AF486">
        <v>2546</v>
      </c>
      <c r="AG486">
        <v>640</v>
      </c>
      <c r="AH486">
        <v>1546</v>
      </c>
    </row>
    <row r="488" spans="30:38">
      <c r="AE488" s="24">
        <f>SUM(AE2:AE486)</f>
        <v>998117</v>
      </c>
      <c r="AF488" s="24">
        <f>SUM(AF2:AF486)</f>
        <v>3754233</v>
      </c>
      <c r="AG488" s="24">
        <f t="shared" ref="AG488:AH488" si="1">SUM(AG2:AG486)</f>
        <v>896741</v>
      </c>
      <c r="AH488" s="24">
        <f t="shared" si="1"/>
        <v>3331648</v>
      </c>
      <c r="AI488">
        <v>997052</v>
      </c>
      <c r="AJ488">
        <v>3696930</v>
      </c>
      <c r="AK488">
        <v>3823370</v>
      </c>
      <c r="AL488">
        <v>1000989</v>
      </c>
    </row>
  </sheetData>
  <autoFilter ref="AG1:AG488" xr:uid="{D1C2AC53-AB10-45FA-8884-38249F8AB2BF}"/>
  <phoneticPr fontId="1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Q641"/>
  <sheetViews>
    <sheetView workbookViewId="0">
      <pane xSplit="2" topLeftCell="C1" activePane="topRight" state="frozen"/>
      <selection pane="topRight" activeCell="K212" sqref="K212"/>
    </sheetView>
  </sheetViews>
  <sheetFormatPr defaultRowHeight="15"/>
  <cols>
    <col min="1" max="1" width="97.85546875" customWidth="1"/>
    <col min="2" max="2" width="14" customWidth="1"/>
    <col min="3" max="3" width="21" customWidth="1"/>
    <col min="4" max="4" width="14.85546875" style="18" customWidth="1"/>
    <col min="5" max="5" width="20.7109375" style="116" customWidth="1"/>
    <col min="6" max="7" width="1.7109375" customWidth="1"/>
    <col min="8" max="8" width="19" style="106" customWidth="1"/>
    <col min="9" max="9" width="9.7109375" customWidth="1"/>
    <col min="10" max="10" width="10.85546875" customWidth="1"/>
    <col min="11" max="12" width="13.85546875" customWidth="1"/>
    <col min="13" max="13" width="13.85546875" style="107" customWidth="1"/>
    <col min="15" max="17" width="0" hidden="1" customWidth="1"/>
  </cols>
  <sheetData>
    <row r="1" spans="1:17" s="2" customFormat="1" ht="10.5" customHeight="1">
      <c r="A1" s="20" t="s">
        <v>1833</v>
      </c>
      <c r="B1" s="20" t="s">
        <v>1647</v>
      </c>
      <c r="C1" s="20" t="s">
        <v>1834</v>
      </c>
      <c r="D1" s="21" t="s">
        <v>1835</v>
      </c>
      <c r="E1" s="118" t="s">
        <v>1836</v>
      </c>
      <c r="F1" s="20"/>
      <c r="G1" s="20"/>
      <c r="H1" s="105" t="s">
        <v>1837</v>
      </c>
      <c r="I1" s="20" t="s">
        <v>1838</v>
      </c>
      <c r="J1" s="20"/>
      <c r="K1" s="20" t="s">
        <v>1839</v>
      </c>
      <c r="L1" s="20" t="s">
        <v>1840</v>
      </c>
      <c r="M1" s="108" t="s">
        <v>1841</v>
      </c>
      <c r="O1" s="2" t="s">
        <v>27</v>
      </c>
      <c r="P1" s="2">
        <v>67399</v>
      </c>
      <c r="Q1" s="2">
        <v>74374.570000000007</v>
      </c>
    </row>
    <row r="2" spans="1:17" hidden="1">
      <c r="A2" s="39" t="s">
        <v>909</v>
      </c>
      <c r="B2" s="36" t="s">
        <v>910</v>
      </c>
      <c r="C2" s="27">
        <v>9506</v>
      </c>
      <c r="D2" s="18">
        <f>C2/30</f>
        <v>316.86666666666667</v>
      </c>
      <c r="E2" s="5">
        <v>10114.459999999999</v>
      </c>
      <c r="H2" s="18">
        <f>IF((C2/30)&gt;100,C2*2,C2*2)</f>
        <v>19012</v>
      </c>
      <c r="I2" t="b">
        <f>IF(E2&gt;1.2*H2,FALSE,TRUE)</f>
        <v>1</v>
      </c>
      <c r="J2" s="4">
        <f t="shared" ref="J2:J64" si="0">E2/H2-1</f>
        <v>-0.46799600252472129</v>
      </c>
      <c r="M2"/>
      <c r="O2" t="s">
        <v>381</v>
      </c>
      <c r="P2">
        <v>4822</v>
      </c>
      <c r="Q2">
        <v>9600.5</v>
      </c>
    </row>
    <row r="3" spans="1:17" hidden="1">
      <c r="A3" t="s">
        <v>1842</v>
      </c>
      <c r="B3" t="s">
        <v>933</v>
      </c>
      <c r="C3" s="27">
        <v>45231</v>
      </c>
      <c r="D3" s="18">
        <f t="shared" ref="D3:D66" si="1">C3/30</f>
        <v>1507.7</v>
      </c>
      <c r="E3" s="5">
        <v>70406.539999999994</v>
      </c>
      <c r="H3" s="18">
        <f>IF((C3/30)&gt;100,C3*2,C3*2)</f>
        <v>90462</v>
      </c>
      <c r="I3" t="b">
        <f>IF(E3&gt;1.2*H3,FALSE,TRUE)</f>
        <v>1</v>
      </c>
      <c r="J3" s="4">
        <f t="shared" si="0"/>
        <v>-0.22170038248104185</v>
      </c>
      <c r="M3"/>
      <c r="O3" t="s">
        <v>877</v>
      </c>
      <c r="P3">
        <v>10249</v>
      </c>
      <c r="Q3">
        <v>16634</v>
      </c>
    </row>
    <row r="4" spans="1:17" hidden="1">
      <c r="A4" t="s">
        <v>130</v>
      </c>
      <c r="B4" t="s">
        <v>131</v>
      </c>
      <c r="C4" s="27">
        <v>28031</v>
      </c>
      <c r="D4" s="18">
        <f t="shared" si="1"/>
        <v>934.36666666666667</v>
      </c>
      <c r="E4" s="5">
        <v>27518.240000000002</v>
      </c>
      <c r="H4" s="18">
        <f t="shared" ref="H4:H66" si="2">IF((C4/30)&gt;100,C4*2,C4*2)</f>
        <v>56062</v>
      </c>
      <c r="I4" t="b">
        <f t="shared" ref="I4:I64" si="3">IF(E4&gt;1.2*H4,FALSE,TRUE)</f>
        <v>1</v>
      </c>
      <c r="J4" s="4">
        <f t="shared" si="0"/>
        <v>-0.50914630230815883</v>
      </c>
      <c r="M4"/>
      <c r="O4" t="s">
        <v>151</v>
      </c>
      <c r="P4">
        <v>26241</v>
      </c>
      <c r="Q4">
        <v>30072.34</v>
      </c>
    </row>
    <row r="5" spans="1:17" hidden="1">
      <c r="A5" t="s">
        <v>32</v>
      </c>
      <c r="B5" t="s">
        <v>33</v>
      </c>
      <c r="C5" s="27">
        <v>19097</v>
      </c>
      <c r="D5" s="18">
        <f t="shared" si="1"/>
        <v>636.56666666666672</v>
      </c>
      <c r="E5" s="5">
        <v>30133.62</v>
      </c>
      <c r="H5" s="18">
        <f t="shared" si="2"/>
        <v>38194</v>
      </c>
      <c r="I5" t="b">
        <f t="shared" si="3"/>
        <v>1</v>
      </c>
      <c r="J5" s="4">
        <f t="shared" si="0"/>
        <v>-0.21103785934963615</v>
      </c>
      <c r="M5"/>
      <c r="O5" t="s">
        <v>33</v>
      </c>
      <c r="P5">
        <v>20605</v>
      </c>
      <c r="Q5">
        <v>19405.060000000001</v>
      </c>
    </row>
    <row r="6" spans="1:17" hidden="1">
      <c r="A6" t="s">
        <v>728</v>
      </c>
      <c r="B6" t="s">
        <v>729</v>
      </c>
      <c r="C6" s="27">
        <v>6218</v>
      </c>
      <c r="D6" s="18">
        <f t="shared" si="1"/>
        <v>207.26666666666668</v>
      </c>
      <c r="E6" s="5">
        <v>8884.27</v>
      </c>
      <c r="H6" s="18">
        <f t="shared" si="2"/>
        <v>12436</v>
      </c>
      <c r="I6" t="b">
        <f t="shared" si="3"/>
        <v>1</v>
      </c>
      <c r="J6" s="4">
        <f t="shared" si="0"/>
        <v>-0.28560067545834666</v>
      </c>
      <c r="M6"/>
      <c r="O6" t="s">
        <v>676</v>
      </c>
      <c r="P6">
        <v>6929</v>
      </c>
      <c r="Q6">
        <v>10453.85</v>
      </c>
    </row>
    <row r="7" spans="1:17" hidden="1">
      <c r="A7" t="s">
        <v>900</v>
      </c>
      <c r="B7" t="s">
        <v>901</v>
      </c>
      <c r="C7" s="27">
        <v>5468</v>
      </c>
      <c r="D7" s="18">
        <f t="shared" si="1"/>
        <v>182.26666666666668</v>
      </c>
      <c r="E7" s="5">
        <v>3342.52</v>
      </c>
      <c r="H7" s="18">
        <f t="shared" si="2"/>
        <v>10936</v>
      </c>
      <c r="I7" t="b">
        <f t="shared" si="3"/>
        <v>1</v>
      </c>
      <c r="J7" s="4">
        <f t="shared" si="0"/>
        <v>-0.69435625457205563</v>
      </c>
      <c r="M7"/>
      <c r="O7" t="s">
        <v>517</v>
      </c>
      <c r="P7">
        <v>2129</v>
      </c>
      <c r="Q7">
        <v>3078.97</v>
      </c>
    </row>
    <row r="8" spans="1:17" hidden="1">
      <c r="A8" t="s">
        <v>934</v>
      </c>
      <c r="B8" t="s">
        <v>935</v>
      </c>
      <c r="C8" s="27">
        <v>19403</v>
      </c>
      <c r="D8" s="18">
        <f t="shared" si="1"/>
        <v>646.76666666666665</v>
      </c>
      <c r="E8" s="5">
        <v>17429.87</v>
      </c>
      <c r="H8" s="18">
        <f t="shared" si="2"/>
        <v>38806</v>
      </c>
      <c r="I8" t="b">
        <f t="shared" si="3"/>
        <v>1</v>
      </c>
      <c r="J8" s="4">
        <f t="shared" si="0"/>
        <v>-0.55084600319538213</v>
      </c>
      <c r="M8"/>
      <c r="O8" t="s">
        <v>96</v>
      </c>
      <c r="P8">
        <v>11862</v>
      </c>
      <c r="Q8">
        <v>7272.85</v>
      </c>
    </row>
    <row r="9" spans="1:17">
      <c r="A9" t="s">
        <v>162</v>
      </c>
      <c r="B9" t="s">
        <v>163</v>
      </c>
      <c r="C9" s="27">
        <v>755</v>
      </c>
      <c r="D9" s="18">
        <f t="shared" si="1"/>
        <v>25.166666666666668</v>
      </c>
      <c r="E9" s="5">
        <v>1970.32</v>
      </c>
      <c r="H9" s="18">
        <f t="shared" si="2"/>
        <v>1510</v>
      </c>
      <c r="I9" t="b">
        <f t="shared" si="3"/>
        <v>0</v>
      </c>
      <c r="J9" s="4">
        <f t="shared" si="0"/>
        <v>0.30484768211920521</v>
      </c>
      <c r="M9"/>
      <c r="O9" t="s">
        <v>244</v>
      </c>
      <c r="P9">
        <v>4129</v>
      </c>
      <c r="Q9">
        <v>7431.5</v>
      </c>
    </row>
    <row r="10" spans="1:17" hidden="1">
      <c r="A10" t="s">
        <v>819</v>
      </c>
      <c r="B10" t="s">
        <v>820</v>
      </c>
      <c r="C10" s="27">
        <v>3286</v>
      </c>
      <c r="D10" s="18">
        <f t="shared" si="1"/>
        <v>109.53333333333333</v>
      </c>
      <c r="E10" s="5">
        <v>4783.6899999999996</v>
      </c>
      <c r="H10" s="18">
        <f t="shared" si="2"/>
        <v>6572</v>
      </c>
      <c r="I10" t="b">
        <f t="shared" si="3"/>
        <v>1</v>
      </c>
      <c r="J10" s="4">
        <f t="shared" si="0"/>
        <v>-0.27211046865489963</v>
      </c>
      <c r="M10"/>
      <c r="O10" t="s">
        <v>935</v>
      </c>
      <c r="P10">
        <v>25786</v>
      </c>
      <c r="Q10">
        <v>18542.5</v>
      </c>
    </row>
    <row r="11" spans="1:17" hidden="1">
      <c r="A11" t="s">
        <v>583</v>
      </c>
      <c r="B11" t="s">
        <v>584</v>
      </c>
      <c r="C11" s="27">
        <v>2188</v>
      </c>
      <c r="D11" s="18">
        <f t="shared" si="1"/>
        <v>72.933333333333337</v>
      </c>
      <c r="E11" s="5">
        <v>1738.93</v>
      </c>
      <c r="H11" s="18">
        <f t="shared" si="2"/>
        <v>4376</v>
      </c>
      <c r="I11" t="b">
        <f t="shared" si="3"/>
        <v>1</v>
      </c>
      <c r="J11" s="4">
        <f t="shared" si="0"/>
        <v>-0.60262111517367456</v>
      </c>
      <c r="M11"/>
      <c r="O11" t="s">
        <v>57</v>
      </c>
      <c r="P11">
        <v>4818</v>
      </c>
      <c r="Q11">
        <v>8527.9500000000007</v>
      </c>
    </row>
    <row r="12" spans="1:17" hidden="1">
      <c r="A12" t="s">
        <v>179</v>
      </c>
      <c r="B12" t="s">
        <v>180</v>
      </c>
      <c r="C12" s="27">
        <v>1979</v>
      </c>
      <c r="D12" s="18">
        <f t="shared" si="1"/>
        <v>65.966666666666669</v>
      </c>
      <c r="E12" s="5">
        <v>2026.12</v>
      </c>
      <c r="H12" s="18">
        <f t="shared" si="2"/>
        <v>3958</v>
      </c>
      <c r="I12" t="b">
        <f t="shared" si="3"/>
        <v>1</v>
      </c>
      <c r="J12" s="4">
        <f t="shared" si="0"/>
        <v>-0.48809499747347151</v>
      </c>
      <c r="M12"/>
      <c r="O12" t="s">
        <v>811</v>
      </c>
      <c r="P12">
        <v>3732</v>
      </c>
      <c r="Q12">
        <v>7397.98</v>
      </c>
    </row>
    <row r="13" spans="1:17" hidden="1">
      <c r="A13" t="s">
        <v>857</v>
      </c>
      <c r="B13" t="s">
        <v>858</v>
      </c>
      <c r="C13" s="27">
        <v>2714</v>
      </c>
      <c r="D13" s="18">
        <f t="shared" si="1"/>
        <v>90.466666666666669</v>
      </c>
      <c r="E13" s="5">
        <v>2026.55</v>
      </c>
      <c r="H13" s="18">
        <f t="shared" si="2"/>
        <v>5428</v>
      </c>
      <c r="I13" t="b">
        <f t="shared" si="3"/>
        <v>1</v>
      </c>
      <c r="J13" s="4">
        <f t="shared" si="0"/>
        <v>-0.62664885777450263</v>
      </c>
      <c r="M13"/>
      <c r="O13" t="s">
        <v>729</v>
      </c>
      <c r="P13">
        <v>11641</v>
      </c>
      <c r="Q13">
        <v>10505.25</v>
      </c>
    </row>
    <row r="14" spans="1:17" hidden="1">
      <c r="A14" t="s">
        <v>888</v>
      </c>
      <c r="B14" t="s">
        <v>889</v>
      </c>
      <c r="C14" s="27">
        <v>1284</v>
      </c>
      <c r="D14" s="18">
        <f t="shared" si="1"/>
        <v>42.8</v>
      </c>
      <c r="E14" s="5">
        <v>2591.89</v>
      </c>
      <c r="H14" s="18">
        <f t="shared" si="2"/>
        <v>2568</v>
      </c>
      <c r="I14" t="b">
        <f t="shared" si="3"/>
        <v>1</v>
      </c>
      <c r="J14" s="4">
        <f t="shared" si="0"/>
        <v>9.3029595015576838E-3</v>
      </c>
      <c r="M14"/>
      <c r="O14" t="s">
        <v>131</v>
      </c>
      <c r="P14">
        <v>7271</v>
      </c>
      <c r="Q14">
        <v>8084.91</v>
      </c>
    </row>
    <row r="15" spans="1:17" hidden="1">
      <c r="A15" t="s">
        <v>516</v>
      </c>
      <c r="B15" t="s">
        <v>517</v>
      </c>
      <c r="C15" s="27">
        <v>1581</v>
      </c>
      <c r="D15" s="18">
        <f t="shared" si="1"/>
        <v>52.7</v>
      </c>
      <c r="E15" s="5">
        <v>2987.58</v>
      </c>
      <c r="H15" s="18">
        <f t="shared" si="2"/>
        <v>3162</v>
      </c>
      <c r="I15" t="b">
        <f t="shared" si="3"/>
        <v>1</v>
      </c>
      <c r="J15" s="4">
        <f t="shared" si="0"/>
        <v>-5.5161290322580658E-2</v>
      </c>
      <c r="M15"/>
      <c r="O15" t="s">
        <v>926</v>
      </c>
      <c r="P15">
        <v>4069</v>
      </c>
      <c r="Q15">
        <v>7312.03</v>
      </c>
    </row>
    <row r="16" spans="1:17" hidden="1">
      <c r="A16" t="s">
        <v>585</v>
      </c>
      <c r="B16" t="s">
        <v>586</v>
      </c>
      <c r="C16" s="27">
        <v>2714</v>
      </c>
      <c r="D16" s="18">
        <f t="shared" si="1"/>
        <v>90.466666666666669</v>
      </c>
      <c r="E16" s="5">
        <v>5063.22</v>
      </c>
      <c r="H16" s="18">
        <f t="shared" si="2"/>
        <v>5428</v>
      </c>
      <c r="I16" t="b">
        <f t="shared" si="3"/>
        <v>1</v>
      </c>
      <c r="J16" s="4">
        <f t="shared" si="0"/>
        <v>-6.7203389830508442E-2</v>
      </c>
      <c r="M16"/>
      <c r="O16" t="s">
        <v>180</v>
      </c>
      <c r="P16">
        <v>3689</v>
      </c>
      <c r="Q16">
        <v>5998.01</v>
      </c>
    </row>
    <row r="17" spans="1:17" hidden="1">
      <c r="A17" t="s">
        <v>46</v>
      </c>
      <c r="B17" t="s">
        <v>47</v>
      </c>
      <c r="C17" s="27">
        <v>4768</v>
      </c>
      <c r="D17" s="18">
        <f t="shared" si="1"/>
        <v>158.93333333333334</v>
      </c>
      <c r="E17" s="5">
        <v>7917.13</v>
      </c>
      <c r="H17" s="18">
        <f t="shared" si="2"/>
        <v>9536</v>
      </c>
      <c r="I17" t="b">
        <f t="shared" si="3"/>
        <v>1</v>
      </c>
      <c r="J17" s="4">
        <f t="shared" si="0"/>
        <v>-0.16976405201342282</v>
      </c>
      <c r="M17"/>
      <c r="O17" t="s">
        <v>523</v>
      </c>
      <c r="P17">
        <v>1500</v>
      </c>
      <c r="Q17">
        <v>3242.85</v>
      </c>
    </row>
    <row r="18" spans="1:17" hidden="1">
      <c r="A18" t="s">
        <v>845</v>
      </c>
      <c r="B18" t="s">
        <v>846</v>
      </c>
      <c r="C18" s="27">
        <v>2999</v>
      </c>
      <c r="D18" s="18">
        <f t="shared" si="1"/>
        <v>99.966666666666669</v>
      </c>
      <c r="E18" s="5">
        <v>2333.2399999999998</v>
      </c>
      <c r="H18" s="18">
        <f t="shared" si="2"/>
        <v>5998</v>
      </c>
      <c r="I18" t="b">
        <f t="shared" si="3"/>
        <v>1</v>
      </c>
      <c r="J18" s="4">
        <f t="shared" si="0"/>
        <v>-0.61099699899966664</v>
      </c>
      <c r="M18"/>
      <c r="O18" t="s">
        <v>467</v>
      </c>
      <c r="P18">
        <v>2196</v>
      </c>
      <c r="Q18">
        <v>4307.3100000000004</v>
      </c>
    </row>
    <row r="19" spans="1:17" hidden="1">
      <c r="A19" t="s">
        <v>380</v>
      </c>
      <c r="B19" t="s">
        <v>381</v>
      </c>
      <c r="C19" s="27">
        <v>2389</v>
      </c>
      <c r="D19" s="18">
        <f t="shared" si="1"/>
        <v>79.63333333333334</v>
      </c>
      <c r="E19" s="5">
        <v>2187.46</v>
      </c>
      <c r="H19" s="18">
        <f t="shared" si="2"/>
        <v>4778</v>
      </c>
      <c r="I19" t="b">
        <f t="shared" si="3"/>
        <v>1</v>
      </c>
      <c r="J19" s="4">
        <f t="shared" si="0"/>
        <v>-0.54218082879866047</v>
      </c>
      <c r="M19"/>
      <c r="O19" t="s">
        <v>610</v>
      </c>
      <c r="P19">
        <v>1326</v>
      </c>
      <c r="Q19">
        <v>2816.7</v>
      </c>
    </row>
    <row r="20" spans="1:17" hidden="1">
      <c r="A20" t="s">
        <v>85</v>
      </c>
      <c r="B20" t="s">
        <v>86</v>
      </c>
      <c r="C20" s="27">
        <v>2364</v>
      </c>
      <c r="D20" s="18">
        <f t="shared" si="1"/>
        <v>78.8</v>
      </c>
      <c r="E20" s="5">
        <v>4986.3500000000004</v>
      </c>
      <c r="H20" s="18">
        <f t="shared" si="2"/>
        <v>4728</v>
      </c>
      <c r="I20" t="b">
        <f t="shared" si="3"/>
        <v>1</v>
      </c>
      <c r="J20" s="4">
        <f t="shared" si="0"/>
        <v>5.4642554991539916E-2</v>
      </c>
      <c r="M20"/>
      <c r="O20" t="s">
        <v>803</v>
      </c>
      <c r="P20">
        <v>1109</v>
      </c>
      <c r="Q20">
        <v>2476.85</v>
      </c>
    </row>
    <row r="21" spans="1:17" hidden="1">
      <c r="A21" t="s">
        <v>766</v>
      </c>
      <c r="B21" t="s">
        <v>767</v>
      </c>
      <c r="C21" s="27">
        <v>2346</v>
      </c>
      <c r="D21" s="18">
        <f t="shared" si="1"/>
        <v>78.2</v>
      </c>
      <c r="E21" s="5">
        <v>2479.91</v>
      </c>
      <c r="H21" s="18">
        <f t="shared" si="2"/>
        <v>4692</v>
      </c>
      <c r="I21" t="b">
        <f t="shared" si="3"/>
        <v>1</v>
      </c>
      <c r="J21" s="4">
        <f t="shared" si="0"/>
        <v>-0.47145993179880652</v>
      </c>
      <c r="M21"/>
      <c r="O21" t="s">
        <v>584</v>
      </c>
      <c r="P21">
        <v>4052</v>
      </c>
      <c r="Q21">
        <v>6748.08</v>
      </c>
    </row>
    <row r="22" spans="1:17" hidden="1">
      <c r="A22" t="s">
        <v>95</v>
      </c>
      <c r="B22" t="s">
        <v>96</v>
      </c>
      <c r="C22" s="27">
        <v>10872</v>
      </c>
      <c r="D22" s="18">
        <f t="shared" si="1"/>
        <v>362.4</v>
      </c>
      <c r="E22" s="5">
        <v>7767.42</v>
      </c>
      <c r="H22" s="18">
        <f t="shared" si="2"/>
        <v>21744</v>
      </c>
      <c r="I22" t="b">
        <f t="shared" si="3"/>
        <v>1</v>
      </c>
      <c r="J22" s="4">
        <f t="shared" si="0"/>
        <v>-0.642778697571744</v>
      </c>
      <c r="M22"/>
      <c r="O22" t="s">
        <v>279</v>
      </c>
      <c r="P22">
        <v>1476</v>
      </c>
      <c r="Q22">
        <v>2358.27</v>
      </c>
    </row>
    <row r="23" spans="1:17" hidden="1">
      <c r="A23" t="s">
        <v>702</v>
      </c>
      <c r="B23" t="s">
        <v>703</v>
      </c>
      <c r="C23" s="27">
        <v>1490</v>
      </c>
      <c r="D23" s="18">
        <f t="shared" si="1"/>
        <v>49.666666666666664</v>
      </c>
      <c r="E23" s="5">
        <v>3129.62</v>
      </c>
      <c r="H23" s="18">
        <f t="shared" si="2"/>
        <v>2980</v>
      </c>
      <c r="I23" t="b">
        <f t="shared" si="3"/>
        <v>1</v>
      </c>
      <c r="J23" s="4">
        <f t="shared" si="0"/>
        <v>5.0208053691275234E-2</v>
      </c>
      <c r="O23" t="s">
        <v>24</v>
      </c>
      <c r="P23">
        <v>14987</v>
      </c>
      <c r="Q23">
        <v>5594.85</v>
      </c>
    </row>
    <row r="24" spans="1:17" hidden="1">
      <c r="A24" t="s">
        <v>735</v>
      </c>
      <c r="B24" t="s">
        <v>736</v>
      </c>
      <c r="C24" s="27">
        <v>3162</v>
      </c>
      <c r="D24" s="18">
        <f t="shared" si="1"/>
        <v>105.4</v>
      </c>
      <c r="E24" s="5">
        <v>2446.33</v>
      </c>
      <c r="H24" s="18">
        <f t="shared" si="2"/>
        <v>6324</v>
      </c>
      <c r="I24" t="b">
        <f t="shared" si="3"/>
        <v>1</v>
      </c>
      <c r="J24" s="4">
        <f t="shared" si="0"/>
        <v>-0.6131672991777356</v>
      </c>
      <c r="M24"/>
      <c r="O24" t="s">
        <v>343</v>
      </c>
      <c r="P24">
        <v>652</v>
      </c>
      <c r="Q24">
        <v>1070.94</v>
      </c>
    </row>
    <row r="25" spans="1:17" hidden="1">
      <c r="A25" s="36" t="s">
        <v>841</v>
      </c>
      <c r="B25" s="36" t="s">
        <v>842</v>
      </c>
      <c r="C25" s="27">
        <v>880</v>
      </c>
      <c r="D25" s="18">
        <f t="shared" si="1"/>
        <v>29.333333333333332</v>
      </c>
      <c r="E25" s="5">
        <v>1374.25</v>
      </c>
      <c r="H25" s="18">
        <f t="shared" si="2"/>
        <v>1760</v>
      </c>
      <c r="I25" t="b">
        <f t="shared" si="3"/>
        <v>1</v>
      </c>
      <c r="J25" s="4">
        <f t="shared" si="0"/>
        <v>-0.21917613636363631</v>
      </c>
      <c r="M25"/>
      <c r="O25" t="s">
        <v>519</v>
      </c>
      <c r="P25">
        <v>1671</v>
      </c>
      <c r="Q25">
        <v>2325.75</v>
      </c>
    </row>
    <row r="26" spans="1:17" hidden="1">
      <c r="A26" t="s">
        <v>364</v>
      </c>
      <c r="B26" t="s">
        <v>365</v>
      </c>
      <c r="C26" s="27">
        <v>2783</v>
      </c>
      <c r="D26" s="18">
        <f t="shared" si="1"/>
        <v>92.766666666666666</v>
      </c>
      <c r="E26" s="5">
        <v>2620.79</v>
      </c>
      <c r="H26" s="18">
        <f t="shared" si="2"/>
        <v>5566</v>
      </c>
      <c r="I26" t="b">
        <f t="shared" si="3"/>
        <v>1</v>
      </c>
      <c r="J26" s="4">
        <f t="shared" si="0"/>
        <v>-0.52914301113905859</v>
      </c>
      <c r="M26"/>
      <c r="O26" t="s">
        <v>507</v>
      </c>
      <c r="P26">
        <v>2656</v>
      </c>
      <c r="Q26">
        <v>5003.68</v>
      </c>
    </row>
    <row r="27" spans="1:17" hidden="1">
      <c r="A27" t="s">
        <v>913</v>
      </c>
      <c r="B27" t="s">
        <v>914</v>
      </c>
      <c r="C27" s="27">
        <v>3367</v>
      </c>
      <c r="D27" s="18">
        <f t="shared" si="1"/>
        <v>112.23333333333333</v>
      </c>
      <c r="E27" s="5">
        <v>3817.39</v>
      </c>
      <c r="H27" s="18">
        <f t="shared" si="2"/>
        <v>6734</v>
      </c>
      <c r="I27" t="b">
        <f t="shared" si="3"/>
        <v>1</v>
      </c>
      <c r="J27" s="4">
        <f t="shared" si="0"/>
        <v>-0.43311701811701808</v>
      </c>
      <c r="M27"/>
      <c r="O27" t="s">
        <v>505</v>
      </c>
      <c r="P27">
        <v>596</v>
      </c>
      <c r="Q27">
        <v>1267.94</v>
      </c>
    </row>
    <row r="28" spans="1:17" hidden="1">
      <c r="A28" t="s">
        <v>506</v>
      </c>
      <c r="B28" t="s">
        <v>507</v>
      </c>
      <c r="C28" s="27">
        <v>1688</v>
      </c>
      <c r="D28" s="18">
        <f t="shared" si="1"/>
        <v>56.266666666666666</v>
      </c>
      <c r="E28" s="5">
        <v>3162.84</v>
      </c>
      <c r="H28" s="18">
        <f t="shared" si="2"/>
        <v>3376</v>
      </c>
      <c r="I28" t="b">
        <f t="shared" si="3"/>
        <v>1</v>
      </c>
      <c r="J28" s="4">
        <f t="shared" si="0"/>
        <v>-6.3139810426540266E-2</v>
      </c>
      <c r="M28"/>
      <c r="O28" t="s">
        <v>795</v>
      </c>
      <c r="P28">
        <v>1681</v>
      </c>
      <c r="Q28">
        <v>3245.25</v>
      </c>
    </row>
    <row r="29" spans="1:17" hidden="1">
      <c r="A29" t="s">
        <v>589</v>
      </c>
      <c r="B29" t="s">
        <v>590</v>
      </c>
      <c r="C29" s="27">
        <v>3550</v>
      </c>
      <c r="D29" s="18">
        <f t="shared" si="1"/>
        <v>118.33333333333333</v>
      </c>
      <c r="E29" s="5">
        <v>5180.68</v>
      </c>
      <c r="H29" s="18">
        <f t="shared" si="2"/>
        <v>7100</v>
      </c>
      <c r="I29" t="b">
        <f t="shared" si="3"/>
        <v>1</v>
      </c>
      <c r="J29" s="4">
        <f t="shared" si="0"/>
        <v>-0.27032676056338023</v>
      </c>
      <c r="M29"/>
      <c r="O29" t="s">
        <v>842</v>
      </c>
      <c r="P29">
        <v>1969</v>
      </c>
      <c r="Q29">
        <v>2178.64</v>
      </c>
    </row>
    <row r="30" spans="1:17" hidden="1">
      <c r="A30" s="39" t="s">
        <v>548</v>
      </c>
      <c r="B30" s="36" t="s">
        <v>549</v>
      </c>
      <c r="C30" s="18">
        <v>628</v>
      </c>
      <c r="D30" s="18">
        <f t="shared" si="1"/>
        <v>20.933333333333334</v>
      </c>
      <c r="E30" s="5">
        <v>1409.24</v>
      </c>
      <c r="H30" s="18">
        <f t="shared" si="2"/>
        <v>1256</v>
      </c>
      <c r="I30" t="b">
        <f t="shared" si="3"/>
        <v>1</v>
      </c>
      <c r="J30" s="4">
        <f t="shared" si="0"/>
        <v>0.12200636942675169</v>
      </c>
      <c r="M30"/>
      <c r="O30" t="s">
        <v>465</v>
      </c>
      <c r="P30">
        <v>1923</v>
      </c>
      <c r="Q30">
        <v>3253.75</v>
      </c>
    </row>
    <row r="31" spans="1:17" hidden="1">
      <c r="A31" t="s">
        <v>810</v>
      </c>
      <c r="B31" t="s">
        <v>811</v>
      </c>
      <c r="C31" s="27">
        <v>2739</v>
      </c>
      <c r="D31" s="18">
        <f t="shared" si="1"/>
        <v>91.3</v>
      </c>
      <c r="E31" s="5">
        <v>2627.36</v>
      </c>
      <c r="H31" s="18">
        <f t="shared" si="2"/>
        <v>5478</v>
      </c>
      <c r="I31" t="b">
        <f t="shared" si="3"/>
        <v>1</v>
      </c>
      <c r="J31" s="4">
        <f t="shared" si="0"/>
        <v>-0.52037970062066452</v>
      </c>
      <c r="M31"/>
      <c r="O31" t="s">
        <v>493</v>
      </c>
      <c r="P31">
        <v>1541</v>
      </c>
      <c r="Q31">
        <v>3749.62</v>
      </c>
    </row>
    <row r="32" spans="1:17" hidden="1">
      <c r="A32" t="s">
        <v>859</v>
      </c>
      <c r="B32" t="s">
        <v>860</v>
      </c>
      <c r="C32" s="27">
        <v>2772</v>
      </c>
      <c r="D32" s="18">
        <f t="shared" si="1"/>
        <v>92.4</v>
      </c>
      <c r="E32" s="5">
        <v>4480.6099999999997</v>
      </c>
      <c r="H32" s="18">
        <f t="shared" si="2"/>
        <v>5544</v>
      </c>
      <c r="I32" t="b">
        <f t="shared" si="3"/>
        <v>1</v>
      </c>
      <c r="J32" s="4">
        <f t="shared" si="0"/>
        <v>-0.19180916305916307</v>
      </c>
      <c r="M32"/>
      <c r="O32" t="s">
        <v>860</v>
      </c>
      <c r="P32">
        <v>2159</v>
      </c>
      <c r="Q32">
        <v>4083.97</v>
      </c>
    </row>
    <row r="33" spans="1:17" hidden="1">
      <c r="A33" t="s">
        <v>681</v>
      </c>
      <c r="B33" t="s">
        <v>682</v>
      </c>
      <c r="C33" s="27">
        <v>2533</v>
      </c>
      <c r="D33" s="18">
        <f t="shared" si="1"/>
        <v>84.433333333333337</v>
      </c>
      <c r="E33" s="5">
        <v>2430.31</v>
      </c>
      <c r="H33" s="18">
        <f t="shared" si="2"/>
        <v>5066</v>
      </c>
      <c r="I33" t="b">
        <f t="shared" si="3"/>
        <v>1</v>
      </c>
      <c r="J33" s="4">
        <f t="shared" si="0"/>
        <v>-0.52027043031977893</v>
      </c>
      <c r="M33" s="109"/>
      <c r="O33" t="s">
        <v>854</v>
      </c>
      <c r="P33">
        <v>1658</v>
      </c>
      <c r="Q33">
        <v>4124.5</v>
      </c>
    </row>
    <row r="34" spans="1:17" hidden="1">
      <c r="A34" s="39" t="s">
        <v>673</v>
      </c>
      <c r="B34" s="36" t="s">
        <v>674</v>
      </c>
      <c r="C34" s="18">
        <v>920</v>
      </c>
      <c r="D34" s="18">
        <f t="shared" si="1"/>
        <v>30.666666666666668</v>
      </c>
      <c r="E34" s="5">
        <v>1651.06</v>
      </c>
      <c r="H34" s="18">
        <f t="shared" si="2"/>
        <v>1840</v>
      </c>
      <c r="I34" t="b">
        <f t="shared" si="3"/>
        <v>1</v>
      </c>
      <c r="J34" s="4">
        <f t="shared" si="0"/>
        <v>-0.10268478260869573</v>
      </c>
      <c r="M34"/>
      <c r="O34" t="s">
        <v>248</v>
      </c>
      <c r="P34">
        <v>1546</v>
      </c>
      <c r="Q34">
        <v>1959.09</v>
      </c>
    </row>
    <row r="35" spans="1:17" hidden="1">
      <c r="A35" t="s">
        <v>796</v>
      </c>
      <c r="B35" t="s">
        <v>797</v>
      </c>
      <c r="C35" s="27">
        <v>1239</v>
      </c>
      <c r="D35" s="18">
        <f t="shared" si="1"/>
        <v>41.3</v>
      </c>
      <c r="E35" s="5">
        <v>1326.54</v>
      </c>
      <c r="H35" s="18">
        <f t="shared" si="2"/>
        <v>2478</v>
      </c>
      <c r="I35" t="b">
        <f t="shared" si="3"/>
        <v>1</v>
      </c>
      <c r="J35" s="4">
        <f t="shared" si="0"/>
        <v>-0.46467312348668277</v>
      </c>
      <c r="M35"/>
      <c r="O35" t="s">
        <v>365</v>
      </c>
      <c r="P35">
        <v>2684</v>
      </c>
      <c r="Q35">
        <v>4208.54</v>
      </c>
    </row>
    <row r="36" spans="1:17" hidden="1">
      <c r="A36" t="s">
        <v>823</v>
      </c>
      <c r="B36" t="s">
        <v>824</v>
      </c>
      <c r="C36" s="27">
        <v>2476</v>
      </c>
      <c r="D36" s="18">
        <f t="shared" si="1"/>
        <v>82.533333333333331</v>
      </c>
      <c r="E36" s="5">
        <v>2201.6</v>
      </c>
      <c r="H36" s="18">
        <f t="shared" si="2"/>
        <v>4952</v>
      </c>
      <c r="I36" t="b">
        <f t="shared" si="3"/>
        <v>1</v>
      </c>
      <c r="J36" s="4">
        <f t="shared" si="0"/>
        <v>-0.55541195476575123</v>
      </c>
      <c r="M36"/>
      <c r="O36" t="s">
        <v>63</v>
      </c>
      <c r="P36">
        <v>4901</v>
      </c>
      <c r="Q36">
        <v>9133.83</v>
      </c>
    </row>
    <row r="37" spans="1:17" hidden="1">
      <c r="A37" t="s">
        <v>1843</v>
      </c>
      <c r="B37" t="s">
        <v>1763</v>
      </c>
      <c r="C37" s="27">
        <v>0</v>
      </c>
      <c r="D37" s="18">
        <f t="shared" si="1"/>
        <v>0</v>
      </c>
      <c r="E37" s="5">
        <v>0</v>
      </c>
      <c r="H37" s="18">
        <f t="shared" si="2"/>
        <v>0</v>
      </c>
      <c r="I37" t="b">
        <f t="shared" si="3"/>
        <v>1</v>
      </c>
      <c r="J37" s="4" t="e">
        <f t="shared" si="0"/>
        <v>#DIV/0!</v>
      </c>
      <c r="M37"/>
      <c r="O37" t="s">
        <v>742</v>
      </c>
      <c r="P37">
        <v>1150</v>
      </c>
      <c r="Q37">
        <v>1379.51</v>
      </c>
    </row>
    <row r="38" spans="1:17" hidden="1">
      <c r="A38" t="s">
        <v>56</v>
      </c>
      <c r="B38" t="s">
        <v>57</v>
      </c>
      <c r="C38" s="27">
        <v>1461</v>
      </c>
      <c r="D38" s="18">
        <f t="shared" si="1"/>
        <v>48.7</v>
      </c>
      <c r="E38" s="5">
        <v>1320.7</v>
      </c>
      <c r="H38" s="18">
        <f t="shared" si="2"/>
        <v>2922</v>
      </c>
      <c r="I38" t="b">
        <f t="shared" si="3"/>
        <v>1</v>
      </c>
      <c r="J38" s="4">
        <f t="shared" si="0"/>
        <v>-0.54801505817932927</v>
      </c>
      <c r="M38"/>
      <c r="O38" t="s">
        <v>797</v>
      </c>
      <c r="P38">
        <v>3490</v>
      </c>
      <c r="Q38">
        <v>6233.8</v>
      </c>
    </row>
    <row r="39" spans="1:17" hidden="1">
      <c r="A39" t="s">
        <v>812</v>
      </c>
      <c r="B39" t="s">
        <v>813</v>
      </c>
      <c r="C39" s="27">
        <v>1780</v>
      </c>
      <c r="D39" s="18">
        <f t="shared" si="1"/>
        <v>59.333333333333336</v>
      </c>
      <c r="E39" s="5">
        <v>1849.63</v>
      </c>
      <c r="H39" s="18">
        <f t="shared" si="2"/>
        <v>3560</v>
      </c>
      <c r="I39" t="b">
        <f t="shared" si="3"/>
        <v>1</v>
      </c>
      <c r="J39" s="4">
        <f t="shared" si="0"/>
        <v>-0.48044101123595506</v>
      </c>
      <c r="M39"/>
      <c r="O39" t="s">
        <v>367</v>
      </c>
      <c r="P39">
        <v>973</v>
      </c>
      <c r="Q39">
        <v>1765</v>
      </c>
    </row>
    <row r="40" spans="1:17" hidden="1">
      <c r="A40" t="s">
        <v>921</v>
      </c>
      <c r="B40" t="s">
        <v>922</v>
      </c>
      <c r="C40" s="27">
        <v>759</v>
      </c>
      <c r="D40" s="18">
        <f t="shared" si="1"/>
        <v>25.3</v>
      </c>
      <c r="E40" s="5">
        <v>369.35</v>
      </c>
      <c r="H40" s="18">
        <f t="shared" si="2"/>
        <v>1518</v>
      </c>
      <c r="I40" t="b">
        <f t="shared" si="3"/>
        <v>1</v>
      </c>
      <c r="J40" s="4">
        <f t="shared" si="0"/>
        <v>-0.75668642951251641</v>
      </c>
      <c r="M40"/>
      <c r="O40" t="s">
        <v>178</v>
      </c>
      <c r="P40">
        <v>1611</v>
      </c>
      <c r="Q40">
        <v>2692.2</v>
      </c>
    </row>
    <row r="41" spans="1:17" hidden="1">
      <c r="A41" t="s">
        <v>215</v>
      </c>
      <c r="B41" t="s">
        <v>216</v>
      </c>
      <c r="C41" s="27">
        <v>84</v>
      </c>
      <c r="D41" s="18">
        <f t="shared" si="1"/>
        <v>2.8</v>
      </c>
      <c r="E41" s="5">
        <v>0</v>
      </c>
      <c r="H41" s="18">
        <f t="shared" si="2"/>
        <v>168</v>
      </c>
      <c r="I41" t="b">
        <f t="shared" si="3"/>
        <v>1</v>
      </c>
      <c r="J41" s="4">
        <f t="shared" si="0"/>
        <v>-1</v>
      </c>
      <c r="M41"/>
      <c r="O41" t="s">
        <v>736</v>
      </c>
      <c r="P41">
        <v>2321</v>
      </c>
      <c r="Q41">
        <v>4250.3999999999996</v>
      </c>
    </row>
    <row r="42" spans="1:17" hidden="1">
      <c r="A42" t="s">
        <v>768</v>
      </c>
      <c r="B42" t="s">
        <v>769</v>
      </c>
      <c r="C42" s="27">
        <v>4920</v>
      </c>
      <c r="D42" s="18">
        <f t="shared" si="1"/>
        <v>164</v>
      </c>
      <c r="E42" s="5">
        <v>8589.69</v>
      </c>
      <c r="H42" s="18">
        <f t="shared" si="2"/>
        <v>9840</v>
      </c>
      <c r="I42" t="b">
        <f t="shared" si="3"/>
        <v>1</v>
      </c>
      <c r="J42" s="4">
        <f t="shared" si="0"/>
        <v>-0.12706402439024389</v>
      </c>
      <c r="M42"/>
      <c r="O42" t="s">
        <v>885</v>
      </c>
      <c r="P42">
        <v>2223</v>
      </c>
      <c r="Q42">
        <v>4480.07</v>
      </c>
    </row>
    <row r="43" spans="1:17" hidden="1">
      <c r="A43" t="s">
        <v>50</v>
      </c>
      <c r="B43" s="26" t="s">
        <v>51</v>
      </c>
      <c r="C43" s="27">
        <v>3073</v>
      </c>
      <c r="D43" s="18">
        <f t="shared" si="1"/>
        <v>102.43333333333334</v>
      </c>
      <c r="E43" s="5">
        <v>2614.14</v>
      </c>
      <c r="H43" s="18">
        <f t="shared" si="2"/>
        <v>6146</v>
      </c>
      <c r="I43" t="b">
        <f t="shared" si="3"/>
        <v>1</v>
      </c>
      <c r="J43" s="4">
        <f t="shared" si="0"/>
        <v>-0.57465994142531729</v>
      </c>
      <c r="M43"/>
      <c r="O43" t="s">
        <v>602</v>
      </c>
      <c r="P43">
        <v>741</v>
      </c>
      <c r="Q43">
        <v>1596.79</v>
      </c>
    </row>
    <row r="44" spans="1:17" hidden="1">
      <c r="A44" s="39" t="s">
        <v>225</v>
      </c>
      <c r="B44" s="36" t="s">
        <v>226</v>
      </c>
      <c r="C44" s="27">
        <v>394</v>
      </c>
      <c r="D44" s="18">
        <f t="shared" si="1"/>
        <v>13.133333333333333</v>
      </c>
      <c r="E44" s="5">
        <v>380.91</v>
      </c>
      <c r="H44" s="18">
        <f t="shared" si="2"/>
        <v>788</v>
      </c>
      <c r="I44" t="b">
        <f t="shared" si="3"/>
        <v>1</v>
      </c>
      <c r="J44" s="4">
        <f t="shared" si="0"/>
        <v>-0.51661167512690354</v>
      </c>
      <c r="M44"/>
      <c r="O44" t="s">
        <v>586</v>
      </c>
      <c r="P44">
        <v>1931</v>
      </c>
      <c r="Q44">
        <v>4461.28</v>
      </c>
    </row>
    <row r="45" spans="1:17" hidden="1">
      <c r="A45" t="s">
        <v>344</v>
      </c>
      <c r="B45" t="s">
        <v>345</v>
      </c>
      <c r="C45" s="27">
        <v>666</v>
      </c>
      <c r="D45" s="18">
        <f t="shared" si="1"/>
        <v>22.2</v>
      </c>
      <c r="E45" s="5">
        <v>304.29000000000002</v>
      </c>
      <c r="H45" s="18">
        <f t="shared" si="2"/>
        <v>1332</v>
      </c>
      <c r="I45" t="b">
        <f t="shared" si="3"/>
        <v>1</v>
      </c>
      <c r="J45" s="4">
        <f t="shared" si="0"/>
        <v>-0.77155405405405397</v>
      </c>
      <c r="M45"/>
      <c r="O45" t="s">
        <v>163</v>
      </c>
      <c r="P45">
        <v>1390</v>
      </c>
      <c r="Q45">
        <v>1789.01</v>
      </c>
    </row>
    <row r="46" spans="1:17" hidden="1">
      <c r="A46" t="s">
        <v>751</v>
      </c>
      <c r="B46" t="s">
        <v>752</v>
      </c>
      <c r="C46" s="27">
        <v>2751</v>
      </c>
      <c r="D46" s="18">
        <f t="shared" si="1"/>
        <v>91.7</v>
      </c>
      <c r="E46" s="5">
        <v>4243.88</v>
      </c>
      <c r="H46" s="18">
        <f t="shared" si="2"/>
        <v>5502</v>
      </c>
      <c r="I46" t="b">
        <f t="shared" si="3"/>
        <v>1</v>
      </c>
      <c r="J46" s="4">
        <f t="shared" si="0"/>
        <v>-0.22866593965830606</v>
      </c>
      <c r="M46"/>
      <c r="O46" t="s">
        <v>761</v>
      </c>
      <c r="P46">
        <v>940</v>
      </c>
      <c r="Q46">
        <v>1618.45</v>
      </c>
    </row>
    <row r="47" spans="1:17" hidden="1">
      <c r="A47" t="s">
        <v>849</v>
      </c>
      <c r="B47" t="s">
        <v>850</v>
      </c>
      <c r="C47" s="27">
        <v>1248</v>
      </c>
      <c r="D47" s="18">
        <f t="shared" si="1"/>
        <v>41.6</v>
      </c>
      <c r="E47" s="5">
        <v>1195.5</v>
      </c>
      <c r="H47" s="18">
        <f t="shared" si="2"/>
        <v>2496</v>
      </c>
      <c r="I47" t="b">
        <f t="shared" si="3"/>
        <v>1</v>
      </c>
      <c r="J47" s="4">
        <f t="shared" si="0"/>
        <v>-0.52103365384615385</v>
      </c>
      <c r="M47"/>
      <c r="O47" t="s">
        <v>773</v>
      </c>
      <c r="P47">
        <v>3488</v>
      </c>
      <c r="Q47">
        <v>6528.03</v>
      </c>
    </row>
    <row r="48" spans="1:17" hidden="1">
      <c r="A48" t="s">
        <v>621</v>
      </c>
      <c r="B48" t="s">
        <v>622</v>
      </c>
      <c r="C48" s="27">
        <v>2293</v>
      </c>
      <c r="D48" s="18">
        <f t="shared" si="1"/>
        <v>76.433333333333337</v>
      </c>
      <c r="E48" s="5">
        <v>2431.2199999999998</v>
      </c>
      <c r="H48" s="18">
        <f t="shared" si="2"/>
        <v>4586</v>
      </c>
      <c r="I48" t="b">
        <f t="shared" si="3"/>
        <v>1</v>
      </c>
      <c r="J48" s="4">
        <f t="shared" si="0"/>
        <v>-0.46986044483209777</v>
      </c>
      <c r="M48"/>
      <c r="O48" t="s">
        <v>872</v>
      </c>
      <c r="P48">
        <v>5377</v>
      </c>
      <c r="Q48">
        <v>8788.83</v>
      </c>
    </row>
    <row r="49" spans="1:17" hidden="1">
      <c r="A49" t="s">
        <v>770</v>
      </c>
      <c r="B49" t="s">
        <v>771</v>
      </c>
      <c r="C49" s="27">
        <v>1688</v>
      </c>
      <c r="D49" s="18">
        <f t="shared" si="1"/>
        <v>56.266666666666666</v>
      </c>
      <c r="E49" s="5">
        <v>2852.32</v>
      </c>
      <c r="H49" s="18">
        <f t="shared" si="2"/>
        <v>3376</v>
      </c>
      <c r="I49" t="b">
        <f t="shared" si="3"/>
        <v>1</v>
      </c>
      <c r="J49" s="4">
        <f t="shared" si="0"/>
        <v>-0.15511848341232226</v>
      </c>
      <c r="M49"/>
      <c r="O49" t="s">
        <v>791</v>
      </c>
      <c r="P49">
        <v>633</v>
      </c>
      <c r="Q49">
        <v>1173.22</v>
      </c>
    </row>
    <row r="50" spans="1:17" hidden="1">
      <c r="A50" t="s">
        <v>716</v>
      </c>
      <c r="B50" t="s">
        <v>717</v>
      </c>
      <c r="C50" s="27">
        <v>2457</v>
      </c>
      <c r="D50" s="18">
        <f t="shared" si="1"/>
        <v>81.900000000000006</v>
      </c>
      <c r="E50" s="5">
        <v>2084.63</v>
      </c>
      <c r="H50" s="18">
        <f t="shared" si="2"/>
        <v>4914</v>
      </c>
      <c r="I50" t="b">
        <f t="shared" si="3"/>
        <v>1</v>
      </c>
      <c r="J50" s="4">
        <f t="shared" si="0"/>
        <v>-0.57577737077737079</v>
      </c>
      <c r="M50"/>
      <c r="O50" t="s">
        <v>793</v>
      </c>
      <c r="P50">
        <v>1412</v>
      </c>
      <c r="Q50">
        <v>2519.35</v>
      </c>
    </row>
    <row r="51" spans="1:17" hidden="1">
      <c r="A51" s="26" t="s">
        <v>884</v>
      </c>
      <c r="B51" t="s">
        <v>885</v>
      </c>
      <c r="C51" s="27">
        <v>1974</v>
      </c>
      <c r="D51" s="18">
        <f t="shared" si="1"/>
        <v>65.8</v>
      </c>
      <c r="E51" s="5">
        <v>1635.21</v>
      </c>
      <c r="H51" s="18">
        <f t="shared" si="2"/>
        <v>3948</v>
      </c>
      <c r="I51" t="b">
        <f t="shared" si="3"/>
        <v>1</v>
      </c>
      <c r="J51" s="4">
        <f t="shared" si="0"/>
        <v>-0.58581306990881465</v>
      </c>
      <c r="M51"/>
      <c r="O51" t="s">
        <v>190</v>
      </c>
      <c r="P51">
        <v>829</v>
      </c>
      <c r="Q51">
        <v>1139.6600000000001</v>
      </c>
    </row>
    <row r="52" spans="1:17" hidden="1">
      <c r="A52" t="s">
        <v>564</v>
      </c>
      <c r="B52" t="s">
        <v>565</v>
      </c>
      <c r="C52" s="27">
        <v>1774</v>
      </c>
      <c r="D52" s="18">
        <f t="shared" si="1"/>
        <v>59.133333333333333</v>
      </c>
      <c r="E52" s="5">
        <v>2407.3200000000002</v>
      </c>
      <c r="H52" s="18">
        <f t="shared" si="2"/>
        <v>3548</v>
      </c>
      <c r="I52" t="b">
        <f t="shared" si="3"/>
        <v>1</v>
      </c>
      <c r="J52" s="4">
        <f t="shared" si="0"/>
        <v>-0.32149943630214206</v>
      </c>
      <c r="M52"/>
      <c r="O52" t="s">
        <v>606</v>
      </c>
      <c r="P52">
        <v>3176</v>
      </c>
      <c r="Q52">
        <v>4296.8900000000003</v>
      </c>
    </row>
    <row r="53" spans="1:17" hidden="1">
      <c r="A53" t="s">
        <v>714</v>
      </c>
      <c r="B53" t="s">
        <v>715</v>
      </c>
      <c r="C53" s="27">
        <v>10959</v>
      </c>
      <c r="D53" s="18">
        <f t="shared" si="1"/>
        <v>365.3</v>
      </c>
      <c r="E53" s="5">
        <v>7898.32</v>
      </c>
      <c r="H53" s="18">
        <f t="shared" si="2"/>
        <v>21918</v>
      </c>
      <c r="I53" t="b">
        <f t="shared" si="3"/>
        <v>1</v>
      </c>
      <c r="J53" s="4">
        <f t="shared" si="0"/>
        <v>-0.6396423031298476</v>
      </c>
      <c r="O53" t="s">
        <v>375</v>
      </c>
      <c r="P53">
        <v>775</v>
      </c>
      <c r="Q53">
        <v>1364.36</v>
      </c>
    </row>
    <row r="54" spans="1:17" hidden="1">
      <c r="A54" t="s">
        <v>792</v>
      </c>
      <c r="B54" t="s">
        <v>793</v>
      </c>
      <c r="C54" s="27">
        <v>1242</v>
      </c>
      <c r="D54" s="18">
        <f t="shared" si="1"/>
        <v>41.4</v>
      </c>
      <c r="E54" s="5">
        <v>1651.81</v>
      </c>
      <c r="H54" s="18">
        <f t="shared" si="2"/>
        <v>2484</v>
      </c>
      <c r="I54" t="b">
        <f t="shared" si="3"/>
        <v>1</v>
      </c>
      <c r="J54" s="4">
        <f t="shared" si="0"/>
        <v>-0.33502012882447663</v>
      </c>
      <c r="M54"/>
      <c r="O54" t="s">
        <v>111</v>
      </c>
      <c r="P54">
        <v>652</v>
      </c>
      <c r="Q54">
        <v>1543.21</v>
      </c>
    </row>
    <row r="55" spans="1:17" hidden="1">
      <c r="A55" t="s">
        <v>496</v>
      </c>
      <c r="B55" t="s">
        <v>497</v>
      </c>
      <c r="C55" s="27">
        <v>168</v>
      </c>
      <c r="D55" s="18">
        <f t="shared" si="1"/>
        <v>5.6</v>
      </c>
      <c r="E55" s="5">
        <v>82.73</v>
      </c>
      <c r="H55" s="18">
        <f t="shared" si="2"/>
        <v>336</v>
      </c>
      <c r="I55" t="b">
        <f t="shared" si="3"/>
        <v>1</v>
      </c>
      <c r="J55" s="4">
        <f t="shared" si="0"/>
        <v>-0.75377976190476192</v>
      </c>
      <c r="M55"/>
      <c r="O55" t="s">
        <v>509</v>
      </c>
      <c r="P55">
        <v>7423</v>
      </c>
      <c r="Q55">
        <v>11232.22</v>
      </c>
    </row>
    <row r="56" spans="1:17" hidden="1">
      <c r="A56" t="s">
        <v>298</v>
      </c>
      <c r="B56" t="s">
        <v>299</v>
      </c>
      <c r="C56" s="27">
        <v>815</v>
      </c>
      <c r="D56" s="18">
        <f t="shared" si="1"/>
        <v>27.166666666666668</v>
      </c>
      <c r="E56" s="5">
        <v>489.07</v>
      </c>
      <c r="H56" s="18">
        <f t="shared" si="2"/>
        <v>1630</v>
      </c>
      <c r="I56" t="b">
        <f t="shared" si="3"/>
        <v>1</v>
      </c>
      <c r="J56" s="4">
        <f t="shared" si="0"/>
        <v>-0.69995705521472396</v>
      </c>
      <c r="M56"/>
      <c r="O56" t="s">
        <v>638</v>
      </c>
      <c r="P56">
        <v>1327</v>
      </c>
      <c r="Q56">
        <v>3076.45</v>
      </c>
    </row>
    <row r="57" spans="1:17" hidden="1">
      <c r="A57" t="s">
        <v>1844</v>
      </c>
      <c r="B57" t="s">
        <v>1684</v>
      </c>
      <c r="C57" s="27">
        <v>0</v>
      </c>
      <c r="D57" s="18">
        <f t="shared" si="1"/>
        <v>0</v>
      </c>
      <c r="E57" s="5">
        <v>0</v>
      </c>
      <c r="H57" s="18">
        <f t="shared" si="2"/>
        <v>0</v>
      </c>
      <c r="I57" t="b">
        <f t="shared" si="3"/>
        <v>1</v>
      </c>
      <c r="J57" s="4" t="e">
        <f t="shared" si="0"/>
        <v>#DIV/0!</v>
      </c>
      <c r="M57"/>
      <c r="O57" t="s">
        <v>313</v>
      </c>
      <c r="P57">
        <v>932</v>
      </c>
      <c r="Q57">
        <v>1032.94</v>
      </c>
    </row>
    <row r="58" spans="1:17" hidden="1">
      <c r="A58" t="s">
        <v>512</v>
      </c>
      <c r="B58" t="s">
        <v>513</v>
      </c>
      <c r="C58" s="27">
        <v>1039</v>
      </c>
      <c r="D58" s="18">
        <f t="shared" si="1"/>
        <v>34.633333333333333</v>
      </c>
      <c r="E58" s="5">
        <v>640.91</v>
      </c>
      <c r="H58" s="18">
        <f t="shared" si="2"/>
        <v>2078</v>
      </c>
      <c r="I58" t="b">
        <f t="shared" si="3"/>
        <v>1</v>
      </c>
      <c r="J58" s="4">
        <f t="shared" si="0"/>
        <v>-0.69157362848893167</v>
      </c>
      <c r="M58"/>
      <c r="O58" t="s">
        <v>723</v>
      </c>
      <c r="P58">
        <v>1214</v>
      </c>
      <c r="Q58">
        <v>1000.47</v>
      </c>
    </row>
    <row r="59" spans="1:17" hidden="1">
      <c r="A59" t="s">
        <v>219</v>
      </c>
      <c r="B59" t="s">
        <v>220</v>
      </c>
      <c r="C59" s="27">
        <v>1366</v>
      </c>
      <c r="D59" s="18">
        <f t="shared" si="1"/>
        <v>45.533333333333331</v>
      </c>
      <c r="E59" s="5">
        <v>1201.6400000000001</v>
      </c>
      <c r="H59" s="18">
        <f t="shared" si="2"/>
        <v>2732</v>
      </c>
      <c r="I59" t="b">
        <f t="shared" si="3"/>
        <v>1</v>
      </c>
      <c r="J59" s="4">
        <f t="shared" si="0"/>
        <v>-0.56016105417276718</v>
      </c>
      <c r="M59"/>
      <c r="O59" t="s">
        <v>254</v>
      </c>
      <c r="P59">
        <v>1982</v>
      </c>
      <c r="Q59">
        <v>1597.03</v>
      </c>
    </row>
    <row r="60" spans="1:17" hidden="1">
      <c r="A60" t="s">
        <v>142</v>
      </c>
      <c r="B60" t="s">
        <v>143</v>
      </c>
      <c r="C60" s="27">
        <v>1166</v>
      </c>
      <c r="D60" s="18">
        <f t="shared" si="1"/>
        <v>38.866666666666667</v>
      </c>
      <c r="E60" s="5">
        <v>1201.21</v>
      </c>
      <c r="H60" s="18">
        <f t="shared" si="2"/>
        <v>2332</v>
      </c>
      <c r="I60" t="b">
        <f t="shared" si="3"/>
        <v>1</v>
      </c>
      <c r="J60" s="4">
        <f t="shared" si="0"/>
        <v>-0.48490137221269292</v>
      </c>
      <c r="M60"/>
      <c r="O60" t="s">
        <v>713</v>
      </c>
      <c r="P60">
        <v>1254</v>
      </c>
      <c r="Q60">
        <v>3319.52</v>
      </c>
    </row>
    <row r="61" spans="1:17" hidden="1">
      <c r="A61" t="s">
        <v>251</v>
      </c>
      <c r="B61" t="s">
        <v>252</v>
      </c>
      <c r="C61" s="27">
        <v>2267</v>
      </c>
      <c r="D61" s="18">
        <f t="shared" si="1"/>
        <v>75.566666666666663</v>
      </c>
      <c r="E61" s="5">
        <v>1755.92</v>
      </c>
      <c r="H61" s="18">
        <f t="shared" si="2"/>
        <v>4534</v>
      </c>
      <c r="I61" t="b">
        <f t="shared" si="3"/>
        <v>1</v>
      </c>
      <c r="J61" s="4">
        <f t="shared" si="0"/>
        <v>-0.61272165857962069</v>
      </c>
      <c r="M61"/>
      <c r="O61" t="s">
        <v>341</v>
      </c>
      <c r="P61">
        <v>971</v>
      </c>
      <c r="Q61">
        <v>1914.05</v>
      </c>
    </row>
    <row r="62" spans="1:17" hidden="1">
      <c r="A62" t="s">
        <v>414</v>
      </c>
      <c r="B62" t="s">
        <v>415</v>
      </c>
      <c r="C62" s="27">
        <v>584</v>
      </c>
      <c r="D62" s="18">
        <f t="shared" si="1"/>
        <v>19.466666666666665</v>
      </c>
      <c r="E62" s="5">
        <v>497.9</v>
      </c>
      <c r="H62" s="18">
        <f t="shared" si="2"/>
        <v>1168</v>
      </c>
      <c r="I62" t="b">
        <f t="shared" si="3"/>
        <v>1</v>
      </c>
      <c r="J62" s="4">
        <f t="shared" si="0"/>
        <v>-0.57371575342465753</v>
      </c>
      <c r="M62"/>
      <c r="O62" t="s">
        <v>883</v>
      </c>
      <c r="P62">
        <v>3925</v>
      </c>
      <c r="Q62">
        <v>5623.45</v>
      </c>
    </row>
    <row r="63" spans="1:17" hidden="1">
      <c r="A63" t="s">
        <v>392</v>
      </c>
      <c r="B63" t="s">
        <v>393</v>
      </c>
      <c r="C63" s="27">
        <v>621</v>
      </c>
      <c r="D63" s="18">
        <f t="shared" si="1"/>
        <v>20.7</v>
      </c>
      <c r="E63" s="5">
        <v>412.75</v>
      </c>
      <c r="H63" s="18">
        <f t="shared" si="2"/>
        <v>1242</v>
      </c>
      <c r="I63" t="b">
        <f t="shared" si="3"/>
        <v>1</v>
      </c>
      <c r="J63" s="4">
        <f t="shared" si="0"/>
        <v>-0.66767310789049916</v>
      </c>
      <c r="M63"/>
      <c r="O63" t="s">
        <v>1658</v>
      </c>
      <c r="P63">
        <v>470</v>
      </c>
      <c r="Q63">
        <v>1363.19</v>
      </c>
    </row>
    <row r="64" spans="1:17" hidden="1">
      <c r="A64" t="s">
        <v>804</v>
      </c>
      <c r="B64" t="s">
        <v>805</v>
      </c>
      <c r="C64" s="27">
        <v>1680</v>
      </c>
      <c r="D64" s="18">
        <f t="shared" si="1"/>
        <v>56</v>
      </c>
      <c r="E64" s="5">
        <v>628.65</v>
      </c>
      <c r="H64" s="18">
        <f t="shared" si="2"/>
        <v>3360</v>
      </c>
      <c r="I64" t="b">
        <f t="shared" si="3"/>
        <v>1</v>
      </c>
      <c r="J64" s="4">
        <f t="shared" si="0"/>
        <v>-0.81290178571428573</v>
      </c>
      <c r="M64"/>
      <c r="O64" t="s">
        <v>443</v>
      </c>
      <c r="P64">
        <v>2026</v>
      </c>
      <c r="Q64">
        <v>2164.4299999999998</v>
      </c>
    </row>
    <row r="65" spans="1:17" hidden="1">
      <c r="A65" t="s">
        <v>424</v>
      </c>
      <c r="B65" t="s">
        <v>425</v>
      </c>
      <c r="C65" s="27">
        <v>917</v>
      </c>
      <c r="D65" s="18">
        <f t="shared" si="1"/>
        <v>30.566666666666666</v>
      </c>
      <c r="E65" s="5">
        <v>1010.25</v>
      </c>
      <c r="H65" s="18">
        <f t="shared" si="2"/>
        <v>1834</v>
      </c>
      <c r="I65" t="b">
        <f t="shared" ref="I65:I128" si="4">IF(E65&gt;1.2*H65,FALSE,TRUE)</f>
        <v>1</v>
      </c>
      <c r="J65" s="4">
        <f t="shared" ref="J65:J128" si="5">E65/H65-1</f>
        <v>-0.44915485278080702</v>
      </c>
      <c r="M65"/>
      <c r="O65" t="s">
        <v>622</v>
      </c>
      <c r="P65">
        <v>2247</v>
      </c>
      <c r="Q65">
        <v>4321.58</v>
      </c>
    </row>
    <row r="66" spans="1:17" hidden="1">
      <c r="A66" t="s">
        <v>839</v>
      </c>
      <c r="B66" t="s">
        <v>840</v>
      </c>
      <c r="C66" s="27">
        <v>2440</v>
      </c>
      <c r="D66" s="18">
        <f t="shared" si="1"/>
        <v>81.333333333333329</v>
      </c>
      <c r="E66" s="5">
        <v>3703.9</v>
      </c>
      <c r="H66" s="18">
        <f t="shared" si="2"/>
        <v>4880</v>
      </c>
      <c r="I66" t="b">
        <f t="shared" si="4"/>
        <v>1</v>
      </c>
      <c r="J66" s="4">
        <f t="shared" si="5"/>
        <v>-0.24100409836065573</v>
      </c>
      <c r="M66"/>
      <c r="O66" t="s">
        <v>785</v>
      </c>
      <c r="P66">
        <v>2514</v>
      </c>
      <c r="Q66">
        <v>2598.67</v>
      </c>
    </row>
    <row r="67" spans="1:17" hidden="1">
      <c r="A67" s="39" t="s">
        <v>201</v>
      </c>
      <c r="B67" s="36" t="s">
        <v>202</v>
      </c>
      <c r="C67" s="18">
        <v>379</v>
      </c>
      <c r="D67" s="18">
        <f t="shared" ref="D67:D130" si="6">C67/30</f>
        <v>12.633333333333333</v>
      </c>
      <c r="E67" s="5">
        <v>672.92</v>
      </c>
      <c r="H67" s="18">
        <f t="shared" ref="H67:H130" si="7">IF((C67/30)&gt;100,C67*2,C67*2)</f>
        <v>758</v>
      </c>
      <c r="I67" t="b">
        <f t="shared" si="4"/>
        <v>1</v>
      </c>
      <c r="J67" s="4">
        <f t="shared" si="5"/>
        <v>-0.11224274406332457</v>
      </c>
      <c r="M67"/>
      <c r="O67" t="s">
        <v>222</v>
      </c>
      <c r="P67">
        <v>666</v>
      </c>
      <c r="Q67">
        <v>974.04</v>
      </c>
    </row>
    <row r="68" spans="1:17" hidden="1">
      <c r="A68" t="s">
        <v>726</v>
      </c>
      <c r="B68" t="s">
        <v>727</v>
      </c>
      <c r="C68" s="27">
        <v>2124</v>
      </c>
      <c r="D68" s="18">
        <f t="shared" si="6"/>
        <v>70.8</v>
      </c>
      <c r="E68" s="5">
        <v>1594.76</v>
      </c>
      <c r="H68" s="18">
        <f t="shared" si="7"/>
        <v>4248</v>
      </c>
      <c r="I68" t="b">
        <f t="shared" si="4"/>
        <v>1</v>
      </c>
      <c r="J68" s="4">
        <f t="shared" si="5"/>
        <v>-0.62458568738229747</v>
      </c>
      <c r="M68"/>
      <c r="O68" t="s">
        <v>858</v>
      </c>
      <c r="P68">
        <v>2677</v>
      </c>
      <c r="Q68">
        <v>4678.3900000000003</v>
      </c>
    </row>
    <row r="69" spans="1:17" hidden="1">
      <c r="A69" s="39" t="s">
        <v>526</v>
      </c>
      <c r="B69" s="36" t="s">
        <v>527</v>
      </c>
      <c r="C69" s="27">
        <v>1605</v>
      </c>
      <c r="D69" s="18">
        <f t="shared" si="6"/>
        <v>53.5</v>
      </c>
      <c r="E69" s="5">
        <v>2765.8</v>
      </c>
      <c r="H69" s="18">
        <f t="shared" si="7"/>
        <v>3210</v>
      </c>
      <c r="I69" t="b">
        <f t="shared" si="4"/>
        <v>1</v>
      </c>
      <c r="J69" s="4">
        <f t="shared" si="5"/>
        <v>-0.13838006230529587</v>
      </c>
      <c r="M69"/>
      <c r="O69" t="s">
        <v>850</v>
      </c>
      <c r="P69">
        <v>1267</v>
      </c>
      <c r="Q69">
        <v>2666.4</v>
      </c>
    </row>
    <row r="70" spans="1:17" hidden="1">
      <c r="A70" s="26" t="s">
        <v>160</v>
      </c>
      <c r="B70" s="26" t="s">
        <v>161</v>
      </c>
      <c r="C70" s="27">
        <v>2285</v>
      </c>
      <c r="D70" s="18">
        <f t="shared" si="6"/>
        <v>76.166666666666671</v>
      </c>
      <c r="E70" s="5">
        <v>2020.11</v>
      </c>
      <c r="H70" s="18">
        <f t="shared" si="7"/>
        <v>4570</v>
      </c>
      <c r="I70" t="b">
        <f t="shared" si="4"/>
        <v>1</v>
      </c>
      <c r="J70" s="4">
        <f t="shared" si="5"/>
        <v>-0.5579628008752735</v>
      </c>
      <c r="M70"/>
      <c r="O70" t="s">
        <v>707</v>
      </c>
      <c r="P70">
        <v>1937</v>
      </c>
      <c r="Q70">
        <v>3822.55</v>
      </c>
    </row>
    <row r="71" spans="1:17" hidden="1">
      <c r="A71" s="39" t="s">
        <v>462</v>
      </c>
      <c r="B71" s="36" t="s">
        <v>463</v>
      </c>
      <c r="C71" s="18">
        <v>253</v>
      </c>
      <c r="D71" s="18">
        <f t="shared" si="6"/>
        <v>8.4333333333333336</v>
      </c>
      <c r="E71" s="5">
        <v>558.49</v>
      </c>
      <c r="H71" s="18">
        <f t="shared" si="7"/>
        <v>506</v>
      </c>
      <c r="I71" t="b">
        <f t="shared" si="4"/>
        <v>1</v>
      </c>
      <c r="J71" s="4">
        <f t="shared" si="5"/>
        <v>0.10373517786561259</v>
      </c>
      <c r="M71"/>
      <c r="O71" t="s">
        <v>188</v>
      </c>
      <c r="P71">
        <v>898</v>
      </c>
      <c r="Q71">
        <v>1192.75</v>
      </c>
    </row>
    <row r="72" spans="1:17" hidden="1">
      <c r="A72" t="s">
        <v>659</v>
      </c>
      <c r="B72" t="s">
        <v>660</v>
      </c>
      <c r="C72" s="27">
        <v>1036</v>
      </c>
      <c r="D72" s="18">
        <f t="shared" si="6"/>
        <v>34.533333333333331</v>
      </c>
      <c r="E72" s="5">
        <v>1801.37</v>
      </c>
      <c r="H72" s="18">
        <f t="shared" si="7"/>
        <v>2072</v>
      </c>
      <c r="I72" t="b">
        <f t="shared" si="4"/>
        <v>1</v>
      </c>
      <c r="J72" s="4">
        <f t="shared" si="5"/>
        <v>-0.13061293436293442</v>
      </c>
      <c r="M72"/>
      <c r="O72" t="s">
        <v>469</v>
      </c>
      <c r="P72">
        <v>866</v>
      </c>
      <c r="Q72">
        <v>951.69</v>
      </c>
    </row>
    <row r="73" spans="1:17" hidden="1">
      <c r="A73" t="s">
        <v>227</v>
      </c>
      <c r="B73" t="s">
        <v>228</v>
      </c>
      <c r="C73" s="27">
        <v>1054</v>
      </c>
      <c r="D73" s="18">
        <f t="shared" si="6"/>
        <v>35.133333333333333</v>
      </c>
      <c r="E73" s="5">
        <v>2405.59</v>
      </c>
      <c r="H73" s="18">
        <f t="shared" si="7"/>
        <v>2108</v>
      </c>
      <c r="I73" t="b">
        <f t="shared" si="4"/>
        <v>1</v>
      </c>
      <c r="J73" s="4">
        <f t="shared" si="5"/>
        <v>0.14117172675521839</v>
      </c>
      <c r="M73"/>
      <c r="O73" t="s">
        <v>161</v>
      </c>
      <c r="P73">
        <v>1675</v>
      </c>
      <c r="Q73">
        <v>3354.17</v>
      </c>
    </row>
    <row r="74" spans="1:17" hidden="1">
      <c r="A74" t="s">
        <v>550</v>
      </c>
      <c r="B74" t="s">
        <v>551</v>
      </c>
      <c r="C74" s="27">
        <v>238</v>
      </c>
      <c r="D74" s="18">
        <f t="shared" si="6"/>
        <v>7.9333333333333336</v>
      </c>
      <c r="E74" s="5">
        <v>484.89</v>
      </c>
      <c r="H74" s="18">
        <f t="shared" si="7"/>
        <v>476</v>
      </c>
      <c r="I74" t="b">
        <f t="shared" si="4"/>
        <v>1</v>
      </c>
      <c r="J74" s="4">
        <f t="shared" si="5"/>
        <v>1.8676470588235183E-2</v>
      </c>
      <c r="M74"/>
      <c r="O74" t="s">
        <v>329</v>
      </c>
      <c r="P74">
        <v>821</v>
      </c>
      <c r="Q74">
        <v>1269.99</v>
      </c>
    </row>
    <row r="75" spans="1:17" hidden="1">
      <c r="A75" t="s">
        <v>466</v>
      </c>
      <c r="B75" t="s">
        <v>467</v>
      </c>
      <c r="C75" s="27">
        <v>1813</v>
      </c>
      <c r="D75" s="18">
        <f t="shared" si="6"/>
        <v>60.43333333333333</v>
      </c>
      <c r="E75" s="5">
        <v>1517.72</v>
      </c>
      <c r="H75" s="18">
        <f t="shared" si="7"/>
        <v>3626</v>
      </c>
      <c r="I75" t="b">
        <f t="shared" si="4"/>
        <v>1</v>
      </c>
      <c r="J75" s="4">
        <f t="shared" si="5"/>
        <v>-0.58143408714837286</v>
      </c>
      <c r="M75"/>
      <c r="O75" t="s">
        <v>525</v>
      </c>
      <c r="P75">
        <v>472</v>
      </c>
      <c r="Q75">
        <v>962.02</v>
      </c>
    </row>
    <row r="76" spans="1:17" hidden="1">
      <c r="A76" s="39" t="s">
        <v>274</v>
      </c>
      <c r="B76" s="36" t="s">
        <v>275</v>
      </c>
      <c r="C76" s="27">
        <v>0</v>
      </c>
      <c r="D76" s="18">
        <f t="shared" si="6"/>
        <v>0</v>
      </c>
      <c r="E76" s="5">
        <v>0</v>
      </c>
      <c r="H76" s="18">
        <f t="shared" si="7"/>
        <v>0</v>
      </c>
      <c r="I76" t="b">
        <f t="shared" si="4"/>
        <v>1</v>
      </c>
      <c r="J76" s="4" t="e">
        <f t="shared" si="5"/>
        <v>#DIV/0!</v>
      </c>
      <c r="M76"/>
      <c r="O76" t="s">
        <v>335</v>
      </c>
      <c r="P76">
        <v>525</v>
      </c>
      <c r="Q76">
        <v>774.67</v>
      </c>
    </row>
    <row r="77" spans="1:17" hidden="1">
      <c r="A77" t="s">
        <v>288</v>
      </c>
      <c r="B77" t="s">
        <v>289</v>
      </c>
      <c r="C77" s="27">
        <v>0</v>
      </c>
      <c r="D77" s="18">
        <f t="shared" si="6"/>
        <v>0</v>
      </c>
      <c r="E77" s="5">
        <v>0</v>
      </c>
      <c r="H77" s="18">
        <f t="shared" si="7"/>
        <v>0</v>
      </c>
      <c r="I77" t="b">
        <f t="shared" si="4"/>
        <v>1</v>
      </c>
      <c r="J77" s="4" t="e">
        <f t="shared" si="5"/>
        <v>#DIV/0!</v>
      </c>
      <c r="M77"/>
      <c r="O77" t="s">
        <v>1686</v>
      </c>
      <c r="P77">
        <v>901</v>
      </c>
      <c r="Q77">
        <v>1451.22</v>
      </c>
    </row>
    <row r="78" spans="1:17" hidden="1">
      <c r="A78" t="s">
        <v>882</v>
      </c>
      <c r="B78" t="s">
        <v>883</v>
      </c>
      <c r="C78" s="27">
        <v>5047</v>
      </c>
      <c r="D78" s="18">
        <f t="shared" si="6"/>
        <v>168.23333333333332</v>
      </c>
      <c r="E78" s="5">
        <v>5154.9799999999996</v>
      </c>
      <c r="H78" s="18">
        <f t="shared" si="7"/>
        <v>10094</v>
      </c>
      <c r="I78" t="b">
        <f t="shared" si="4"/>
        <v>1</v>
      </c>
      <c r="J78" s="4">
        <f t="shared" si="5"/>
        <v>-0.48930255597384587</v>
      </c>
      <c r="M78"/>
      <c r="O78" t="s">
        <v>727</v>
      </c>
      <c r="P78">
        <v>2428</v>
      </c>
      <c r="Q78">
        <v>2821.81</v>
      </c>
    </row>
    <row r="79" spans="1:17" hidden="1">
      <c r="A79" s="39" t="s">
        <v>158</v>
      </c>
      <c r="B79" s="36" t="s">
        <v>159</v>
      </c>
      <c r="C79" s="27">
        <v>1471</v>
      </c>
      <c r="D79" s="18">
        <f t="shared" si="6"/>
        <v>49.033333333333331</v>
      </c>
      <c r="E79" s="5">
        <v>3125.37</v>
      </c>
      <c r="H79" s="18">
        <f t="shared" si="7"/>
        <v>2942</v>
      </c>
      <c r="I79" t="b">
        <f t="shared" si="4"/>
        <v>1</v>
      </c>
      <c r="J79" s="4">
        <f t="shared" si="5"/>
        <v>6.2328348062542505E-2</v>
      </c>
      <c r="M79"/>
      <c r="O79" t="s">
        <v>389</v>
      </c>
      <c r="P79">
        <v>1476</v>
      </c>
      <c r="Q79">
        <v>1165.81</v>
      </c>
    </row>
    <row r="80" spans="1:17">
      <c r="A80" s="39" t="s">
        <v>486</v>
      </c>
      <c r="B80" s="36" t="s">
        <v>487</v>
      </c>
      <c r="C80" s="27">
        <v>609</v>
      </c>
      <c r="D80" s="18">
        <f t="shared" si="6"/>
        <v>20.3</v>
      </c>
      <c r="E80" s="5">
        <v>1517.49</v>
      </c>
      <c r="H80" s="18">
        <f t="shared" si="7"/>
        <v>1218</v>
      </c>
      <c r="I80" t="b">
        <f t="shared" si="4"/>
        <v>0</v>
      </c>
      <c r="J80" s="4">
        <f>E80/H80-1</f>
        <v>0.24588669950738917</v>
      </c>
      <c r="O80" t="s">
        <v>269</v>
      </c>
      <c r="P80">
        <v>978</v>
      </c>
      <c r="Q80">
        <v>871.95</v>
      </c>
    </row>
    <row r="81" spans="1:17" hidden="1">
      <c r="A81" s="39" t="s">
        <v>450</v>
      </c>
      <c r="B81" s="36" t="s">
        <v>451</v>
      </c>
      <c r="C81" s="18">
        <v>748</v>
      </c>
      <c r="D81" s="18">
        <f t="shared" si="6"/>
        <v>24.933333333333334</v>
      </c>
      <c r="E81" s="5">
        <v>1085.7</v>
      </c>
      <c r="H81" s="18">
        <f t="shared" si="7"/>
        <v>1496</v>
      </c>
      <c r="I81" t="b">
        <f t="shared" si="4"/>
        <v>1</v>
      </c>
      <c r="J81" s="4">
        <f t="shared" si="5"/>
        <v>-0.27426470588235297</v>
      </c>
      <c r="M81"/>
      <c r="O81" t="s">
        <v>477</v>
      </c>
      <c r="P81">
        <v>952</v>
      </c>
      <c r="Q81">
        <v>1464.03</v>
      </c>
    </row>
    <row r="82" spans="1:17" hidden="1">
      <c r="A82" s="40" t="s">
        <v>843</v>
      </c>
      <c r="B82" s="36" t="s">
        <v>844</v>
      </c>
      <c r="C82" s="27">
        <v>2252</v>
      </c>
      <c r="D82" s="18">
        <f t="shared" si="6"/>
        <v>75.066666666666663</v>
      </c>
      <c r="E82" s="5">
        <v>4340.08</v>
      </c>
      <c r="H82" s="18">
        <f t="shared" si="7"/>
        <v>4504</v>
      </c>
      <c r="I82" t="b">
        <f t="shared" si="4"/>
        <v>1</v>
      </c>
      <c r="J82" s="4">
        <f t="shared" si="5"/>
        <v>-3.6394316163410267E-2</v>
      </c>
      <c r="M82"/>
      <c r="O82" t="s">
        <v>805</v>
      </c>
      <c r="P82">
        <v>1631</v>
      </c>
      <c r="Q82">
        <v>994.98</v>
      </c>
    </row>
    <row r="83" spans="1:17" hidden="1">
      <c r="A83" t="s">
        <v>448</v>
      </c>
      <c r="B83" t="s">
        <v>449</v>
      </c>
      <c r="C83" s="27">
        <v>815</v>
      </c>
      <c r="D83" s="18">
        <f t="shared" si="6"/>
        <v>27.166666666666668</v>
      </c>
      <c r="E83" s="5">
        <v>1104.93</v>
      </c>
      <c r="H83" s="18">
        <f t="shared" si="7"/>
        <v>1630</v>
      </c>
      <c r="I83" t="b">
        <f t="shared" si="4"/>
        <v>1</v>
      </c>
      <c r="J83" s="4">
        <f t="shared" si="5"/>
        <v>-0.32212883435582818</v>
      </c>
      <c r="M83"/>
      <c r="O83" t="s">
        <v>483</v>
      </c>
      <c r="P83">
        <v>602</v>
      </c>
      <c r="Q83">
        <v>654.19000000000005</v>
      </c>
    </row>
    <row r="84" spans="1:17" hidden="1">
      <c r="A84" t="s">
        <v>704</v>
      </c>
      <c r="B84" t="s">
        <v>705</v>
      </c>
      <c r="C84" s="27">
        <v>571</v>
      </c>
      <c r="D84" s="18">
        <f t="shared" si="6"/>
        <v>19.033333333333335</v>
      </c>
      <c r="E84" s="5">
        <v>1300.3399999999999</v>
      </c>
      <c r="H84" s="18">
        <f t="shared" si="7"/>
        <v>1142</v>
      </c>
      <c r="I84" t="b">
        <f t="shared" si="4"/>
        <v>1</v>
      </c>
      <c r="J84" s="4">
        <f t="shared" si="5"/>
        <v>0.13865148861646226</v>
      </c>
      <c r="M84"/>
      <c r="O84" t="s">
        <v>218</v>
      </c>
      <c r="P84">
        <v>1231</v>
      </c>
      <c r="Q84">
        <v>2064.81</v>
      </c>
    </row>
    <row r="85" spans="1:17" hidden="1">
      <c r="A85" t="s">
        <v>579</v>
      </c>
      <c r="B85" t="s">
        <v>580</v>
      </c>
      <c r="C85" s="27">
        <v>1736</v>
      </c>
      <c r="D85" s="18">
        <f t="shared" si="6"/>
        <v>57.866666666666667</v>
      </c>
      <c r="E85" s="5">
        <v>696.69</v>
      </c>
      <c r="H85" s="18">
        <f t="shared" si="7"/>
        <v>3472</v>
      </c>
      <c r="I85" t="b">
        <f t="shared" si="4"/>
        <v>1</v>
      </c>
      <c r="J85" s="4">
        <f t="shared" si="5"/>
        <v>-0.79934043778801844</v>
      </c>
      <c r="M85"/>
      <c r="O85" t="s">
        <v>186</v>
      </c>
      <c r="P85">
        <v>1672</v>
      </c>
      <c r="Q85">
        <v>3182.12</v>
      </c>
    </row>
    <row r="86" spans="1:17" hidden="1">
      <c r="A86" t="s">
        <v>790</v>
      </c>
      <c r="B86" t="s">
        <v>791</v>
      </c>
      <c r="C86" s="27">
        <v>0</v>
      </c>
      <c r="D86" s="18">
        <f t="shared" si="6"/>
        <v>0</v>
      </c>
      <c r="E86" s="5">
        <v>0</v>
      </c>
      <c r="H86" s="18">
        <f t="shared" si="7"/>
        <v>0</v>
      </c>
      <c r="I86" t="b">
        <f t="shared" si="4"/>
        <v>1</v>
      </c>
      <c r="J86" s="4" t="e">
        <f t="shared" si="5"/>
        <v>#DIV/0!</v>
      </c>
      <c r="M86"/>
      <c r="O86" t="s">
        <v>459</v>
      </c>
      <c r="P86">
        <v>662</v>
      </c>
      <c r="Q86">
        <v>310.57</v>
      </c>
    </row>
    <row r="87" spans="1:17" hidden="1">
      <c r="A87" t="s">
        <v>566</v>
      </c>
      <c r="B87" t="s">
        <v>567</v>
      </c>
      <c r="C87" s="27">
        <v>818</v>
      </c>
      <c r="D87" s="18">
        <f t="shared" si="6"/>
        <v>27.266666666666666</v>
      </c>
      <c r="E87" s="5">
        <v>1112.03</v>
      </c>
      <c r="H87" s="18">
        <f t="shared" si="7"/>
        <v>1636</v>
      </c>
      <c r="I87" t="b">
        <f t="shared" si="4"/>
        <v>1</v>
      </c>
      <c r="J87" s="4">
        <f t="shared" si="5"/>
        <v>-0.32027506112469439</v>
      </c>
      <c r="M87"/>
      <c r="O87" t="s">
        <v>672</v>
      </c>
      <c r="P87">
        <v>423</v>
      </c>
      <c r="Q87">
        <v>765.94</v>
      </c>
    </row>
    <row r="88" spans="1:17" hidden="1">
      <c r="A88" s="39" t="s">
        <v>718</v>
      </c>
      <c r="B88" s="36" t="s">
        <v>719</v>
      </c>
      <c r="C88" s="27">
        <v>1272</v>
      </c>
      <c r="D88" s="18">
        <f t="shared" si="6"/>
        <v>42.4</v>
      </c>
      <c r="E88" s="5">
        <v>2328.4100000000003</v>
      </c>
      <c r="H88" s="18">
        <f t="shared" si="7"/>
        <v>2544</v>
      </c>
      <c r="I88" t="b">
        <f t="shared" si="4"/>
        <v>1</v>
      </c>
      <c r="J88" s="4">
        <f t="shared" si="5"/>
        <v>-8.4744496855345797E-2</v>
      </c>
      <c r="M88"/>
      <c r="O88" t="s">
        <v>321</v>
      </c>
      <c r="P88">
        <v>431</v>
      </c>
      <c r="Q88">
        <v>742.51</v>
      </c>
    </row>
    <row r="89" spans="1:17" hidden="1">
      <c r="A89" s="36" t="s">
        <v>760</v>
      </c>
      <c r="B89" s="36" t="s">
        <v>761</v>
      </c>
      <c r="C89" s="27">
        <v>1608</v>
      </c>
      <c r="D89" s="18">
        <f t="shared" si="6"/>
        <v>53.6</v>
      </c>
      <c r="E89" s="5">
        <v>2894.97</v>
      </c>
      <c r="H89" s="18">
        <f t="shared" si="7"/>
        <v>3216</v>
      </c>
      <c r="I89" t="b">
        <f t="shared" si="4"/>
        <v>1</v>
      </c>
      <c r="J89" s="4">
        <f t="shared" si="5"/>
        <v>-9.9822761194029885E-2</v>
      </c>
      <c r="M89"/>
      <c r="O89" t="s">
        <v>1673</v>
      </c>
      <c r="P89">
        <v>208</v>
      </c>
      <c r="Q89">
        <v>461.06</v>
      </c>
    </row>
    <row r="90" spans="1:17" hidden="1">
      <c r="A90" s="36" t="s">
        <v>760</v>
      </c>
      <c r="B90" s="36" t="s">
        <v>761</v>
      </c>
      <c r="C90" s="27">
        <v>1608</v>
      </c>
      <c r="D90" s="18">
        <f t="shared" si="6"/>
        <v>53.6</v>
      </c>
      <c r="E90" s="5">
        <v>2894.97</v>
      </c>
      <c r="H90" s="18">
        <f t="shared" si="7"/>
        <v>3216</v>
      </c>
      <c r="I90" t="b">
        <f t="shared" si="4"/>
        <v>1</v>
      </c>
      <c r="J90" s="4">
        <f t="shared" si="5"/>
        <v>-9.9822761194029885E-2</v>
      </c>
      <c r="M90"/>
      <c r="O90" t="s">
        <v>397</v>
      </c>
      <c r="P90">
        <v>427</v>
      </c>
      <c r="Q90">
        <v>594.62</v>
      </c>
    </row>
    <row r="91" spans="1:17" hidden="1">
      <c r="A91" t="s">
        <v>690</v>
      </c>
      <c r="B91" t="s">
        <v>691</v>
      </c>
      <c r="C91" s="27">
        <v>2410</v>
      </c>
      <c r="D91" s="18">
        <f t="shared" si="6"/>
        <v>80.333333333333329</v>
      </c>
      <c r="E91" s="5">
        <v>3586.03</v>
      </c>
      <c r="H91" s="18">
        <f t="shared" si="7"/>
        <v>4820</v>
      </c>
      <c r="I91" t="b">
        <f t="shared" si="4"/>
        <v>1</v>
      </c>
      <c r="J91" s="4">
        <f t="shared" si="5"/>
        <v>-0.25601037344398336</v>
      </c>
      <c r="M91"/>
      <c r="O91" t="s">
        <v>901</v>
      </c>
      <c r="P91">
        <v>6857</v>
      </c>
      <c r="Q91">
        <v>7319.16</v>
      </c>
    </row>
    <row r="92" spans="1:17" hidden="1">
      <c r="A92" t="s">
        <v>324</v>
      </c>
      <c r="B92" t="s">
        <v>325</v>
      </c>
      <c r="C92" s="27">
        <v>791</v>
      </c>
      <c r="D92" s="18">
        <f t="shared" si="6"/>
        <v>26.366666666666667</v>
      </c>
      <c r="E92" s="5">
        <v>670.99</v>
      </c>
      <c r="H92" s="18">
        <f t="shared" si="7"/>
        <v>1582</v>
      </c>
      <c r="I92" t="b">
        <f t="shared" si="4"/>
        <v>1</v>
      </c>
      <c r="J92" s="4">
        <f t="shared" si="5"/>
        <v>-0.5758596713021491</v>
      </c>
      <c r="M92"/>
      <c r="O92" t="s">
        <v>339</v>
      </c>
      <c r="P92">
        <v>1277</v>
      </c>
      <c r="Q92">
        <v>2567.0300000000002</v>
      </c>
    </row>
    <row r="93" spans="1:17" hidden="1">
      <c r="A93" t="s">
        <v>355</v>
      </c>
      <c r="B93" t="s">
        <v>356</v>
      </c>
      <c r="C93" s="27">
        <v>893</v>
      </c>
      <c r="D93" s="18">
        <f t="shared" si="6"/>
        <v>29.766666666666666</v>
      </c>
      <c r="E93" s="5">
        <v>1013.06</v>
      </c>
      <c r="H93" s="18">
        <f t="shared" si="7"/>
        <v>1786</v>
      </c>
      <c r="I93" t="b">
        <f t="shared" si="4"/>
        <v>1</v>
      </c>
      <c r="J93" s="4">
        <f t="shared" si="5"/>
        <v>-0.43277715565509522</v>
      </c>
      <c r="M93"/>
      <c r="O93" t="s">
        <v>471</v>
      </c>
      <c r="P93">
        <v>1046</v>
      </c>
      <c r="Q93">
        <v>905.93</v>
      </c>
    </row>
    <row r="94" spans="1:17" hidden="1">
      <c r="A94" s="39" t="s">
        <v>806</v>
      </c>
      <c r="B94" s="36" t="s">
        <v>807</v>
      </c>
      <c r="C94" s="27">
        <v>2080</v>
      </c>
      <c r="D94" s="18">
        <f t="shared" si="6"/>
        <v>69.333333333333329</v>
      </c>
      <c r="E94" s="5">
        <v>4815.33</v>
      </c>
      <c r="H94" s="18">
        <f t="shared" si="7"/>
        <v>4160</v>
      </c>
      <c r="I94" t="b">
        <f t="shared" si="4"/>
        <v>1</v>
      </c>
      <c r="J94" s="4">
        <f t="shared" si="5"/>
        <v>0.1575312499999999</v>
      </c>
      <c r="M94"/>
      <c r="O94" t="s">
        <v>453</v>
      </c>
      <c r="P94">
        <v>577</v>
      </c>
      <c r="Q94">
        <v>720.77</v>
      </c>
    </row>
    <row r="95" spans="1:17" hidden="1">
      <c r="A95" t="s">
        <v>470</v>
      </c>
      <c r="B95" t="s">
        <v>471</v>
      </c>
      <c r="C95" s="27">
        <v>820</v>
      </c>
      <c r="D95" s="18">
        <f t="shared" si="6"/>
        <v>27.333333333333332</v>
      </c>
      <c r="E95" s="5">
        <v>575.41999999999996</v>
      </c>
      <c r="H95" s="18">
        <f t="shared" si="7"/>
        <v>1640</v>
      </c>
      <c r="I95" t="b">
        <f t="shared" si="4"/>
        <v>1</v>
      </c>
      <c r="J95" s="4">
        <f t="shared" si="5"/>
        <v>-0.64913414634146349</v>
      </c>
      <c r="M95"/>
      <c r="O95" t="s">
        <v>224</v>
      </c>
      <c r="P95">
        <v>576</v>
      </c>
      <c r="Q95">
        <v>686.87</v>
      </c>
    </row>
    <row r="96" spans="1:17" hidden="1">
      <c r="A96" s="39" t="s">
        <v>156</v>
      </c>
      <c r="B96" s="36" t="s">
        <v>157</v>
      </c>
      <c r="C96" s="27">
        <v>507</v>
      </c>
      <c r="D96" s="18">
        <f t="shared" si="6"/>
        <v>16.899999999999999</v>
      </c>
      <c r="E96" s="5">
        <v>1084.56</v>
      </c>
      <c r="H96" s="18">
        <f t="shared" si="7"/>
        <v>1014</v>
      </c>
      <c r="I96" t="b">
        <f t="shared" si="4"/>
        <v>1</v>
      </c>
      <c r="J96" s="4">
        <f t="shared" si="5"/>
        <v>6.9585798816568012E-2</v>
      </c>
      <c r="M96"/>
      <c r="O96" t="s">
        <v>216</v>
      </c>
      <c r="P96">
        <v>752</v>
      </c>
      <c r="Q96">
        <v>616.62</v>
      </c>
    </row>
    <row r="97" spans="1:17" hidden="1">
      <c r="A97" s="39" t="s">
        <v>402</v>
      </c>
      <c r="B97" s="36" t="s">
        <v>403</v>
      </c>
      <c r="C97" s="27">
        <v>889</v>
      </c>
      <c r="D97" s="18">
        <f t="shared" si="6"/>
        <v>29.633333333333333</v>
      </c>
      <c r="E97" s="5">
        <v>1292.8599999999999</v>
      </c>
      <c r="H97" s="18">
        <f t="shared" si="7"/>
        <v>1778</v>
      </c>
      <c r="I97" t="b">
        <f t="shared" si="4"/>
        <v>1</v>
      </c>
      <c r="J97" s="4">
        <f t="shared" si="5"/>
        <v>-0.27285714285714291</v>
      </c>
      <c r="M97"/>
      <c r="O97" t="s">
        <v>307</v>
      </c>
      <c r="P97">
        <v>613</v>
      </c>
      <c r="Q97">
        <v>1513.71</v>
      </c>
    </row>
    <row r="98" spans="1:17" hidden="1">
      <c r="A98" t="s">
        <v>520</v>
      </c>
      <c r="B98" t="s">
        <v>521</v>
      </c>
      <c r="C98" s="27">
        <v>659</v>
      </c>
      <c r="D98" s="18">
        <f t="shared" si="6"/>
        <v>21.966666666666665</v>
      </c>
      <c r="E98" s="5">
        <v>1465.13</v>
      </c>
      <c r="H98" s="18">
        <f t="shared" si="7"/>
        <v>1318</v>
      </c>
      <c r="I98" t="b">
        <f t="shared" si="4"/>
        <v>1</v>
      </c>
      <c r="J98" s="4">
        <f t="shared" si="5"/>
        <v>0.11163125948406694</v>
      </c>
      <c r="M98"/>
      <c r="O98" t="s">
        <v>439</v>
      </c>
      <c r="P98">
        <v>1880</v>
      </c>
      <c r="Q98">
        <v>3516.22</v>
      </c>
    </row>
    <row r="99" spans="1:17" hidden="1">
      <c r="A99" t="s">
        <v>70</v>
      </c>
      <c r="B99" t="s">
        <v>71</v>
      </c>
      <c r="C99" s="27">
        <v>1298</v>
      </c>
      <c r="D99" s="18">
        <f t="shared" si="6"/>
        <v>43.266666666666666</v>
      </c>
      <c r="E99" s="5">
        <v>872.8</v>
      </c>
      <c r="H99" s="18">
        <f t="shared" si="7"/>
        <v>2596</v>
      </c>
      <c r="I99" t="b">
        <f t="shared" si="4"/>
        <v>1</v>
      </c>
      <c r="J99" s="4">
        <f t="shared" si="5"/>
        <v>-0.66379044684129429</v>
      </c>
      <c r="M99"/>
      <c r="O99" t="s">
        <v>695</v>
      </c>
      <c r="P99">
        <v>513</v>
      </c>
      <c r="Q99">
        <v>883.21</v>
      </c>
    </row>
    <row r="100" spans="1:17" hidden="1">
      <c r="A100" t="s">
        <v>1845</v>
      </c>
      <c r="B100" t="s">
        <v>1679</v>
      </c>
      <c r="C100" s="27">
        <v>0</v>
      </c>
      <c r="D100" s="18">
        <f t="shared" si="6"/>
        <v>0</v>
      </c>
      <c r="E100" s="5">
        <v>0</v>
      </c>
      <c r="H100" s="18">
        <f t="shared" si="7"/>
        <v>0</v>
      </c>
      <c r="I100" t="b">
        <f t="shared" si="4"/>
        <v>1</v>
      </c>
      <c r="J100" s="4" t="e">
        <f t="shared" si="5"/>
        <v>#DIV/0!</v>
      </c>
      <c r="M100"/>
      <c r="O100" t="s">
        <v>1671</v>
      </c>
      <c r="P100">
        <v>196</v>
      </c>
      <c r="Q100">
        <v>537.36</v>
      </c>
    </row>
    <row r="101" spans="1:17" hidden="1">
      <c r="A101" s="36" t="s">
        <v>657</v>
      </c>
      <c r="B101" s="36" t="s">
        <v>658</v>
      </c>
      <c r="C101" s="27">
        <v>1526</v>
      </c>
      <c r="D101" s="18">
        <f t="shared" si="6"/>
        <v>50.866666666666667</v>
      </c>
      <c r="E101" s="5">
        <v>1486.11</v>
      </c>
      <c r="H101" s="18">
        <f t="shared" si="7"/>
        <v>3052</v>
      </c>
      <c r="I101" t="b">
        <f t="shared" si="4"/>
        <v>1</v>
      </c>
      <c r="J101" s="4">
        <f t="shared" si="5"/>
        <v>-0.51307011795543911</v>
      </c>
      <c r="M101"/>
      <c r="O101" t="s">
        <v>541</v>
      </c>
      <c r="P101">
        <v>707</v>
      </c>
      <c r="Q101">
        <v>1007.87</v>
      </c>
    </row>
    <row r="102" spans="1:17" hidden="1">
      <c r="A102" s="39" t="s">
        <v>688</v>
      </c>
      <c r="B102" s="36" t="s">
        <v>689</v>
      </c>
      <c r="C102" s="27">
        <v>963</v>
      </c>
      <c r="D102" s="18">
        <f t="shared" si="6"/>
        <v>32.1</v>
      </c>
      <c r="E102" s="5">
        <v>1872.64</v>
      </c>
      <c r="H102" s="18">
        <f t="shared" si="7"/>
        <v>1926</v>
      </c>
      <c r="I102" t="b">
        <f t="shared" si="4"/>
        <v>1</v>
      </c>
      <c r="J102" s="4">
        <f t="shared" si="5"/>
        <v>-2.7705088265835842E-2</v>
      </c>
      <c r="M102"/>
      <c r="O102" t="s">
        <v>922</v>
      </c>
      <c r="P102">
        <v>1594</v>
      </c>
      <c r="Q102">
        <v>209.91</v>
      </c>
    </row>
    <row r="103" spans="1:17" hidden="1">
      <c r="A103" t="s">
        <v>1846</v>
      </c>
      <c r="B103" t="s">
        <v>1665</v>
      </c>
      <c r="C103" s="27">
        <v>0</v>
      </c>
      <c r="D103" s="18">
        <f t="shared" si="6"/>
        <v>0</v>
      </c>
      <c r="E103" s="5">
        <v>0</v>
      </c>
      <c r="H103" s="18">
        <f t="shared" si="7"/>
        <v>0</v>
      </c>
      <c r="I103" t="b">
        <f t="shared" si="4"/>
        <v>1</v>
      </c>
      <c r="J103" s="4" t="e">
        <f t="shared" si="5"/>
        <v>#DIV/0!</v>
      </c>
      <c r="M103"/>
      <c r="O103" t="s">
        <v>779</v>
      </c>
      <c r="P103">
        <v>2511</v>
      </c>
      <c r="Q103">
        <v>2473.92</v>
      </c>
    </row>
    <row r="104" spans="1:17" hidden="1">
      <c r="A104" t="s">
        <v>802</v>
      </c>
      <c r="B104" t="s">
        <v>803</v>
      </c>
      <c r="C104" s="27">
        <v>1099</v>
      </c>
      <c r="D104" s="18">
        <f t="shared" si="6"/>
        <v>36.633333333333333</v>
      </c>
      <c r="E104" s="5">
        <v>592.96</v>
      </c>
      <c r="H104" s="18">
        <f t="shared" si="7"/>
        <v>2198</v>
      </c>
      <c r="I104" t="b">
        <f t="shared" si="4"/>
        <v>1</v>
      </c>
      <c r="J104" s="4">
        <f t="shared" si="5"/>
        <v>-0.73022747952684264</v>
      </c>
      <c r="M104"/>
      <c r="O104" t="s">
        <v>299</v>
      </c>
      <c r="P104">
        <v>1114</v>
      </c>
      <c r="Q104">
        <v>1550.98</v>
      </c>
    </row>
    <row r="105" spans="1:17" hidden="1">
      <c r="A105" t="s">
        <v>175</v>
      </c>
      <c r="B105" t="s">
        <v>176</v>
      </c>
      <c r="C105" s="27">
        <v>2931</v>
      </c>
      <c r="D105" s="18">
        <f t="shared" si="6"/>
        <v>97.7</v>
      </c>
      <c r="E105" s="5">
        <v>4160.45</v>
      </c>
      <c r="H105" s="18">
        <f t="shared" si="7"/>
        <v>5862</v>
      </c>
      <c r="I105" t="b">
        <f t="shared" si="4"/>
        <v>1</v>
      </c>
      <c r="J105" s="4">
        <f t="shared" si="5"/>
        <v>-0.29026782668031392</v>
      </c>
      <c r="M105"/>
      <c r="O105" t="s">
        <v>399</v>
      </c>
      <c r="P105">
        <v>950</v>
      </c>
      <c r="Q105">
        <v>648.47</v>
      </c>
    </row>
    <row r="106" spans="1:17">
      <c r="A106" t="s">
        <v>342</v>
      </c>
      <c r="B106" t="s">
        <v>343</v>
      </c>
      <c r="C106" s="27">
        <v>31</v>
      </c>
      <c r="D106" s="18">
        <f t="shared" si="6"/>
        <v>1.0333333333333334</v>
      </c>
      <c r="E106" s="5">
        <v>78.61</v>
      </c>
      <c r="H106" s="18">
        <f t="shared" si="7"/>
        <v>62</v>
      </c>
      <c r="I106" t="b">
        <f t="shared" si="4"/>
        <v>0</v>
      </c>
      <c r="J106" s="4">
        <f t="shared" si="5"/>
        <v>0.26790322580645154</v>
      </c>
      <c r="M106"/>
      <c r="O106" t="s">
        <v>358</v>
      </c>
      <c r="P106">
        <v>756</v>
      </c>
      <c r="Q106">
        <v>555.17999999999995</v>
      </c>
    </row>
    <row r="107" spans="1:17" hidden="1">
      <c r="A107" t="s">
        <v>629</v>
      </c>
      <c r="B107" t="s">
        <v>630</v>
      </c>
      <c r="C107" s="27">
        <v>701</v>
      </c>
      <c r="D107" s="18">
        <f t="shared" si="6"/>
        <v>23.366666666666667</v>
      </c>
      <c r="E107" s="5">
        <v>619.48</v>
      </c>
      <c r="H107" s="18">
        <f t="shared" si="7"/>
        <v>1402</v>
      </c>
      <c r="I107" t="b">
        <f t="shared" si="4"/>
        <v>1</v>
      </c>
      <c r="J107" s="4">
        <f t="shared" si="5"/>
        <v>-0.55814550641940086</v>
      </c>
      <c r="M107"/>
      <c r="O107" t="s">
        <v>1682</v>
      </c>
      <c r="P107">
        <v>535</v>
      </c>
      <c r="Q107">
        <v>654.45000000000005</v>
      </c>
    </row>
    <row r="108" spans="1:17" hidden="1">
      <c r="A108" t="s">
        <v>677</v>
      </c>
      <c r="B108" t="s">
        <v>678</v>
      </c>
      <c r="C108" s="27">
        <v>1862</v>
      </c>
      <c r="D108" s="18">
        <f t="shared" si="6"/>
        <v>62.06666666666667</v>
      </c>
      <c r="E108" s="5">
        <v>1500.37</v>
      </c>
      <c r="H108" s="18">
        <f t="shared" si="7"/>
        <v>3724</v>
      </c>
      <c r="I108" t="b">
        <f t="shared" si="4"/>
        <v>1</v>
      </c>
      <c r="J108" s="4">
        <f t="shared" si="5"/>
        <v>-0.59710794844253501</v>
      </c>
      <c r="M108"/>
      <c r="O108" t="s">
        <v>822</v>
      </c>
      <c r="P108">
        <v>1992</v>
      </c>
      <c r="Q108">
        <v>2894.27</v>
      </c>
    </row>
    <row r="109" spans="1:17" hidden="1">
      <c r="A109" s="39" t="s">
        <v>581</v>
      </c>
      <c r="B109" s="36" t="s">
        <v>582</v>
      </c>
      <c r="C109" s="18">
        <v>1600</v>
      </c>
      <c r="D109" s="18">
        <f t="shared" si="6"/>
        <v>53.333333333333336</v>
      </c>
      <c r="E109" s="5">
        <v>3018.95</v>
      </c>
      <c r="H109" s="18">
        <f t="shared" si="7"/>
        <v>3200</v>
      </c>
      <c r="I109" t="b">
        <f t="shared" si="4"/>
        <v>1</v>
      </c>
      <c r="J109" s="4">
        <f t="shared" si="5"/>
        <v>-5.6578125000000035E-2</v>
      </c>
      <c r="O109" t="s">
        <v>574</v>
      </c>
      <c r="P109">
        <v>910</v>
      </c>
      <c r="Q109">
        <v>725.37</v>
      </c>
    </row>
    <row r="110" spans="1:17" hidden="1">
      <c r="A110" t="s">
        <v>540</v>
      </c>
      <c r="B110" t="s">
        <v>541</v>
      </c>
      <c r="C110" s="27">
        <v>0</v>
      </c>
      <c r="D110" s="18">
        <f t="shared" si="6"/>
        <v>0</v>
      </c>
      <c r="E110" s="5">
        <v>0</v>
      </c>
      <c r="H110" s="18">
        <f t="shared" si="7"/>
        <v>0</v>
      </c>
      <c r="I110" t="b">
        <f t="shared" si="4"/>
        <v>1</v>
      </c>
      <c r="J110" s="4" t="e">
        <f t="shared" si="5"/>
        <v>#DIV/0!</v>
      </c>
      <c r="M110"/>
      <c r="O110" t="s">
        <v>475</v>
      </c>
      <c r="P110">
        <v>991</v>
      </c>
      <c r="Q110">
        <v>1487.32</v>
      </c>
    </row>
    <row r="111" spans="1:17" hidden="1">
      <c r="A111" t="s">
        <v>671</v>
      </c>
      <c r="B111" t="s">
        <v>672</v>
      </c>
      <c r="C111" s="27">
        <v>908</v>
      </c>
      <c r="D111" s="18">
        <f t="shared" si="6"/>
        <v>30.266666666666666</v>
      </c>
      <c r="E111" s="5">
        <v>1794.35</v>
      </c>
      <c r="H111" s="18">
        <f t="shared" si="7"/>
        <v>1816</v>
      </c>
      <c r="I111" t="b">
        <f t="shared" si="4"/>
        <v>1</v>
      </c>
      <c r="J111" s="4">
        <f t="shared" si="5"/>
        <v>-1.1921806167400906E-2</v>
      </c>
      <c r="M111"/>
      <c r="O111" t="s">
        <v>765</v>
      </c>
      <c r="P111">
        <v>1070</v>
      </c>
      <c r="Q111">
        <v>1533.49</v>
      </c>
    </row>
    <row r="112" spans="1:17" hidden="1">
      <c r="A112" t="s">
        <v>490</v>
      </c>
      <c r="B112" t="s">
        <v>491</v>
      </c>
      <c r="C112" s="27">
        <v>191</v>
      </c>
      <c r="D112" s="18">
        <f t="shared" si="6"/>
        <v>6.3666666666666663</v>
      </c>
      <c r="E112" s="5">
        <v>0</v>
      </c>
      <c r="H112" s="18">
        <f t="shared" si="7"/>
        <v>382</v>
      </c>
      <c r="I112" t="b">
        <f t="shared" si="4"/>
        <v>1</v>
      </c>
      <c r="J112" s="4">
        <f t="shared" si="5"/>
        <v>-1</v>
      </c>
      <c r="M112"/>
      <c r="O112" t="s">
        <v>271</v>
      </c>
      <c r="P112">
        <v>269</v>
      </c>
      <c r="Q112">
        <v>387.38</v>
      </c>
    </row>
    <row r="113" spans="1:17" hidden="1">
      <c r="A113" t="s">
        <v>173</v>
      </c>
      <c r="B113" t="s">
        <v>174</v>
      </c>
      <c r="C113" s="27">
        <v>1184</v>
      </c>
      <c r="D113" s="18">
        <f t="shared" si="6"/>
        <v>39.466666666666669</v>
      </c>
      <c r="E113" s="5">
        <v>973.08</v>
      </c>
      <c r="H113" s="18">
        <f t="shared" si="7"/>
        <v>2368</v>
      </c>
      <c r="I113" t="b">
        <f t="shared" si="4"/>
        <v>1</v>
      </c>
      <c r="J113" s="4">
        <f t="shared" si="5"/>
        <v>-0.589070945945946</v>
      </c>
      <c r="M113"/>
      <c r="O113" t="s">
        <v>238</v>
      </c>
      <c r="P113">
        <v>366</v>
      </c>
      <c r="Q113">
        <v>652.61</v>
      </c>
    </row>
    <row r="114" spans="1:17" hidden="1">
      <c r="A114" s="40" t="s">
        <v>514</v>
      </c>
      <c r="B114" s="36" t="s">
        <v>515</v>
      </c>
      <c r="C114" s="27">
        <v>953</v>
      </c>
      <c r="D114" s="18">
        <f t="shared" si="6"/>
        <v>31.766666666666666</v>
      </c>
      <c r="E114" s="5">
        <v>2072.29</v>
      </c>
      <c r="H114" s="18">
        <f t="shared" si="7"/>
        <v>1906</v>
      </c>
      <c r="I114" t="b">
        <f t="shared" si="4"/>
        <v>1</v>
      </c>
      <c r="J114" s="4">
        <f t="shared" si="5"/>
        <v>8.7245540398740884E-2</v>
      </c>
      <c r="M114"/>
      <c r="O114" t="s">
        <v>678</v>
      </c>
      <c r="P114">
        <v>2113</v>
      </c>
      <c r="Q114">
        <v>2307.63</v>
      </c>
    </row>
    <row r="115" spans="1:17" hidden="1">
      <c r="A115" t="s">
        <v>207</v>
      </c>
      <c r="B115" t="s">
        <v>208</v>
      </c>
      <c r="C115" s="27">
        <v>503</v>
      </c>
      <c r="D115" s="18">
        <f t="shared" si="6"/>
        <v>16.766666666666666</v>
      </c>
      <c r="E115" s="5">
        <v>568.49</v>
      </c>
      <c r="H115" s="18">
        <f t="shared" si="7"/>
        <v>1006</v>
      </c>
      <c r="I115" t="b">
        <f t="shared" si="4"/>
        <v>1</v>
      </c>
      <c r="J115" s="4">
        <f t="shared" si="5"/>
        <v>-0.43490059642147116</v>
      </c>
      <c r="M115"/>
      <c r="O115" t="s">
        <v>71</v>
      </c>
      <c r="P115">
        <v>1161</v>
      </c>
      <c r="Q115">
        <v>883.15</v>
      </c>
    </row>
    <row r="116" spans="1:17" hidden="1">
      <c r="A116" t="s">
        <v>340</v>
      </c>
      <c r="B116" t="s">
        <v>341</v>
      </c>
      <c r="C116" s="27">
        <v>760</v>
      </c>
      <c r="D116" s="18">
        <f t="shared" si="6"/>
        <v>25.333333333333332</v>
      </c>
      <c r="E116" s="5">
        <v>1522.27</v>
      </c>
      <c r="H116" s="18">
        <f t="shared" si="7"/>
        <v>1520</v>
      </c>
      <c r="I116" t="b">
        <f t="shared" si="4"/>
        <v>1</v>
      </c>
      <c r="J116" s="4">
        <f t="shared" si="5"/>
        <v>1.4934210526316161E-3</v>
      </c>
      <c r="M116"/>
      <c r="O116" t="s">
        <v>666</v>
      </c>
      <c r="P116">
        <v>690</v>
      </c>
      <c r="Q116">
        <v>545.20000000000005</v>
      </c>
    </row>
    <row r="117" spans="1:17" hidden="1">
      <c r="A117" s="39" t="s">
        <v>743</v>
      </c>
      <c r="B117" s="36" t="s">
        <v>744</v>
      </c>
      <c r="C117" s="27">
        <v>1434</v>
      </c>
      <c r="D117" s="18">
        <f t="shared" si="6"/>
        <v>47.8</v>
      </c>
      <c r="E117" s="5">
        <v>1884.57</v>
      </c>
      <c r="H117" s="18">
        <f t="shared" si="7"/>
        <v>2868</v>
      </c>
      <c r="I117" t="b">
        <f t="shared" si="4"/>
        <v>1</v>
      </c>
      <c r="J117" s="4">
        <f t="shared" si="5"/>
        <v>-0.34289748953974897</v>
      </c>
      <c r="M117"/>
      <c r="O117" t="s">
        <v>567</v>
      </c>
      <c r="P117">
        <v>1115</v>
      </c>
      <c r="Q117">
        <v>2200.4899999999998</v>
      </c>
    </row>
    <row r="118" spans="1:17" hidden="1">
      <c r="A118" t="s">
        <v>316</v>
      </c>
      <c r="B118" t="s">
        <v>317</v>
      </c>
      <c r="C118" s="27">
        <v>2007</v>
      </c>
      <c r="D118" s="18">
        <f t="shared" si="6"/>
        <v>66.900000000000006</v>
      </c>
      <c r="E118" s="5">
        <v>2982.77</v>
      </c>
      <c r="H118" s="18">
        <f t="shared" si="7"/>
        <v>4014</v>
      </c>
      <c r="I118" t="b">
        <f t="shared" si="4"/>
        <v>1</v>
      </c>
      <c r="J118" s="4">
        <f t="shared" si="5"/>
        <v>-0.25690832087693072</v>
      </c>
      <c r="M118"/>
      <c r="O118" t="s">
        <v>572</v>
      </c>
      <c r="P118">
        <v>1273</v>
      </c>
      <c r="Q118">
        <v>1409.27</v>
      </c>
    </row>
    <row r="119" spans="1:17" hidden="1">
      <c r="A119" s="36" t="s">
        <v>284</v>
      </c>
      <c r="B119" s="36" t="s">
        <v>285</v>
      </c>
      <c r="C119" s="27">
        <v>390</v>
      </c>
      <c r="D119" s="18">
        <f t="shared" si="6"/>
        <v>13</v>
      </c>
      <c r="E119" s="5">
        <v>355.31</v>
      </c>
      <c r="H119" s="18">
        <f t="shared" si="7"/>
        <v>780</v>
      </c>
      <c r="I119" t="b">
        <f t="shared" si="4"/>
        <v>1</v>
      </c>
      <c r="J119" s="4">
        <f t="shared" si="5"/>
        <v>-0.54447435897435903</v>
      </c>
      <c r="M119"/>
      <c r="O119" t="s">
        <v>194</v>
      </c>
      <c r="P119">
        <v>1003</v>
      </c>
      <c r="Q119">
        <v>2186.44</v>
      </c>
    </row>
    <row r="120" spans="1:17">
      <c r="A120" t="s">
        <v>609</v>
      </c>
      <c r="B120" t="s">
        <v>610</v>
      </c>
      <c r="C120" s="27">
        <v>181</v>
      </c>
      <c r="D120" s="18">
        <f t="shared" si="6"/>
        <v>6.0333333333333332</v>
      </c>
      <c r="E120" s="5">
        <v>666.94</v>
      </c>
      <c r="H120" s="18">
        <f t="shared" si="7"/>
        <v>362</v>
      </c>
      <c r="I120" t="b">
        <f t="shared" si="4"/>
        <v>0</v>
      </c>
      <c r="J120" s="4">
        <f t="shared" si="5"/>
        <v>0.84237569060773487</v>
      </c>
      <c r="M120"/>
      <c r="O120" t="s">
        <v>295</v>
      </c>
      <c r="P120">
        <v>425</v>
      </c>
      <c r="Q120">
        <v>530.95000000000005</v>
      </c>
    </row>
    <row r="121" spans="1:17" hidden="1">
      <c r="A121" t="s">
        <v>362</v>
      </c>
      <c r="B121" t="s">
        <v>363</v>
      </c>
      <c r="C121" s="27">
        <v>594</v>
      </c>
      <c r="D121" s="18">
        <f t="shared" si="6"/>
        <v>19.8</v>
      </c>
      <c r="E121" s="5">
        <v>310.83999999999997</v>
      </c>
      <c r="H121" s="18">
        <f t="shared" si="7"/>
        <v>1188</v>
      </c>
      <c r="I121" t="b">
        <f t="shared" si="4"/>
        <v>1</v>
      </c>
      <c r="J121" s="4">
        <f t="shared" si="5"/>
        <v>-0.73835016835016831</v>
      </c>
      <c r="M121"/>
      <c r="O121" t="s">
        <v>1684</v>
      </c>
      <c r="P121">
        <v>457</v>
      </c>
      <c r="Q121">
        <v>280.43</v>
      </c>
    </row>
    <row r="122" spans="1:17" hidden="1">
      <c r="A122" t="s">
        <v>98</v>
      </c>
      <c r="B122" t="s">
        <v>99</v>
      </c>
      <c r="C122" s="27">
        <v>544</v>
      </c>
      <c r="D122" s="18">
        <f t="shared" si="6"/>
        <v>18.133333333333333</v>
      </c>
      <c r="E122" s="5">
        <v>327.7</v>
      </c>
      <c r="H122" s="18">
        <f t="shared" si="7"/>
        <v>1088</v>
      </c>
      <c r="I122" t="b">
        <f t="shared" si="4"/>
        <v>1</v>
      </c>
      <c r="J122" s="4">
        <f t="shared" si="5"/>
        <v>-0.69880514705882346</v>
      </c>
      <c r="M122"/>
      <c r="O122" t="s">
        <v>1674</v>
      </c>
      <c r="P122">
        <v>396</v>
      </c>
      <c r="Q122">
        <v>403.81</v>
      </c>
    </row>
    <row r="123" spans="1:17" hidden="1">
      <c r="A123" t="s">
        <v>603</v>
      </c>
      <c r="B123" t="s">
        <v>604</v>
      </c>
      <c r="C123" s="27">
        <v>2415</v>
      </c>
      <c r="D123" s="18">
        <f t="shared" si="6"/>
        <v>80.5</v>
      </c>
      <c r="E123" s="5">
        <v>2131.06</v>
      </c>
      <c r="H123" s="18">
        <f t="shared" si="7"/>
        <v>4830</v>
      </c>
      <c r="I123" t="b">
        <f t="shared" si="4"/>
        <v>1</v>
      </c>
      <c r="J123" s="4">
        <f t="shared" si="5"/>
        <v>-0.5587867494824017</v>
      </c>
      <c r="M123"/>
      <c r="O123" t="s">
        <v>283</v>
      </c>
      <c r="P123">
        <v>374</v>
      </c>
      <c r="Q123">
        <v>329.94</v>
      </c>
    </row>
    <row r="124" spans="1:17" hidden="1">
      <c r="A124" t="s">
        <v>406</v>
      </c>
      <c r="B124" t="s">
        <v>407</v>
      </c>
      <c r="C124" s="27">
        <v>1176</v>
      </c>
      <c r="D124" s="18">
        <f t="shared" si="6"/>
        <v>39.200000000000003</v>
      </c>
      <c r="E124" s="5">
        <v>2262.2800000000002</v>
      </c>
      <c r="H124" s="18">
        <f t="shared" si="7"/>
        <v>2352</v>
      </c>
      <c r="I124" t="b">
        <f t="shared" si="4"/>
        <v>1</v>
      </c>
      <c r="J124" s="4">
        <f t="shared" si="5"/>
        <v>-3.8146258503401254E-2</v>
      </c>
      <c r="M124"/>
      <c r="O124" t="s">
        <v>232</v>
      </c>
      <c r="P124">
        <v>2024</v>
      </c>
      <c r="Q124">
        <v>4886.3999999999996</v>
      </c>
    </row>
    <row r="125" spans="1:17" hidden="1">
      <c r="A125" t="s">
        <v>338</v>
      </c>
      <c r="B125" t="s">
        <v>339</v>
      </c>
      <c r="C125" s="27">
        <v>653</v>
      </c>
      <c r="D125" s="18">
        <f t="shared" si="6"/>
        <v>21.766666666666666</v>
      </c>
      <c r="E125" s="5">
        <v>857.5</v>
      </c>
      <c r="H125" s="18">
        <f t="shared" si="7"/>
        <v>1306</v>
      </c>
      <c r="I125" t="b">
        <f t="shared" si="4"/>
        <v>1</v>
      </c>
      <c r="J125" s="4">
        <f t="shared" si="5"/>
        <v>-0.34341500765696786</v>
      </c>
      <c r="M125"/>
      <c r="O125" t="s">
        <v>1679</v>
      </c>
      <c r="P125">
        <v>444</v>
      </c>
      <c r="Q125">
        <v>278.83</v>
      </c>
    </row>
    <row r="126" spans="1:17">
      <c r="A126" s="39" t="s">
        <v>749</v>
      </c>
      <c r="B126" s="36" t="s">
        <v>750</v>
      </c>
      <c r="C126" s="27">
        <v>691</v>
      </c>
      <c r="D126" s="18">
        <f t="shared" si="6"/>
        <v>23.033333333333335</v>
      </c>
      <c r="E126" s="5">
        <v>2079.58</v>
      </c>
      <c r="H126" s="18">
        <f t="shared" si="7"/>
        <v>1382</v>
      </c>
      <c r="I126" t="b">
        <f t="shared" si="4"/>
        <v>0</v>
      </c>
      <c r="J126" s="4">
        <f t="shared" si="5"/>
        <v>0.50476121562952248</v>
      </c>
      <c r="M126"/>
      <c r="O126" t="s">
        <v>395</v>
      </c>
      <c r="P126">
        <v>384</v>
      </c>
      <c r="Q126">
        <v>284.83</v>
      </c>
    </row>
    <row r="127" spans="1:17" hidden="1">
      <c r="A127" t="s">
        <v>436</v>
      </c>
      <c r="B127" t="s">
        <v>437</v>
      </c>
      <c r="C127" s="27">
        <v>533</v>
      </c>
      <c r="D127" s="18">
        <f t="shared" si="6"/>
        <v>17.766666666666666</v>
      </c>
      <c r="E127" s="5">
        <v>0</v>
      </c>
      <c r="H127" s="18">
        <f t="shared" si="7"/>
        <v>1066</v>
      </c>
      <c r="I127" t="b">
        <f t="shared" si="4"/>
        <v>1</v>
      </c>
      <c r="J127" s="4">
        <f>E127/H127-1</f>
        <v>-1</v>
      </c>
      <c r="M127"/>
      <c r="O127" t="s">
        <v>604</v>
      </c>
      <c r="P127">
        <v>4667</v>
      </c>
      <c r="Q127">
        <v>10317.379999999999</v>
      </c>
    </row>
    <row r="128" spans="1:17" hidden="1">
      <c r="A128" s="40" t="s">
        <v>798</v>
      </c>
      <c r="B128" s="36" t="s">
        <v>799</v>
      </c>
      <c r="C128" s="27">
        <v>1096</v>
      </c>
      <c r="D128" s="18">
        <f t="shared" si="6"/>
        <v>36.533333333333331</v>
      </c>
      <c r="E128" s="5">
        <v>2417.54</v>
      </c>
      <c r="H128" s="18">
        <f t="shared" si="7"/>
        <v>2192</v>
      </c>
      <c r="I128" t="b">
        <f t="shared" si="4"/>
        <v>1</v>
      </c>
      <c r="J128" s="4">
        <f t="shared" si="5"/>
        <v>0.10289233576642332</v>
      </c>
      <c r="M128"/>
      <c r="O128" t="s">
        <v>86</v>
      </c>
      <c r="P128">
        <v>2577</v>
      </c>
      <c r="Q128">
        <v>5023.1499999999996</v>
      </c>
    </row>
    <row r="129" spans="1:17" hidden="1">
      <c r="A129" t="s">
        <v>571</v>
      </c>
      <c r="B129" t="s">
        <v>572</v>
      </c>
      <c r="C129" s="27">
        <v>371</v>
      </c>
      <c r="D129" s="18">
        <f t="shared" si="6"/>
        <v>12.366666666666667</v>
      </c>
      <c r="E129" s="5">
        <v>516.28</v>
      </c>
      <c r="H129" s="18">
        <f t="shared" si="7"/>
        <v>742</v>
      </c>
      <c r="I129" t="b">
        <f t="shared" ref="I129:I188" si="8">IF(E129&gt;1.2*H129,FALSE,TRUE)</f>
        <v>1</v>
      </c>
      <c r="J129" s="4">
        <f t="shared" ref="J129:J188" si="9">E129/H129-1</f>
        <v>-0.30420485175202161</v>
      </c>
      <c r="M129"/>
      <c r="O129" t="s">
        <v>691</v>
      </c>
      <c r="P129">
        <v>2165</v>
      </c>
      <c r="Q129">
        <v>3961.47</v>
      </c>
    </row>
    <row r="130" spans="1:17" hidden="1">
      <c r="A130" t="s">
        <v>667</v>
      </c>
      <c r="B130" t="s">
        <v>668</v>
      </c>
      <c r="C130" s="27">
        <v>1577</v>
      </c>
      <c r="D130" s="18">
        <f t="shared" si="6"/>
        <v>52.56666666666667</v>
      </c>
      <c r="E130" s="5">
        <v>2228.3200000000002</v>
      </c>
      <c r="H130" s="18">
        <f t="shared" si="7"/>
        <v>3154</v>
      </c>
      <c r="I130" t="b">
        <f t="shared" si="8"/>
        <v>1</v>
      </c>
      <c r="J130" s="4">
        <f t="shared" si="9"/>
        <v>-0.29349397590361437</v>
      </c>
      <c r="M130"/>
      <c r="O130" t="s">
        <v>429</v>
      </c>
      <c r="P130">
        <v>1108</v>
      </c>
      <c r="Q130">
        <v>2267.13</v>
      </c>
    </row>
    <row r="131" spans="1:17" hidden="1">
      <c r="A131" t="s">
        <v>396</v>
      </c>
      <c r="B131" t="s">
        <v>397</v>
      </c>
      <c r="C131" s="27">
        <v>46</v>
      </c>
      <c r="D131" s="18">
        <f t="shared" ref="D131:D194" si="10">C131/30</f>
        <v>1.5333333333333334</v>
      </c>
      <c r="E131" s="5">
        <v>0</v>
      </c>
      <c r="H131" s="18">
        <f t="shared" ref="H131:H194" si="11">IF((C131/30)&gt;100,C131*2,C131*2)</f>
        <v>92</v>
      </c>
      <c r="I131" t="b">
        <f t="shared" si="8"/>
        <v>1</v>
      </c>
      <c r="J131" s="4">
        <f t="shared" si="9"/>
        <v>-1</v>
      </c>
      <c r="M131"/>
      <c r="O131" t="s">
        <v>565</v>
      </c>
      <c r="P131">
        <v>2302</v>
      </c>
      <c r="Q131">
        <v>4803.66</v>
      </c>
    </row>
    <row r="132" spans="1:17" hidden="1">
      <c r="A132" t="s">
        <v>306</v>
      </c>
      <c r="B132" t="s">
        <v>307</v>
      </c>
      <c r="C132" s="27">
        <v>345</v>
      </c>
      <c r="D132" s="18">
        <f t="shared" si="10"/>
        <v>11.5</v>
      </c>
      <c r="E132" s="5">
        <v>620.91</v>
      </c>
      <c r="H132" s="18">
        <f t="shared" si="11"/>
        <v>690</v>
      </c>
      <c r="I132" t="b">
        <f t="shared" si="8"/>
        <v>1</v>
      </c>
      <c r="J132" s="4">
        <f t="shared" si="9"/>
        <v>-0.10013043478260875</v>
      </c>
      <c r="M132"/>
      <c r="O132" t="s">
        <v>626</v>
      </c>
      <c r="P132">
        <v>760</v>
      </c>
      <c r="Q132">
        <v>1679.4</v>
      </c>
    </row>
    <row r="133" spans="1:17" hidden="1">
      <c r="A133" s="36" t="s">
        <v>444</v>
      </c>
      <c r="B133" s="36" t="s">
        <v>445</v>
      </c>
      <c r="C133" s="27">
        <v>774</v>
      </c>
      <c r="D133" s="18">
        <f t="shared" si="10"/>
        <v>25.8</v>
      </c>
      <c r="E133" s="5">
        <v>1670.93</v>
      </c>
      <c r="H133" s="18">
        <f t="shared" si="11"/>
        <v>1548</v>
      </c>
      <c r="I133" t="b">
        <f t="shared" si="8"/>
        <v>1</v>
      </c>
      <c r="J133" s="4">
        <f t="shared" si="9"/>
        <v>7.9412144702842413E-2</v>
      </c>
      <c r="M133"/>
      <c r="O133" t="s">
        <v>356</v>
      </c>
      <c r="P133">
        <v>1249</v>
      </c>
      <c r="Q133">
        <v>1523.67</v>
      </c>
    </row>
    <row r="134" spans="1:17" hidden="1">
      <c r="A134" t="s">
        <v>231</v>
      </c>
      <c r="B134" t="s">
        <v>232</v>
      </c>
      <c r="C134" s="27">
        <v>1206</v>
      </c>
      <c r="D134" s="18">
        <f t="shared" si="10"/>
        <v>40.200000000000003</v>
      </c>
      <c r="E134" s="5">
        <v>1576.95</v>
      </c>
      <c r="H134" s="18">
        <f t="shared" si="11"/>
        <v>2412</v>
      </c>
      <c r="I134" t="b">
        <f t="shared" si="8"/>
        <v>1</v>
      </c>
      <c r="J134" s="4">
        <f t="shared" si="9"/>
        <v>-0.3462064676616915</v>
      </c>
      <c r="M134"/>
      <c r="P134">
        <v>0</v>
      </c>
      <c r="Q134">
        <v>0</v>
      </c>
    </row>
    <row r="135" spans="1:17" hidden="1">
      <c r="A135" t="s">
        <v>722</v>
      </c>
      <c r="B135" t="s">
        <v>723</v>
      </c>
      <c r="C135" s="27">
        <v>286</v>
      </c>
      <c r="D135" s="18">
        <f t="shared" si="10"/>
        <v>9.5333333333333332</v>
      </c>
      <c r="E135" s="5">
        <v>242.95</v>
      </c>
      <c r="H135" s="18">
        <f t="shared" si="11"/>
        <v>572</v>
      </c>
      <c r="I135" t="b">
        <f t="shared" si="8"/>
        <v>1</v>
      </c>
      <c r="J135" s="4">
        <f t="shared" si="9"/>
        <v>-0.57526223776223784</v>
      </c>
      <c r="M135"/>
      <c r="P135">
        <v>0</v>
      </c>
      <c r="Q135">
        <v>0</v>
      </c>
    </row>
    <row r="136" spans="1:17" hidden="1">
      <c r="A136" t="s">
        <v>398</v>
      </c>
      <c r="B136" t="s">
        <v>399</v>
      </c>
      <c r="C136" s="27">
        <v>255</v>
      </c>
      <c r="D136" s="18">
        <f t="shared" si="10"/>
        <v>8.5</v>
      </c>
      <c r="E136" s="5">
        <v>0</v>
      </c>
      <c r="H136" s="18">
        <f t="shared" si="11"/>
        <v>510</v>
      </c>
      <c r="I136" t="b">
        <f t="shared" si="8"/>
        <v>1</v>
      </c>
      <c r="J136" s="4">
        <f t="shared" si="9"/>
        <v>-1</v>
      </c>
      <c r="M136"/>
      <c r="P136">
        <v>0</v>
      </c>
      <c r="Q136">
        <v>0</v>
      </c>
    </row>
    <row r="137" spans="1:17" hidden="1">
      <c r="A137" t="s">
        <v>685</v>
      </c>
      <c r="B137" t="s">
        <v>686</v>
      </c>
      <c r="C137" s="27">
        <v>2536</v>
      </c>
      <c r="D137" s="18">
        <f t="shared" si="10"/>
        <v>84.533333333333331</v>
      </c>
      <c r="E137" s="5">
        <v>3095.45</v>
      </c>
      <c r="H137" s="18">
        <f t="shared" si="11"/>
        <v>5072</v>
      </c>
      <c r="I137" t="b">
        <f t="shared" si="8"/>
        <v>1</v>
      </c>
      <c r="J137" s="4">
        <f t="shared" si="9"/>
        <v>-0.38969834384858049</v>
      </c>
      <c r="M137"/>
      <c r="P137">
        <v>0</v>
      </c>
      <c r="Q137">
        <v>0</v>
      </c>
    </row>
    <row r="138" spans="1:17" hidden="1">
      <c r="A138" t="s">
        <v>784</v>
      </c>
      <c r="B138" t="s">
        <v>785</v>
      </c>
      <c r="C138" s="27">
        <v>789</v>
      </c>
      <c r="D138" s="18">
        <f t="shared" si="10"/>
        <v>26.3</v>
      </c>
      <c r="E138" s="5">
        <v>882.03</v>
      </c>
      <c r="H138" s="18">
        <f t="shared" si="11"/>
        <v>1578</v>
      </c>
      <c r="I138" t="b">
        <f t="shared" si="8"/>
        <v>1</v>
      </c>
      <c r="J138" s="4">
        <f t="shared" si="9"/>
        <v>-0.44104562737642583</v>
      </c>
      <c r="M138"/>
      <c r="P138">
        <v>0</v>
      </c>
      <c r="Q138">
        <v>0</v>
      </c>
    </row>
    <row r="139" spans="1:17" hidden="1">
      <c r="A139" t="s">
        <v>504</v>
      </c>
      <c r="B139" t="s">
        <v>505</v>
      </c>
      <c r="C139" s="27">
        <v>0</v>
      </c>
      <c r="D139" s="18">
        <f t="shared" si="10"/>
        <v>0</v>
      </c>
      <c r="E139" s="5">
        <v>0</v>
      </c>
      <c r="H139" s="18">
        <f t="shared" si="11"/>
        <v>0</v>
      </c>
      <c r="I139" t="b">
        <f t="shared" si="8"/>
        <v>1</v>
      </c>
      <c r="J139" s="4" t="e">
        <f t="shared" si="9"/>
        <v>#DIV/0!</v>
      </c>
      <c r="M139"/>
      <c r="P139">
        <v>0</v>
      </c>
      <c r="Q139">
        <v>0</v>
      </c>
    </row>
    <row r="140" spans="1:17" hidden="1">
      <c r="A140" t="s">
        <v>619</v>
      </c>
      <c r="B140" t="s">
        <v>620</v>
      </c>
      <c r="C140" s="27">
        <v>1352</v>
      </c>
      <c r="D140" s="18">
        <f t="shared" si="10"/>
        <v>45.06666666666667</v>
      </c>
      <c r="E140" s="5">
        <v>1072.6300000000001</v>
      </c>
      <c r="H140" s="18">
        <f t="shared" si="11"/>
        <v>2704</v>
      </c>
      <c r="I140" t="b">
        <f t="shared" si="8"/>
        <v>1</v>
      </c>
      <c r="J140" s="4">
        <f t="shared" si="9"/>
        <v>-0.60331730769230763</v>
      </c>
      <c r="M140"/>
      <c r="O140" t="s">
        <v>437</v>
      </c>
      <c r="P140">
        <v>477</v>
      </c>
      <c r="Q140">
        <v>944.89</v>
      </c>
    </row>
    <row r="141" spans="1:17" hidden="1">
      <c r="A141" t="s">
        <v>575</v>
      </c>
      <c r="B141" t="s">
        <v>576</v>
      </c>
      <c r="C141" s="27">
        <v>716</v>
      </c>
      <c r="D141" s="18">
        <f t="shared" si="10"/>
        <v>23.866666666666667</v>
      </c>
      <c r="E141" s="5">
        <v>1318.46</v>
      </c>
      <c r="H141" s="18">
        <f t="shared" si="11"/>
        <v>1432</v>
      </c>
      <c r="I141" t="b">
        <f t="shared" si="8"/>
        <v>1</v>
      </c>
      <c r="J141" s="4">
        <f t="shared" si="9"/>
        <v>-7.9287709497206649E-2</v>
      </c>
      <c r="M141"/>
      <c r="O141" t="s">
        <v>89</v>
      </c>
      <c r="P141">
        <v>732</v>
      </c>
      <c r="Q141">
        <v>2164.04</v>
      </c>
    </row>
    <row r="142" spans="1:17" hidden="1">
      <c r="A142" t="s">
        <v>185</v>
      </c>
      <c r="B142" t="s">
        <v>186</v>
      </c>
      <c r="C142" s="27">
        <v>1674</v>
      </c>
      <c r="D142" s="18">
        <f t="shared" si="10"/>
        <v>55.8</v>
      </c>
      <c r="E142" s="5">
        <v>1076.8800000000001</v>
      </c>
      <c r="H142" s="18">
        <f t="shared" si="11"/>
        <v>3348</v>
      </c>
      <c r="I142" t="b">
        <f t="shared" si="8"/>
        <v>1</v>
      </c>
      <c r="J142" s="4">
        <f t="shared" si="9"/>
        <v>-0.67835125448028677</v>
      </c>
      <c r="M142"/>
      <c r="O142" t="s">
        <v>208</v>
      </c>
      <c r="P142">
        <v>807</v>
      </c>
      <c r="Q142">
        <v>1003.12</v>
      </c>
    </row>
    <row r="143" spans="1:17" hidden="1">
      <c r="A143" s="36" t="s">
        <v>154</v>
      </c>
      <c r="B143" s="36" t="s">
        <v>155</v>
      </c>
      <c r="C143" s="27">
        <v>309</v>
      </c>
      <c r="D143" s="18">
        <f t="shared" si="10"/>
        <v>10.3</v>
      </c>
      <c r="E143" s="5">
        <v>289.98</v>
      </c>
      <c r="H143" s="18">
        <f t="shared" si="11"/>
        <v>618</v>
      </c>
      <c r="I143" t="b">
        <f t="shared" si="8"/>
        <v>1</v>
      </c>
      <c r="J143" s="4">
        <f t="shared" si="9"/>
        <v>-0.53077669902912616</v>
      </c>
      <c r="M143"/>
      <c r="O143" t="s">
        <v>580</v>
      </c>
      <c r="P143">
        <v>1176</v>
      </c>
      <c r="Q143">
        <v>1389.04</v>
      </c>
    </row>
    <row r="144" spans="1:17" hidden="1">
      <c r="A144" s="39" t="s">
        <v>753</v>
      </c>
      <c r="B144" s="36" t="s">
        <v>754</v>
      </c>
      <c r="C144" s="27">
        <v>1065</v>
      </c>
      <c r="D144" s="18">
        <f t="shared" si="10"/>
        <v>35.5</v>
      </c>
      <c r="E144" s="5">
        <v>1817.06</v>
      </c>
      <c r="H144" s="18">
        <f t="shared" si="11"/>
        <v>2130</v>
      </c>
      <c r="I144" t="b">
        <f t="shared" si="8"/>
        <v>1</v>
      </c>
      <c r="J144" s="4">
        <f t="shared" si="9"/>
        <v>-0.1469201877934273</v>
      </c>
      <c r="M144"/>
      <c r="O144" t="s">
        <v>491</v>
      </c>
      <c r="P144">
        <v>485</v>
      </c>
      <c r="Q144">
        <v>1024.1400000000001</v>
      </c>
    </row>
    <row r="145" spans="1:17" hidden="1">
      <c r="A145" t="s">
        <v>221</v>
      </c>
      <c r="B145" t="s">
        <v>222</v>
      </c>
      <c r="C145" s="27">
        <v>76</v>
      </c>
      <c r="D145" s="18">
        <f t="shared" si="10"/>
        <v>2.5333333333333332</v>
      </c>
      <c r="E145" s="5">
        <v>119.78</v>
      </c>
      <c r="H145" s="18">
        <f t="shared" si="11"/>
        <v>152</v>
      </c>
      <c r="I145" t="b">
        <f t="shared" si="8"/>
        <v>1</v>
      </c>
      <c r="J145" s="4">
        <f t="shared" si="9"/>
        <v>-0.21197368421052631</v>
      </c>
      <c r="M145"/>
      <c r="O145" t="s">
        <v>889</v>
      </c>
      <c r="P145">
        <v>1603</v>
      </c>
      <c r="Q145">
        <v>2952.38</v>
      </c>
    </row>
    <row r="146" spans="1:17" hidden="1">
      <c r="A146" t="s">
        <v>253</v>
      </c>
      <c r="B146" t="s">
        <v>254</v>
      </c>
      <c r="C146" s="27">
        <v>1871</v>
      </c>
      <c r="D146" s="18">
        <f t="shared" si="10"/>
        <v>62.366666666666667</v>
      </c>
      <c r="E146" s="5">
        <v>1565.68</v>
      </c>
      <c r="H146" s="18">
        <f t="shared" si="11"/>
        <v>3742</v>
      </c>
      <c r="I146" t="b">
        <f t="shared" si="8"/>
        <v>1</v>
      </c>
      <c r="J146" s="4">
        <f t="shared" si="9"/>
        <v>-0.58159273115980759</v>
      </c>
      <c r="M146"/>
      <c r="O146" t="s">
        <v>846</v>
      </c>
      <c r="P146">
        <v>5633</v>
      </c>
      <c r="Q146">
        <v>3251.64</v>
      </c>
    </row>
    <row r="147" spans="1:17" hidden="1">
      <c r="A147" s="39" t="s">
        <v>573</v>
      </c>
      <c r="B147" s="36" t="s">
        <v>574</v>
      </c>
      <c r="C147" s="27">
        <v>413</v>
      </c>
      <c r="D147" s="18">
        <f t="shared" si="10"/>
        <v>13.766666666666667</v>
      </c>
      <c r="E147" s="5">
        <v>457.51</v>
      </c>
      <c r="H147" s="18">
        <f t="shared" si="11"/>
        <v>826</v>
      </c>
      <c r="I147" t="b">
        <f t="shared" si="8"/>
        <v>1</v>
      </c>
      <c r="J147" s="4">
        <f t="shared" si="9"/>
        <v>-0.44611380145278456</v>
      </c>
      <c r="M147"/>
      <c r="O147" t="s">
        <v>775</v>
      </c>
      <c r="P147">
        <v>3162</v>
      </c>
      <c r="Q147">
        <v>3743.79</v>
      </c>
    </row>
    <row r="148" spans="1:17" hidden="1">
      <c r="A148" t="s">
        <v>647</v>
      </c>
      <c r="B148" t="s">
        <v>648</v>
      </c>
      <c r="C148" s="27">
        <v>744</v>
      </c>
      <c r="D148" s="18">
        <f t="shared" si="10"/>
        <v>24.8</v>
      </c>
      <c r="E148" s="5">
        <v>730.1</v>
      </c>
      <c r="H148" s="18">
        <f t="shared" si="11"/>
        <v>1488</v>
      </c>
      <c r="I148" t="b">
        <f t="shared" si="8"/>
        <v>1</v>
      </c>
      <c r="J148" s="4">
        <f t="shared" si="9"/>
        <v>-0.50934139784946231</v>
      </c>
      <c r="M148"/>
      <c r="O148" t="s">
        <v>143</v>
      </c>
      <c r="P148">
        <v>1430</v>
      </c>
      <c r="Q148">
        <v>2394.31</v>
      </c>
    </row>
    <row r="149" spans="1:17" hidden="1">
      <c r="A149" t="s">
        <v>821</v>
      </c>
      <c r="B149" t="s">
        <v>822</v>
      </c>
      <c r="C149" s="27">
        <v>2942</v>
      </c>
      <c r="D149" s="18">
        <f t="shared" si="10"/>
        <v>98.066666666666663</v>
      </c>
      <c r="E149" s="5">
        <v>4452.76</v>
      </c>
      <c r="H149" s="18">
        <f t="shared" si="11"/>
        <v>5884</v>
      </c>
      <c r="I149" t="b">
        <f t="shared" si="8"/>
        <v>1</v>
      </c>
      <c r="J149" s="4">
        <f t="shared" si="9"/>
        <v>-0.24324269204622706</v>
      </c>
      <c r="M149"/>
      <c r="O149" t="s">
        <v>738</v>
      </c>
      <c r="P149">
        <v>751</v>
      </c>
      <c r="Q149">
        <v>53.21</v>
      </c>
    </row>
    <row r="150" spans="1:17" hidden="1">
      <c r="A150" t="s">
        <v>737</v>
      </c>
      <c r="B150" t="s">
        <v>738</v>
      </c>
      <c r="C150" s="27">
        <v>167</v>
      </c>
      <c r="D150" s="18">
        <f t="shared" si="10"/>
        <v>5.5666666666666664</v>
      </c>
      <c r="E150" s="5">
        <v>21.01</v>
      </c>
      <c r="H150" s="18">
        <f t="shared" si="11"/>
        <v>334</v>
      </c>
      <c r="I150" t="b">
        <f t="shared" si="8"/>
        <v>1</v>
      </c>
      <c r="J150" s="4">
        <f t="shared" si="9"/>
        <v>-0.93709580838323348</v>
      </c>
      <c r="M150"/>
      <c r="O150" t="s">
        <v>1665</v>
      </c>
      <c r="P150">
        <v>696</v>
      </c>
      <c r="Q150">
        <v>966.85</v>
      </c>
    </row>
    <row r="151" spans="1:17" hidden="1">
      <c r="A151" s="39" t="s">
        <v>416</v>
      </c>
      <c r="B151" s="36" t="s">
        <v>417</v>
      </c>
      <c r="C151" s="27">
        <v>1100</v>
      </c>
      <c r="D151" s="18">
        <f t="shared" si="10"/>
        <v>36.666666666666664</v>
      </c>
      <c r="E151" s="5">
        <v>1794.32</v>
      </c>
      <c r="H151" s="18">
        <f t="shared" si="11"/>
        <v>2200</v>
      </c>
      <c r="I151" t="b">
        <f t="shared" si="8"/>
        <v>1</v>
      </c>
      <c r="J151" s="4">
        <f t="shared" si="9"/>
        <v>-0.18440000000000001</v>
      </c>
      <c r="M151"/>
      <c r="O151" t="s">
        <v>624</v>
      </c>
      <c r="P151">
        <v>1272</v>
      </c>
      <c r="Q151">
        <v>2336.77</v>
      </c>
    </row>
    <row r="152" spans="1:17" hidden="1">
      <c r="A152" t="s">
        <v>193</v>
      </c>
      <c r="B152" t="s">
        <v>194</v>
      </c>
      <c r="C152" s="27">
        <v>860</v>
      </c>
      <c r="D152" s="18">
        <f t="shared" si="10"/>
        <v>28.666666666666668</v>
      </c>
      <c r="E152" s="5">
        <v>1445.77</v>
      </c>
      <c r="H152" s="18">
        <f t="shared" si="11"/>
        <v>1720</v>
      </c>
      <c r="I152" t="b">
        <f t="shared" si="8"/>
        <v>1</v>
      </c>
      <c r="J152" s="4">
        <f t="shared" si="9"/>
        <v>-0.1594360465116279</v>
      </c>
      <c r="M152"/>
      <c r="O152" t="s">
        <v>856</v>
      </c>
      <c r="P152">
        <v>924</v>
      </c>
      <c r="Q152">
        <v>1371.73</v>
      </c>
    </row>
    <row r="153" spans="1:17" hidden="1">
      <c r="A153" t="s">
        <v>694</v>
      </c>
      <c r="B153" t="s">
        <v>695</v>
      </c>
      <c r="C153" s="27">
        <v>0</v>
      </c>
      <c r="D153" s="18">
        <f t="shared" si="10"/>
        <v>0</v>
      </c>
      <c r="E153" s="5">
        <v>0</v>
      </c>
      <c r="H153" s="18">
        <f t="shared" si="11"/>
        <v>0</v>
      </c>
      <c r="I153" t="b">
        <f t="shared" si="8"/>
        <v>1</v>
      </c>
      <c r="J153" s="4" t="e">
        <f t="shared" si="9"/>
        <v>#DIV/0!</v>
      </c>
      <c r="M153"/>
      <c r="O153" t="s">
        <v>1687</v>
      </c>
      <c r="P153">
        <v>3</v>
      </c>
      <c r="Q153">
        <v>4.76</v>
      </c>
    </row>
    <row r="154" spans="1:17">
      <c r="A154" t="s">
        <v>320</v>
      </c>
      <c r="B154" t="s">
        <v>321</v>
      </c>
      <c r="C154" s="27">
        <v>121</v>
      </c>
      <c r="D154" s="18">
        <f t="shared" si="10"/>
        <v>4.0333333333333332</v>
      </c>
      <c r="E154" s="5">
        <v>389.35</v>
      </c>
      <c r="H154" s="18">
        <f t="shared" si="11"/>
        <v>242</v>
      </c>
      <c r="I154" t="b">
        <f t="shared" si="8"/>
        <v>0</v>
      </c>
      <c r="J154" s="4">
        <f t="shared" si="9"/>
        <v>0.6088842975206612</v>
      </c>
      <c r="M154"/>
      <c r="O154" t="s">
        <v>521</v>
      </c>
      <c r="P154">
        <v>654</v>
      </c>
      <c r="Q154">
        <v>1923.98</v>
      </c>
    </row>
    <row r="155" spans="1:17" hidden="1">
      <c r="A155" s="39" t="s">
        <v>332</v>
      </c>
      <c r="B155" s="36" t="s">
        <v>333</v>
      </c>
      <c r="C155" s="18">
        <v>160</v>
      </c>
      <c r="D155" s="18">
        <f t="shared" si="10"/>
        <v>5.333333333333333</v>
      </c>
      <c r="E155" s="5">
        <v>220.54</v>
      </c>
      <c r="H155" s="18">
        <f t="shared" si="11"/>
        <v>320</v>
      </c>
      <c r="I155" t="b">
        <f t="shared" si="8"/>
        <v>1</v>
      </c>
      <c r="J155" s="4">
        <f t="shared" si="9"/>
        <v>-0.31081250000000005</v>
      </c>
      <c r="M155"/>
      <c r="O155" t="s">
        <v>1659</v>
      </c>
      <c r="P155">
        <v>272</v>
      </c>
      <c r="Q155">
        <v>150.43</v>
      </c>
    </row>
    <row r="156" spans="1:17" hidden="1">
      <c r="A156" t="s">
        <v>213</v>
      </c>
      <c r="B156" t="s">
        <v>214</v>
      </c>
      <c r="C156" s="27">
        <v>336</v>
      </c>
      <c r="D156" s="18">
        <f t="shared" si="10"/>
        <v>11.2</v>
      </c>
      <c r="E156" s="5">
        <v>0</v>
      </c>
      <c r="H156" s="18">
        <f t="shared" si="11"/>
        <v>672</v>
      </c>
      <c r="I156" t="b">
        <f t="shared" si="8"/>
        <v>1</v>
      </c>
      <c r="J156" s="4">
        <f t="shared" si="9"/>
        <v>-1</v>
      </c>
      <c r="M156"/>
      <c r="O156" t="s">
        <v>1651</v>
      </c>
      <c r="P156">
        <v>8</v>
      </c>
      <c r="Q156">
        <v>0</v>
      </c>
    </row>
    <row r="157" spans="1:17" hidden="1">
      <c r="A157" t="s">
        <v>522</v>
      </c>
      <c r="B157" t="s">
        <v>523</v>
      </c>
      <c r="C157" s="27">
        <v>143</v>
      </c>
      <c r="D157" s="18">
        <f t="shared" si="10"/>
        <v>4.7666666666666666</v>
      </c>
      <c r="E157" s="5">
        <v>340.54</v>
      </c>
      <c r="H157" s="18">
        <f t="shared" si="11"/>
        <v>286</v>
      </c>
      <c r="I157" t="b">
        <f t="shared" si="8"/>
        <v>1</v>
      </c>
      <c r="J157" s="4">
        <f t="shared" si="9"/>
        <v>0.19069930069930074</v>
      </c>
      <c r="O157" t="s">
        <v>636</v>
      </c>
      <c r="P157">
        <v>460</v>
      </c>
      <c r="Q157">
        <v>0</v>
      </c>
    </row>
    <row r="158" spans="1:17" hidden="1">
      <c r="A158" t="s">
        <v>1847</v>
      </c>
      <c r="B158" t="s">
        <v>1671</v>
      </c>
      <c r="C158" s="27">
        <v>0</v>
      </c>
      <c r="D158" s="18">
        <f t="shared" si="10"/>
        <v>0</v>
      </c>
      <c r="E158" s="5">
        <v>0</v>
      </c>
      <c r="H158" s="18">
        <f t="shared" si="11"/>
        <v>0</v>
      </c>
      <c r="I158" t="b">
        <f t="shared" si="8"/>
        <v>1</v>
      </c>
      <c r="J158" s="4" t="e">
        <f t="shared" si="9"/>
        <v>#DIV/0!</v>
      </c>
      <c r="M158"/>
      <c r="O158" t="s">
        <v>228</v>
      </c>
      <c r="P158">
        <v>1605</v>
      </c>
      <c r="Q158">
        <v>3252.58</v>
      </c>
    </row>
    <row r="159" spans="1:17" hidden="1">
      <c r="A159" t="s">
        <v>474</v>
      </c>
      <c r="B159" t="s">
        <v>475</v>
      </c>
      <c r="C159" s="27">
        <v>152</v>
      </c>
      <c r="D159" s="18">
        <f t="shared" si="10"/>
        <v>5.0666666666666664</v>
      </c>
      <c r="E159" s="5">
        <v>4.37</v>
      </c>
      <c r="H159" s="18">
        <f t="shared" si="11"/>
        <v>304</v>
      </c>
      <c r="I159" t="b">
        <f t="shared" si="8"/>
        <v>1</v>
      </c>
      <c r="J159" s="4">
        <f t="shared" si="9"/>
        <v>-0.98562499999999997</v>
      </c>
      <c r="M159"/>
      <c r="O159" t="s">
        <v>345</v>
      </c>
      <c r="P159">
        <v>906</v>
      </c>
      <c r="Q159">
        <v>870.89</v>
      </c>
    </row>
    <row r="160" spans="1:17" hidden="1">
      <c r="A160" t="s">
        <v>635</v>
      </c>
      <c r="B160" t="s">
        <v>636</v>
      </c>
      <c r="C160" s="27">
        <v>36</v>
      </c>
      <c r="D160" s="18">
        <f t="shared" si="10"/>
        <v>1.2</v>
      </c>
      <c r="E160" s="5">
        <v>0</v>
      </c>
      <c r="H160" s="18">
        <f t="shared" si="11"/>
        <v>72</v>
      </c>
      <c r="I160" t="b">
        <f t="shared" si="8"/>
        <v>1</v>
      </c>
      <c r="J160" s="4">
        <f t="shared" si="9"/>
        <v>-1</v>
      </c>
      <c r="M160"/>
      <c r="O160" t="s">
        <v>1667</v>
      </c>
      <c r="P160">
        <v>2</v>
      </c>
      <c r="Q160">
        <v>5.22</v>
      </c>
    </row>
    <row r="161" spans="1:17" hidden="1">
      <c r="A161" t="s">
        <v>82</v>
      </c>
      <c r="B161" t="s">
        <v>83</v>
      </c>
      <c r="C161" s="27">
        <v>406</v>
      </c>
      <c r="D161" s="18">
        <f t="shared" si="10"/>
        <v>13.533333333333333</v>
      </c>
      <c r="E161" s="5">
        <v>758.45</v>
      </c>
      <c r="H161" s="18">
        <f t="shared" si="11"/>
        <v>812</v>
      </c>
      <c r="I161" t="b">
        <f t="shared" si="8"/>
        <v>1</v>
      </c>
      <c r="J161" s="4">
        <f t="shared" si="9"/>
        <v>-6.5948275862068861E-2</v>
      </c>
      <c r="O161" t="s">
        <v>711</v>
      </c>
      <c r="P161">
        <v>910</v>
      </c>
      <c r="Q161">
        <v>1227.83</v>
      </c>
    </row>
    <row r="162" spans="1:17">
      <c r="A162" t="s">
        <v>110</v>
      </c>
      <c r="B162" t="s">
        <v>111</v>
      </c>
      <c r="C162" s="27">
        <v>343</v>
      </c>
      <c r="D162" s="18">
        <f>C162/30</f>
        <v>11.433333333333334</v>
      </c>
      <c r="E162" s="5">
        <v>993.82</v>
      </c>
      <c r="H162" s="18">
        <f>IF((C162/30)&gt;100,C162*2,C162*2)</f>
        <v>686</v>
      </c>
      <c r="I162" t="b">
        <f>IF(E162&gt;1.2*H162,FALSE,TRUE)</f>
        <v>0</v>
      </c>
      <c r="J162" s="4">
        <f>E162/H162-1</f>
        <v>0.44871720116618086</v>
      </c>
      <c r="M162"/>
      <c r="O162" t="s">
        <v>1675</v>
      </c>
      <c r="P162">
        <v>401</v>
      </c>
      <c r="Q162">
        <v>371.16</v>
      </c>
    </row>
    <row r="163" spans="1:17" hidden="1">
      <c r="A163" t="s">
        <v>599</v>
      </c>
      <c r="B163" t="s">
        <v>600</v>
      </c>
      <c r="C163" s="27">
        <v>303</v>
      </c>
      <c r="D163" s="18">
        <f t="shared" si="10"/>
        <v>10.1</v>
      </c>
      <c r="E163" s="5">
        <v>604.80999999999995</v>
      </c>
      <c r="H163" s="18">
        <f t="shared" si="11"/>
        <v>606</v>
      </c>
      <c r="I163" t="b">
        <f t="shared" si="8"/>
        <v>1</v>
      </c>
      <c r="J163" s="4">
        <f t="shared" si="9"/>
        <v>-1.9636963696370024E-3</v>
      </c>
      <c r="M163"/>
      <c r="O163" t="s">
        <v>30</v>
      </c>
      <c r="P163">
        <v>2224</v>
      </c>
      <c r="Q163">
        <v>3393.97</v>
      </c>
    </row>
    <row r="164" spans="1:17" hidden="1">
      <c r="A164" t="s">
        <v>189</v>
      </c>
      <c r="B164" t="s">
        <v>190</v>
      </c>
      <c r="C164" s="27">
        <v>260</v>
      </c>
      <c r="D164" s="18">
        <f t="shared" si="10"/>
        <v>8.6666666666666661</v>
      </c>
      <c r="E164" s="5">
        <v>355</v>
      </c>
      <c r="H164" s="18">
        <f t="shared" si="11"/>
        <v>520</v>
      </c>
      <c r="I164" t="b">
        <f t="shared" si="8"/>
        <v>1</v>
      </c>
      <c r="J164" s="4">
        <f t="shared" si="9"/>
        <v>-0.31730769230769229</v>
      </c>
      <c r="O164" t="s">
        <v>725</v>
      </c>
      <c r="P164">
        <v>739</v>
      </c>
      <c r="Q164">
        <v>1714.51</v>
      </c>
    </row>
    <row r="165" spans="1:17" hidden="1">
      <c r="A165" s="39" t="s">
        <v>518</v>
      </c>
      <c r="B165" s="36" t="s">
        <v>519</v>
      </c>
      <c r="C165" s="27">
        <v>702</v>
      </c>
      <c r="D165" s="18">
        <f t="shared" si="10"/>
        <v>23.4</v>
      </c>
      <c r="E165" s="5">
        <v>932.2</v>
      </c>
      <c r="H165" s="18">
        <f t="shared" si="11"/>
        <v>1404</v>
      </c>
      <c r="I165" t="b">
        <f t="shared" si="8"/>
        <v>1</v>
      </c>
      <c r="J165" s="4">
        <f t="shared" si="9"/>
        <v>-0.33603988603988599</v>
      </c>
      <c r="M165"/>
      <c r="O165" t="s">
        <v>1670</v>
      </c>
      <c r="P165">
        <v>131</v>
      </c>
      <c r="Q165">
        <v>91.13</v>
      </c>
    </row>
    <row r="166" spans="1:17" hidden="1">
      <c r="A166" t="s">
        <v>438</v>
      </c>
      <c r="B166" t="s">
        <v>439</v>
      </c>
      <c r="C166" s="27">
        <v>1259</v>
      </c>
      <c r="D166" s="18">
        <f t="shared" si="10"/>
        <v>41.966666666666669</v>
      </c>
      <c r="E166" s="5">
        <v>2087.88</v>
      </c>
      <c r="H166" s="18">
        <f t="shared" si="11"/>
        <v>2518</v>
      </c>
      <c r="I166" t="b">
        <f t="shared" si="8"/>
        <v>1</v>
      </c>
      <c r="J166" s="4">
        <f t="shared" si="9"/>
        <v>-0.17081810961080213</v>
      </c>
      <c r="M166"/>
      <c r="O166" t="s">
        <v>600</v>
      </c>
      <c r="P166">
        <v>241</v>
      </c>
      <c r="Q166">
        <v>1011.31</v>
      </c>
    </row>
    <row r="167" spans="1:17" hidden="1">
      <c r="A167" t="s">
        <v>237</v>
      </c>
      <c r="B167" t="s">
        <v>238</v>
      </c>
      <c r="C167" s="27">
        <v>376</v>
      </c>
      <c r="D167" s="18">
        <f t="shared" si="10"/>
        <v>12.533333333333333</v>
      </c>
      <c r="E167" s="5">
        <v>412.38</v>
      </c>
      <c r="H167" s="18">
        <f t="shared" si="11"/>
        <v>752</v>
      </c>
      <c r="I167" t="b">
        <f t="shared" si="8"/>
        <v>1</v>
      </c>
      <c r="J167" s="4">
        <f t="shared" si="9"/>
        <v>-0.45162234042553195</v>
      </c>
      <c r="M167"/>
      <c r="O167" t="s">
        <v>824</v>
      </c>
      <c r="P167">
        <v>2823</v>
      </c>
      <c r="Q167">
        <v>3165.3</v>
      </c>
    </row>
    <row r="168" spans="1:17">
      <c r="A168" s="126" t="s">
        <v>260</v>
      </c>
      <c r="B168" s="36" t="s">
        <v>261</v>
      </c>
      <c r="C168" s="27">
        <v>240</v>
      </c>
      <c r="D168" s="18">
        <f t="shared" si="10"/>
        <v>8</v>
      </c>
      <c r="E168" s="5">
        <v>721.45</v>
      </c>
      <c r="H168" s="18">
        <f t="shared" si="11"/>
        <v>480</v>
      </c>
      <c r="I168" t="b">
        <f t="shared" si="8"/>
        <v>0</v>
      </c>
      <c r="J168" s="4">
        <f t="shared" si="9"/>
        <v>0.50302083333333347</v>
      </c>
      <c r="M168" s="109"/>
      <c r="O168" t="s">
        <v>529</v>
      </c>
      <c r="P168">
        <v>1428</v>
      </c>
      <c r="Q168">
        <v>2934.62</v>
      </c>
    </row>
    <row r="169" spans="1:17" hidden="1">
      <c r="A169" s="39" t="s">
        <v>669</v>
      </c>
      <c r="B169" s="36" t="s">
        <v>670</v>
      </c>
      <c r="C169" s="27">
        <v>764</v>
      </c>
      <c r="D169" s="18">
        <f t="shared" si="10"/>
        <v>25.466666666666665</v>
      </c>
      <c r="E169" s="5">
        <v>281.48</v>
      </c>
      <c r="H169" s="18">
        <f t="shared" si="11"/>
        <v>1528</v>
      </c>
      <c r="I169" t="b">
        <f t="shared" si="8"/>
        <v>1</v>
      </c>
      <c r="J169" s="4">
        <f t="shared" si="9"/>
        <v>-0.81578534031413608</v>
      </c>
      <c r="M169"/>
      <c r="O169" t="s">
        <v>214</v>
      </c>
      <c r="P169">
        <v>623</v>
      </c>
      <c r="Q169">
        <v>1035.93</v>
      </c>
    </row>
    <row r="170" spans="1:17" hidden="1">
      <c r="A170" s="39" t="s">
        <v>776</v>
      </c>
      <c r="B170" s="36" t="s">
        <v>777</v>
      </c>
      <c r="C170" s="27">
        <v>198</v>
      </c>
      <c r="D170" s="18">
        <f t="shared" si="10"/>
        <v>6.6</v>
      </c>
      <c r="E170" s="5">
        <v>38.85</v>
      </c>
      <c r="H170" s="18">
        <f t="shared" si="11"/>
        <v>396</v>
      </c>
      <c r="I170" t="b">
        <f t="shared" si="8"/>
        <v>1</v>
      </c>
      <c r="J170" s="4">
        <f t="shared" si="9"/>
        <v>-0.90189393939393936</v>
      </c>
      <c r="M170"/>
      <c r="O170" t="s">
        <v>441</v>
      </c>
      <c r="P170">
        <v>787</v>
      </c>
      <c r="Q170">
        <v>1703.07</v>
      </c>
    </row>
    <row r="171" spans="1:17" hidden="1">
      <c r="A171" s="125" t="s">
        <v>65</v>
      </c>
      <c r="B171" s="125" t="s">
        <v>66</v>
      </c>
      <c r="C171" s="27">
        <v>509</v>
      </c>
      <c r="D171" s="18">
        <f t="shared" si="10"/>
        <v>16.966666666666665</v>
      </c>
      <c r="E171" s="5">
        <v>817.05</v>
      </c>
      <c r="H171" s="18">
        <f t="shared" si="11"/>
        <v>1018</v>
      </c>
      <c r="I171" t="b">
        <f t="shared" si="8"/>
        <v>1</v>
      </c>
      <c r="J171" s="4">
        <f t="shared" si="9"/>
        <v>-0.1973968565815325</v>
      </c>
      <c r="M171"/>
      <c r="O171" t="s">
        <v>415</v>
      </c>
      <c r="P171">
        <v>626</v>
      </c>
      <c r="Q171">
        <v>1564.77</v>
      </c>
    </row>
    <row r="172" spans="1:17" hidden="1">
      <c r="A172" t="s">
        <v>152</v>
      </c>
      <c r="B172" t="s">
        <v>153</v>
      </c>
      <c r="C172" s="27">
        <v>607</v>
      </c>
      <c r="D172" s="18">
        <f t="shared" si="10"/>
        <v>20.233333333333334</v>
      </c>
      <c r="E172" s="5">
        <v>938.14</v>
      </c>
      <c r="H172" s="18">
        <f t="shared" si="11"/>
        <v>1214</v>
      </c>
      <c r="I172" t="b">
        <f t="shared" si="8"/>
        <v>1</v>
      </c>
      <c r="J172" s="4">
        <f t="shared" si="9"/>
        <v>-0.22723228995057665</v>
      </c>
      <c r="M172"/>
      <c r="O172" t="s">
        <v>648</v>
      </c>
      <c r="P172">
        <v>685</v>
      </c>
      <c r="Q172">
        <v>641.12</v>
      </c>
    </row>
    <row r="173" spans="1:17" hidden="1">
      <c r="A173" t="s">
        <v>1848</v>
      </c>
      <c r="B173" t="s">
        <v>1658</v>
      </c>
      <c r="C173" s="27">
        <v>0</v>
      </c>
      <c r="D173" s="18">
        <f t="shared" si="10"/>
        <v>0</v>
      </c>
      <c r="E173" s="5">
        <v>0</v>
      </c>
      <c r="H173" s="18">
        <f t="shared" si="11"/>
        <v>0</v>
      </c>
      <c r="I173" t="b">
        <f t="shared" si="8"/>
        <v>1</v>
      </c>
      <c r="J173" s="4" t="e">
        <f t="shared" si="9"/>
        <v>#DIV/0!</v>
      </c>
      <c r="M173"/>
      <c r="O173" t="s">
        <v>630</v>
      </c>
      <c r="P173">
        <v>1328</v>
      </c>
      <c r="Q173">
        <v>1448.98</v>
      </c>
    </row>
    <row r="174" spans="1:17" hidden="1">
      <c r="A174" t="s">
        <v>312</v>
      </c>
      <c r="B174" t="s">
        <v>313</v>
      </c>
      <c r="C174" s="27">
        <v>52</v>
      </c>
      <c r="D174" s="18">
        <f t="shared" si="10"/>
        <v>1.7333333333333334</v>
      </c>
      <c r="E174" s="5">
        <v>2.4300000000000002</v>
      </c>
      <c r="H174" s="18">
        <f t="shared" si="11"/>
        <v>104</v>
      </c>
      <c r="I174" t="b">
        <f t="shared" si="8"/>
        <v>1</v>
      </c>
      <c r="J174" s="4">
        <f t="shared" si="9"/>
        <v>-0.97663461538461538</v>
      </c>
      <c r="M174"/>
      <c r="O174" t="s">
        <v>758</v>
      </c>
      <c r="P174">
        <v>668</v>
      </c>
      <c r="Q174">
        <v>1066.51</v>
      </c>
    </row>
    <row r="175" spans="1:17">
      <c r="A175" s="126" t="s">
        <v>484</v>
      </c>
      <c r="B175" s="36" t="s">
        <v>485</v>
      </c>
      <c r="C175" s="27">
        <v>104</v>
      </c>
      <c r="D175" s="18">
        <f t="shared" si="10"/>
        <v>3.4666666666666668</v>
      </c>
      <c r="E175" s="5">
        <v>707.82</v>
      </c>
      <c r="H175" s="18">
        <f t="shared" si="11"/>
        <v>208</v>
      </c>
      <c r="I175" t="b">
        <f t="shared" si="8"/>
        <v>0</v>
      </c>
      <c r="J175" s="4">
        <f t="shared" si="9"/>
        <v>2.4029807692307696</v>
      </c>
      <c r="M175"/>
      <c r="O175" t="s">
        <v>1763</v>
      </c>
      <c r="P175">
        <v>1509</v>
      </c>
      <c r="Q175">
        <v>1951.13</v>
      </c>
    </row>
    <row r="176" spans="1:17" hidden="1">
      <c r="A176" s="126" t="s">
        <v>641</v>
      </c>
      <c r="B176" s="36" t="s">
        <v>642</v>
      </c>
      <c r="C176" s="27">
        <v>1078</v>
      </c>
      <c r="D176" s="18">
        <f t="shared" si="10"/>
        <v>35.93333333333333</v>
      </c>
      <c r="E176" s="5">
        <v>1869.26</v>
      </c>
      <c r="H176" s="18">
        <f t="shared" si="11"/>
        <v>2156</v>
      </c>
      <c r="I176" t="b">
        <f t="shared" si="8"/>
        <v>1</v>
      </c>
      <c r="J176" s="4">
        <f t="shared" si="9"/>
        <v>-0.13299628942486086</v>
      </c>
      <c r="M176"/>
      <c r="O176" t="s">
        <v>767</v>
      </c>
      <c r="P176">
        <v>3022</v>
      </c>
      <c r="Q176">
        <v>5124.5200000000004</v>
      </c>
    </row>
    <row r="177" spans="1:17">
      <c r="A177" t="s">
        <v>524</v>
      </c>
      <c r="B177" t="s">
        <v>525</v>
      </c>
      <c r="C177" s="27">
        <v>54</v>
      </c>
      <c r="D177" s="18">
        <f t="shared" si="10"/>
        <v>1.8</v>
      </c>
      <c r="E177" s="5">
        <v>227.08</v>
      </c>
      <c r="H177" s="18">
        <f t="shared" si="11"/>
        <v>108</v>
      </c>
      <c r="I177" t="b">
        <f t="shared" si="8"/>
        <v>0</v>
      </c>
      <c r="J177" s="4">
        <f t="shared" si="9"/>
        <v>1.1025925925925928</v>
      </c>
      <c r="M177"/>
      <c r="O177" t="s">
        <v>481</v>
      </c>
      <c r="P177">
        <v>1145</v>
      </c>
      <c r="Q177">
        <v>1818.18</v>
      </c>
    </row>
    <row r="178" spans="1:17" hidden="1">
      <c r="A178" t="s">
        <v>774</v>
      </c>
      <c r="B178" t="s">
        <v>775</v>
      </c>
      <c r="C178" s="27">
        <v>2357</v>
      </c>
      <c r="D178" s="18">
        <f t="shared" si="10"/>
        <v>78.566666666666663</v>
      </c>
      <c r="E178" s="5">
        <v>1910.73</v>
      </c>
      <c r="H178" s="18">
        <f t="shared" si="11"/>
        <v>4714</v>
      </c>
      <c r="I178" t="b">
        <f t="shared" si="8"/>
        <v>1</v>
      </c>
      <c r="J178" s="4">
        <f t="shared" si="9"/>
        <v>-0.59466907085277887</v>
      </c>
      <c r="M178"/>
      <c r="O178" t="s">
        <v>139</v>
      </c>
      <c r="P178">
        <v>1394</v>
      </c>
      <c r="Q178">
        <v>1861.92</v>
      </c>
    </row>
    <row r="179" spans="1:17" hidden="1">
      <c r="A179" t="s">
        <v>710</v>
      </c>
      <c r="B179" t="s">
        <v>711</v>
      </c>
      <c r="C179" s="27">
        <v>1393</v>
      </c>
      <c r="D179" s="18">
        <f t="shared" si="10"/>
        <v>46.43333333333333</v>
      </c>
      <c r="E179" s="5">
        <v>1937.17</v>
      </c>
      <c r="H179" s="18">
        <f t="shared" si="11"/>
        <v>2786</v>
      </c>
      <c r="I179" t="b">
        <f t="shared" si="8"/>
        <v>1</v>
      </c>
      <c r="J179" s="4">
        <f t="shared" si="9"/>
        <v>-0.30467695620961954</v>
      </c>
      <c r="M179"/>
      <c r="O179" t="s">
        <v>933</v>
      </c>
      <c r="P179">
        <v>33472</v>
      </c>
      <c r="Q179">
        <v>35816.089999999997</v>
      </c>
    </row>
    <row r="180" spans="1:17">
      <c r="A180" t="s">
        <v>480</v>
      </c>
      <c r="B180" t="s">
        <v>481</v>
      </c>
      <c r="C180" s="27">
        <v>406</v>
      </c>
      <c r="D180" s="18">
        <f t="shared" si="10"/>
        <v>13.533333333333333</v>
      </c>
      <c r="E180" s="5">
        <v>1023.78</v>
      </c>
      <c r="H180" s="18">
        <f t="shared" si="11"/>
        <v>812</v>
      </c>
      <c r="I180" t="b">
        <f t="shared" si="8"/>
        <v>0</v>
      </c>
      <c r="J180" s="4">
        <f t="shared" si="9"/>
        <v>0.2608128078817733</v>
      </c>
      <c r="M180"/>
      <c r="O180" t="s">
        <v>325</v>
      </c>
      <c r="P180">
        <v>1079</v>
      </c>
      <c r="Q180">
        <v>1820.14</v>
      </c>
    </row>
    <row r="181" spans="1:17" hidden="1">
      <c r="A181" t="s">
        <v>778</v>
      </c>
      <c r="B181" t="s">
        <v>779</v>
      </c>
      <c r="C181" s="27">
        <v>1351</v>
      </c>
      <c r="D181" s="18">
        <f t="shared" si="10"/>
        <v>45.033333333333331</v>
      </c>
      <c r="E181" s="5">
        <v>1837.16</v>
      </c>
      <c r="H181" s="18">
        <f t="shared" si="11"/>
        <v>2702</v>
      </c>
      <c r="I181" t="b">
        <f t="shared" si="8"/>
        <v>1</v>
      </c>
      <c r="J181" s="4">
        <f>E181/H181-1</f>
        <v>-0.32007401924500367</v>
      </c>
      <c r="M181"/>
      <c r="O181" t="s">
        <v>51</v>
      </c>
      <c r="P181">
        <v>1417</v>
      </c>
      <c r="Q181">
        <v>2743.68</v>
      </c>
    </row>
    <row r="182" spans="1:17" hidden="1">
      <c r="A182" t="s">
        <v>334</v>
      </c>
      <c r="B182" t="s">
        <v>335</v>
      </c>
      <c r="C182" s="27">
        <v>26</v>
      </c>
      <c r="D182" s="18">
        <f t="shared" si="10"/>
        <v>0.8666666666666667</v>
      </c>
      <c r="E182" s="5">
        <v>2.42</v>
      </c>
      <c r="H182" s="18">
        <f t="shared" si="11"/>
        <v>52</v>
      </c>
      <c r="I182" t="b">
        <f t="shared" si="8"/>
        <v>1</v>
      </c>
      <c r="J182" s="4">
        <f t="shared" si="9"/>
        <v>-0.95346153846153847</v>
      </c>
      <c r="M182"/>
      <c r="O182" t="s">
        <v>363</v>
      </c>
      <c r="P182">
        <v>834</v>
      </c>
      <c r="Q182">
        <v>558.63</v>
      </c>
    </row>
    <row r="183" spans="1:17" hidden="1">
      <c r="A183" t="s">
        <v>294</v>
      </c>
      <c r="B183" t="s">
        <v>295</v>
      </c>
      <c r="C183" s="27">
        <v>131</v>
      </c>
      <c r="D183" s="18">
        <f t="shared" si="10"/>
        <v>4.3666666666666663</v>
      </c>
      <c r="E183" s="5">
        <v>135.21</v>
      </c>
      <c r="H183" s="18">
        <f t="shared" si="11"/>
        <v>262</v>
      </c>
      <c r="I183" t="b">
        <f t="shared" si="8"/>
        <v>1</v>
      </c>
      <c r="J183" s="4">
        <f t="shared" si="9"/>
        <v>-0.4839312977099236</v>
      </c>
      <c r="O183" t="s">
        <v>840</v>
      </c>
      <c r="P183">
        <v>1625</v>
      </c>
      <c r="Q183">
        <v>2545.71</v>
      </c>
    </row>
    <row r="184" spans="1:17" hidden="1">
      <c r="A184" t="s">
        <v>388</v>
      </c>
      <c r="B184" t="s">
        <v>389</v>
      </c>
      <c r="C184" s="27">
        <v>303</v>
      </c>
      <c r="D184" s="18">
        <f t="shared" si="10"/>
        <v>10.1</v>
      </c>
      <c r="E184" s="5">
        <v>0</v>
      </c>
      <c r="H184" s="18">
        <f t="shared" si="11"/>
        <v>606</v>
      </c>
      <c r="I184" t="b">
        <f t="shared" si="8"/>
        <v>1</v>
      </c>
      <c r="J184" s="4">
        <f t="shared" si="9"/>
        <v>-1</v>
      </c>
      <c r="M184"/>
      <c r="O184" t="s">
        <v>103</v>
      </c>
      <c r="P184">
        <v>1102</v>
      </c>
      <c r="Q184">
        <v>2842.03</v>
      </c>
    </row>
    <row r="185" spans="1:17" hidden="1">
      <c r="A185" s="126" t="s">
        <v>897</v>
      </c>
      <c r="B185" s="36" t="s">
        <v>898</v>
      </c>
      <c r="C185" s="27">
        <v>2475</v>
      </c>
      <c r="D185" s="18">
        <f t="shared" si="10"/>
        <v>82.5</v>
      </c>
      <c r="E185" s="5">
        <v>3219.59</v>
      </c>
      <c r="H185" s="18">
        <f t="shared" si="11"/>
        <v>4950</v>
      </c>
      <c r="I185" t="b">
        <f t="shared" si="8"/>
        <v>1</v>
      </c>
      <c r="J185" s="4">
        <f t="shared" si="9"/>
        <v>-0.34957777777777777</v>
      </c>
      <c r="M185"/>
      <c r="O185" t="s">
        <v>668</v>
      </c>
      <c r="P185">
        <v>2369</v>
      </c>
      <c r="Q185">
        <v>4283</v>
      </c>
    </row>
    <row r="186" spans="1:17" hidden="1">
      <c r="A186" s="126" t="s">
        <v>587</v>
      </c>
      <c r="B186" s="36" t="s">
        <v>588</v>
      </c>
      <c r="C186" s="27">
        <v>640</v>
      </c>
      <c r="D186" s="18">
        <f t="shared" si="10"/>
        <v>21.333333333333332</v>
      </c>
      <c r="E186" s="5">
        <v>1042.71</v>
      </c>
      <c r="H186" s="18">
        <f t="shared" si="11"/>
        <v>1280</v>
      </c>
      <c r="I186" t="b">
        <f t="shared" si="8"/>
        <v>1</v>
      </c>
      <c r="J186" s="4">
        <f t="shared" si="9"/>
        <v>-0.18538281249999999</v>
      </c>
      <c r="M186"/>
      <c r="O186" t="s">
        <v>267</v>
      </c>
      <c r="P186">
        <v>399</v>
      </c>
      <c r="Q186">
        <v>1084.67</v>
      </c>
    </row>
    <row r="187" spans="1:17" hidden="1">
      <c r="A187" s="39" t="s">
        <v>762</v>
      </c>
      <c r="B187" s="36" t="s">
        <v>763</v>
      </c>
      <c r="C187" s="27">
        <v>1713</v>
      </c>
      <c r="D187" s="18">
        <f t="shared" si="10"/>
        <v>57.1</v>
      </c>
      <c r="E187" s="5">
        <v>3315.32</v>
      </c>
      <c r="H187" s="18">
        <f t="shared" si="11"/>
        <v>3426</v>
      </c>
      <c r="I187" t="b">
        <f t="shared" si="8"/>
        <v>1</v>
      </c>
      <c r="J187" s="4">
        <f t="shared" si="9"/>
        <v>-3.2305896088733133E-2</v>
      </c>
      <c r="M187"/>
      <c r="O187" t="s">
        <v>799</v>
      </c>
      <c r="P187">
        <v>2274</v>
      </c>
      <c r="Q187">
        <v>2660.71</v>
      </c>
    </row>
    <row r="188" spans="1:17" hidden="1">
      <c r="A188" t="s">
        <v>1849</v>
      </c>
      <c r="B188" t="s">
        <v>1686</v>
      </c>
      <c r="C188" s="27">
        <v>0</v>
      </c>
      <c r="D188" s="18">
        <f t="shared" si="10"/>
        <v>0</v>
      </c>
      <c r="E188" s="5">
        <v>0</v>
      </c>
      <c r="H188" s="18">
        <f t="shared" si="11"/>
        <v>0</v>
      </c>
      <c r="I188" t="b">
        <f t="shared" si="8"/>
        <v>1</v>
      </c>
      <c r="J188" s="4" t="e">
        <f t="shared" si="9"/>
        <v>#DIV/0!</v>
      </c>
      <c r="M188"/>
      <c r="O188" t="s">
        <v>263</v>
      </c>
      <c r="P188">
        <v>15</v>
      </c>
      <c r="Q188">
        <v>6.29</v>
      </c>
    </row>
    <row r="189" spans="1:17" hidden="1">
      <c r="A189" t="s">
        <v>440</v>
      </c>
      <c r="B189" t="s">
        <v>441</v>
      </c>
      <c r="C189" s="27">
        <v>706</v>
      </c>
      <c r="D189" s="18">
        <f t="shared" si="10"/>
        <v>23.533333333333335</v>
      </c>
      <c r="E189" s="5">
        <v>968.48</v>
      </c>
      <c r="H189" s="18">
        <f t="shared" si="11"/>
        <v>1412</v>
      </c>
      <c r="I189" t="b">
        <f t="shared" ref="I189:I246" si="12">IF(E189&gt;1.2*H189,FALSE,TRUE)</f>
        <v>1</v>
      </c>
      <c r="J189" s="4">
        <f t="shared" ref="J189:J246" si="13">E189/H189-1</f>
        <v>-0.31410764872521246</v>
      </c>
      <c r="M189"/>
      <c r="O189" t="s">
        <v>703</v>
      </c>
      <c r="P189">
        <v>1363</v>
      </c>
      <c r="Q189">
        <v>2351.85</v>
      </c>
    </row>
    <row r="190" spans="1:17" hidden="1">
      <c r="A190" t="s">
        <v>428</v>
      </c>
      <c r="B190" t="s">
        <v>429</v>
      </c>
      <c r="C190" s="27">
        <v>893</v>
      </c>
      <c r="D190" s="18">
        <f t="shared" si="10"/>
        <v>29.766666666666666</v>
      </c>
      <c r="E190" s="5">
        <v>1190.75</v>
      </c>
      <c r="H190" s="18">
        <f t="shared" si="11"/>
        <v>1786</v>
      </c>
      <c r="I190" t="b">
        <f t="shared" si="12"/>
        <v>1</v>
      </c>
      <c r="J190" s="4">
        <f t="shared" si="13"/>
        <v>-0.33328667413213886</v>
      </c>
      <c r="M190"/>
      <c r="O190" t="s">
        <v>752</v>
      </c>
      <c r="P190">
        <v>3262</v>
      </c>
      <c r="Q190">
        <v>5310.92</v>
      </c>
    </row>
    <row r="191" spans="1:17" hidden="1">
      <c r="A191" t="s">
        <v>482</v>
      </c>
      <c r="B191" t="s">
        <v>483</v>
      </c>
      <c r="C191" s="27">
        <v>63</v>
      </c>
      <c r="D191" s="18">
        <f t="shared" si="10"/>
        <v>2.1</v>
      </c>
      <c r="E191" s="5">
        <v>0</v>
      </c>
      <c r="H191" s="18">
        <f t="shared" si="11"/>
        <v>126</v>
      </c>
      <c r="I191" t="b">
        <f t="shared" si="12"/>
        <v>1</v>
      </c>
      <c r="J191" s="4">
        <f t="shared" si="13"/>
        <v>-1</v>
      </c>
      <c r="M191"/>
      <c r="O191" t="s">
        <v>620</v>
      </c>
      <c r="P191">
        <v>1048</v>
      </c>
      <c r="Q191">
        <v>1891.9</v>
      </c>
    </row>
    <row r="192" spans="1:17" hidden="1">
      <c r="A192" t="s">
        <v>468</v>
      </c>
      <c r="B192" t="s">
        <v>469</v>
      </c>
      <c r="C192" s="27">
        <v>190</v>
      </c>
      <c r="D192" s="18">
        <f t="shared" si="10"/>
        <v>6.333333333333333</v>
      </c>
      <c r="E192" s="5">
        <v>0</v>
      </c>
      <c r="H192" s="18">
        <f t="shared" si="11"/>
        <v>380</v>
      </c>
      <c r="I192" t="b">
        <f t="shared" si="12"/>
        <v>1</v>
      </c>
      <c r="J192" s="4">
        <f t="shared" si="13"/>
        <v>-1</v>
      </c>
      <c r="M192"/>
      <c r="O192" t="s">
        <v>551</v>
      </c>
      <c r="P192">
        <v>1647</v>
      </c>
      <c r="Q192">
        <v>2183.27</v>
      </c>
    </row>
    <row r="193" spans="1:17" hidden="1">
      <c r="A193" t="s">
        <v>492</v>
      </c>
      <c r="B193" t="s">
        <v>493</v>
      </c>
      <c r="C193" s="27">
        <v>1126</v>
      </c>
      <c r="D193" s="18">
        <f t="shared" si="10"/>
        <v>37.533333333333331</v>
      </c>
      <c r="E193" s="5">
        <v>1491.89</v>
      </c>
      <c r="H193" s="18">
        <f t="shared" si="11"/>
        <v>2252</v>
      </c>
      <c r="I193" t="b">
        <f t="shared" si="12"/>
        <v>1</v>
      </c>
      <c r="J193" s="4">
        <f t="shared" si="13"/>
        <v>-0.33752664298401414</v>
      </c>
      <c r="M193"/>
      <c r="O193" t="s">
        <v>137</v>
      </c>
      <c r="P193">
        <v>704</v>
      </c>
      <c r="Q193">
        <v>1247.75</v>
      </c>
    </row>
    <row r="194" spans="1:17" hidden="1">
      <c r="A194" s="39" t="s">
        <v>128</v>
      </c>
      <c r="B194" s="36" t="s">
        <v>129</v>
      </c>
      <c r="C194" s="18">
        <v>790</v>
      </c>
      <c r="D194" s="18">
        <f t="shared" si="10"/>
        <v>26.333333333333332</v>
      </c>
      <c r="E194" s="5">
        <v>1492.59</v>
      </c>
      <c r="H194" s="18">
        <f t="shared" si="11"/>
        <v>1580</v>
      </c>
      <c r="I194" t="b">
        <f t="shared" si="12"/>
        <v>1</v>
      </c>
      <c r="J194" s="4">
        <f t="shared" si="13"/>
        <v>-5.5322784810126646E-2</v>
      </c>
      <c r="M194"/>
      <c r="O194" t="s">
        <v>783</v>
      </c>
      <c r="P194">
        <v>1322</v>
      </c>
      <c r="Q194">
        <v>3434.74</v>
      </c>
    </row>
    <row r="195" spans="1:17" hidden="1">
      <c r="A195" t="s">
        <v>893</v>
      </c>
      <c r="B195" t="s">
        <v>894</v>
      </c>
      <c r="C195" s="27">
        <v>2746</v>
      </c>
      <c r="D195" s="18">
        <f t="shared" ref="D195:D258" si="14">C195/30</f>
        <v>91.533333333333331</v>
      </c>
      <c r="E195" s="5">
        <v>1065.21</v>
      </c>
      <c r="H195" s="18">
        <f t="shared" ref="H195:H258" si="15">IF((C195/30)&gt;100,C195*2,C195*2)</f>
        <v>5492</v>
      </c>
      <c r="I195" t="b">
        <f t="shared" si="12"/>
        <v>1</v>
      </c>
      <c r="J195" s="4">
        <f t="shared" si="13"/>
        <v>-0.80604333576110709</v>
      </c>
      <c r="M195"/>
      <c r="O195" t="s">
        <v>252</v>
      </c>
      <c r="P195">
        <v>1858</v>
      </c>
      <c r="Q195">
        <v>2426.17</v>
      </c>
    </row>
    <row r="196" spans="1:17" hidden="1">
      <c r="A196" t="s">
        <v>217</v>
      </c>
      <c r="B196" t="s">
        <v>218</v>
      </c>
      <c r="C196" s="27">
        <v>567</v>
      </c>
      <c r="D196" s="18">
        <f t="shared" si="14"/>
        <v>18.899999999999999</v>
      </c>
      <c r="E196" s="5">
        <v>674.03</v>
      </c>
      <c r="H196" s="18">
        <f t="shared" si="15"/>
        <v>1134</v>
      </c>
      <c r="I196" t="b">
        <f t="shared" si="12"/>
        <v>1</v>
      </c>
      <c r="J196" s="4">
        <f t="shared" si="13"/>
        <v>-0.40561728395061736</v>
      </c>
      <c r="M196"/>
      <c r="O196" t="s">
        <v>881</v>
      </c>
      <c r="P196">
        <v>1829</v>
      </c>
      <c r="Q196">
        <v>3966.6</v>
      </c>
    </row>
    <row r="197" spans="1:17">
      <c r="A197" s="39" t="s">
        <v>488</v>
      </c>
      <c r="B197" s="36" t="s">
        <v>489</v>
      </c>
      <c r="C197" s="18">
        <v>1</v>
      </c>
      <c r="D197" s="18">
        <f t="shared" si="14"/>
        <v>3.3333333333333333E-2</v>
      </c>
      <c r="E197" s="5">
        <v>2.6</v>
      </c>
      <c r="H197" s="18">
        <f t="shared" si="15"/>
        <v>2</v>
      </c>
      <c r="I197" t="b">
        <f t="shared" si="12"/>
        <v>0</v>
      </c>
      <c r="J197" s="4">
        <f t="shared" si="13"/>
        <v>0.30000000000000004</v>
      </c>
      <c r="O197" t="s">
        <v>289</v>
      </c>
      <c r="P197">
        <v>1488</v>
      </c>
      <c r="Q197">
        <v>1258.69</v>
      </c>
    </row>
    <row r="198" spans="1:17" hidden="1">
      <c r="A198" t="s">
        <v>394</v>
      </c>
      <c r="B198" t="s">
        <v>395</v>
      </c>
      <c r="C198" s="27">
        <v>43</v>
      </c>
      <c r="D198" s="18">
        <f t="shared" si="14"/>
        <v>1.4333333333333333</v>
      </c>
      <c r="E198" s="5">
        <v>1.1200000000000001</v>
      </c>
      <c r="H198" s="18">
        <f t="shared" si="15"/>
        <v>86</v>
      </c>
      <c r="I198" t="b">
        <f t="shared" si="12"/>
        <v>1</v>
      </c>
      <c r="J198" s="4">
        <f t="shared" si="13"/>
        <v>-0.98697674418604653</v>
      </c>
      <c r="M198"/>
      <c r="O198" t="s">
        <v>769</v>
      </c>
      <c r="P198">
        <v>4708</v>
      </c>
      <c r="Q198">
        <v>8799.1</v>
      </c>
    </row>
    <row r="199" spans="1:17" hidden="1">
      <c r="A199" t="s">
        <v>262</v>
      </c>
      <c r="B199" t="s">
        <v>263</v>
      </c>
      <c r="C199" s="27">
        <v>662</v>
      </c>
      <c r="D199" s="18">
        <f t="shared" si="14"/>
        <v>22.066666666666666</v>
      </c>
      <c r="E199" s="5">
        <v>1229.4100000000001</v>
      </c>
      <c r="H199" s="18">
        <f t="shared" si="15"/>
        <v>1324</v>
      </c>
      <c r="I199" t="b">
        <f t="shared" si="12"/>
        <v>1</v>
      </c>
      <c r="J199" s="4">
        <f t="shared" si="13"/>
        <v>-7.1442598187311135E-2</v>
      </c>
      <c r="M199"/>
      <c r="O199" t="s">
        <v>717</v>
      </c>
      <c r="P199">
        <v>1863</v>
      </c>
      <c r="Q199">
        <v>2162.81</v>
      </c>
    </row>
    <row r="200" spans="1:17" hidden="1">
      <c r="A200" s="39" t="s">
        <v>322</v>
      </c>
      <c r="B200" s="36" t="s">
        <v>323</v>
      </c>
      <c r="C200" s="18">
        <v>285</v>
      </c>
      <c r="D200" s="18">
        <f t="shared" si="14"/>
        <v>9.5</v>
      </c>
      <c r="E200" s="5">
        <v>352.04999999999995</v>
      </c>
      <c r="H200" s="18">
        <f t="shared" si="15"/>
        <v>570</v>
      </c>
      <c r="I200" t="b">
        <f t="shared" si="12"/>
        <v>1</v>
      </c>
      <c r="J200" s="4">
        <f t="shared" si="13"/>
        <v>-0.38236842105263169</v>
      </c>
      <c r="M200"/>
      <c r="O200" t="s">
        <v>497</v>
      </c>
      <c r="P200">
        <v>872</v>
      </c>
      <c r="Q200">
        <v>1214.8699999999999</v>
      </c>
    </row>
    <row r="201" spans="1:17" hidden="1">
      <c r="A201" t="s">
        <v>282</v>
      </c>
      <c r="B201" t="s">
        <v>283</v>
      </c>
      <c r="C201" s="27">
        <v>73</v>
      </c>
      <c r="D201" s="18">
        <f t="shared" si="14"/>
        <v>2.4333333333333331</v>
      </c>
      <c r="E201" s="5">
        <v>0.9</v>
      </c>
      <c r="H201" s="18">
        <f t="shared" si="15"/>
        <v>146</v>
      </c>
      <c r="I201" t="b">
        <f t="shared" si="12"/>
        <v>1</v>
      </c>
      <c r="J201" s="4">
        <f t="shared" si="13"/>
        <v>-0.99383561643835616</v>
      </c>
      <c r="M201"/>
      <c r="O201" t="s">
        <v>705</v>
      </c>
      <c r="P201">
        <v>881</v>
      </c>
      <c r="Q201">
        <v>1652.3</v>
      </c>
    </row>
    <row r="202" spans="1:17" ht="14.25" hidden="1" customHeight="1">
      <c r="A202" t="s">
        <v>871</v>
      </c>
      <c r="B202" t="s">
        <v>872</v>
      </c>
      <c r="C202" s="27">
        <v>5476</v>
      </c>
      <c r="D202" s="18">
        <f t="shared" si="14"/>
        <v>182.53333333333333</v>
      </c>
      <c r="E202" s="5">
        <v>4344.22</v>
      </c>
      <c r="H202" s="18">
        <f t="shared" si="15"/>
        <v>10952</v>
      </c>
      <c r="I202" t="b">
        <f t="shared" si="12"/>
        <v>1</v>
      </c>
      <c r="J202" s="4">
        <f t="shared" si="13"/>
        <v>-0.60334002921840757</v>
      </c>
      <c r="M202"/>
      <c r="O202" t="s">
        <v>686</v>
      </c>
      <c r="P202">
        <v>1829</v>
      </c>
      <c r="Q202">
        <v>4095.28</v>
      </c>
    </row>
    <row r="203" spans="1:17" hidden="1">
      <c r="A203" t="s">
        <v>374</v>
      </c>
      <c r="B203" t="s">
        <v>375</v>
      </c>
      <c r="C203" s="27">
        <v>286</v>
      </c>
      <c r="D203" s="18">
        <f t="shared" si="14"/>
        <v>9.5333333333333332</v>
      </c>
      <c r="E203" s="5">
        <v>283.83</v>
      </c>
      <c r="H203" s="18">
        <f t="shared" si="15"/>
        <v>572</v>
      </c>
      <c r="I203" t="b">
        <f t="shared" si="12"/>
        <v>1</v>
      </c>
      <c r="J203" s="4">
        <f t="shared" si="13"/>
        <v>-0.50379370629370634</v>
      </c>
      <c r="M203"/>
      <c r="O203" t="s">
        <v>1681</v>
      </c>
      <c r="P203">
        <v>0</v>
      </c>
      <c r="Q203">
        <v>0</v>
      </c>
    </row>
    <row r="204" spans="1:17" hidden="1">
      <c r="A204" t="s">
        <v>268</v>
      </c>
      <c r="B204" t="s">
        <v>269</v>
      </c>
      <c r="C204" s="27">
        <v>86</v>
      </c>
      <c r="D204" s="18">
        <f t="shared" si="14"/>
        <v>2.8666666666666667</v>
      </c>
      <c r="E204" s="5">
        <v>0</v>
      </c>
      <c r="H204" s="18">
        <f t="shared" si="15"/>
        <v>172</v>
      </c>
      <c r="I204" t="b">
        <f t="shared" si="12"/>
        <v>1</v>
      </c>
      <c r="J204" s="4">
        <f t="shared" si="13"/>
        <v>-1</v>
      </c>
      <c r="M204"/>
      <c r="O204" t="s">
        <v>906</v>
      </c>
      <c r="P204">
        <v>3661</v>
      </c>
      <c r="Q204">
        <v>7728.05</v>
      </c>
    </row>
    <row r="205" spans="1:17">
      <c r="A205" s="125" t="s">
        <v>446</v>
      </c>
      <c r="B205" s="36" t="s">
        <v>447</v>
      </c>
      <c r="C205" s="27">
        <v>143</v>
      </c>
      <c r="D205" s="18">
        <f t="shared" si="14"/>
        <v>4.7666666666666666</v>
      </c>
      <c r="E205" s="5">
        <v>398.4</v>
      </c>
      <c r="H205" s="18">
        <f t="shared" si="15"/>
        <v>286</v>
      </c>
      <c r="I205" t="b">
        <f t="shared" si="12"/>
        <v>0</v>
      </c>
      <c r="J205" s="4">
        <f t="shared" si="13"/>
        <v>0.39300699300699282</v>
      </c>
      <c r="M205"/>
      <c r="O205" t="s">
        <v>449</v>
      </c>
      <c r="P205">
        <v>941</v>
      </c>
      <c r="Q205">
        <v>2119.17</v>
      </c>
    </row>
    <row r="206" spans="1:17" hidden="1">
      <c r="A206" s="39" t="s">
        <v>613</v>
      </c>
      <c r="B206" s="36" t="s">
        <v>614</v>
      </c>
      <c r="C206" s="27">
        <v>278</v>
      </c>
      <c r="D206" s="18">
        <f t="shared" si="14"/>
        <v>9.2666666666666675</v>
      </c>
      <c r="E206" s="5">
        <v>523.67999999999995</v>
      </c>
      <c r="H206" s="18">
        <f t="shared" si="15"/>
        <v>556</v>
      </c>
      <c r="I206" t="b">
        <f t="shared" si="12"/>
        <v>1</v>
      </c>
      <c r="J206" s="4">
        <f t="shared" si="13"/>
        <v>-5.8129496402877789E-2</v>
      </c>
      <c r="M206"/>
      <c r="O206" t="s">
        <v>99</v>
      </c>
      <c r="P206">
        <v>1614</v>
      </c>
      <c r="Q206">
        <v>3807.06</v>
      </c>
    </row>
    <row r="207" spans="1:17">
      <c r="A207" t="s">
        <v>278</v>
      </c>
      <c r="B207" t="s">
        <v>279</v>
      </c>
      <c r="C207" s="27">
        <v>110</v>
      </c>
      <c r="D207" s="18">
        <f t="shared" si="14"/>
        <v>3.6666666666666665</v>
      </c>
      <c r="E207" s="5">
        <v>318.18</v>
      </c>
      <c r="H207" s="18">
        <f t="shared" si="15"/>
        <v>220</v>
      </c>
      <c r="I207" t="b">
        <f t="shared" si="12"/>
        <v>0</v>
      </c>
      <c r="J207" s="4">
        <f t="shared" si="13"/>
        <v>0.44627272727272738</v>
      </c>
      <c r="M207"/>
      <c r="O207" t="s">
        <v>693</v>
      </c>
      <c r="P207">
        <v>627</v>
      </c>
      <c r="Q207">
        <v>626.16</v>
      </c>
    </row>
    <row r="208" spans="1:17" hidden="1">
      <c r="A208" s="125" t="s">
        <v>460</v>
      </c>
      <c r="B208" s="36" t="s">
        <v>461</v>
      </c>
      <c r="C208" s="27">
        <v>246</v>
      </c>
      <c r="D208" s="18">
        <f t="shared" si="14"/>
        <v>8.1999999999999993</v>
      </c>
      <c r="E208" s="5">
        <v>175.74</v>
      </c>
      <c r="H208" s="18">
        <f t="shared" si="15"/>
        <v>492</v>
      </c>
      <c r="I208" t="b">
        <f t="shared" si="12"/>
        <v>1</v>
      </c>
      <c r="J208" s="4">
        <f t="shared" si="13"/>
        <v>-0.6428048780487805</v>
      </c>
      <c r="M208"/>
      <c r="O208" t="s">
        <v>220</v>
      </c>
      <c r="P208">
        <v>1753</v>
      </c>
      <c r="Q208">
        <v>1596.89</v>
      </c>
    </row>
    <row r="209" spans="1:17" hidden="1">
      <c r="A209" t="s">
        <v>223</v>
      </c>
      <c r="B209" t="s">
        <v>224</v>
      </c>
      <c r="C209" s="27">
        <v>42</v>
      </c>
      <c r="D209" s="18">
        <f t="shared" si="14"/>
        <v>1.4</v>
      </c>
      <c r="E209" s="5">
        <v>0</v>
      </c>
      <c r="H209" s="18">
        <f t="shared" si="15"/>
        <v>84</v>
      </c>
      <c r="I209" t="b">
        <f t="shared" si="12"/>
        <v>1</v>
      </c>
      <c r="J209" s="4">
        <f t="shared" si="13"/>
        <v>-1</v>
      </c>
      <c r="M209"/>
      <c r="O209" t="s">
        <v>513</v>
      </c>
      <c r="P209">
        <v>1376</v>
      </c>
      <c r="Q209">
        <v>2237.9499999999998</v>
      </c>
    </row>
    <row r="210" spans="1:17" hidden="1">
      <c r="A210" t="s">
        <v>706</v>
      </c>
      <c r="B210" t="s">
        <v>707</v>
      </c>
      <c r="C210" s="27">
        <v>1943</v>
      </c>
      <c r="D210" s="18">
        <f t="shared" si="14"/>
        <v>64.766666666666666</v>
      </c>
      <c r="E210" s="5">
        <v>2440.9299999999998</v>
      </c>
      <c r="H210" s="18">
        <f t="shared" si="15"/>
        <v>3886</v>
      </c>
      <c r="I210" t="b">
        <f t="shared" si="12"/>
        <v>1</v>
      </c>
      <c r="J210" s="4">
        <f t="shared" si="13"/>
        <v>-0.37186567164179107</v>
      </c>
      <c r="M210"/>
      <c r="O210" t="s">
        <v>393</v>
      </c>
      <c r="P210">
        <v>351</v>
      </c>
      <c r="Q210">
        <v>625.14</v>
      </c>
    </row>
    <row r="211" spans="1:17" hidden="1">
      <c r="A211" s="39" t="s">
        <v>118</v>
      </c>
      <c r="B211" s="36" t="s">
        <v>119</v>
      </c>
      <c r="C211" s="18">
        <v>1427</v>
      </c>
      <c r="D211" s="18">
        <f>C211/30</f>
        <v>47.56666666666667</v>
      </c>
      <c r="E211" s="5">
        <v>3130.51</v>
      </c>
      <c r="H211" s="18">
        <f t="shared" si="15"/>
        <v>2854</v>
      </c>
      <c r="I211" t="b">
        <f t="shared" si="12"/>
        <v>1</v>
      </c>
      <c r="J211" s="4">
        <f t="shared" si="13"/>
        <v>9.6885073580939007E-2</v>
      </c>
      <c r="M211"/>
      <c r="O211" t="s">
        <v>914</v>
      </c>
      <c r="P211">
        <v>4617</v>
      </c>
      <c r="Q211">
        <v>5247.92</v>
      </c>
    </row>
    <row r="212" spans="1:17">
      <c r="A212" t="s">
        <v>247</v>
      </c>
      <c r="B212" t="s">
        <v>248</v>
      </c>
      <c r="C212" s="27">
        <v>89</v>
      </c>
      <c r="D212" s="18">
        <f t="shared" si="14"/>
        <v>2.9666666666666668</v>
      </c>
      <c r="E212" s="17">
        <v>261.19</v>
      </c>
      <c r="H212" s="18">
        <f t="shared" si="15"/>
        <v>178</v>
      </c>
      <c r="I212" t="b">
        <f t="shared" si="12"/>
        <v>0</v>
      </c>
      <c r="J212" s="4">
        <f t="shared" si="13"/>
        <v>0.46735955056179779</v>
      </c>
      <c r="M212"/>
      <c r="O212" t="s">
        <v>771</v>
      </c>
      <c r="P212">
        <v>3350</v>
      </c>
      <c r="Q212">
        <v>6045.53</v>
      </c>
    </row>
    <row r="213" spans="1:17" hidden="1">
      <c r="A213" s="39" t="s">
        <v>865</v>
      </c>
      <c r="B213" s="36" t="s">
        <v>866</v>
      </c>
      <c r="C213" s="27">
        <v>923</v>
      </c>
      <c r="D213" s="18">
        <f t="shared" si="14"/>
        <v>30.766666666666666</v>
      </c>
      <c r="E213" s="5">
        <v>1483.97</v>
      </c>
      <c r="H213" s="18">
        <f t="shared" si="15"/>
        <v>1846</v>
      </c>
      <c r="I213" t="b">
        <f t="shared" si="12"/>
        <v>1</v>
      </c>
      <c r="J213" s="4">
        <f t="shared" si="13"/>
        <v>-0.19611592632719388</v>
      </c>
      <c r="M213"/>
      <c r="O213" t="s">
        <v>174</v>
      </c>
      <c r="P213">
        <v>1866</v>
      </c>
      <c r="Q213">
        <v>3855.15</v>
      </c>
    </row>
    <row r="214" spans="1:17" hidden="1">
      <c r="A214" t="s">
        <v>1850</v>
      </c>
      <c r="B214" t="s">
        <v>1674</v>
      </c>
      <c r="C214" s="27">
        <v>0</v>
      </c>
      <c r="D214" s="18">
        <f t="shared" si="14"/>
        <v>0</v>
      </c>
      <c r="E214" s="5">
        <v>0</v>
      </c>
      <c r="H214" s="18">
        <f t="shared" si="15"/>
        <v>0</v>
      </c>
      <c r="I214" t="b">
        <f t="shared" si="12"/>
        <v>1</v>
      </c>
      <c r="J214" s="4" t="e">
        <f t="shared" si="13"/>
        <v>#DIV/0!</v>
      </c>
      <c r="M214"/>
      <c r="O214" t="s">
        <v>660</v>
      </c>
      <c r="P214">
        <v>1077</v>
      </c>
      <c r="Q214">
        <v>3291.87</v>
      </c>
    </row>
    <row r="215" spans="1:17" hidden="1">
      <c r="A215" t="s">
        <v>177</v>
      </c>
      <c r="B215" t="s">
        <v>178</v>
      </c>
      <c r="C215" s="27">
        <v>1712</v>
      </c>
      <c r="D215" s="18">
        <f t="shared" si="14"/>
        <v>57.06666666666667</v>
      </c>
      <c r="E215" s="5">
        <v>2937.39</v>
      </c>
      <c r="H215" s="18">
        <f t="shared" si="15"/>
        <v>3424</v>
      </c>
      <c r="I215" t="b">
        <f t="shared" si="12"/>
        <v>1</v>
      </c>
      <c r="J215" s="4">
        <f t="shared" si="13"/>
        <v>-0.14211740654205607</v>
      </c>
      <c r="M215"/>
      <c r="O215" t="s">
        <v>184</v>
      </c>
      <c r="P215">
        <v>746</v>
      </c>
      <c r="Q215">
        <v>1167.75</v>
      </c>
    </row>
    <row r="216" spans="1:17" hidden="1">
      <c r="A216" t="s">
        <v>183</v>
      </c>
      <c r="B216" t="s">
        <v>184</v>
      </c>
      <c r="C216" s="27">
        <v>159</v>
      </c>
      <c r="D216" s="18">
        <f t="shared" si="14"/>
        <v>5.3</v>
      </c>
      <c r="E216" s="5">
        <v>34.770000000000003</v>
      </c>
      <c r="H216" s="18">
        <f t="shared" si="15"/>
        <v>318</v>
      </c>
      <c r="I216" t="b">
        <f t="shared" si="12"/>
        <v>1</v>
      </c>
      <c r="J216" s="4">
        <f t="shared" si="13"/>
        <v>-0.89066037735849057</v>
      </c>
      <c r="M216"/>
      <c r="O216" t="s">
        <v>894</v>
      </c>
      <c r="P216">
        <v>1508</v>
      </c>
      <c r="Q216">
        <v>26.36</v>
      </c>
    </row>
    <row r="217" spans="1:17" hidden="1">
      <c r="A217" t="s">
        <v>357</v>
      </c>
      <c r="B217" t="s">
        <v>358</v>
      </c>
      <c r="C217" s="27">
        <v>44</v>
      </c>
      <c r="D217" s="18">
        <f t="shared" si="14"/>
        <v>1.4666666666666666</v>
      </c>
      <c r="E217" s="5">
        <v>7.53</v>
      </c>
      <c r="H217" s="18">
        <f t="shared" si="15"/>
        <v>88</v>
      </c>
      <c r="I217" t="b">
        <f t="shared" si="12"/>
        <v>1</v>
      </c>
      <c r="J217" s="4">
        <f t="shared" si="13"/>
        <v>-0.91443181818181818</v>
      </c>
      <c r="M217"/>
      <c r="O217" t="s">
        <v>407</v>
      </c>
      <c r="P217">
        <v>1031</v>
      </c>
      <c r="Q217">
        <v>2527.0700000000002</v>
      </c>
    </row>
    <row r="218" spans="1:17" hidden="1">
      <c r="A218" t="s">
        <v>442</v>
      </c>
      <c r="B218" t="s">
        <v>443</v>
      </c>
      <c r="C218" s="27">
        <v>1077</v>
      </c>
      <c r="D218" s="18">
        <f t="shared" si="14"/>
        <v>35.9</v>
      </c>
      <c r="E218" s="5">
        <v>297.7</v>
      </c>
      <c r="H218" s="18">
        <f t="shared" si="15"/>
        <v>2154</v>
      </c>
      <c r="I218" t="b">
        <f t="shared" si="12"/>
        <v>1</v>
      </c>
      <c r="J218" s="4">
        <f t="shared" si="13"/>
        <v>-0.8617920148560817</v>
      </c>
      <c r="O218" t="s">
        <v>47</v>
      </c>
      <c r="P218">
        <v>4286</v>
      </c>
      <c r="Q218">
        <v>4897.3</v>
      </c>
    </row>
    <row r="219" spans="1:17">
      <c r="A219" s="39" t="s">
        <v>837</v>
      </c>
      <c r="B219" s="36" t="s">
        <v>838</v>
      </c>
      <c r="C219" s="27">
        <v>517</v>
      </c>
      <c r="D219" s="18">
        <f t="shared" si="14"/>
        <v>17.233333333333334</v>
      </c>
      <c r="E219" s="5">
        <v>1528.72</v>
      </c>
      <c r="H219" s="18">
        <f t="shared" si="15"/>
        <v>1034</v>
      </c>
      <c r="I219" t="b">
        <f t="shared" si="12"/>
        <v>0</v>
      </c>
      <c r="J219" s="4">
        <f t="shared" si="13"/>
        <v>0.47845261121856875</v>
      </c>
      <c r="M219"/>
      <c r="O219" t="s">
        <v>590</v>
      </c>
      <c r="P219">
        <v>5987</v>
      </c>
      <c r="Q219">
        <v>6518.57</v>
      </c>
    </row>
    <row r="220" spans="1:17" hidden="1">
      <c r="A220" s="39" t="s">
        <v>873</v>
      </c>
      <c r="B220" s="36" t="s">
        <v>874</v>
      </c>
      <c r="C220" s="27">
        <v>702</v>
      </c>
      <c r="D220" s="18">
        <f t="shared" si="14"/>
        <v>23.4</v>
      </c>
      <c r="E220" s="5">
        <v>1632.4</v>
      </c>
      <c r="H220" s="18">
        <f t="shared" si="15"/>
        <v>1404</v>
      </c>
      <c r="I220" t="b">
        <f t="shared" si="12"/>
        <v>1</v>
      </c>
      <c r="J220" s="4">
        <f t="shared" si="13"/>
        <v>0.16267806267806284</v>
      </c>
      <c r="M220"/>
      <c r="O220" t="s">
        <v>813</v>
      </c>
      <c r="P220">
        <v>2067</v>
      </c>
      <c r="Q220">
        <v>1152.29</v>
      </c>
    </row>
    <row r="221" spans="1:17" hidden="1">
      <c r="A221" t="s">
        <v>625</v>
      </c>
      <c r="B221" t="s">
        <v>626</v>
      </c>
      <c r="C221" s="27">
        <v>413</v>
      </c>
      <c r="D221" s="18">
        <f t="shared" si="14"/>
        <v>13.766666666666667</v>
      </c>
      <c r="E221" s="5">
        <v>804.67</v>
      </c>
      <c r="H221" s="18">
        <f t="shared" si="15"/>
        <v>826</v>
      </c>
      <c r="I221" t="b">
        <f t="shared" si="12"/>
        <v>1</v>
      </c>
      <c r="J221" s="4">
        <f t="shared" si="13"/>
        <v>-2.58232445520582E-2</v>
      </c>
      <c r="M221"/>
      <c r="O221" t="s">
        <v>820</v>
      </c>
      <c r="P221">
        <v>3090</v>
      </c>
      <c r="Q221">
        <v>3298.37</v>
      </c>
    </row>
    <row r="222" spans="1:17">
      <c r="A222" s="39" t="s">
        <v>472</v>
      </c>
      <c r="B222" s="36" t="s">
        <v>473</v>
      </c>
      <c r="C222" s="27">
        <v>320</v>
      </c>
      <c r="D222" s="18">
        <f t="shared" si="14"/>
        <v>10.666666666666666</v>
      </c>
      <c r="E222" s="5">
        <v>1060.18</v>
      </c>
      <c r="H222" s="18">
        <f t="shared" si="15"/>
        <v>640</v>
      </c>
      <c r="I222" t="b">
        <f t="shared" si="12"/>
        <v>0</v>
      </c>
      <c r="J222" s="4">
        <f t="shared" si="13"/>
        <v>0.65653125000000001</v>
      </c>
      <c r="M222"/>
      <c r="O222" t="s">
        <v>317</v>
      </c>
      <c r="P222">
        <v>1664</v>
      </c>
      <c r="Q222">
        <v>2049.73</v>
      </c>
    </row>
    <row r="223" spans="1:17" hidden="1">
      <c r="A223" s="36" t="s">
        <v>148</v>
      </c>
      <c r="B223" s="36" t="s">
        <v>149</v>
      </c>
      <c r="C223" s="27">
        <v>1842</v>
      </c>
      <c r="D223" s="18">
        <f t="shared" si="14"/>
        <v>61.4</v>
      </c>
      <c r="E223" s="5">
        <v>3291.33</v>
      </c>
      <c r="H223" s="18">
        <f t="shared" si="15"/>
        <v>3684</v>
      </c>
      <c r="I223" t="b">
        <f t="shared" si="12"/>
        <v>1</v>
      </c>
      <c r="J223" s="4">
        <f t="shared" si="13"/>
        <v>-0.10658794788273618</v>
      </c>
      <c r="O223" t="s">
        <v>576</v>
      </c>
      <c r="P223">
        <v>124</v>
      </c>
      <c r="Q223">
        <v>275.04000000000002</v>
      </c>
    </row>
    <row r="224" spans="1:17" hidden="1">
      <c r="A224" t="s">
        <v>665</v>
      </c>
      <c r="B224" t="s">
        <v>666</v>
      </c>
      <c r="C224" s="27">
        <v>191</v>
      </c>
      <c r="D224" s="18">
        <f t="shared" si="14"/>
        <v>6.3666666666666663</v>
      </c>
      <c r="E224" s="5">
        <v>2.16</v>
      </c>
      <c r="H224" s="18">
        <f t="shared" si="15"/>
        <v>382</v>
      </c>
      <c r="I224" t="b">
        <f t="shared" si="12"/>
        <v>1</v>
      </c>
      <c r="J224" s="4">
        <f t="shared" si="13"/>
        <v>-0.99434554973821987</v>
      </c>
      <c r="M224"/>
      <c r="O224" t="s">
        <v>1689</v>
      </c>
      <c r="P224">
        <v>64</v>
      </c>
      <c r="Q224">
        <v>178.31</v>
      </c>
    </row>
    <row r="225" spans="1:17">
      <c r="A225" s="39" t="s">
        <v>867</v>
      </c>
      <c r="B225" s="36" t="s">
        <v>868</v>
      </c>
      <c r="C225" s="27">
        <v>751</v>
      </c>
      <c r="D225" s="18">
        <f t="shared" si="14"/>
        <v>25.033333333333335</v>
      </c>
      <c r="E225" s="5">
        <v>1914.59</v>
      </c>
      <c r="H225" s="18">
        <f t="shared" si="15"/>
        <v>1502</v>
      </c>
      <c r="I225" t="b">
        <f t="shared" si="12"/>
        <v>0</v>
      </c>
      <c r="J225" s="4">
        <f t="shared" si="13"/>
        <v>0.27469374167776284</v>
      </c>
      <c r="M225"/>
      <c r="O225" t="s">
        <v>499</v>
      </c>
      <c r="P225">
        <v>1664</v>
      </c>
      <c r="Q225">
        <v>1764.37</v>
      </c>
    </row>
    <row r="226" spans="1:17" hidden="1">
      <c r="A226" t="s">
        <v>458</v>
      </c>
      <c r="B226" t="s">
        <v>459</v>
      </c>
      <c r="C226" s="27">
        <v>542</v>
      </c>
      <c r="D226" s="18">
        <f t="shared" si="14"/>
        <v>18.066666666666666</v>
      </c>
      <c r="E226" s="5">
        <v>249.94</v>
      </c>
      <c r="H226" s="18">
        <f t="shared" si="15"/>
        <v>1084</v>
      </c>
      <c r="I226" t="b">
        <f t="shared" si="12"/>
        <v>1</v>
      </c>
      <c r="J226" s="4">
        <f t="shared" si="13"/>
        <v>-0.76942804428044287</v>
      </c>
      <c r="M226"/>
      <c r="O226" t="s">
        <v>153</v>
      </c>
      <c r="P226">
        <v>1145</v>
      </c>
      <c r="Q226">
        <v>1234.98</v>
      </c>
    </row>
    <row r="227" spans="1:17" hidden="1">
      <c r="A227" t="s">
        <v>270</v>
      </c>
      <c r="B227" t="s">
        <v>271</v>
      </c>
      <c r="C227" s="27">
        <v>0</v>
      </c>
      <c r="D227" s="18">
        <f t="shared" si="14"/>
        <v>0</v>
      </c>
      <c r="E227" s="5">
        <v>0</v>
      </c>
      <c r="H227" s="18">
        <f t="shared" si="15"/>
        <v>0</v>
      </c>
      <c r="I227" t="b">
        <f t="shared" si="12"/>
        <v>1</v>
      </c>
      <c r="J227" s="4" t="e">
        <f t="shared" si="13"/>
        <v>#DIV/0!</v>
      </c>
      <c r="M227"/>
      <c r="O227" t="s">
        <v>656</v>
      </c>
      <c r="P227">
        <v>1134</v>
      </c>
      <c r="Q227">
        <v>2253.0500000000002</v>
      </c>
    </row>
    <row r="228" spans="1:17" hidden="1">
      <c r="A228" t="s">
        <v>741</v>
      </c>
      <c r="B228" t="s">
        <v>742</v>
      </c>
      <c r="C228" s="27">
        <v>419</v>
      </c>
      <c r="D228" s="18">
        <f t="shared" si="14"/>
        <v>13.966666666666667</v>
      </c>
      <c r="E228" s="5">
        <v>536.86</v>
      </c>
      <c r="H228" s="18">
        <f t="shared" si="15"/>
        <v>838</v>
      </c>
      <c r="I228" t="b">
        <f t="shared" si="12"/>
        <v>1</v>
      </c>
      <c r="J228" s="4">
        <f t="shared" si="13"/>
        <v>-0.35935560859188542</v>
      </c>
      <c r="M228"/>
      <c r="O228" t="s">
        <v>433</v>
      </c>
      <c r="P228">
        <v>38</v>
      </c>
      <c r="Q228">
        <v>156.91</v>
      </c>
    </row>
    <row r="229" spans="1:17" hidden="1">
      <c r="A229" t="s">
        <v>764</v>
      </c>
      <c r="B229" t="s">
        <v>765</v>
      </c>
      <c r="C229" s="27">
        <v>1065</v>
      </c>
      <c r="D229" s="18">
        <f t="shared" si="14"/>
        <v>35.5</v>
      </c>
      <c r="E229" s="5">
        <v>906.31</v>
      </c>
      <c r="H229" s="18">
        <f t="shared" si="15"/>
        <v>2130</v>
      </c>
      <c r="I229" t="b">
        <f t="shared" si="12"/>
        <v>1</v>
      </c>
      <c r="J229" s="4">
        <f t="shared" si="13"/>
        <v>-0.57450234741784034</v>
      </c>
      <c r="M229"/>
      <c r="O229" t="s">
        <v>864</v>
      </c>
      <c r="P229">
        <v>4242</v>
      </c>
      <c r="Q229">
        <v>7415.45</v>
      </c>
    </row>
    <row r="230" spans="1:17" hidden="1">
      <c r="A230" t="s">
        <v>328</v>
      </c>
      <c r="B230" t="s">
        <v>329</v>
      </c>
      <c r="C230" s="27">
        <v>43</v>
      </c>
      <c r="D230" s="18">
        <f t="shared" si="14"/>
        <v>1.4333333333333333</v>
      </c>
      <c r="E230" s="5">
        <v>0</v>
      </c>
      <c r="H230" s="18">
        <f t="shared" si="15"/>
        <v>86</v>
      </c>
      <c r="I230" t="b">
        <f t="shared" si="12"/>
        <v>1</v>
      </c>
      <c r="J230" s="4">
        <f t="shared" si="13"/>
        <v>-1</v>
      </c>
      <c r="M230"/>
      <c r="O230" t="s">
        <v>682</v>
      </c>
      <c r="P230">
        <v>6399</v>
      </c>
      <c r="Q230">
        <v>1838.47</v>
      </c>
    </row>
    <row r="231" spans="1:17" hidden="1">
      <c r="A231" s="36" t="s">
        <v>245</v>
      </c>
      <c r="B231" s="36" t="s">
        <v>246</v>
      </c>
      <c r="C231" s="27">
        <v>970</v>
      </c>
      <c r="D231" s="18">
        <f t="shared" si="14"/>
        <v>32.333333333333336</v>
      </c>
      <c r="E231" s="5">
        <v>1863.28</v>
      </c>
      <c r="H231" s="18">
        <f t="shared" si="15"/>
        <v>1940</v>
      </c>
      <c r="I231" t="b">
        <f t="shared" si="12"/>
        <v>1</v>
      </c>
      <c r="J231" s="4">
        <f t="shared" si="13"/>
        <v>-3.9546391752577348E-2</v>
      </c>
      <c r="M231"/>
      <c r="O231" t="s">
        <v>1146</v>
      </c>
      <c r="P231">
        <v>7632</v>
      </c>
      <c r="Q231">
        <v>11858.24</v>
      </c>
    </row>
    <row r="232" spans="1:17" hidden="1">
      <c r="A232" t="s">
        <v>853</v>
      </c>
      <c r="B232" t="s">
        <v>854</v>
      </c>
      <c r="C232" s="27">
        <v>1750</v>
      </c>
      <c r="D232" s="18">
        <f t="shared" si="14"/>
        <v>58.333333333333336</v>
      </c>
      <c r="E232" s="5">
        <v>2165.52</v>
      </c>
      <c r="H232" s="18">
        <f t="shared" si="15"/>
        <v>3500</v>
      </c>
      <c r="I232" t="b">
        <f t="shared" si="12"/>
        <v>1</v>
      </c>
      <c r="J232" s="4">
        <f t="shared" si="13"/>
        <v>-0.38127999999999995</v>
      </c>
      <c r="M232"/>
      <c r="O232" t="s">
        <v>990</v>
      </c>
      <c r="P232">
        <v>3762</v>
      </c>
      <c r="Q232">
        <v>6511.64</v>
      </c>
    </row>
    <row r="233" spans="1:17" hidden="1">
      <c r="A233" s="39" t="s">
        <v>211</v>
      </c>
      <c r="B233" s="36" t="s">
        <v>212</v>
      </c>
      <c r="C233" s="27">
        <v>313</v>
      </c>
      <c r="D233" s="18">
        <f t="shared" si="14"/>
        <v>10.433333333333334</v>
      </c>
      <c r="E233" s="5">
        <v>558.67999999999995</v>
      </c>
      <c r="H233" s="18">
        <f t="shared" si="15"/>
        <v>626</v>
      </c>
      <c r="I233" t="b">
        <f t="shared" si="12"/>
        <v>1</v>
      </c>
      <c r="J233" s="4">
        <f t="shared" si="13"/>
        <v>-0.10753993610223656</v>
      </c>
      <c r="M233"/>
      <c r="O233" t="s">
        <v>1228</v>
      </c>
      <c r="P233">
        <v>3048</v>
      </c>
      <c r="Q233">
        <v>4722.41</v>
      </c>
    </row>
    <row r="234" spans="1:17" hidden="1">
      <c r="A234" s="39" t="s">
        <v>318</v>
      </c>
      <c r="B234" s="36" t="s">
        <v>319</v>
      </c>
      <c r="C234" s="27">
        <v>5113</v>
      </c>
      <c r="D234" s="18">
        <f t="shared" si="14"/>
        <v>170.43333333333334</v>
      </c>
      <c r="E234" s="5">
        <v>5756.9</v>
      </c>
      <c r="H234" s="18">
        <f t="shared" si="15"/>
        <v>10226</v>
      </c>
      <c r="I234" t="b">
        <f t="shared" si="12"/>
        <v>1</v>
      </c>
      <c r="J234" s="4">
        <f t="shared" si="13"/>
        <v>-0.43703305300215145</v>
      </c>
      <c r="M234"/>
      <c r="O234" t="s">
        <v>1247</v>
      </c>
      <c r="P234">
        <v>3637</v>
      </c>
      <c r="Q234">
        <v>7335.47</v>
      </c>
    </row>
    <row r="235" spans="1:17" hidden="1">
      <c r="A235" s="39" t="s">
        <v>314</v>
      </c>
      <c r="B235" s="36" t="s">
        <v>315</v>
      </c>
      <c r="C235" s="18">
        <v>485</v>
      </c>
      <c r="D235" s="18">
        <f t="shared" si="14"/>
        <v>16.166666666666668</v>
      </c>
      <c r="E235" s="5">
        <v>733.57</v>
      </c>
      <c r="H235" s="18">
        <f t="shared" si="15"/>
        <v>970</v>
      </c>
      <c r="I235" t="b">
        <f t="shared" si="12"/>
        <v>1</v>
      </c>
      <c r="J235" s="4">
        <f t="shared" si="13"/>
        <v>-0.24374226804123711</v>
      </c>
      <c r="M235"/>
      <c r="O235" t="s">
        <v>970</v>
      </c>
      <c r="P235">
        <v>4317</v>
      </c>
      <c r="Q235">
        <v>6897.7699999999995</v>
      </c>
    </row>
    <row r="236" spans="1:17" hidden="1">
      <c r="A236" s="36" t="s">
        <v>510</v>
      </c>
      <c r="B236" s="36" t="s">
        <v>511</v>
      </c>
      <c r="C236" s="27">
        <v>248</v>
      </c>
      <c r="D236" s="18">
        <f t="shared" si="14"/>
        <v>8.2666666666666675</v>
      </c>
      <c r="E236" s="5">
        <v>179</v>
      </c>
      <c r="H236" s="18">
        <f t="shared" si="15"/>
        <v>496</v>
      </c>
      <c r="I236" t="b">
        <f t="shared" si="12"/>
        <v>1</v>
      </c>
      <c r="J236" s="4">
        <f t="shared" si="13"/>
        <v>-0.63911290322580649</v>
      </c>
      <c r="M236"/>
      <c r="O236" t="s">
        <v>1162</v>
      </c>
      <c r="P236">
        <v>5550</v>
      </c>
      <c r="Q236">
        <v>9885.65</v>
      </c>
    </row>
    <row r="237" spans="1:17" hidden="1">
      <c r="A237" t="s">
        <v>623</v>
      </c>
      <c r="B237" t="s">
        <v>624</v>
      </c>
      <c r="C237" s="27">
        <v>1163</v>
      </c>
      <c r="D237" s="18">
        <f t="shared" si="14"/>
        <v>38.766666666666666</v>
      </c>
      <c r="E237" s="5">
        <v>1795.62</v>
      </c>
      <c r="H237" s="18">
        <f t="shared" si="15"/>
        <v>2326</v>
      </c>
      <c r="I237" t="b">
        <f t="shared" si="12"/>
        <v>1</v>
      </c>
      <c r="J237" s="4">
        <f t="shared" si="13"/>
        <v>-0.22802235597592435</v>
      </c>
      <c r="M237"/>
      <c r="O237" t="s">
        <v>1139</v>
      </c>
      <c r="P237">
        <v>1894</v>
      </c>
      <c r="Q237">
        <v>3441.08</v>
      </c>
    </row>
    <row r="238" spans="1:17" hidden="1">
      <c r="A238" t="s">
        <v>452</v>
      </c>
      <c r="B238" t="s">
        <v>453</v>
      </c>
      <c r="C238" s="27">
        <v>67</v>
      </c>
      <c r="D238" s="18">
        <f t="shared" si="14"/>
        <v>2.2333333333333334</v>
      </c>
      <c r="E238" s="5">
        <v>3.33</v>
      </c>
      <c r="H238" s="18">
        <f t="shared" si="15"/>
        <v>134</v>
      </c>
      <c r="I238" t="b">
        <f t="shared" si="12"/>
        <v>1</v>
      </c>
      <c r="J238" s="4">
        <f t="shared" si="13"/>
        <v>-0.97514925373134331</v>
      </c>
      <c r="M238"/>
      <c r="O238" t="s">
        <v>1704</v>
      </c>
      <c r="P238">
        <v>2</v>
      </c>
      <c r="Q238">
        <v>0</v>
      </c>
    </row>
    <row r="239" spans="1:17" hidden="1">
      <c r="A239" t="s">
        <v>1851</v>
      </c>
      <c r="B239" t="s">
        <v>1682</v>
      </c>
      <c r="C239" s="27">
        <v>0</v>
      </c>
      <c r="D239" s="18">
        <f t="shared" si="14"/>
        <v>0</v>
      </c>
      <c r="E239" s="5">
        <v>0</v>
      </c>
      <c r="H239" s="18">
        <f t="shared" si="15"/>
        <v>0</v>
      </c>
      <c r="I239" t="b">
        <f t="shared" si="12"/>
        <v>1</v>
      </c>
      <c r="J239" s="4" t="e">
        <f t="shared" si="13"/>
        <v>#DIV/0!</v>
      </c>
      <c r="M239"/>
      <c r="O239" t="s">
        <v>1235</v>
      </c>
      <c r="P239">
        <v>3398</v>
      </c>
      <c r="Q239">
        <v>4409.53</v>
      </c>
    </row>
    <row r="240" spans="1:17" hidden="1">
      <c r="A240" t="s">
        <v>724</v>
      </c>
      <c r="B240" t="s">
        <v>725</v>
      </c>
      <c r="C240" s="27">
        <v>1090</v>
      </c>
      <c r="D240" s="18">
        <f t="shared" si="14"/>
        <v>36.333333333333336</v>
      </c>
      <c r="E240" s="5">
        <v>1479.67</v>
      </c>
      <c r="H240" s="18">
        <f t="shared" si="15"/>
        <v>2180</v>
      </c>
      <c r="I240" t="b">
        <f t="shared" si="12"/>
        <v>1</v>
      </c>
      <c r="J240" s="4">
        <f t="shared" si="13"/>
        <v>-0.32125229357798157</v>
      </c>
      <c r="M240"/>
      <c r="O240" t="s">
        <v>1263</v>
      </c>
      <c r="P240">
        <v>5137</v>
      </c>
      <c r="Q240">
        <v>8701.9699999999993</v>
      </c>
    </row>
    <row r="241" spans="1:17" hidden="1">
      <c r="A241" s="126" t="s">
        <v>167</v>
      </c>
      <c r="B241" s="36" t="s">
        <v>168</v>
      </c>
      <c r="C241" s="27">
        <v>386</v>
      </c>
      <c r="D241" s="18">
        <f t="shared" si="14"/>
        <v>12.866666666666667</v>
      </c>
      <c r="E241" s="5">
        <v>803</v>
      </c>
      <c r="H241" s="18">
        <f t="shared" si="15"/>
        <v>772</v>
      </c>
      <c r="I241" t="b">
        <f t="shared" si="12"/>
        <v>1</v>
      </c>
      <c r="J241" s="4">
        <f t="shared" si="13"/>
        <v>4.0155440414507693E-2</v>
      </c>
      <c r="M241"/>
      <c r="O241" t="s">
        <v>986</v>
      </c>
      <c r="P241">
        <v>711</v>
      </c>
      <c r="Q241">
        <v>1448.65</v>
      </c>
    </row>
    <row r="242" spans="1:17" hidden="1">
      <c r="A242" t="s">
        <v>782</v>
      </c>
      <c r="B242" s="26" t="s">
        <v>783</v>
      </c>
      <c r="C242" s="27">
        <v>1466</v>
      </c>
      <c r="D242" s="18">
        <f t="shared" si="14"/>
        <v>48.866666666666667</v>
      </c>
      <c r="E242" s="5">
        <v>2406.5</v>
      </c>
      <c r="H242" s="18">
        <f t="shared" si="15"/>
        <v>2932</v>
      </c>
      <c r="I242" t="b">
        <f t="shared" si="12"/>
        <v>1</v>
      </c>
      <c r="J242" s="4">
        <f t="shared" si="13"/>
        <v>-0.17922919508867663</v>
      </c>
      <c r="M242"/>
      <c r="O242" t="s">
        <v>1222</v>
      </c>
      <c r="P242">
        <v>2183</v>
      </c>
      <c r="Q242">
        <v>3642.64</v>
      </c>
    </row>
    <row r="243" spans="1:17" hidden="1">
      <c r="A243" t="s">
        <v>136</v>
      </c>
      <c r="B243" t="s">
        <v>137</v>
      </c>
      <c r="C243" s="27">
        <v>162</v>
      </c>
      <c r="D243" s="18">
        <f t="shared" si="14"/>
        <v>5.4</v>
      </c>
      <c r="E243" s="5">
        <v>209.17</v>
      </c>
      <c r="H243" s="18">
        <f t="shared" si="15"/>
        <v>324</v>
      </c>
      <c r="I243" t="b">
        <f t="shared" si="12"/>
        <v>1</v>
      </c>
      <c r="J243" s="4">
        <f t="shared" si="13"/>
        <v>-0.35441358024691361</v>
      </c>
      <c r="M243"/>
      <c r="O243" t="s">
        <v>1089</v>
      </c>
      <c r="P243">
        <v>1995</v>
      </c>
      <c r="Q243">
        <v>4535.91</v>
      </c>
    </row>
    <row r="244" spans="1:17" hidden="1">
      <c r="A244" t="s">
        <v>601</v>
      </c>
      <c r="B244" t="s">
        <v>602</v>
      </c>
      <c r="C244" s="27">
        <v>616</v>
      </c>
      <c r="D244" s="18">
        <f t="shared" si="14"/>
        <v>20.533333333333335</v>
      </c>
      <c r="E244" s="5">
        <v>1050.58</v>
      </c>
      <c r="H244" s="18">
        <f t="shared" si="15"/>
        <v>1232</v>
      </c>
      <c r="I244" t="b">
        <f t="shared" si="12"/>
        <v>1</v>
      </c>
      <c r="J244" s="4">
        <f t="shared" si="13"/>
        <v>-0.14725649350649361</v>
      </c>
      <c r="M244"/>
      <c r="O244" t="s">
        <v>968</v>
      </c>
      <c r="P244">
        <v>1870</v>
      </c>
      <c r="Q244">
        <v>3839.5</v>
      </c>
    </row>
    <row r="245" spans="1:17" hidden="1">
      <c r="A245" s="125" t="s">
        <v>829</v>
      </c>
      <c r="B245" s="36" t="s">
        <v>830</v>
      </c>
      <c r="C245" s="27">
        <v>480</v>
      </c>
      <c r="D245" s="18">
        <f t="shared" si="14"/>
        <v>16</v>
      </c>
      <c r="E245" s="5">
        <v>560.6</v>
      </c>
      <c r="H245" s="18">
        <f t="shared" si="15"/>
        <v>960</v>
      </c>
      <c r="I245" t="b">
        <f t="shared" si="12"/>
        <v>1</v>
      </c>
      <c r="J245" s="4">
        <f t="shared" si="13"/>
        <v>-0.41604166666666664</v>
      </c>
      <c r="M245"/>
      <c r="O245" t="s">
        <v>1009</v>
      </c>
      <c r="P245">
        <v>1727</v>
      </c>
      <c r="Q245">
        <v>3534.84</v>
      </c>
    </row>
    <row r="246" spans="1:17" hidden="1">
      <c r="A246" s="36" t="s">
        <v>464</v>
      </c>
      <c r="B246" s="36" t="s">
        <v>465</v>
      </c>
      <c r="C246" s="27">
        <v>1440</v>
      </c>
      <c r="D246" s="18">
        <f t="shared" si="14"/>
        <v>48</v>
      </c>
      <c r="E246" s="5">
        <v>1968.64</v>
      </c>
      <c r="H246" s="18">
        <f t="shared" si="15"/>
        <v>2880</v>
      </c>
      <c r="I246" t="b">
        <f t="shared" si="12"/>
        <v>1</v>
      </c>
      <c r="J246" s="4">
        <f t="shared" si="13"/>
        <v>-0.31644444444444442</v>
      </c>
      <c r="M246"/>
      <c r="O246" t="s">
        <v>1309</v>
      </c>
      <c r="P246">
        <v>40373</v>
      </c>
      <c r="Q246">
        <v>31043.68</v>
      </c>
    </row>
    <row r="247" spans="1:17" hidden="1">
      <c r="A247" s="39" t="s">
        <v>286</v>
      </c>
      <c r="B247" s="36" t="s">
        <v>287</v>
      </c>
      <c r="C247" s="27">
        <v>0</v>
      </c>
      <c r="D247" s="18">
        <f t="shared" si="14"/>
        <v>0</v>
      </c>
      <c r="E247" s="5">
        <v>0</v>
      </c>
      <c r="H247" s="18">
        <f t="shared" si="15"/>
        <v>0</v>
      </c>
      <c r="I247" t="b">
        <f t="shared" ref="I247:I296" si="16">IF(E247&gt;1.2*H247,FALSE,TRUE)</f>
        <v>1</v>
      </c>
      <c r="J247" s="4" t="e">
        <f t="shared" ref="J247:J296" si="17">E247/H247-1</f>
        <v>#DIV/0!</v>
      </c>
      <c r="M247"/>
      <c r="O247" t="s">
        <v>1300</v>
      </c>
      <c r="P247">
        <v>1614</v>
      </c>
      <c r="Q247">
        <v>3358.06</v>
      </c>
    </row>
    <row r="248" spans="1:17" hidden="1">
      <c r="A248" t="s">
        <v>692</v>
      </c>
      <c r="B248" t="s">
        <v>693</v>
      </c>
      <c r="C248" s="27">
        <v>1109</v>
      </c>
      <c r="D248" s="18">
        <f t="shared" si="14"/>
        <v>36.966666666666669</v>
      </c>
      <c r="E248" s="5">
        <v>1960</v>
      </c>
      <c r="H248" s="18">
        <f t="shared" si="15"/>
        <v>2218</v>
      </c>
      <c r="I248" t="b">
        <f t="shared" si="16"/>
        <v>1</v>
      </c>
      <c r="J248" s="4">
        <f t="shared" si="17"/>
        <v>-0.11632100991884575</v>
      </c>
      <c r="M248"/>
      <c r="O248" t="s">
        <v>1295</v>
      </c>
      <c r="P248">
        <v>2721</v>
      </c>
      <c r="Q248">
        <v>5511.35</v>
      </c>
    </row>
    <row r="249" spans="1:17">
      <c r="A249" s="39" t="s">
        <v>296</v>
      </c>
      <c r="B249" s="26" t="s">
        <v>297</v>
      </c>
      <c r="C249" s="27">
        <v>219</v>
      </c>
      <c r="D249" s="18">
        <f t="shared" si="14"/>
        <v>7.3</v>
      </c>
      <c r="E249" s="5">
        <v>661.61</v>
      </c>
      <c r="H249" s="18">
        <f t="shared" si="15"/>
        <v>438</v>
      </c>
      <c r="I249" t="b">
        <f t="shared" si="16"/>
        <v>0</v>
      </c>
      <c r="J249" s="4">
        <f t="shared" si="17"/>
        <v>0.51052511415525115</v>
      </c>
      <c r="M249"/>
      <c r="O249" t="s">
        <v>1030</v>
      </c>
      <c r="P249">
        <v>1207</v>
      </c>
      <c r="Q249">
        <v>2348.6</v>
      </c>
    </row>
    <row r="250" spans="1:17" hidden="1">
      <c r="A250" t="s">
        <v>366</v>
      </c>
      <c r="B250" t="s">
        <v>367</v>
      </c>
      <c r="C250" s="27">
        <v>540</v>
      </c>
      <c r="D250" s="18">
        <f t="shared" si="14"/>
        <v>18</v>
      </c>
      <c r="E250" s="5">
        <v>527.48</v>
      </c>
      <c r="H250" s="18">
        <f t="shared" si="15"/>
        <v>1080</v>
      </c>
      <c r="I250" t="b">
        <f t="shared" si="16"/>
        <v>1</v>
      </c>
      <c r="J250" s="4">
        <f t="shared" si="17"/>
        <v>-0.5115925925925926</v>
      </c>
      <c r="M250"/>
      <c r="O250" t="s">
        <v>1085</v>
      </c>
      <c r="P250">
        <v>611</v>
      </c>
      <c r="Q250">
        <v>1458.74</v>
      </c>
    </row>
    <row r="251" spans="1:17" hidden="1">
      <c r="A251" t="s">
        <v>476</v>
      </c>
      <c r="B251" t="s">
        <v>477</v>
      </c>
      <c r="C251" s="27">
        <v>749</v>
      </c>
      <c r="D251" s="18">
        <f t="shared" si="14"/>
        <v>24.966666666666665</v>
      </c>
      <c r="E251" s="5">
        <v>977.2</v>
      </c>
      <c r="H251" s="18">
        <f t="shared" si="15"/>
        <v>1498</v>
      </c>
      <c r="I251" t="b">
        <f t="shared" si="16"/>
        <v>1</v>
      </c>
      <c r="J251" s="4">
        <f t="shared" si="17"/>
        <v>-0.34766355140186911</v>
      </c>
      <c r="M251"/>
      <c r="O251" t="s">
        <v>1237</v>
      </c>
      <c r="P251">
        <v>2751</v>
      </c>
      <c r="Q251">
        <v>3498.09</v>
      </c>
    </row>
    <row r="252" spans="1:17" hidden="1">
      <c r="A252" s="39" t="s">
        <v>532</v>
      </c>
      <c r="B252" s="36" t="s">
        <v>533</v>
      </c>
      <c r="C252" s="27">
        <v>1103</v>
      </c>
      <c r="D252" s="18">
        <f t="shared" si="14"/>
        <v>36.766666666666666</v>
      </c>
      <c r="E252" s="5">
        <v>2218.86</v>
      </c>
      <c r="H252" s="18">
        <f t="shared" si="15"/>
        <v>2206</v>
      </c>
      <c r="I252" t="b">
        <f t="shared" si="16"/>
        <v>1</v>
      </c>
      <c r="J252" s="4">
        <f t="shared" si="17"/>
        <v>5.8295557570262613E-3</v>
      </c>
      <c r="M252"/>
      <c r="O252" t="s">
        <v>1107</v>
      </c>
      <c r="P252">
        <v>2185</v>
      </c>
      <c r="Q252">
        <v>3732.5</v>
      </c>
    </row>
    <row r="253" spans="1:17" hidden="1">
      <c r="A253" s="126" t="s">
        <v>280</v>
      </c>
      <c r="B253" s="36" t="s">
        <v>281</v>
      </c>
      <c r="C253" s="27">
        <v>0</v>
      </c>
      <c r="D253" s="18">
        <f t="shared" si="14"/>
        <v>0</v>
      </c>
      <c r="E253" s="5">
        <v>0</v>
      </c>
      <c r="H253" s="18">
        <f t="shared" si="15"/>
        <v>0</v>
      </c>
      <c r="I253" t="b">
        <f t="shared" si="16"/>
        <v>1</v>
      </c>
      <c r="J253" s="4" t="e">
        <f t="shared" si="17"/>
        <v>#DIV/0!</v>
      </c>
      <c r="M253"/>
      <c r="O253" t="s">
        <v>1032</v>
      </c>
      <c r="P253">
        <v>1039</v>
      </c>
      <c r="Q253">
        <v>1446.12</v>
      </c>
    </row>
    <row r="254" spans="1:17" hidden="1">
      <c r="A254" s="26" t="s">
        <v>88</v>
      </c>
      <c r="B254" s="36" t="s">
        <v>89</v>
      </c>
      <c r="C254" s="27">
        <v>712</v>
      </c>
      <c r="D254" s="18">
        <f t="shared" si="14"/>
        <v>23.733333333333334</v>
      </c>
      <c r="E254" s="5">
        <v>930.55</v>
      </c>
      <c r="H254" s="18">
        <f t="shared" si="15"/>
        <v>1424</v>
      </c>
      <c r="I254" t="b">
        <f t="shared" si="16"/>
        <v>1</v>
      </c>
      <c r="J254" s="4">
        <f t="shared" si="17"/>
        <v>-0.34652387640449445</v>
      </c>
      <c r="M254"/>
      <c r="O254" t="s">
        <v>1165</v>
      </c>
      <c r="P254">
        <v>1195</v>
      </c>
      <c r="Q254">
        <v>2255.9299999999998</v>
      </c>
    </row>
    <row r="255" spans="1:17" hidden="1">
      <c r="A255" t="s">
        <v>187</v>
      </c>
      <c r="B255" t="s">
        <v>188</v>
      </c>
      <c r="C255" s="27">
        <v>2367</v>
      </c>
      <c r="D255" s="18">
        <f t="shared" si="14"/>
        <v>78.900000000000006</v>
      </c>
      <c r="E255" s="5">
        <v>5462.96</v>
      </c>
      <c r="H255" s="18">
        <f t="shared" si="15"/>
        <v>4734</v>
      </c>
      <c r="I255" t="b">
        <f t="shared" si="16"/>
        <v>1</v>
      </c>
      <c r="J255" s="4">
        <f t="shared" si="17"/>
        <v>0.15398394592310938</v>
      </c>
      <c r="L255" s="107"/>
      <c r="M255"/>
      <c r="O255" t="s">
        <v>1187</v>
      </c>
      <c r="P255">
        <v>2263</v>
      </c>
      <c r="Q255">
        <v>5130.78</v>
      </c>
    </row>
    <row r="256" spans="1:17" hidden="1">
      <c r="A256" t="s">
        <v>498</v>
      </c>
      <c r="B256" t="s">
        <v>499</v>
      </c>
      <c r="C256" s="27">
        <v>1210</v>
      </c>
      <c r="D256" s="18">
        <f t="shared" si="14"/>
        <v>40.333333333333336</v>
      </c>
      <c r="E256" s="5">
        <v>1319</v>
      </c>
      <c r="H256" s="18">
        <f t="shared" si="15"/>
        <v>2420</v>
      </c>
      <c r="I256" t="b">
        <f t="shared" si="16"/>
        <v>1</v>
      </c>
      <c r="J256" s="4">
        <f t="shared" si="17"/>
        <v>-0.45495867768595044</v>
      </c>
      <c r="O256" t="s">
        <v>1154</v>
      </c>
      <c r="P256">
        <v>2201</v>
      </c>
      <c r="Q256">
        <v>2780.43</v>
      </c>
    </row>
    <row r="257" spans="1:17" hidden="1">
      <c r="A257" t="s">
        <v>102</v>
      </c>
      <c r="B257" t="s">
        <v>103</v>
      </c>
      <c r="C257" s="27">
        <v>2465</v>
      </c>
      <c r="D257" s="18">
        <f t="shared" si="14"/>
        <v>82.166666666666671</v>
      </c>
      <c r="E257" s="5">
        <v>3417.68</v>
      </c>
      <c r="H257" s="18">
        <f t="shared" si="15"/>
        <v>4930</v>
      </c>
      <c r="I257" t="b">
        <f t="shared" si="16"/>
        <v>1</v>
      </c>
      <c r="J257" s="4">
        <f t="shared" si="17"/>
        <v>-0.3067586206896552</v>
      </c>
      <c r="M257"/>
      <c r="O257" t="s">
        <v>1158</v>
      </c>
      <c r="P257">
        <v>1667</v>
      </c>
      <c r="Q257">
        <v>2965.44</v>
      </c>
    </row>
    <row r="258" spans="1:17" hidden="1">
      <c r="A258" t="s">
        <v>880</v>
      </c>
      <c r="B258" t="s">
        <v>881</v>
      </c>
      <c r="C258" s="27">
        <v>1133</v>
      </c>
      <c r="D258" s="18">
        <f t="shared" si="14"/>
        <v>37.766666666666666</v>
      </c>
      <c r="E258" s="5">
        <v>904.59</v>
      </c>
      <c r="H258" s="18">
        <f t="shared" si="15"/>
        <v>2266</v>
      </c>
      <c r="I258" t="b">
        <f t="shared" si="16"/>
        <v>1</v>
      </c>
      <c r="J258" s="4">
        <f t="shared" si="17"/>
        <v>-0.60079876434245372</v>
      </c>
      <c r="M258"/>
      <c r="O258" t="s">
        <v>982</v>
      </c>
      <c r="P258">
        <v>4039</v>
      </c>
      <c r="Q258">
        <v>5176.58</v>
      </c>
    </row>
    <row r="259" spans="1:17" hidden="1">
      <c r="A259" t="s">
        <v>655</v>
      </c>
      <c r="B259" t="s">
        <v>656</v>
      </c>
      <c r="C259" s="27">
        <v>1341</v>
      </c>
      <c r="D259" s="18">
        <f t="shared" ref="D259:D322" si="18">C259/30</f>
        <v>44.7</v>
      </c>
      <c r="E259" s="5">
        <v>2516.9</v>
      </c>
      <c r="H259" s="18">
        <f t="shared" ref="H259:H322" si="19">IF((C259/30)&gt;100,C259*2,C259*2)</f>
        <v>2682</v>
      </c>
      <c r="I259" t="b">
        <f t="shared" si="16"/>
        <v>1</v>
      </c>
      <c r="J259" s="4">
        <f t="shared" si="17"/>
        <v>-6.1558538404175911E-2</v>
      </c>
      <c r="M259"/>
      <c r="O259" t="s">
        <v>1285</v>
      </c>
      <c r="P259">
        <v>1372</v>
      </c>
      <c r="Q259">
        <v>3179.39</v>
      </c>
    </row>
    <row r="260" spans="1:17" hidden="1">
      <c r="A260" s="39" t="s">
        <v>679</v>
      </c>
      <c r="B260" s="36" t="s">
        <v>680</v>
      </c>
      <c r="C260" s="27">
        <v>601</v>
      </c>
      <c r="D260" s="18">
        <f t="shared" si="18"/>
        <v>20.033333333333335</v>
      </c>
      <c r="E260" s="5">
        <v>839.89</v>
      </c>
      <c r="H260" s="18">
        <f t="shared" si="19"/>
        <v>1202</v>
      </c>
      <c r="I260" t="b">
        <f t="shared" si="16"/>
        <v>1</v>
      </c>
      <c r="J260" s="4">
        <f t="shared" si="17"/>
        <v>-0.30125623960066561</v>
      </c>
      <c r="M260" s="110"/>
      <c r="O260" t="s">
        <v>1706</v>
      </c>
      <c r="P260">
        <v>3</v>
      </c>
      <c r="Q260">
        <v>0</v>
      </c>
    </row>
    <row r="261" spans="1:17" hidden="1">
      <c r="A261" s="39" t="s">
        <v>171</v>
      </c>
      <c r="B261" s="36" t="s">
        <v>172</v>
      </c>
      <c r="C261" s="27">
        <v>872</v>
      </c>
      <c r="D261" s="18">
        <f t="shared" si="18"/>
        <v>29.066666666666666</v>
      </c>
      <c r="E261" s="5">
        <v>1330.92</v>
      </c>
      <c r="H261" s="18">
        <f t="shared" si="19"/>
        <v>1744</v>
      </c>
      <c r="I261" t="b">
        <f t="shared" si="16"/>
        <v>1</v>
      </c>
      <c r="J261" s="4">
        <f t="shared" si="17"/>
        <v>-0.23685779816513752</v>
      </c>
      <c r="M261"/>
      <c r="O261" t="s">
        <v>1191</v>
      </c>
      <c r="P261">
        <v>740</v>
      </c>
      <c r="Q261">
        <v>1692.16</v>
      </c>
    </row>
    <row r="262" spans="1:17" hidden="1">
      <c r="A262" t="s">
        <v>876</v>
      </c>
      <c r="B262" t="s">
        <v>877</v>
      </c>
      <c r="C262" s="27">
        <v>14036</v>
      </c>
      <c r="D262" s="18">
        <f t="shared" si="18"/>
        <v>467.86666666666667</v>
      </c>
      <c r="E262" s="5">
        <v>16588.150000000001</v>
      </c>
      <c r="H262" s="18">
        <f t="shared" si="19"/>
        <v>28072</v>
      </c>
      <c r="I262" t="b">
        <f t="shared" si="16"/>
        <v>1</v>
      </c>
      <c r="J262" s="4">
        <f t="shared" si="17"/>
        <v>-0.40908556568823018</v>
      </c>
      <c r="M262"/>
      <c r="O262" t="s">
        <v>1028</v>
      </c>
      <c r="P262">
        <v>934</v>
      </c>
      <c r="Q262">
        <v>1679.4</v>
      </c>
    </row>
    <row r="263" spans="1:17" hidden="1">
      <c r="A263" t="s">
        <v>266</v>
      </c>
      <c r="B263" t="s">
        <v>267</v>
      </c>
      <c r="C263" s="27">
        <v>110</v>
      </c>
      <c r="D263" s="18">
        <f t="shared" si="18"/>
        <v>3.6666666666666665</v>
      </c>
      <c r="E263" s="5">
        <v>98.12</v>
      </c>
      <c r="H263" s="18">
        <f t="shared" si="19"/>
        <v>220</v>
      </c>
      <c r="I263" t="b">
        <f t="shared" si="16"/>
        <v>1</v>
      </c>
      <c r="J263" s="4">
        <f t="shared" si="17"/>
        <v>-0.55400000000000005</v>
      </c>
      <c r="M263"/>
      <c r="O263" t="s">
        <v>1069</v>
      </c>
      <c r="P263">
        <v>1221</v>
      </c>
      <c r="Q263">
        <v>1238.4000000000001</v>
      </c>
    </row>
    <row r="264" spans="1:17" hidden="1">
      <c r="A264" t="s">
        <v>138</v>
      </c>
      <c r="B264" t="s">
        <v>139</v>
      </c>
      <c r="C264" s="27">
        <v>2206</v>
      </c>
      <c r="D264" s="18">
        <f t="shared" si="18"/>
        <v>73.533333333333331</v>
      </c>
      <c r="E264" s="5">
        <v>2600.87</v>
      </c>
      <c r="H264" s="18">
        <f t="shared" si="19"/>
        <v>4412</v>
      </c>
      <c r="I264" t="b">
        <f t="shared" si="16"/>
        <v>1</v>
      </c>
      <c r="J264" s="4">
        <f t="shared" si="17"/>
        <v>-0.41050090661831373</v>
      </c>
      <c r="M264"/>
      <c r="O264" t="s">
        <v>999</v>
      </c>
      <c r="P264">
        <v>706</v>
      </c>
      <c r="Q264">
        <v>887.74</v>
      </c>
    </row>
    <row r="265" spans="1:17" hidden="1">
      <c r="A265" s="36" t="s">
        <v>410</v>
      </c>
      <c r="B265" s="36" t="s">
        <v>411</v>
      </c>
      <c r="C265" s="27">
        <v>782</v>
      </c>
      <c r="D265" s="18">
        <f t="shared" si="18"/>
        <v>26.066666666666666</v>
      </c>
      <c r="E265" s="5">
        <v>1723.89</v>
      </c>
      <c r="H265" s="18">
        <f t="shared" si="19"/>
        <v>1564</v>
      </c>
      <c r="I265" t="b">
        <f t="shared" si="16"/>
        <v>1</v>
      </c>
      <c r="J265" s="4">
        <f t="shared" si="17"/>
        <v>0.10223145780051168</v>
      </c>
      <c r="M265"/>
      <c r="O265" t="s">
        <v>984</v>
      </c>
      <c r="P265">
        <v>995</v>
      </c>
      <c r="Q265">
        <v>1253.03</v>
      </c>
    </row>
    <row r="266" spans="1:17" hidden="1">
      <c r="A266" t="s">
        <v>675</v>
      </c>
      <c r="B266" t="s">
        <v>676</v>
      </c>
      <c r="C266" s="27">
        <v>4999</v>
      </c>
      <c r="D266" s="18">
        <f t="shared" si="18"/>
        <v>166.63333333333333</v>
      </c>
      <c r="E266" s="5">
        <v>4708.91</v>
      </c>
      <c r="H266" s="18">
        <f t="shared" si="19"/>
        <v>9998</v>
      </c>
      <c r="I266" t="b">
        <f t="shared" si="16"/>
        <v>1</v>
      </c>
      <c r="J266" s="4">
        <f t="shared" si="17"/>
        <v>-0.52901480296059211</v>
      </c>
      <c r="M266"/>
      <c r="O266" t="s">
        <v>1771</v>
      </c>
      <c r="P266">
        <v>942</v>
      </c>
      <c r="Q266">
        <v>1905.07</v>
      </c>
    </row>
    <row r="267" spans="1:17" hidden="1">
      <c r="A267" s="39" t="s">
        <v>44</v>
      </c>
      <c r="B267" s="36" t="s">
        <v>45</v>
      </c>
      <c r="C267" s="27">
        <v>3353</v>
      </c>
      <c r="D267" s="18">
        <f t="shared" si="18"/>
        <v>111.76666666666667</v>
      </c>
      <c r="E267" s="5">
        <v>3510.39</v>
      </c>
      <c r="H267" s="18">
        <f t="shared" si="19"/>
        <v>6706</v>
      </c>
      <c r="I267" t="b">
        <f t="shared" si="16"/>
        <v>1</v>
      </c>
      <c r="J267" s="4">
        <f t="shared" si="17"/>
        <v>-0.47652997315836565</v>
      </c>
      <c r="M267"/>
      <c r="O267" t="s">
        <v>1071</v>
      </c>
      <c r="P267">
        <v>697</v>
      </c>
      <c r="Q267">
        <v>933.22</v>
      </c>
    </row>
    <row r="268" spans="1:17" hidden="1">
      <c r="A268" s="39" t="s">
        <v>814</v>
      </c>
      <c r="B268" s="36" t="s">
        <v>815</v>
      </c>
      <c r="C268" s="27">
        <v>478</v>
      </c>
      <c r="D268" s="18">
        <f t="shared" si="18"/>
        <v>15.933333333333334</v>
      </c>
      <c r="E268" s="5">
        <v>624.49</v>
      </c>
      <c r="H268" s="18">
        <f t="shared" si="19"/>
        <v>956</v>
      </c>
      <c r="I268" t="b">
        <f t="shared" si="16"/>
        <v>1</v>
      </c>
      <c r="J268" s="4">
        <f t="shared" si="17"/>
        <v>-0.34676778242677819</v>
      </c>
      <c r="M268"/>
      <c r="O268" t="s">
        <v>1079</v>
      </c>
      <c r="P268">
        <v>1585</v>
      </c>
      <c r="Q268">
        <v>1853.67</v>
      </c>
    </row>
    <row r="269" spans="1:17" hidden="1">
      <c r="A269" t="s">
        <v>243</v>
      </c>
      <c r="B269" t="s">
        <v>244</v>
      </c>
      <c r="C269" s="27">
        <v>3221</v>
      </c>
      <c r="D269" s="18">
        <f t="shared" si="18"/>
        <v>107.36666666666666</v>
      </c>
      <c r="E269" s="5">
        <v>3841.18</v>
      </c>
      <c r="H269" s="18">
        <f t="shared" si="19"/>
        <v>6442</v>
      </c>
      <c r="I269" t="b">
        <f t="shared" si="16"/>
        <v>1</v>
      </c>
      <c r="J269" s="4">
        <f t="shared" si="17"/>
        <v>-0.40372865569698857</v>
      </c>
      <c r="M269"/>
      <c r="O269" t="s">
        <v>976</v>
      </c>
      <c r="P269">
        <v>1841</v>
      </c>
      <c r="Q269">
        <v>2630.37</v>
      </c>
    </row>
    <row r="270" spans="1:17">
      <c r="A270" t="s">
        <v>420</v>
      </c>
      <c r="B270" t="s">
        <v>421</v>
      </c>
      <c r="C270" s="27">
        <v>238</v>
      </c>
      <c r="D270" s="18">
        <f t="shared" si="18"/>
        <v>7.9333333333333336</v>
      </c>
      <c r="E270" s="5">
        <v>677.06</v>
      </c>
      <c r="H270" s="18">
        <f t="shared" si="19"/>
        <v>476</v>
      </c>
      <c r="I270" t="b">
        <f t="shared" si="16"/>
        <v>0</v>
      </c>
      <c r="J270" s="4">
        <f t="shared" si="17"/>
        <v>0.42239495798319315</v>
      </c>
      <c r="M270"/>
      <c r="O270" t="s">
        <v>1119</v>
      </c>
      <c r="P270">
        <v>1079</v>
      </c>
      <c r="Q270">
        <v>2122.04</v>
      </c>
    </row>
    <row r="271" spans="1:17" hidden="1">
      <c r="A271" s="39" t="s">
        <v>902</v>
      </c>
      <c r="B271" s="36" t="s">
        <v>903</v>
      </c>
      <c r="C271" s="27">
        <v>472</v>
      </c>
      <c r="D271" s="18">
        <f t="shared" si="18"/>
        <v>15.733333333333333</v>
      </c>
      <c r="E271" s="5">
        <v>1045.97</v>
      </c>
      <c r="H271" s="18">
        <f t="shared" si="19"/>
        <v>944</v>
      </c>
      <c r="I271" t="b">
        <f t="shared" si="16"/>
        <v>1</v>
      </c>
      <c r="J271" s="4">
        <f t="shared" si="17"/>
        <v>0.10801906779661019</v>
      </c>
      <c r="M271"/>
      <c r="O271" t="s">
        <v>1103</v>
      </c>
      <c r="P271">
        <v>337</v>
      </c>
      <c r="Q271">
        <v>529.88</v>
      </c>
    </row>
    <row r="272" spans="1:17" hidden="1">
      <c r="A272" t="s">
        <v>637</v>
      </c>
      <c r="B272" t="s">
        <v>638</v>
      </c>
      <c r="C272" s="27">
        <v>2477</v>
      </c>
      <c r="D272" s="18">
        <f t="shared" si="18"/>
        <v>82.566666666666663</v>
      </c>
      <c r="E272" s="5">
        <v>1640.77</v>
      </c>
      <c r="H272" s="18">
        <f t="shared" si="19"/>
        <v>4954</v>
      </c>
      <c r="I272" t="b">
        <f t="shared" si="16"/>
        <v>1</v>
      </c>
      <c r="J272" s="4">
        <f t="shared" si="17"/>
        <v>-0.66879895034315706</v>
      </c>
      <c r="M272"/>
      <c r="O272" t="s">
        <v>1099</v>
      </c>
      <c r="P272">
        <v>456</v>
      </c>
      <c r="Q272">
        <v>569.27</v>
      </c>
    </row>
    <row r="273" spans="1:17" hidden="1">
      <c r="A273" t="s">
        <v>146</v>
      </c>
      <c r="B273" t="s">
        <v>147</v>
      </c>
      <c r="C273" s="27">
        <v>373</v>
      </c>
      <c r="D273" s="18">
        <f t="shared" si="18"/>
        <v>12.433333333333334</v>
      </c>
      <c r="E273" s="5">
        <v>589.41</v>
      </c>
      <c r="H273" s="18">
        <f t="shared" si="19"/>
        <v>746</v>
      </c>
      <c r="I273" t="b">
        <f t="shared" si="16"/>
        <v>1</v>
      </c>
      <c r="J273" s="4">
        <f t="shared" si="17"/>
        <v>-0.20990616621983915</v>
      </c>
      <c r="M273"/>
      <c r="O273" t="s">
        <v>1127</v>
      </c>
      <c r="P273">
        <v>1330</v>
      </c>
      <c r="Q273">
        <v>1531.91</v>
      </c>
    </row>
    <row r="274" spans="1:17" hidden="1">
      <c r="A274" t="s">
        <v>233</v>
      </c>
      <c r="B274" t="s">
        <v>234</v>
      </c>
      <c r="C274" s="27">
        <v>163</v>
      </c>
      <c r="D274" s="18">
        <f t="shared" si="18"/>
        <v>5.4333333333333336</v>
      </c>
      <c r="E274" s="5">
        <v>27.42</v>
      </c>
      <c r="H274" s="18">
        <f t="shared" si="19"/>
        <v>326</v>
      </c>
      <c r="I274" t="b">
        <f t="shared" si="16"/>
        <v>1</v>
      </c>
      <c r="J274" s="4">
        <f t="shared" si="17"/>
        <v>-0.91588957055214726</v>
      </c>
      <c r="M274"/>
      <c r="O274" t="s">
        <v>1111</v>
      </c>
      <c r="P274">
        <v>736</v>
      </c>
      <c r="Q274">
        <v>930.48</v>
      </c>
    </row>
    <row r="275" spans="1:17" hidden="1">
      <c r="A275" t="s">
        <v>112</v>
      </c>
      <c r="B275" t="s">
        <v>113</v>
      </c>
      <c r="C275" s="27">
        <v>437</v>
      </c>
      <c r="D275" s="18">
        <f t="shared" si="18"/>
        <v>14.566666666666666</v>
      </c>
      <c r="E275" s="5">
        <v>988.49</v>
      </c>
      <c r="H275" s="18">
        <f t="shared" si="19"/>
        <v>874</v>
      </c>
      <c r="I275" t="b">
        <f t="shared" si="16"/>
        <v>1</v>
      </c>
      <c r="J275" s="4">
        <f t="shared" si="17"/>
        <v>0.13099542334096115</v>
      </c>
      <c r="M275"/>
      <c r="O275" t="s">
        <v>1026</v>
      </c>
      <c r="P275">
        <v>468</v>
      </c>
      <c r="Q275">
        <v>604.41</v>
      </c>
    </row>
    <row r="276" spans="1:17" hidden="1">
      <c r="A276" s="39" t="s">
        <v>546</v>
      </c>
      <c r="B276" s="36" t="s">
        <v>547</v>
      </c>
      <c r="C276" s="27">
        <v>991</v>
      </c>
      <c r="D276" s="18">
        <f t="shared" si="18"/>
        <v>33.033333333333331</v>
      </c>
      <c r="E276" s="5">
        <v>1396.96</v>
      </c>
      <c r="H276" s="18">
        <f t="shared" si="19"/>
        <v>1982</v>
      </c>
      <c r="I276" t="b">
        <f t="shared" si="16"/>
        <v>1</v>
      </c>
      <c r="J276" s="4">
        <f t="shared" si="17"/>
        <v>-0.29517658930373358</v>
      </c>
      <c r="M276"/>
      <c r="O276" t="s">
        <v>1160</v>
      </c>
      <c r="P276">
        <v>1391</v>
      </c>
      <c r="Q276">
        <v>3435.81</v>
      </c>
    </row>
    <row r="277" spans="1:17" hidden="1">
      <c r="A277" t="s">
        <v>528</v>
      </c>
      <c r="B277" t="s">
        <v>529</v>
      </c>
      <c r="C277" s="27">
        <v>1645</v>
      </c>
      <c r="D277" s="18">
        <f t="shared" si="18"/>
        <v>54.833333333333336</v>
      </c>
      <c r="E277" s="5">
        <v>2647.17</v>
      </c>
      <c r="H277" s="18">
        <f t="shared" si="19"/>
        <v>3290</v>
      </c>
      <c r="I277" t="b">
        <f t="shared" si="16"/>
        <v>1</v>
      </c>
      <c r="J277" s="4">
        <f t="shared" si="17"/>
        <v>-0.19538905775075988</v>
      </c>
      <c r="M277"/>
      <c r="O277" t="s">
        <v>1016</v>
      </c>
      <c r="P277">
        <v>1388</v>
      </c>
      <c r="Q277">
        <v>939.57</v>
      </c>
    </row>
    <row r="278" spans="1:17">
      <c r="A278" s="39" t="s">
        <v>708</v>
      </c>
      <c r="B278" s="36" t="s">
        <v>709</v>
      </c>
      <c r="C278" s="18">
        <v>357</v>
      </c>
      <c r="D278" s="18">
        <f t="shared" si="18"/>
        <v>11.9</v>
      </c>
      <c r="E278" s="5">
        <v>1004.71</v>
      </c>
      <c r="H278" s="18">
        <f t="shared" si="19"/>
        <v>714</v>
      </c>
      <c r="I278" t="b">
        <f t="shared" si="16"/>
        <v>0</v>
      </c>
      <c r="J278" s="4">
        <f t="shared" si="17"/>
        <v>0.4071568627450981</v>
      </c>
      <c r="M278"/>
      <c r="O278" t="s">
        <v>950</v>
      </c>
      <c r="P278">
        <v>2475</v>
      </c>
      <c r="Q278">
        <v>4662.12</v>
      </c>
    </row>
    <row r="279" spans="1:17" hidden="1">
      <c r="A279" s="36" t="s">
        <v>855</v>
      </c>
      <c r="B279" s="36" t="s">
        <v>856</v>
      </c>
      <c r="C279" s="27">
        <v>993</v>
      </c>
      <c r="D279" s="18">
        <f t="shared" si="18"/>
        <v>33.1</v>
      </c>
      <c r="E279" s="5">
        <v>1656.96</v>
      </c>
      <c r="H279" s="18">
        <f t="shared" si="19"/>
        <v>1986</v>
      </c>
      <c r="I279" t="b">
        <f t="shared" si="16"/>
        <v>1</v>
      </c>
      <c r="J279" s="4">
        <f t="shared" si="17"/>
        <v>-0.16567975830815707</v>
      </c>
      <c r="M279"/>
      <c r="O279" t="s">
        <v>1077</v>
      </c>
      <c r="P279">
        <v>480</v>
      </c>
      <c r="Q279">
        <v>1367.15</v>
      </c>
    </row>
    <row r="280" spans="1:17" hidden="1">
      <c r="A280" s="39" t="s">
        <v>169</v>
      </c>
      <c r="B280" s="36" t="s">
        <v>170</v>
      </c>
      <c r="C280" s="18">
        <v>1009</v>
      </c>
      <c r="D280" s="18">
        <f t="shared" si="18"/>
        <v>33.633333333333333</v>
      </c>
      <c r="E280" s="5">
        <v>1427.13</v>
      </c>
      <c r="H280" s="18">
        <f t="shared" si="19"/>
        <v>2018</v>
      </c>
      <c r="I280" t="b">
        <f t="shared" si="16"/>
        <v>1</v>
      </c>
      <c r="J280" s="4">
        <f t="shared" si="17"/>
        <v>-0.29279980178394449</v>
      </c>
      <c r="M280"/>
      <c r="O280" t="s">
        <v>1173</v>
      </c>
      <c r="P280">
        <v>2459</v>
      </c>
      <c r="Q280">
        <v>2134.25</v>
      </c>
    </row>
    <row r="281" spans="1:17" hidden="1">
      <c r="A281" t="s">
        <v>538</v>
      </c>
      <c r="B281" t="s">
        <v>539</v>
      </c>
      <c r="C281" s="27">
        <v>346</v>
      </c>
      <c r="D281" s="18">
        <f t="shared" si="18"/>
        <v>11.533333333333333</v>
      </c>
      <c r="E281" s="5">
        <v>733.87</v>
      </c>
      <c r="H281" s="18">
        <f t="shared" si="19"/>
        <v>692</v>
      </c>
      <c r="I281" t="b">
        <f t="shared" si="16"/>
        <v>1</v>
      </c>
      <c r="J281" s="4">
        <f t="shared" si="17"/>
        <v>6.0505780346820748E-2</v>
      </c>
      <c r="M281"/>
      <c r="O281" t="s">
        <v>1018</v>
      </c>
      <c r="P281">
        <v>957</v>
      </c>
      <c r="Q281">
        <v>952.57</v>
      </c>
    </row>
    <row r="282" spans="1:17" hidden="1">
      <c r="A282" t="s">
        <v>73</v>
      </c>
      <c r="B282" t="s">
        <v>74</v>
      </c>
      <c r="C282" s="27">
        <v>1792</v>
      </c>
      <c r="D282" s="18">
        <f t="shared" si="18"/>
        <v>59.733333333333334</v>
      </c>
      <c r="E282" s="5">
        <v>352.05</v>
      </c>
      <c r="H282" s="18">
        <f t="shared" si="19"/>
        <v>3584</v>
      </c>
      <c r="I282" t="b">
        <f t="shared" si="16"/>
        <v>1</v>
      </c>
      <c r="J282" s="4">
        <f t="shared" si="17"/>
        <v>-0.90177176339285714</v>
      </c>
      <c r="M282"/>
      <c r="O282" t="s">
        <v>1694</v>
      </c>
      <c r="P282">
        <v>171</v>
      </c>
      <c r="Q282">
        <v>98.72</v>
      </c>
    </row>
    <row r="283" spans="1:17" hidden="1">
      <c r="A283" t="s">
        <v>605</v>
      </c>
      <c r="B283" t="s">
        <v>606</v>
      </c>
      <c r="C283" s="27">
        <v>3165</v>
      </c>
      <c r="D283" s="18">
        <f t="shared" si="18"/>
        <v>105.5</v>
      </c>
      <c r="E283" s="5">
        <v>2441.23</v>
      </c>
      <c r="H283" s="18">
        <f t="shared" si="19"/>
        <v>6330</v>
      </c>
      <c r="I283" t="b">
        <f t="shared" si="16"/>
        <v>1</v>
      </c>
      <c r="J283" s="4">
        <f t="shared" si="17"/>
        <v>-0.61433965244865718</v>
      </c>
      <c r="M283"/>
      <c r="O283" t="s">
        <v>1785</v>
      </c>
      <c r="P283">
        <v>0</v>
      </c>
      <c r="Q283">
        <v>0</v>
      </c>
    </row>
    <row r="284" spans="1:17">
      <c r="A284" t="s">
        <v>794</v>
      </c>
      <c r="B284" t="s">
        <v>795</v>
      </c>
      <c r="C284" s="27">
        <v>930</v>
      </c>
      <c r="D284" s="18">
        <f t="shared" si="18"/>
        <v>31</v>
      </c>
      <c r="E284" s="5">
        <v>2942.27</v>
      </c>
      <c r="H284" s="18">
        <f t="shared" si="19"/>
        <v>1860</v>
      </c>
      <c r="I284" t="b">
        <f t="shared" si="16"/>
        <v>0</v>
      </c>
      <c r="J284" s="4">
        <f t="shared" si="17"/>
        <v>0.58186559139784944</v>
      </c>
      <c r="M284"/>
      <c r="O284" t="s">
        <v>1062</v>
      </c>
      <c r="P284">
        <v>671</v>
      </c>
      <c r="Q284">
        <v>0</v>
      </c>
    </row>
    <row r="285" spans="1:17" hidden="1">
      <c r="A285" t="s">
        <v>106</v>
      </c>
      <c r="B285" t="s">
        <v>107</v>
      </c>
      <c r="C285" s="27">
        <v>948</v>
      </c>
      <c r="D285" s="18">
        <f t="shared" si="18"/>
        <v>31.6</v>
      </c>
      <c r="E285" s="5">
        <v>2034.47</v>
      </c>
      <c r="H285" s="18">
        <f t="shared" si="19"/>
        <v>1896</v>
      </c>
      <c r="I285" t="b">
        <f t="shared" si="16"/>
        <v>1</v>
      </c>
      <c r="J285" s="4">
        <f t="shared" si="17"/>
        <v>7.3032700421940877E-2</v>
      </c>
      <c r="M285"/>
      <c r="O285" t="s">
        <v>1265</v>
      </c>
      <c r="P285">
        <v>1758</v>
      </c>
      <c r="Q285">
        <v>3478.4</v>
      </c>
    </row>
    <row r="286" spans="1:17" hidden="1">
      <c r="A286" t="s">
        <v>712</v>
      </c>
      <c r="B286" s="26" t="s">
        <v>713</v>
      </c>
      <c r="C286" s="27">
        <v>1890</v>
      </c>
      <c r="D286" s="18">
        <f t="shared" si="18"/>
        <v>63</v>
      </c>
      <c r="E286" s="5">
        <v>2315.33</v>
      </c>
      <c r="H286" s="18">
        <f t="shared" si="19"/>
        <v>3780</v>
      </c>
      <c r="I286" t="b">
        <f t="shared" si="16"/>
        <v>1</v>
      </c>
      <c r="J286" s="4">
        <f t="shared" si="17"/>
        <v>-0.38747883597883603</v>
      </c>
      <c r="M286"/>
      <c r="O286" t="s">
        <v>1197</v>
      </c>
      <c r="P286">
        <v>1810</v>
      </c>
      <c r="Q286">
        <v>2248.7199999999998</v>
      </c>
    </row>
    <row r="287" spans="1:17" hidden="1">
      <c r="A287" s="39" t="s">
        <v>911</v>
      </c>
      <c r="B287" s="36" t="s">
        <v>912</v>
      </c>
      <c r="C287" s="18">
        <v>6157</v>
      </c>
      <c r="D287" s="18">
        <f t="shared" si="18"/>
        <v>205.23333333333332</v>
      </c>
      <c r="E287" s="5">
        <v>7976.37</v>
      </c>
      <c r="H287" s="18">
        <f t="shared" si="19"/>
        <v>12314</v>
      </c>
      <c r="I287" t="b">
        <f t="shared" si="16"/>
        <v>1</v>
      </c>
      <c r="J287" s="4">
        <f t="shared" si="17"/>
        <v>-0.35225190839694653</v>
      </c>
      <c r="M287"/>
      <c r="O287" t="s">
        <v>1705</v>
      </c>
      <c r="P287">
        <v>130</v>
      </c>
      <c r="Q287">
        <v>0</v>
      </c>
    </row>
    <row r="288" spans="1:17" hidden="1">
      <c r="A288" t="s">
        <v>432</v>
      </c>
      <c r="B288" t="s">
        <v>433</v>
      </c>
      <c r="C288" s="27">
        <v>1566</v>
      </c>
      <c r="D288" s="18">
        <f t="shared" si="18"/>
        <v>52.2</v>
      </c>
      <c r="E288" s="5">
        <v>958.25</v>
      </c>
      <c r="H288" s="18">
        <f t="shared" si="19"/>
        <v>3132</v>
      </c>
      <c r="I288" t="b">
        <f t="shared" si="16"/>
        <v>1</v>
      </c>
      <c r="J288" s="4">
        <f t="shared" si="17"/>
        <v>-0.69404533844189009</v>
      </c>
      <c r="M288"/>
      <c r="O288" t="s">
        <v>1241</v>
      </c>
      <c r="P288">
        <v>1461</v>
      </c>
      <c r="Q288">
        <v>3193.14</v>
      </c>
    </row>
    <row r="289" spans="1:17" hidden="1">
      <c r="A289" t="s">
        <v>26</v>
      </c>
      <c r="B289" t="s">
        <v>27</v>
      </c>
      <c r="C289" s="27">
        <v>44290</v>
      </c>
      <c r="D289" s="18">
        <f t="shared" si="18"/>
        <v>1476.3333333333333</v>
      </c>
      <c r="E289" s="5">
        <v>54763.47</v>
      </c>
      <c r="H289" s="18">
        <f t="shared" si="19"/>
        <v>88580</v>
      </c>
      <c r="I289" t="b">
        <f t="shared" si="16"/>
        <v>1</v>
      </c>
      <c r="J289" s="4">
        <f t="shared" si="17"/>
        <v>-0.38176258749153302</v>
      </c>
      <c r="M289" s="110"/>
      <c r="O289" t="s">
        <v>978</v>
      </c>
      <c r="P289">
        <v>898</v>
      </c>
      <c r="Q289">
        <v>1140.48</v>
      </c>
    </row>
    <row r="290" spans="1:17" hidden="1">
      <c r="A290" s="36" t="s">
        <v>895</v>
      </c>
      <c r="B290" s="26" t="s">
        <v>896</v>
      </c>
      <c r="C290" s="27">
        <v>2016</v>
      </c>
      <c r="D290" s="18">
        <f t="shared" si="18"/>
        <v>67.2</v>
      </c>
      <c r="E290" s="5">
        <v>3087.29</v>
      </c>
      <c r="H290" s="18">
        <f t="shared" si="19"/>
        <v>4032</v>
      </c>
      <c r="I290" t="b">
        <f t="shared" si="16"/>
        <v>1</v>
      </c>
      <c r="J290" s="4">
        <f t="shared" si="17"/>
        <v>-0.23430307539682538</v>
      </c>
      <c r="M290"/>
      <c r="O290" t="s">
        <v>980</v>
      </c>
      <c r="P290">
        <v>767</v>
      </c>
      <c r="Q290">
        <v>780.51</v>
      </c>
    </row>
    <row r="291" spans="1:17" hidden="1">
      <c r="A291" s="39" t="s">
        <v>79</v>
      </c>
      <c r="B291" s="36" t="s">
        <v>80</v>
      </c>
      <c r="C291" s="27">
        <v>676</v>
      </c>
      <c r="D291" s="18">
        <f t="shared" si="18"/>
        <v>22.533333333333335</v>
      </c>
      <c r="E291" s="5">
        <v>1283.93</v>
      </c>
      <c r="H291" s="18">
        <f t="shared" si="19"/>
        <v>1352</v>
      </c>
      <c r="I291" t="b">
        <f t="shared" si="16"/>
        <v>1</v>
      </c>
      <c r="J291" s="4">
        <f t="shared" si="17"/>
        <v>-5.0347633136094583E-2</v>
      </c>
      <c r="M291"/>
      <c r="O291" t="s">
        <v>1020</v>
      </c>
      <c r="P291">
        <v>1069</v>
      </c>
      <c r="Q291">
        <v>1609.44</v>
      </c>
    </row>
    <row r="292" spans="1:17" hidden="1">
      <c r="A292" s="40" t="s">
        <v>886</v>
      </c>
      <c r="B292" s="36" t="s">
        <v>887</v>
      </c>
      <c r="C292" s="27">
        <v>3821</v>
      </c>
      <c r="D292" s="18">
        <f t="shared" si="18"/>
        <v>127.36666666666666</v>
      </c>
      <c r="E292" s="5">
        <v>7184.69</v>
      </c>
      <c r="H292" s="18">
        <f t="shared" si="19"/>
        <v>7642</v>
      </c>
      <c r="I292" t="b">
        <f t="shared" si="16"/>
        <v>1</v>
      </c>
      <c r="J292" s="4">
        <f t="shared" si="17"/>
        <v>-5.9841664485736801E-2</v>
      </c>
      <c r="M292"/>
      <c r="O292" t="s">
        <v>1279</v>
      </c>
      <c r="P292">
        <v>1050</v>
      </c>
      <c r="Q292">
        <v>2642.42</v>
      </c>
    </row>
    <row r="293" spans="1:17">
      <c r="A293" t="s">
        <v>861</v>
      </c>
      <c r="B293" t="s">
        <v>862</v>
      </c>
      <c r="C293" s="27">
        <v>902</v>
      </c>
      <c r="D293" s="18">
        <f t="shared" si="18"/>
        <v>30.066666666666666</v>
      </c>
      <c r="E293" s="5">
        <v>2559.46</v>
      </c>
      <c r="H293" s="18">
        <f t="shared" si="19"/>
        <v>1804</v>
      </c>
      <c r="I293" t="b">
        <f t="shared" si="16"/>
        <v>0</v>
      </c>
      <c r="J293" s="4">
        <f t="shared" si="17"/>
        <v>0.41876940133037688</v>
      </c>
      <c r="M293"/>
      <c r="O293" t="s">
        <v>1011</v>
      </c>
      <c r="P293">
        <v>1599</v>
      </c>
      <c r="Q293">
        <v>2462.29</v>
      </c>
    </row>
    <row r="294" spans="1:17" hidden="1">
      <c r="A294" s="36" t="s">
        <v>757</v>
      </c>
      <c r="B294" s="36" t="s">
        <v>758</v>
      </c>
      <c r="C294" s="27">
        <v>1403</v>
      </c>
      <c r="D294" s="18">
        <f t="shared" si="18"/>
        <v>46.766666666666666</v>
      </c>
      <c r="E294" s="5">
        <v>2037.94</v>
      </c>
      <c r="H294" s="18">
        <f t="shared" si="19"/>
        <v>2806</v>
      </c>
      <c r="I294" t="b">
        <f t="shared" si="16"/>
        <v>1</v>
      </c>
      <c r="J294" s="4">
        <f t="shared" si="17"/>
        <v>-0.27372059871703491</v>
      </c>
      <c r="M294"/>
      <c r="O294" t="s">
        <v>1093</v>
      </c>
      <c r="P294">
        <v>986</v>
      </c>
      <c r="Q294">
        <v>1511.76</v>
      </c>
    </row>
    <row r="295" spans="1:17" hidden="1">
      <c r="A295" t="s">
        <v>258</v>
      </c>
      <c r="B295" t="s">
        <v>259</v>
      </c>
      <c r="C295" s="27">
        <v>853</v>
      </c>
      <c r="D295" s="18">
        <f t="shared" si="18"/>
        <v>28.433333333333334</v>
      </c>
      <c r="E295" s="5">
        <v>1382.39</v>
      </c>
      <c r="H295" s="18">
        <f t="shared" si="19"/>
        <v>1706</v>
      </c>
      <c r="I295" t="b">
        <f t="shared" si="16"/>
        <v>1</v>
      </c>
      <c r="J295" s="4">
        <f t="shared" si="17"/>
        <v>-0.18968933177022274</v>
      </c>
      <c r="M295"/>
      <c r="O295" t="s">
        <v>1214</v>
      </c>
      <c r="P295">
        <v>1097</v>
      </c>
      <c r="Q295">
        <v>2322.02</v>
      </c>
    </row>
    <row r="296" spans="1:17" hidden="1">
      <c r="A296" s="39" t="s">
        <v>304</v>
      </c>
      <c r="B296" s="36" t="s">
        <v>305</v>
      </c>
      <c r="C296" s="27">
        <v>877</v>
      </c>
      <c r="D296" s="18">
        <f t="shared" si="18"/>
        <v>29.233333333333334</v>
      </c>
      <c r="E296" s="5">
        <v>1962.91</v>
      </c>
      <c r="H296" s="18">
        <f t="shared" si="19"/>
        <v>1754</v>
      </c>
      <c r="I296" t="b">
        <f t="shared" si="16"/>
        <v>1</v>
      </c>
      <c r="J296" s="4">
        <f t="shared" si="17"/>
        <v>0.11910490307867727</v>
      </c>
      <c r="M296"/>
      <c r="O296" t="s">
        <v>1024</v>
      </c>
      <c r="P296">
        <v>4451</v>
      </c>
      <c r="Q296">
        <v>6429.45</v>
      </c>
    </row>
    <row r="297" spans="1:17" hidden="1">
      <c r="A297" s="36" t="s">
        <v>478</v>
      </c>
      <c r="B297" s="36" t="s">
        <v>479</v>
      </c>
      <c r="C297" s="27">
        <v>5735</v>
      </c>
      <c r="D297" s="18">
        <f t="shared" si="18"/>
        <v>191.16666666666666</v>
      </c>
      <c r="E297" s="5">
        <v>9966.93</v>
      </c>
      <c r="H297" s="18">
        <f t="shared" si="19"/>
        <v>11470</v>
      </c>
      <c r="I297" t="b">
        <f t="shared" ref="I297:I338" si="20">IF(E297&gt;1.2*H297,FALSE,TRUE)</f>
        <v>1</v>
      </c>
      <c r="J297" s="4">
        <f t="shared" ref="J297:J338" si="21">E297/H297-1</f>
        <v>-0.13104359197907578</v>
      </c>
      <c r="M297"/>
      <c r="O297" t="s">
        <v>1097</v>
      </c>
      <c r="P297">
        <v>1048</v>
      </c>
      <c r="Q297">
        <v>1274.44</v>
      </c>
    </row>
    <row r="298" spans="1:17" hidden="1">
      <c r="A298" s="39" t="s">
        <v>825</v>
      </c>
      <c r="B298" s="36" t="s">
        <v>826</v>
      </c>
      <c r="C298" s="27">
        <v>2780</v>
      </c>
      <c r="D298" s="18">
        <f t="shared" si="18"/>
        <v>92.666666666666671</v>
      </c>
      <c r="E298" s="5">
        <v>3450.76</v>
      </c>
      <c r="H298" s="18">
        <f t="shared" si="19"/>
        <v>5560</v>
      </c>
      <c r="I298" t="b">
        <f t="shared" si="20"/>
        <v>1</v>
      </c>
      <c r="J298" s="4">
        <f t="shared" si="21"/>
        <v>-0.37935971223021581</v>
      </c>
      <c r="O298" t="s">
        <v>1707</v>
      </c>
      <c r="P298">
        <v>140</v>
      </c>
      <c r="Q298">
        <v>0</v>
      </c>
    </row>
    <row r="299" spans="1:17">
      <c r="A299" s="39" t="s">
        <v>631</v>
      </c>
      <c r="B299" s="36" t="s">
        <v>632</v>
      </c>
      <c r="C299" s="27">
        <v>972</v>
      </c>
      <c r="D299" s="18">
        <f t="shared" si="18"/>
        <v>32.4</v>
      </c>
      <c r="E299" s="116">
        <v>2876.56</v>
      </c>
      <c r="H299" s="18">
        <f t="shared" si="19"/>
        <v>1944</v>
      </c>
      <c r="I299" t="b">
        <f t="shared" si="20"/>
        <v>0</v>
      </c>
      <c r="J299" s="4">
        <f t="shared" si="21"/>
        <v>0.47971193415637847</v>
      </c>
      <c r="M299"/>
      <c r="O299" t="s">
        <v>1250</v>
      </c>
      <c r="P299">
        <v>931</v>
      </c>
      <c r="Q299">
        <v>1583.03</v>
      </c>
    </row>
    <row r="300" spans="1:17" hidden="1">
      <c r="A300" t="s">
        <v>76</v>
      </c>
      <c r="B300" t="s">
        <v>77</v>
      </c>
      <c r="C300" s="27">
        <v>1001</v>
      </c>
      <c r="D300" s="18">
        <f t="shared" si="18"/>
        <v>33.366666666666667</v>
      </c>
      <c r="E300" s="5">
        <v>1730.43</v>
      </c>
      <c r="H300" s="18">
        <f t="shared" si="19"/>
        <v>2002</v>
      </c>
      <c r="I300" t="b">
        <f t="shared" si="20"/>
        <v>1</v>
      </c>
      <c r="J300" s="4">
        <f t="shared" si="21"/>
        <v>-0.13564935064935058</v>
      </c>
      <c r="M300"/>
      <c r="O300" t="s">
        <v>1083</v>
      </c>
      <c r="P300">
        <v>348</v>
      </c>
      <c r="Q300">
        <v>233.13</v>
      </c>
    </row>
    <row r="301" spans="1:17" hidden="1">
      <c r="A301" s="39" t="s">
        <v>816</v>
      </c>
      <c r="B301" s="36" t="s">
        <v>817</v>
      </c>
      <c r="C301" s="27">
        <v>3358</v>
      </c>
      <c r="D301" s="18">
        <f t="shared" si="18"/>
        <v>111.93333333333334</v>
      </c>
      <c r="E301" s="5">
        <v>5986.86</v>
      </c>
      <c r="H301" s="18">
        <f t="shared" si="19"/>
        <v>6716</v>
      </c>
      <c r="I301" t="b">
        <f t="shared" si="20"/>
        <v>1</v>
      </c>
      <c r="J301" s="4">
        <f t="shared" si="21"/>
        <v>-0.108567599761763</v>
      </c>
      <c r="M301"/>
      <c r="O301" t="s">
        <v>1252</v>
      </c>
      <c r="P301">
        <v>1493</v>
      </c>
      <c r="Q301">
        <v>2515.94</v>
      </c>
    </row>
    <row r="302" spans="1:17" hidden="1">
      <c r="A302" s="39" t="s">
        <v>203</v>
      </c>
      <c r="B302" s="36" t="s">
        <v>204</v>
      </c>
      <c r="C302" s="27">
        <v>1753</v>
      </c>
      <c r="D302" s="18">
        <f t="shared" si="18"/>
        <v>58.43333333333333</v>
      </c>
      <c r="E302" s="5">
        <v>3027.01</v>
      </c>
      <c r="H302" s="18">
        <f t="shared" si="19"/>
        <v>3506</v>
      </c>
      <c r="I302" t="b">
        <f t="shared" si="20"/>
        <v>1</v>
      </c>
      <c r="J302" s="4">
        <f t="shared" si="21"/>
        <v>-0.13662007986309177</v>
      </c>
      <c r="M302"/>
      <c r="O302" t="s">
        <v>961</v>
      </c>
      <c r="P302">
        <v>1954</v>
      </c>
      <c r="Q302">
        <v>2412.92</v>
      </c>
    </row>
    <row r="303" spans="1:17" hidden="1">
      <c r="A303" t="s">
        <v>62</v>
      </c>
      <c r="B303" t="s">
        <v>63</v>
      </c>
      <c r="C303" s="27">
        <v>3067</v>
      </c>
      <c r="D303" s="18">
        <f t="shared" si="18"/>
        <v>102.23333333333333</v>
      </c>
      <c r="E303" s="5">
        <v>3786.18</v>
      </c>
      <c r="H303" s="18">
        <f t="shared" si="19"/>
        <v>6134</v>
      </c>
      <c r="I303" t="b">
        <f t="shared" si="20"/>
        <v>1</v>
      </c>
      <c r="J303" s="4">
        <f t="shared" si="21"/>
        <v>-0.38275513531137928</v>
      </c>
      <c r="M303"/>
      <c r="O303" t="s">
        <v>1692</v>
      </c>
      <c r="P303">
        <v>595</v>
      </c>
      <c r="Q303">
        <v>486.99</v>
      </c>
    </row>
    <row r="304" spans="1:17">
      <c r="A304" t="s">
        <v>544</v>
      </c>
      <c r="B304" t="s">
        <v>545</v>
      </c>
      <c r="C304" s="27">
        <v>347</v>
      </c>
      <c r="D304" s="18">
        <f t="shared" si="18"/>
        <v>11.566666666666666</v>
      </c>
      <c r="E304" s="5">
        <v>868.68</v>
      </c>
      <c r="H304" s="18">
        <f t="shared" si="19"/>
        <v>694</v>
      </c>
      <c r="I304" t="b">
        <f t="shared" si="20"/>
        <v>0</v>
      </c>
      <c r="J304" s="4">
        <f t="shared" si="21"/>
        <v>0.2517002881844379</v>
      </c>
      <c r="M304"/>
      <c r="O304" t="s">
        <v>1189</v>
      </c>
      <c r="P304">
        <v>1003</v>
      </c>
      <c r="Q304">
        <v>879.2</v>
      </c>
    </row>
    <row r="305" spans="1:17" hidden="1">
      <c r="A305" t="s">
        <v>863</v>
      </c>
      <c r="B305" t="s">
        <v>864</v>
      </c>
      <c r="C305" s="27">
        <v>3199</v>
      </c>
      <c r="D305" s="18">
        <f t="shared" si="18"/>
        <v>106.63333333333334</v>
      </c>
      <c r="E305" s="5">
        <v>5302.99</v>
      </c>
      <c r="H305" s="18">
        <f t="shared" si="19"/>
        <v>6398</v>
      </c>
      <c r="I305" t="b">
        <f t="shared" si="20"/>
        <v>1</v>
      </c>
      <c r="J305" s="4">
        <f t="shared" si="21"/>
        <v>-0.17114879649890591</v>
      </c>
      <c r="M305"/>
      <c r="O305" t="s">
        <v>1148</v>
      </c>
      <c r="P305">
        <v>721</v>
      </c>
      <c r="Q305">
        <v>855.88</v>
      </c>
    </row>
    <row r="306" spans="1:17" hidden="1">
      <c r="A306" t="s">
        <v>558</v>
      </c>
      <c r="B306" t="s">
        <v>559</v>
      </c>
      <c r="C306" s="27">
        <v>1102</v>
      </c>
      <c r="D306" s="18">
        <f t="shared" si="18"/>
        <v>36.733333333333334</v>
      </c>
      <c r="E306" s="5">
        <v>1535.33</v>
      </c>
      <c r="H306" s="18">
        <f t="shared" si="19"/>
        <v>2204</v>
      </c>
      <c r="I306" t="b">
        <f t="shared" si="20"/>
        <v>1</v>
      </c>
      <c r="J306" s="4">
        <f t="shared" si="21"/>
        <v>-0.3033892921960073</v>
      </c>
      <c r="M306"/>
      <c r="O306" t="s">
        <v>1193</v>
      </c>
      <c r="P306">
        <v>1221</v>
      </c>
      <c r="Q306">
        <v>0</v>
      </c>
    </row>
    <row r="307" spans="1:17" hidden="1">
      <c r="A307" t="s">
        <v>847</v>
      </c>
      <c r="B307" t="s">
        <v>848</v>
      </c>
      <c r="C307" s="27">
        <v>1514</v>
      </c>
      <c r="D307" s="18">
        <f t="shared" si="18"/>
        <v>50.466666666666669</v>
      </c>
      <c r="E307" s="5">
        <v>3537.1</v>
      </c>
      <c r="H307" s="18">
        <f t="shared" si="19"/>
        <v>3028</v>
      </c>
      <c r="I307" t="b">
        <f t="shared" si="20"/>
        <v>1</v>
      </c>
      <c r="J307" s="4">
        <f t="shared" si="21"/>
        <v>0.16813077939233811</v>
      </c>
      <c r="M307"/>
      <c r="O307" t="s">
        <v>994</v>
      </c>
      <c r="P307">
        <v>722</v>
      </c>
      <c r="Q307">
        <v>486.87</v>
      </c>
    </row>
    <row r="308" spans="1:17" hidden="1">
      <c r="A308" t="s">
        <v>730</v>
      </c>
      <c r="B308" t="s">
        <v>731</v>
      </c>
      <c r="C308" s="27">
        <v>2677</v>
      </c>
      <c r="D308" s="18">
        <f t="shared" si="18"/>
        <v>89.233333333333334</v>
      </c>
      <c r="E308" s="5">
        <v>523.46</v>
      </c>
      <c r="H308" s="18">
        <f t="shared" si="19"/>
        <v>5354</v>
      </c>
      <c r="I308" t="b">
        <f t="shared" si="20"/>
        <v>1</v>
      </c>
      <c r="J308" s="4">
        <f t="shared" si="21"/>
        <v>-0.90223010833022044</v>
      </c>
      <c r="M308"/>
      <c r="O308" t="s">
        <v>1245</v>
      </c>
      <c r="P308">
        <v>1270</v>
      </c>
      <c r="Q308">
        <v>2839.08</v>
      </c>
    </row>
    <row r="309" spans="1:17" hidden="1">
      <c r="A309" s="39" t="s">
        <v>116</v>
      </c>
      <c r="B309" s="36" t="s">
        <v>117</v>
      </c>
      <c r="C309" s="27">
        <v>1147</v>
      </c>
      <c r="D309" s="18">
        <f t="shared" si="18"/>
        <v>38.233333333333334</v>
      </c>
      <c r="E309" s="5">
        <v>1024.6099999999999</v>
      </c>
      <c r="H309" s="18">
        <f t="shared" si="19"/>
        <v>2294</v>
      </c>
      <c r="I309" t="b">
        <f t="shared" si="20"/>
        <v>1</v>
      </c>
      <c r="J309" s="4">
        <f t="shared" si="21"/>
        <v>-0.55335222319093291</v>
      </c>
      <c r="O309" t="s">
        <v>1298</v>
      </c>
      <c r="P309">
        <v>3590</v>
      </c>
      <c r="Q309">
        <v>3329.15</v>
      </c>
    </row>
    <row r="310" spans="1:17" hidden="1">
      <c r="A310" t="s">
        <v>29</v>
      </c>
      <c r="B310" t="s">
        <v>30</v>
      </c>
      <c r="C310" s="27">
        <v>7220</v>
      </c>
      <c r="D310" s="18">
        <f t="shared" si="18"/>
        <v>240.66666666666666</v>
      </c>
      <c r="E310" s="5">
        <v>6293.82</v>
      </c>
      <c r="H310" s="18">
        <f t="shared" si="19"/>
        <v>14440</v>
      </c>
      <c r="I310" t="b">
        <f t="shared" si="20"/>
        <v>1</v>
      </c>
      <c r="J310" s="4">
        <f t="shared" si="21"/>
        <v>-0.5641398891966759</v>
      </c>
      <c r="M310"/>
      <c r="O310" t="s">
        <v>974</v>
      </c>
      <c r="P310">
        <v>1071</v>
      </c>
      <c r="Q310">
        <v>1111.29</v>
      </c>
    </row>
    <row r="311" spans="1:17" hidden="1">
      <c r="A311" s="39" t="s">
        <v>197</v>
      </c>
      <c r="B311" s="36" t="s">
        <v>198</v>
      </c>
      <c r="C311" s="18">
        <v>1527</v>
      </c>
      <c r="D311" s="18">
        <f t="shared" si="18"/>
        <v>50.9</v>
      </c>
      <c r="E311" s="5">
        <v>2792.36</v>
      </c>
      <c r="H311" s="18">
        <f t="shared" si="19"/>
        <v>3054</v>
      </c>
      <c r="I311" t="b">
        <f t="shared" si="20"/>
        <v>1</v>
      </c>
      <c r="J311" s="4">
        <f t="shared" si="21"/>
        <v>-8.5671250818598499E-2</v>
      </c>
      <c r="M311"/>
      <c r="O311" t="s">
        <v>1131</v>
      </c>
      <c r="P311">
        <v>1019</v>
      </c>
      <c r="Q311">
        <v>2154.46</v>
      </c>
    </row>
    <row r="312" spans="1:17" hidden="1">
      <c r="A312" t="s">
        <v>23</v>
      </c>
      <c r="B312" t="s">
        <v>24</v>
      </c>
      <c r="C312" s="27">
        <v>19267</v>
      </c>
      <c r="D312" s="18">
        <f t="shared" si="18"/>
        <v>642.23333333333335</v>
      </c>
      <c r="E312" s="5">
        <v>14033.66</v>
      </c>
      <c r="H312" s="18">
        <f t="shared" si="19"/>
        <v>38534</v>
      </c>
      <c r="I312" t="b">
        <f t="shared" si="20"/>
        <v>1</v>
      </c>
      <c r="J312" s="4">
        <f t="shared" si="21"/>
        <v>-0.6358109721285099</v>
      </c>
      <c r="M312"/>
      <c r="O312" t="s">
        <v>1261</v>
      </c>
      <c r="P312">
        <v>2100</v>
      </c>
      <c r="Q312">
        <v>2900.04</v>
      </c>
    </row>
    <row r="313" spans="1:17" hidden="1">
      <c r="A313" s="39" t="s">
        <v>907</v>
      </c>
      <c r="B313" s="36" t="s">
        <v>908</v>
      </c>
      <c r="C313" s="27">
        <v>3135</v>
      </c>
      <c r="D313" s="18">
        <f t="shared" si="18"/>
        <v>104.5</v>
      </c>
      <c r="E313" s="5">
        <v>4052.96</v>
      </c>
      <c r="H313" s="18">
        <f t="shared" si="19"/>
        <v>6270</v>
      </c>
      <c r="I313" t="b">
        <f t="shared" si="20"/>
        <v>1</v>
      </c>
      <c r="J313" s="4">
        <f t="shared" si="21"/>
        <v>-0.35359489633173846</v>
      </c>
      <c r="M313"/>
      <c r="O313" t="s">
        <v>1305</v>
      </c>
      <c r="P313">
        <v>2322</v>
      </c>
      <c r="Q313">
        <v>2781.16</v>
      </c>
    </row>
    <row r="314" spans="1:17" hidden="1">
      <c r="A314" s="39" t="s">
        <v>615</v>
      </c>
      <c r="B314" s="36" t="s">
        <v>616</v>
      </c>
      <c r="C314" s="18">
        <v>670</v>
      </c>
      <c r="D314" s="18">
        <f t="shared" si="18"/>
        <v>22.333333333333332</v>
      </c>
      <c r="E314" s="5">
        <v>918.98</v>
      </c>
      <c r="H314" s="18">
        <f t="shared" si="19"/>
        <v>1340</v>
      </c>
      <c r="I314" t="b">
        <f t="shared" si="20"/>
        <v>1</v>
      </c>
      <c r="J314" s="4">
        <f t="shared" si="21"/>
        <v>-0.31419402985074629</v>
      </c>
      <c r="M314"/>
      <c r="O314" t="s">
        <v>1135</v>
      </c>
      <c r="P314">
        <v>485</v>
      </c>
      <c r="Q314">
        <v>329.07</v>
      </c>
    </row>
    <row r="315" spans="1:17" hidden="1">
      <c r="A315" t="s">
        <v>905</v>
      </c>
      <c r="B315" t="s">
        <v>906</v>
      </c>
      <c r="C315" s="27">
        <v>5932</v>
      </c>
      <c r="D315" s="18">
        <f t="shared" si="18"/>
        <v>197.73333333333332</v>
      </c>
      <c r="E315" s="5">
        <v>9421.5499999999993</v>
      </c>
      <c r="H315" s="18">
        <f t="shared" si="19"/>
        <v>11864</v>
      </c>
      <c r="I315" t="b">
        <f t="shared" si="20"/>
        <v>1</v>
      </c>
      <c r="J315" s="4">
        <f t="shared" si="21"/>
        <v>-0.2058707012811869</v>
      </c>
      <c r="M315"/>
      <c r="O315" t="s">
        <v>1267</v>
      </c>
      <c r="P315">
        <v>1498</v>
      </c>
      <c r="Q315">
        <v>723.63</v>
      </c>
    </row>
    <row r="316" spans="1:17" hidden="1">
      <c r="A316" s="39" t="s">
        <v>134</v>
      </c>
      <c r="B316" s="36" t="s">
        <v>135</v>
      </c>
      <c r="C316" s="27">
        <v>730</v>
      </c>
      <c r="D316" s="18">
        <f t="shared" si="18"/>
        <v>24.333333333333332</v>
      </c>
      <c r="E316" s="5">
        <v>1294.94</v>
      </c>
      <c r="H316" s="18">
        <f t="shared" si="19"/>
        <v>1460</v>
      </c>
      <c r="I316" t="b">
        <f t="shared" si="20"/>
        <v>1</v>
      </c>
      <c r="J316" s="4">
        <f t="shared" si="21"/>
        <v>-0.1130547945205479</v>
      </c>
      <c r="M316"/>
      <c r="O316" t="s">
        <v>1224</v>
      </c>
      <c r="P316">
        <v>10278</v>
      </c>
      <c r="Q316">
        <v>8437.92</v>
      </c>
    </row>
    <row r="317" spans="1:17" hidden="1">
      <c r="A317" s="39" t="s">
        <v>91</v>
      </c>
      <c r="B317" s="36" t="s">
        <v>92</v>
      </c>
      <c r="C317" s="27">
        <v>797</v>
      </c>
      <c r="D317" s="18">
        <f t="shared" si="18"/>
        <v>26.566666666666666</v>
      </c>
      <c r="E317" s="5">
        <v>1848.16</v>
      </c>
      <c r="H317" s="18">
        <f t="shared" si="19"/>
        <v>1594</v>
      </c>
      <c r="I317" t="b">
        <f t="shared" si="20"/>
        <v>1</v>
      </c>
      <c r="J317" s="4">
        <f t="shared" si="21"/>
        <v>0.1594479297365119</v>
      </c>
      <c r="M317"/>
      <c r="O317" t="s">
        <v>1218</v>
      </c>
      <c r="P317">
        <v>1468</v>
      </c>
      <c r="Q317">
        <v>459.8</v>
      </c>
    </row>
    <row r="318" spans="1:17" hidden="1">
      <c r="A318" t="s">
        <v>925</v>
      </c>
      <c r="B318" t="s">
        <v>926</v>
      </c>
      <c r="C318" s="27">
        <v>7409</v>
      </c>
      <c r="D318" s="18">
        <f t="shared" si="18"/>
        <v>246.96666666666667</v>
      </c>
      <c r="E318" s="5">
        <v>13315.49</v>
      </c>
      <c r="H318" s="18">
        <f t="shared" si="19"/>
        <v>14818</v>
      </c>
      <c r="I318" t="b">
        <f t="shared" si="20"/>
        <v>1</v>
      </c>
      <c r="J318" s="4">
        <f t="shared" si="21"/>
        <v>-0.1013976245107302</v>
      </c>
      <c r="M318"/>
      <c r="O318" t="s">
        <v>1212</v>
      </c>
      <c r="P318">
        <v>1079</v>
      </c>
      <c r="Q318">
        <v>2197.5700000000002</v>
      </c>
    </row>
    <row r="319" spans="1:17" hidden="1">
      <c r="A319" s="39" t="s">
        <v>577</v>
      </c>
      <c r="B319" s="36" t="s">
        <v>578</v>
      </c>
      <c r="C319" s="18">
        <v>2370</v>
      </c>
      <c r="D319" s="18">
        <f t="shared" si="18"/>
        <v>79</v>
      </c>
      <c r="E319" s="5">
        <v>934.33</v>
      </c>
      <c r="H319" s="18">
        <f t="shared" si="19"/>
        <v>4740</v>
      </c>
      <c r="I319" t="b">
        <f t="shared" si="20"/>
        <v>1</v>
      </c>
      <c r="J319" s="4">
        <f t="shared" si="21"/>
        <v>-0.80288396624472569</v>
      </c>
      <c r="M319"/>
      <c r="O319" t="s">
        <v>1220</v>
      </c>
      <c r="P319">
        <v>1017</v>
      </c>
      <c r="Q319">
        <v>1281.21</v>
      </c>
    </row>
    <row r="320" spans="1:17" hidden="1">
      <c r="A320" s="39" t="s">
        <v>780</v>
      </c>
      <c r="B320" s="36" t="s">
        <v>781</v>
      </c>
      <c r="C320" s="27">
        <v>1918</v>
      </c>
      <c r="D320" s="18">
        <f t="shared" si="18"/>
        <v>63.93333333333333</v>
      </c>
      <c r="E320" s="5">
        <v>3458.7</v>
      </c>
      <c r="H320" s="18">
        <f t="shared" si="19"/>
        <v>3836</v>
      </c>
      <c r="I320" t="b">
        <f t="shared" si="20"/>
        <v>1</v>
      </c>
      <c r="J320" s="4">
        <f t="shared" si="21"/>
        <v>-9.8357664233576725E-2</v>
      </c>
      <c r="M320"/>
      <c r="O320" t="s">
        <v>1095</v>
      </c>
      <c r="P320">
        <v>1132</v>
      </c>
      <c r="Q320">
        <v>960.15</v>
      </c>
    </row>
    <row r="321" spans="1:17" hidden="1">
      <c r="A321" t="s">
        <v>831</v>
      </c>
      <c r="B321" t="s">
        <v>832</v>
      </c>
      <c r="C321" s="27">
        <v>8</v>
      </c>
      <c r="D321" s="18">
        <f t="shared" si="18"/>
        <v>0.26666666666666666</v>
      </c>
      <c r="E321" s="5">
        <v>0</v>
      </c>
      <c r="H321" s="18">
        <f t="shared" si="19"/>
        <v>16</v>
      </c>
      <c r="I321" t="b">
        <f t="shared" si="20"/>
        <v>1</v>
      </c>
      <c r="J321" s="4">
        <f t="shared" si="21"/>
        <v>-1</v>
      </c>
      <c r="M321"/>
      <c r="O321" t="s">
        <v>972</v>
      </c>
      <c r="P321">
        <v>1142</v>
      </c>
      <c r="Q321">
        <v>598.61</v>
      </c>
    </row>
    <row r="322" spans="1:17" hidden="1">
      <c r="A322" t="s">
        <v>772</v>
      </c>
      <c r="B322" t="s">
        <v>773</v>
      </c>
      <c r="C322" s="27">
        <v>3353</v>
      </c>
      <c r="D322" s="18">
        <f t="shared" si="18"/>
        <v>111.76666666666667</v>
      </c>
      <c r="E322" s="5">
        <v>6897.94</v>
      </c>
      <c r="H322" s="18">
        <f t="shared" si="19"/>
        <v>6706</v>
      </c>
      <c r="I322" t="b">
        <f t="shared" si="20"/>
        <v>1</v>
      </c>
      <c r="J322" s="4">
        <f t="shared" si="21"/>
        <v>2.8622129436325583E-2</v>
      </c>
      <c r="M322"/>
      <c r="O322" t="s">
        <v>1109</v>
      </c>
      <c r="P322">
        <v>1001</v>
      </c>
      <c r="Q322">
        <v>1293.8800000000001</v>
      </c>
    </row>
    <row r="323" spans="1:17" hidden="1">
      <c r="A323" t="s">
        <v>593</v>
      </c>
      <c r="B323" t="s">
        <v>594</v>
      </c>
      <c r="C323" s="27">
        <v>475</v>
      </c>
      <c r="D323" s="18">
        <f t="shared" ref="D323:D386" si="22">C323/30</f>
        <v>15.833333333333334</v>
      </c>
      <c r="E323" s="5">
        <v>656.78</v>
      </c>
      <c r="H323" s="18">
        <f t="shared" ref="H323:H386" si="23">IF((C323/30)&gt;100,C323*2,C323*2)</f>
        <v>950</v>
      </c>
      <c r="I323" t="b">
        <f t="shared" si="20"/>
        <v>1</v>
      </c>
      <c r="J323" s="4">
        <f t="shared" si="21"/>
        <v>-0.3086526315789474</v>
      </c>
      <c r="M323"/>
      <c r="O323" t="s">
        <v>1022</v>
      </c>
      <c r="P323">
        <v>442</v>
      </c>
      <c r="Q323">
        <v>0</v>
      </c>
    </row>
    <row r="324" spans="1:17" hidden="1">
      <c r="A324" s="39" t="s">
        <v>800</v>
      </c>
      <c r="B324" s="36" t="s">
        <v>801</v>
      </c>
      <c r="C324" s="27">
        <v>744</v>
      </c>
      <c r="D324" s="18">
        <f t="shared" si="22"/>
        <v>24.8</v>
      </c>
      <c r="E324" s="5">
        <v>1710.47</v>
      </c>
      <c r="H324" s="18">
        <f t="shared" si="23"/>
        <v>1488</v>
      </c>
      <c r="I324" t="b">
        <f t="shared" si="20"/>
        <v>1</v>
      </c>
      <c r="J324" s="4">
        <f t="shared" si="21"/>
        <v>0.14950940860215045</v>
      </c>
      <c r="M324"/>
      <c r="O324" t="s">
        <v>1081</v>
      </c>
      <c r="P324">
        <v>352</v>
      </c>
      <c r="Q324">
        <v>304.18</v>
      </c>
    </row>
    <row r="325" spans="1:17" hidden="1">
      <c r="A325" t="s">
        <v>891</v>
      </c>
      <c r="B325" t="s">
        <v>892</v>
      </c>
      <c r="C325" s="27">
        <v>3366</v>
      </c>
      <c r="D325" s="18">
        <f t="shared" si="22"/>
        <v>112.2</v>
      </c>
      <c r="E325" s="5">
        <v>6572.1</v>
      </c>
      <c r="H325" s="18">
        <f t="shared" si="23"/>
        <v>6732</v>
      </c>
      <c r="I325" t="b">
        <f t="shared" si="20"/>
        <v>1</v>
      </c>
      <c r="J325" s="4">
        <f>E325/H325-1</f>
        <v>-2.3752228163992806E-2</v>
      </c>
      <c r="M325"/>
      <c r="O325" t="s">
        <v>1054</v>
      </c>
      <c r="P325">
        <v>433</v>
      </c>
      <c r="Q325">
        <v>283.95999999999998</v>
      </c>
    </row>
    <row r="326" spans="1:17" hidden="1">
      <c r="A326" t="s">
        <v>502</v>
      </c>
      <c r="B326" t="s">
        <v>503</v>
      </c>
      <c r="C326" s="27">
        <v>2225</v>
      </c>
      <c r="D326" s="18">
        <f t="shared" si="22"/>
        <v>74.166666666666671</v>
      </c>
      <c r="E326" s="5">
        <v>3535.64</v>
      </c>
      <c r="H326" s="18">
        <f t="shared" si="23"/>
        <v>4450</v>
      </c>
      <c r="I326" t="b">
        <f t="shared" si="20"/>
        <v>1</v>
      </c>
      <c r="J326" s="4">
        <f t="shared" si="21"/>
        <v>-0.20547415730337082</v>
      </c>
      <c r="M326"/>
      <c r="O326" t="s">
        <v>1169</v>
      </c>
      <c r="P326">
        <v>1773</v>
      </c>
      <c r="Q326">
        <v>658.97</v>
      </c>
    </row>
    <row r="327" spans="1:17" hidden="1">
      <c r="A327" t="s">
        <v>833</v>
      </c>
      <c r="B327" t="s">
        <v>834</v>
      </c>
      <c r="C327" s="27">
        <v>4331</v>
      </c>
      <c r="D327" s="18">
        <f t="shared" si="22"/>
        <v>144.36666666666667</v>
      </c>
      <c r="E327" s="5">
        <v>5669.93</v>
      </c>
      <c r="H327" s="18">
        <f t="shared" si="23"/>
        <v>8662</v>
      </c>
      <c r="I327" t="b">
        <f t="shared" si="20"/>
        <v>1</v>
      </c>
      <c r="J327" s="4">
        <f t="shared" si="21"/>
        <v>-0.34542484414684826</v>
      </c>
      <c r="M327"/>
      <c r="O327" t="s">
        <v>1003</v>
      </c>
      <c r="P327">
        <v>4088</v>
      </c>
      <c r="Q327">
        <v>1357.7</v>
      </c>
    </row>
    <row r="328" spans="1:17">
      <c r="A328" s="39" t="s">
        <v>400</v>
      </c>
      <c r="B328" s="36" t="s">
        <v>401</v>
      </c>
      <c r="C328" s="27">
        <v>684</v>
      </c>
      <c r="D328" s="18">
        <f t="shared" si="22"/>
        <v>22.8</v>
      </c>
      <c r="E328" s="5">
        <v>2037.61</v>
      </c>
      <c r="H328" s="18">
        <f t="shared" si="23"/>
        <v>1368</v>
      </c>
      <c r="I328" t="b">
        <f t="shared" si="20"/>
        <v>0</v>
      </c>
      <c r="J328" s="4">
        <f t="shared" si="21"/>
        <v>0.4894809941520466</v>
      </c>
      <c r="M328"/>
      <c r="O328" t="s">
        <v>1152</v>
      </c>
      <c r="P328">
        <v>307</v>
      </c>
      <c r="Q328">
        <v>316.98</v>
      </c>
    </row>
    <row r="329" spans="1:17">
      <c r="A329" t="s">
        <v>408</v>
      </c>
      <c r="B329" t="s">
        <v>409</v>
      </c>
      <c r="C329" s="27">
        <v>2005</v>
      </c>
      <c r="D329" s="18">
        <f t="shared" si="22"/>
        <v>66.833333333333329</v>
      </c>
      <c r="E329" s="5">
        <v>5094.05</v>
      </c>
      <c r="H329" s="18">
        <f t="shared" si="23"/>
        <v>4010</v>
      </c>
      <c r="I329" t="b">
        <f t="shared" si="20"/>
        <v>0</v>
      </c>
      <c r="J329" s="4">
        <f t="shared" si="21"/>
        <v>0.27033665835411469</v>
      </c>
      <c r="M329"/>
      <c r="O329" t="s">
        <v>1259</v>
      </c>
      <c r="P329">
        <v>1359</v>
      </c>
      <c r="Q329">
        <v>2670.18</v>
      </c>
    </row>
    <row r="330" spans="1:17" hidden="1">
      <c r="A330" t="s">
        <v>53</v>
      </c>
      <c r="B330" t="s">
        <v>54</v>
      </c>
      <c r="C330" s="27">
        <v>2227</v>
      </c>
      <c r="D330" s="18">
        <f t="shared" si="22"/>
        <v>74.233333333333334</v>
      </c>
      <c r="E330" s="5">
        <v>3893.45</v>
      </c>
      <c r="H330" s="18">
        <f t="shared" si="23"/>
        <v>4454</v>
      </c>
      <c r="I330" t="b">
        <f t="shared" si="20"/>
        <v>1</v>
      </c>
      <c r="J330" s="4">
        <f t="shared" si="21"/>
        <v>-0.12585316569375848</v>
      </c>
      <c r="M330"/>
      <c r="O330" t="s">
        <v>1210</v>
      </c>
      <c r="P330">
        <v>4341</v>
      </c>
      <c r="Q330">
        <v>5128.26</v>
      </c>
    </row>
    <row r="331" spans="1:17" hidden="1">
      <c r="A331" s="39" t="s">
        <v>923</v>
      </c>
      <c r="B331" s="36" t="s">
        <v>924</v>
      </c>
      <c r="C331" s="18">
        <v>6556</v>
      </c>
      <c r="D331" s="18">
        <f t="shared" si="22"/>
        <v>218.53333333333333</v>
      </c>
      <c r="E331" s="5">
        <v>7910.14</v>
      </c>
      <c r="H331" s="18">
        <f t="shared" si="23"/>
        <v>13112</v>
      </c>
      <c r="I331" t="b">
        <f t="shared" si="20"/>
        <v>1</v>
      </c>
      <c r="J331" s="4">
        <f t="shared" si="21"/>
        <v>-0.39672513727882852</v>
      </c>
      <c r="M331"/>
      <c r="O331" t="s">
        <v>1204</v>
      </c>
      <c r="P331">
        <v>2197</v>
      </c>
      <c r="Q331">
        <v>3365.88</v>
      </c>
    </row>
    <row r="332" spans="1:17" hidden="1">
      <c r="A332" s="36" t="s">
        <v>739</v>
      </c>
      <c r="B332" s="36" t="s">
        <v>740</v>
      </c>
      <c r="C332" s="27">
        <v>1356</v>
      </c>
      <c r="D332" s="18">
        <f t="shared" si="22"/>
        <v>45.2</v>
      </c>
      <c r="E332" s="5">
        <v>1191.68</v>
      </c>
      <c r="H332" s="18">
        <f t="shared" si="23"/>
        <v>2712</v>
      </c>
      <c r="I332" t="b">
        <f t="shared" si="20"/>
        <v>1</v>
      </c>
      <c r="J332" s="4">
        <f t="shared" si="21"/>
        <v>-0.56058997050147497</v>
      </c>
      <c r="M332"/>
      <c r="O332" t="s">
        <v>1087</v>
      </c>
      <c r="P332">
        <v>680</v>
      </c>
      <c r="Q332">
        <v>313.06</v>
      </c>
    </row>
    <row r="333" spans="1:17" hidden="1">
      <c r="A333" t="s">
        <v>39</v>
      </c>
      <c r="B333" t="s">
        <v>40</v>
      </c>
      <c r="C333" s="27">
        <v>5729</v>
      </c>
      <c r="D333" s="18">
        <f t="shared" si="22"/>
        <v>190.96666666666667</v>
      </c>
      <c r="E333" s="5">
        <v>9543.24</v>
      </c>
      <c r="H333" s="18">
        <f t="shared" si="23"/>
        <v>11458</v>
      </c>
      <c r="I333" t="b">
        <f t="shared" si="20"/>
        <v>1</v>
      </c>
      <c r="J333" s="4">
        <f t="shared" si="21"/>
        <v>-0.16711118868912556</v>
      </c>
      <c r="M333"/>
      <c r="O333" t="s">
        <v>1129</v>
      </c>
      <c r="P333">
        <v>556</v>
      </c>
      <c r="Q333">
        <v>825.59</v>
      </c>
    </row>
    <row r="334" spans="1:17" hidden="1">
      <c r="A334" t="s">
        <v>150</v>
      </c>
      <c r="B334" t="s">
        <v>151</v>
      </c>
      <c r="C334" s="27">
        <v>14458</v>
      </c>
      <c r="D334" s="18">
        <f t="shared" si="22"/>
        <v>481.93333333333334</v>
      </c>
      <c r="E334" s="18">
        <v>12138.01</v>
      </c>
      <c r="H334" s="18">
        <f t="shared" si="23"/>
        <v>28916</v>
      </c>
      <c r="I334" t="b">
        <f t="shared" si="20"/>
        <v>1</v>
      </c>
      <c r="J334" s="4">
        <f t="shared" si="21"/>
        <v>-0.58023205145939971</v>
      </c>
      <c r="M334"/>
      <c r="O334" t="s">
        <v>1137</v>
      </c>
      <c r="P334">
        <v>709</v>
      </c>
      <c r="Q334">
        <v>343.68</v>
      </c>
    </row>
    <row r="335" spans="1:17" hidden="1">
      <c r="A335" t="s">
        <v>508</v>
      </c>
      <c r="B335" t="s">
        <v>509</v>
      </c>
      <c r="C335" s="27">
        <v>6741</v>
      </c>
      <c r="D335" s="18">
        <f t="shared" si="22"/>
        <v>224.7</v>
      </c>
      <c r="E335" s="5">
        <v>8686.35</v>
      </c>
      <c r="H335" s="18">
        <f t="shared" si="23"/>
        <v>13482</v>
      </c>
      <c r="I335" t="b">
        <f t="shared" si="20"/>
        <v>1</v>
      </c>
      <c r="J335" s="4">
        <f t="shared" si="21"/>
        <v>-0.35570761014686247</v>
      </c>
      <c r="M335"/>
      <c r="O335" t="s">
        <v>1208</v>
      </c>
      <c r="P335">
        <v>1391</v>
      </c>
      <c r="Q335">
        <v>753.72</v>
      </c>
    </row>
    <row r="336" spans="1:17" hidden="1">
      <c r="A336" s="36" t="s">
        <v>788</v>
      </c>
      <c r="B336" s="36" t="s">
        <v>789</v>
      </c>
      <c r="C336" s="27">
        <v>37319</v>
      </c>
      <c r="D336" s="18">
        <f t="shared" si="22"/>
        <v>1243.9666666666667</v>
      </c>
      <c r="E336" s="5">
        <v>44355.740000000005</v>
      </c>
      <c r="H336" s="18">
        <f t="shared" si="23"/>
        <v>74638</v>
      </c>
      <c r="I336" t="b">
        <f t="shared" si="20"/>
        <v>1</v>
      </c>
      <c r="J336" s="4">
        <f t="shared" si="21"/>
        <v>-0.40572175031485291</v>
      </c>
      <c r="M336"/>
      <c r="O336" t="s">
        <v>1133</v>
      </c>
      <c r="P336">
        <v>994</v>
      </c>
      <c r="Q336">
        <v>2606.08</v>
      </c>
    </row>
    <row r="337" spans="1:17" hidden="1">
      <c r="A337" s="39" t="s">
        <v>700</v>
      </c>
      <c r="B337" s="36" t="s">
        <v>701</v>
      </c>
      <c r="C337" s="27">
        <v>546</v>
      </c>
      <c r="D337" s="18">
        <f t="shared" si="22"/>
        <v>18.2</v>
      </c>
      <c r="E337" s="5">
        <v>1153.6099999999999</v>
      </c>
      <c r="H337" s="18">
        <f t="shared" si="23"/>
        <v>1092</v>
      </c>
      <c r="I337" t="b">
        <f t="shared" si="20"/>
        <v>1</v>
      </c>
      <c r="J337" s="4">
        <f t="shared" si="21"/>
        <v>5.6419413919413852E-2</v>
      </c>
      <c r="M337"/>
      <c r="O337" t="s">
        <v>1287</v>
      </c>
      <c r="P337">
        <v>2392</v>
      </c>
      <c r="Q337">
        <v>3804.61</v>
      </c>
    </row>
    <row r="338" spans="1:17" hidden="1">
      <c r="A338" s="26" t="s">
        <v>122</v>
      </c>
      <c r="B338" s="132" t="s">
        <v>123</v>
      </c>
      <c r="C338" s="27">
        <v>1131</v>
      </c>
      <c r="D338" s="18">
        <f t="shared" si="22"/>
        <v>37.700000000000003</v>
      </c>
      <c r="E338" s="5">
        <v>1389.41</v>
      </c>
      <c r="H338" s="18">
        <f t="shared" si="23"/>
        <v>2262</v>
      </c>
      <c r="I338" t="b">
        <f t="shared" si="20"/>
        <v>1</v>
      </c>
      <c r="J338" s="4">
        <f t="shared" si="21"/>
        <v>-0.38576038903625109</v>
      </c>
      <c r="M338"/>
      <c r="O338" t="s">
        <v>1239</v>
      </c>
      <c r="P338">
        <v>968</v>
      </c>
      <c r="Q338">
        <v>2030.96</v>
      </c>
    </row>
    <row r="339" spans="1:17">
      <c r="A339" s="133" t="s">
        <v>310</v>
      </c>
      <c r="B339" s="132" t="s">
        <v>311</v>
      </c>
      <c r="C339" s="27">
        <v>305</v>
      </c>
      <c r="D339" s="18">
        <f t="shared" si="22"/>
        <v>10.166666666666666</v>
      </c>
      <c r="E339" s="5">
        <v>756.01</v>
      </c>
      <c r="H339" s="18">
        <f t="shared" si="23"/>
        <v>610</v>
      </c>
      <c r="I339" t="b">
        <f t="shared" ref="I339:I362" si="24">IF(E339&gt;1.2*H339,FALSE,TRUE)</f>
        <v>0</v>
      </c>
      <c r="J339" s="4">
        <f t="shared" ref="J339:J362" si="25">E339/H339-1</f>
        <v>0.23936065573770482</v>
      </c>
      <c r="M339"/>
      <c r="O339" t="s">
        <v>1177</v>
      </c>
      <c r="P339">
        <v>1050</v>
      </c>
      <c r="Q339">
        <v>214.39</v>
      </c>
    </row>
    <row r="340" spans="1:17" hidden="1">
      <c r="A340" s="39" t="s">
        <v>290</v>
      </c>
      <c r="B340" s="26" t="s">
        <v>291</v>
      </c>
      <c r="C340" s="27">
        <v>178</v>
      </c>
      <c r="D340" s="18">
        <f t="shared" si="22"/>
        <v>5.9333333333333336</v>
      </c>
      <c r="E340" s="5">
        <v>199.06</v>
      </c>
      <c r="H340" s="18">
        <f t="shared" si="23"/>
        <v>356</v>
      </c>
      <c r="I340" t="b">
        <f t="shared" si="24"/>
        <v>1</v>
      </c>
      <c r="J340" s="4">
        <f t="shared" si="25"/>
        <v>-0.44084269662921349</v>
      </c>
      <c r="M340"/>
      <c r="O340" t="s">
        <v>1255</v>
      </c>
      <c r="P340">
        <v>932</v>
      </c>
      <c r="Q340">
        <v>1821.75</v>
      </c>
    </row>
    <row r="341" spans="1:17">
      <c r="A341" s="39" t="s">
        <v>554</v>
      </c>
      <c r="B341" s="36" t="s">
        <v>555</v>
      </c>
      <c r="C341" s="27">
        <v>472</v>
      </c>
      <c r="D341" s="18">
        <f t="shared" si="22"/>
        <v>15.733333333333333</v>
      </c>
      <c r="E341" s="5">
        <v>1202.57</v>
      </c>
      <c r="H341" s="18">
        <f t="shared" si="23"/>
        <v>944</v>
      </c>
      <c r="I341" t="b">
        <f t="shared" si="24"/>
        <v>0</v>
      </c>
      <c r="J341" s="4">
        <f t="shared" si="25"/>
        <v>0.27390889830508458</v>
      </c>
      <c r="M341"/>
      <c r="O341" t="s">
        <v>1156</v>
      </c>
      <c r="P341">
        <v>2202</v>
      </c>
      <c r="Q341">
        <v>4728.72</v>
      </c>
    </row>
    <row r="342" spans="1:17" hidden="1">
      <c r="A342" s="39" t="s">
        <v>300</v>
      </c>
      <c r="B342" s="36" t="s">
        <v>301</v>
      </c>
      <c r="C342" s="27">
        <v>0</v>
      </c>
      <c r="D342" s="18">
        <f t="shared" si="22"/>
        <v>0</v>
      </c>
      <c r="E342" s="5">
        <v>0</v>
      </c>
      <c r="H342" s="18">
        <f t="shared" si="23"/>
        <v>0</v>
      </c>
      <c r="I342" t="b">
        <f t="shared" si="24"/>
        <v>1</v>
      </c>
      <c r="J342" s="4" t="e">
        <f t="shared" si="25"/>
        <v>#DIV/0!</v>
      </c>
      <c r="O342" t="s">
        <v>1125</v>
      </c>
      <c r="P342">
        <v>1002</v>
      </c>
      <c r="Q342">
        <v>1222.03</v>
      </c>
    </row>
    <row r="343" spans="1:17" hidden="1">
      <c r="A343" s="39" t="s">
        <v>1852</v>
      </c>
      <c r="B343" s="36" t="s">
        <v>1853</v>
      </c>
      <c r="C343" s="27">
        <v>0</v>
      </c>
      <c r="D343" s="18">
        <f t="shared" si="22"/>
        <v>0</v>
      </c>
      <c r="E343" s="116">
        <v>0</v>
      </c>
      <c r="H343" s="18">
        <f t="shared" si="23"/>
        <v>0</v>
      </c>
      <c r="I343" t="b">
        <f t="shared" si="24"/>
        <v>1</v>
      </c>
      <c r="J343" s="4" t="e">
        <f t="shared" si="25"/>
        <v>#DIV/0!</v>
      </c>
      <c r="M343"/>
      <c r="O343" t="s">
        <v>1216</v>
      </c>
      <c r="P343">
        <v>871</v>
      </c>
      <c r="Q343">
        <v>1788.28</v>
      </c>
    </row>
    <row r="344" spans="1:17" ht="30" hidden="1">
      <c r="A344" s="39" t="s">
        <v>114</v>
      </c>
      <c r="B344" s="36" t="s">
        <v>115</v>
      </c>
      <c r="C344" s="27">
        <v>2539</v>
      </c>
      <c r="D344" s="18">
        <f t="shared" si="22"/>
        <v>84.63333333333334</v>
      </c>
      <c r="E344" s="5">
        <v>5376.81</v>
      </c>
      <c r="H344" s="18">
        <f t="shared" si="23"/>
        <v>5078</v>
      </c>
      <c r="I344" t="b">
        <f t="shared" si="24"/>
        <v>1</v>
      </c>
      <c r="J344" s="4">
        <f t="shared" si="25"/>
        <v>5.8844033083891301E-2</v>
      </c>
      <c r="M344"/>
      <c r="P344">
        <v>0</v>
      </c>
      <c r="Q344">
        <v>0</v>
      </c>
    </row>
    <row r="345" spans="1:17">
      <c r="A345" s="39" t="s">
        <v>191</v>
      </c>
      <c r="B345" s="36" t="s">
        <v>192</v>
      </c>
      <c r="C345" s="27">
        <v>96</v>
      </c>
      <c r="D345" s="18">
        <f t="shared" si="22"/>
        <v>3.2</v>
      </c>
      <c r="E345" s="5">
        <v>296.70999999999998</v>
      </c>
      <c r="H345" s="18">
        <f t="shared" si="23"/>
        <v>192</v>
      </c>
      <c r="I345" t="b">
        <f t="shared" si="24"/>
        <v>0</v>
      </c>
      <c r="J345" s="4">
        <f t="shared" si="25"/>
        <v>0.54536458333333315</v>
      </c>
      <c r="M345"/>
      <c r="P345">
        <v>0</v>
      </c>
      <c r="Q345">
        <v>0</v>
      </c>
    </row>
    <row r="346" spans="1:17" hidden="1">
      <c r="A346" s="39" t="s">
        <v>661</v>
      </c>
      <c r="B346" s="36" t="s">
        <v>662</v>
      </c>
      <c r="C346" s="27">
        <v>253</v>
      </c>
      <c r="D346" s="18">
        <f t="shared" si="22"/>
        <v>8.4333333333333336</v>
      </c>
      <c r="E346" s="5">
        <v>474.33</v>
      </c>
      <c r="H346" s="18">
        <f t="shared" si="23"/>
        <v>506</v>
      </c>
      <c r="I346" t="b">
        <f t="shared" si="24"/>
        <v>1</v>
      </c>
      <c r="J346" s="4">
        <f t="shared" si="25"/>
        <v>-6.258893280632416E-2</v>
      </c>
      <c r="M346"/>
      <c r="P346">
        <v>0</v>
      </c>
      <c r="Q346">
        <v>0</v>
      </c>
    </row>
    <row r="347" spans="1:17" hidden="1">
      <c r="A347" s="126" t="s">
        <v>747</v>
      </c>
      <c r="B347" s="36" t="s">
        <v>748</v>
      </c>
      <c r="C347" s="27">
        <v>683</v>
      </c>
      <c r="D347" s="18">
        <f t="shared" si="22"/>
        <v>22.766666666666666</v>
      </c>
      <c r="E347" s="5">
        <v>1491.01</v>
      </c>
      <c r="H347" s="18">
        <f t="shared" si="23"/>
        <v>1366</v>
      </c>
      <c r="I347" t="b">
        <f t="shared" si="24"/>
        <v>1</v>
      </c>
      <c r="J347" s="4">
        <f t="shared" si="25"/>
        <v>9.1515373352855089E-2</v>
      </c>
      <c r="M347"/>
      <c r="P347">
        <v>0</v>
      </c>
      <c r="Q347">
        <v>0</v>
      </c>
    </row>
    <row r="348" spans="1:17">
      <c r="A348" s="126" t="s">
        <v>745</v>
      </c>
      <c r="B348" s="126" t="s">
        <v>746</v>
      </c>
      <c r="C348" s="27">
        <v>518</v>
      </c>
      <c r="D348" s="18">
        <f t="shared" si="22"/>
        <v>17.266666666666666</v>
      </c>
      <c r="E348" s="5">
        <v>1584.42</v>
      </c>
      <c r="H348" s="18">
        <f t="shared" si="23"/>
        <v>1036</v>
      </c>
      <c r="I348" t="b">
        <f t="shared" si="24"/>
        <v>0</v>
      </c>
      <c r="J348" s="4">
        <f t="shared" si="25"/>
        <v>0.52936293436293447</v>
      </c>
      <c r="M348"/>
      <c r="P348">
        <v>0</v>
      </c>
      <c r="Q348">
        <v>0</v>
      </c>
    </row>
    <row r="349" spans="1:17">
      <c r="A349" s="126" t="s">
        <v>241</v>
      </c>
      <c r="B349" s="126" t="s">
        <v>242</v>
      </c>
      <c r="C349" s="27">
        <v>101</v>
      </c>
      <c r="D349" s="18">
        <f t="shared" si="22"/>
        <v>3.3666666666666667</v>
      </c>
      <c r="E349" s="5">
        <v>388.07</v>
      </c>
      <c r="H349" s="18">
        <f t="shared" si="23"/>
        <v>202</v>
      </c>
      <c r="I349" t="b">
        <f t="shared" si="24"/>
        <v>0</v>
      </c>
      <c r="J349" s="4">
        <f t="shared" si="25"/>
        <v>0.92113861386138618</v>
      </c>
      <c r="M349"/>
      <c r="O349" t="s">
        <v>1542</v>
      </c>
      <c r="P349">
        <v>2357</v>
      </c>
      <c r="Q349">
        <v>4551.13</v>
      </c>
    </row>
    <row r="350" spans="1:17">
      <c r="A350" s="126" t="s">
        <v>255</v>
      </c>
      <c r="B350" s="126" t="s">
        <v>256</v>
      </c>
      <c r="C350" s="27">
        <v>39</v>
      </c>
      <c r="D350" s="18">
        <f t="shared" si="22"/>
        <v>1.3</v>
      </c>
      <c r="E350" s="5">
        <v>107.6</v>
      </c>
      <c r="H350" s="18">
        <f t="shared" si="23"/>
        <v>78</v>
      </c>
      <c r="I350" t="b">
        <f t="shared" si="24"/>
        <v>0</v>
      </c>
      <c r="J350" s="4">
        <f t="shared" si="25"/>
        <v>0.37948717948717947</v>
      </c>
      <c r="M350"/>
      <c r="O350" t="s">
        <v>1523</v>
      </c>
      <c r="P350">
        <v>1605</v>
      </c>
      <c r="Q350">
        <v>1997.57</v>
      </c>
    </row>
    <row r="351" spans="1:17" hidden="1">
      <c r="A351" s="126" t="s">
        <v>124</v>
      </c>
      <c r="B351" s="126" t="s">
        <v>125</v>
      </c>
      <c r="C351" s="27">
        <v>371</v>
      </c>
      <c r="D351" s="18">
        <f t="shared" si="22"/>
        <v>12.366666666666667</v>
      </c>
      <c r="E351" s="5">
        <v>349.63</v>
      </c>
      <c r="H351" s="18">
        <f t="shared" si="23"/>
        <v>742</v>
      </c>
      <c r="I351" t="b">
        <f t="shared" si="24"/>
        <v>1</v>
      </c>
      <c r="J351" s="4">
        <f t="shared" si="25"/>
        <v>-0.52880053908355795</v>
      </c>
      <c r="M351"/>
      <c r="O351" t="s">
        <v>1568</v>
      </c>
      <c r="P351">
        <v>2820</v>
      </c>
      <c r="Q351">
        <v>5352.41</v>
      </c>
    </row>
    <row r="352" spans="1:17" hidden="1">
      <c r="A352" s="126" t="s">
        <v>788</v>
      </c>
      <c r="B352" s="126" t="s">
        <v>789</v>
      </c>
      <c r="C352" s="27">
        <v>37319</v>
      </c>
      <c r="D352" s="18">
        <f t="shared" si="22"/>
        <v>1243.9666666666667</v>
      </c>
      <c r="E352" s="5">
        <v>44355.740000000005</v>
      </c>
      <c r="H352" s="18">
        <f t="shared" si="23"/>
        <v>74638</v>
      </c>
      <c r="I352" t="b">
        <f t="shared" si="24"/>
        <v>1</v>
      </c>
      <c r="J352" s="4">
        <f t="shared" si="25"/>
        <v>-0.40572175031485291</v>
      </c>
      <c r="M352"/>
      <c r="O352" t="s">
        <v>1550</v>
      </c>
      <c r="P352">
        <v>4202</v>
      </c>
      <c r="Q352">
        <v>3829.56</v>
      </c>
    </row>
    <row r="353" spans="1:17" hidden="1">
      <c r="A353" s="126" t="s">
        <v>818</v>
      </c>
      <c r="B353" s="126" t="s">
        <v>817</v>
      </c>
      <c r="C353" s="27">
        <v>3358</v>
      </c>
      <c r="D353" s="18">
        <f t="shared" si="22"/>
        <v>111.93333333333334</v>
      </c>
      <c r="E353" s="5">
        <v>5986.86</v>
      </c>
      <c r="H353" s="18">
        <f t="shared" si="23"/>
        <v>6716</v>
      </c>
      <c r="I353" t="b">
        <f t="shared" si="24"/>
        <v>1</v>
      </c>
      <c r="J353" s="4">
        <f t="shared" si="25"/>
        <v>-0.108567599761763</v>
      </c>
      <c r="M353"/>
      <c r="O353" t="s">
        <v>1488</v>
      </c>
      <c r="P353">
        <v>1460</v>
      </c>
      <c r="Q353">
        <v>3168.75</v>
      </c>
    </row>
    <row r="354" spans="1:17" hidden="1">
      <c r="A354" s="126" t="s">
        <v>546</v>
      </c>
      <c r="B354" s="126" t="s">
        <v>547</v>
      </c>
      <c r="C354" s="27">
        <v>991</v>
      </c>
      <c r="D354" s="18">
        <f t="shared" si="22"/>
        <v>33.033333333333331</v>
      </c>
      <c r="E354" s="5">
        <v>1396.96</v>
      </c>
      <c r="H354" s="18">
        <f t="shared" si="23"/>
        <v>1982</v>
      </c>
      <c r="I354" t="b">
        <f t="shared" si="24"/>
        <v>1</v>
      </c>
      <c r="J354" s="4">
        <f t="shared" si="25"/>
        <v>-0.29517658930373358</v>
      </c>
      <c r="M354"/>
      <c r="O354" t="s">
        <v>1376</v>
      </c>
      <c r="P354">
        <v>871</v>
      </c>
      <c r="Q354">
        <v>1459.05</v>
      </c>
    </row>
    <row r="355" spans="1:17">
      <c r="A355" s="126" t="s">
        <v>235</v>
      </c>
      <c r="B355" s="126" t="s">
        <v>236</v>
      </c>
      <c r="C355" s="27">
        <v>354</v>
      </c>
      <c r="D355" s="18">
        <f t="shared" si="22"/>
        <v>11.8</v>
      </c>
      <c r="E355" s="5">
        <v>1075.28</v>
      </c>
      <c r="H355" s="18">
        <f t="shared" si="23"/>
        <v>708</v>
      </c>
      <c r="I355" t="b">
        <f t="shared" si="24"/>
        <v>0</v>
      </c>
      <c r="J355" s="4">
        <f t="shared" si="25"/>
        <v>0.51875706214689266</v>
      </c>
      <c r="O355" t="s">
        <v>1576</v>
      </c>
      <c r="P355">
        <v>4871</v>
      </c>
      <c r="Q355">
        <v>8603.15</v>
      </c>
    </row>
    <row r="356" spans="1:17" hidden="1">
      <c r="A356" s="126" t="s">
        <v>205</v>
      </c>
      <c r="B356" s="126" t="s">
        <v>206</v>
      </c>
      <c r="C356" s="27">
        <v>219</v>
      </c>
      <c r="D356" s="18">
        <f t="shared" si="22"/>
        <v>7.3</v>
      </c>
      <c r="E356" s="5">
        <v>354.88</v>
      </c>
      <c r="H356" s="18">
        <f t="shared" si="23"/>
        <v>438</v>
      </c>
      <c r="I356" t="b">
        <f t="shared" si="24"/>
        <v>1</v>
      </c>
      <c r="J356" s="4">
        <f t="shared" si="25"/>
        <v>-0.18977168949771694</v>
      </c>
      <c r="M356"/>
      <c r="O356" t="s">
        <v>1585</v>
      </c>
      <c r="P356">
        <v>10863</v>
      </c>
      <c r="Q356">
        <v>10572.08</v>
      </c>
    </row>
    <row r="357" spans="1:17">
      <c r="A357" s="126" t="s">
        <v>372</v>
      </c>
      <c r="B357" s="126" t="s">
        <v>373</v>
      </c>
      <c r="C357" s="27">
        <v>404</v>
      </c>
      <c r="D357" s="18">
        <f t="shared" si="22"/>
        <v>13.466666666666667</v>
      </c>
      <c r="E357" s="5">
        <v>1200.6099999999999</v>
      </c>
      <c r="H357" s="18">
        <f t="shared" si="23"/>
        <v>808</v>
      </c>
      <c r="I357" t="b">
        <f t="shared" si="24"/>
        <v>0</v>
      </c>
      <c r="J357" s="4">
        <f t="shared" si="25"/>
        <v>0.48590346534653461</v>
      </c>
      <c r="M357"/>
      <c r="O357" t="s">
        <v>1447</v>
      </c>
      <c r="P357">
        <v>2105</v>
      </c>
      <c r="Q357">
        <v>5222.25</v>
      </c>
    </row>
    <row r="358" spans="1:17" hidden="1">
      <c r="A358" s="126" t="s">
        <v>164</v>
      </c>
      <c r="B358" s="126" t="s">
        <v>165</v>
      </c>
      <c r="C358" s="27">
        <v>280</v>
      </c>
      <c r="D358" s="18">
        <f t="shared" si="22"/>
        <v>9.3333333333333339</v>
      </c>
      <c r="E358" s="5">
        <v>624.87</v>
      </c>
      <c r="H358" s="18">
        <f t="shared" si="23"/>
        <v>560</v>
      </c>
      <c r="I358" t="b">
        <f t="shared" si="24"/>
        <v>1</v>
      </c>
      <c r="J358" s="4">
        <f t="shared" si="25"/>
        <v>0.11583928571428581</v>
      </c>
      <c r="O358" t="s">
        <v>1518</v>
      </c>
      <c r="P358">
        <v>1161</v>
      </c>
      <c r="Q358">
        <v>1374.2</v>
      </c>
    </row>
    <row r="359" spans="1:17" hidden="1">
      <c r="A359" s="126" t="s">
        <v>100</v>
      </c>
      <c r="B359" s="126" t="s">
        <v>101</v>
      </c>
      <c r="C359" s="27">
        <v>875</v>
      </c>
      <c r="D359" s="18">
        <f t="shared" si="22"/>
        <v>29.166666666666668</v>
      </c>
      <c r="E359" s="5">
        <v>1679.27</v>
      </c>
      <c r="H359" s="18">
        <f t="shared" si="23"/>
        <v>1750</v>
      </c>
      <c r="I359" t="b">
        <f t="shared" si="24"/>
        <v>1</v>
      </c>
      <c r="J359" s="4">
        <f t="shared" si="25"/>
        <v>-4.0417142857142818E-2</v>
      </c>
      <c r="M359"/>
      <c r="O359" t="s">
        <v>1431</v>
      </c>
      <c r="P359">
        <v>2704</v>
      </c>
      <c r="Q359">
        <v>3791.04</v>
      </c>
    </row>
    <row r="360" spans="1:17">
      <c r="A360" s="126" t="s">
        <v>454</v>
      </c>
      <c r="B360" s="126" t="s">
        <v>455</v>
      </c>
      <c r="C360" s="27">
        <v>477</v>
      </c>
      <c r="D360" s="18">
        <f t="shared" si="22"/>
        <v>15.9</v>
      </c>
      <c r="E360" s="5">
        <v>1240.3</v>
      </c>
      <c r="H360" s="18">
        <f t="shared" si="23"/>
        <v>954</v>
      </c>
      <c r="I360" t="b">
        <f t="shared" si="24"/>
        <v>0</v>
      </c>
      <c r="J360" s="4">
        <f t="shared" si="25"/>
        <v>0.30010482180293496</v>
      </c>
      <c r="M360"/>
      <c r="O360" t="s">
        <v>1506</v>
      </c>
      <c r="P360">
        <v>1464</v>
      </c>
      <c r="Q360">
        <v>1310.06</v>
      </c>
    </row>
    <row r="361" spans="1:17" ht="16.5" hidden="1" customHeight="1">
      <c r="A361" s="126" t="s">
        <v>663</v>
      </c>
      <c r="B361" s="126" t="s">
        <v>664</v>
      </c>
      <c r="C361" s="27">
        <v>636</v>
      </c>
      <c r="D361" s="18">
        <f t="shared" si="22"/>
        <v>21.2</v>
      </c>
      <c r="E361" s="5">
        <v>1158.94</v>
      </c>
      <c r="H361" s="18">
        <f t="shared" si="23"/>
        <v>1272</v>
      </c>
      <c r="I361" t="b">
        <f t="shared" si="24"/>
        <v>1</v>
      </c>
      <c r="J361" s="4">
        <f t="shared" si="25"/>
        <v>-8.8883647798742138E-2</v>
      </c>
      <c r="M361"/>
      <c r="O361" t="s">
        <v>1337</v>
      </c>
      <c r="P361">
        <v>432</v>
      </c>
      <c r="Q361">
        <v>657.51</v>
      </c>
    </row>
    <row r="362" spans="1:17" hidden="1">
      <c r="A362" s="126" t="s">
        <v>93</v>
      </c>
      <c r="B362" s="126" t="s">
        <v>94</v>
      </c>
      <c r="C362" s="27">
        <v>484</v>
      </c>
      <c r="D362" s="18">
        <f t="shared" si="22"/>
        <v>16.133333333333333</v>
      </c>
      <c r="E362" s="5">
        <v>873.32</v>
      </c>
      <c r="H362" s="18">
        <f t="shared" si="23"/>
        <v>968</v>
      </c>
      <c r="I362" t="b">
        <f t="shared" si="24"/>
        <v>1</v>
      </c>
      <c r="J362" s="4">
        <f t="shared" si="25"/>
        <v>-9.7809917355371812E-2</v>
      </c>
      <c r="O362" t="s">
        <v>1498</v>
      </c>
      <c r="P362">
        <v>1424</v>
      </c>
      <c r="Q362">
        <v>3264.21</v>
      </c>
    </row>
    <row r="363" spans="1:17" hidden="1">
      <c r="A363" s="126" t="s">
        <v>928</v>
      </c>
      <c r="B363" s="126" t="s">
        <v>929</v>
      </c>
      <c r="C363" s="27">
        <v>2003</v>
      </c>
      <c r="D363" s="18">
        <f t="shared" si="22"/>
        <v>66.766666666666666</v>
      </c>
      <c r="E363" s="5">
        <v>2500.86</v>
      </c>
      <c r="H363" s="18">
        <f t="shared" si="23"/>
        <v>4006</v>
      </c>
      <c r="I363" t="b">
        <f t="shared" ref="I363:I426" si="26">IF(E363&gt;1.2*H363,FALSE,TRUE)</f>
        <v>1</v>
      </c>
      <c r="J363" s="4">
        <f t="shared" ref="J363:J426" si="27">E363/H363-1</f>
        <v>-0.37572141787319013</v>
      </c>
      <c r="O363" t="s">
        <v>1532</v>
      </c>
      <c r="P363">
        <v>1014</v>
      </c>
      <c r="Q363">
        <v>1354.39</v>
      </c>
    </row>
    <row r="364" spans="1:17" hidden="1">
      <c r="A364" s="126" t="s">
        <v>1854</v>
      </c>
      <c r="B364" s="126" t="s">
        <v>1855</v>
      </c>
      <c r="C364" s="27">
        <v>0</v>
      </c>
      <c r="D364" s="18">
        <f t="shared" si="22"/>
        <v>0</v>
      </c>
      <c r="E364" s="5">
        <v>0</v>
      </c>
      <c r="H364" s="18">
        <f t="shared" si="23"/>
        <v>0</v>
      </c>
      <c r="I364" t="b">
        <f t="shared" si="26"/>
        <v>1</v>
      </c>
      <c r="J364" s="4" t="e">
        <f t="shared" si="27"/>
        <v>#DIV/0!</v>
      </c>
      <c r="O364" t="s">
        <v>1445</v>
      </c>
      <c r="P364">
        <v>1525</v>
      </c>
      <c r="Q364">
        <v>2359.86</v>
      </c>
    </row>
    <row r="365" spans="1:17" hidden="1">
      <c r="A365" s="126" t="s">
        <v>35</v>
      </c>
      <c r="B365" s="126" t="s">
        <v>36</v>
      </c>
      <c r="C365" s="27">
        <v>1857</v>
      </c>
      <c r="D365" s="18">
        <f t="shared" si="22"/>
        <v>61.9</v>
      </c>
      <c r="E365" s="5">
        <v>2909</v>
      </c>
      <c r="H365" s="18">
        <f t="shared" si="23"/>
        <v>3714</v>
      </c>
      <c r="I365" t="b">
        <f t="shared" si="26"/>
        <v>1</v>
      </c>
      <c r="J365" s="4">
        <f t="shared" si="27"/>
        <v>-0.21674744211093167</v>
      </c>
      <c r="O365" t="s">
        <v>1455</v>
      </c>
      <c r="P365">
        <v>816</v>
      </c>
      <c r="Q365">
        <v>2073.8200000000002</v>
      </c>
    </row>
    <row r="366" spans="1:17">
      <c r="A366" s="126" t="s">
        <v>67</v>
      </c>
      <c r="B366" s="126" t="s">
        <v>68</v>
      </c>
      <c r="C366" s="27">
        <v>169</v>
      </c>
      <c r="D366" s="18">
        <f t="shared" si="22"/>
        <v>5.6333333333333337</v>
      </c>
      <c r="E366" s="5">
        <v>405.63</v>
      </c>
      <c r="H366" s="18">
        <f t="shared" si="23"/>
        <v>338</v>
      </c>
      <c r="I366" t="b">
        <f t="shared" si="26"/>
        <v>0</v>
      </c>
      <c r="J366" s="4">
        <f t="shared" si="27"/>
        <v>0.2000887573964496</v>
      </c>
      <c r="L366" s="126"/>
      <c r="O366" t="s">
        <v>1435</v>
      </c>
      <c r="P366">
        <v>1682</v>
      </c>
      <c r="Q366">
        <v>580.09</v>
      </c>
    </row>
    <row r="367" spans="1:17">
      <c r="A367" s="126" t="s">
        <v>426</v>
      </c>
      <c r="B367" s="126" t="s">
        <v>427</v>
      </c>
      <c r="C367" s="27">
        <v>411</v>
      </c>
      <c r="D367" s="18">
        <f t="shared" si="22"/>
        <v>13.7</v>
      </c>
      <c r="E367" s="5">
        <v>1248.03</v>
      </c>
      <c r="H367" s="18">
        <f t="shared" si="23"/>
        <v>822</v>
      </c>
      <c r="I367" t="b">
        <f t="shared" si="26"/>
        <v>0</v>
      </c>
      <c r="J367" s="4">
        <f t="shared" si="27"/>
        <v>0.51828467153284663</v>
      </c>
      <c r="O367" t="s">
        <v>1393</v>
      </c>
      <c r="P367">
        <v>261</v>
      </c>
      <c r="Q367">
        <v>1405.71</v>
      </c>
    </row>
    <row r="368" spans="1:17" hidden="1">
      <c r="A368" s="126" t="s">
        <v>126</v>
      </c>
      <c r="B368" s="126" t="s">
        <v>127</v>
      </c>
      <c r="C368" s="27">
        <v>904</v>
      </c>
      <c r="D368" s="18">
        <f t="shared" si="22"/>
        <v>30.133333333333333</v>
      </c>
      <c r="E368" s="5">
        <v>1838.53</v>
      </c>
      <c r="H368" s="18">
        <f t="shared" si="23"/>
        <v>1808</v>
      </c>
      <c r="I368" t="b">
        <f t="shared" si="26"/>
        <v>1</v>
      </c>
      <c r="J368" s="4">
        <f t="shared" si="27"/>
        <v>1.6886061946902675E-2</v>
      </c>
      <c r="O368" t="s">
        <v>1566</v>
      </c>
      <c r="P368">
        <v>1366</v>
      </c>
      <c r="Q368">
        <v>3088.32</v>
      </c>
    </row>
    <row r="369" spans="1:17" hidden="1">
      <c r="A369" t="s">
        <v>989</v>
      </c>
      <c r="B369" t="s">
        <v>990</v>
      </c>
      <c r="C369" s="18">
        <v>5147</v>
      </c>
      <c r="D369" s="18">
        <f t="shared" si="22"/>
        <v>171.56666666666666</v>
      </c>
      <c r="E369" s="5">
        <v>4371.66</v>
      </c>
      <c r="H369" s="18">
        <f t="shared" si="23"/>
        <v>10294</v>
      </c>
      <c r="I369" t="b">
        <f t="shared" si="26"/>
        <v>1</v>
      </c>
      <c r="J369" s="4">
        <f t="shared" si="27"/>
        <v>-0.57531960365261314</v>
      </c>
      <c r="O369" t="s">
        <v>1427</v>
      </c>
      <c r="P369">
        <v>1601</v>
      </c>
      <c r="Q369">
        <v>3000.95</v>
      </c>
    </row>
    <row r="370" spans="1:17" hidden="1">
      <c r="A370" t="s">
        <v>1308</v>
      </c>
      <c r="B370" t="s">
        <v>1309</v>
      </c>
      <c r="C370" s="18">
        <v>44766</v>
      </c>
      <c r="D370" s="18">
        <f t="shared" si="22"/>
        <v>1492.2</v>
      </c>
      <c r="E370" s="5">
        <v>36342.639999999999</v>
      </c>
      <c r="H370" s="18">
        <f t="shared" si="23"/>
        <v>89532</v>
      </c>
      <c r="I370" t="b">
        <f t="shared" si="26"/>
        <v>1</v>
      </c>
      <c r="J370" s="4">
        <f t="shared" si="27"/>
        <v>-0.59408211589152482</v>
      </c>
      <c r="O370" t="s">
        <v>1520</v>
      </c>
      <c r="P370">
        <v>7185</v>
      </c>
      <c r="Q370">
        <v>9078.4500000000007</v>
      </c>
    </row>
    <row r="371" spans="1:17" hidden="1">
      <c r="A371" s="125" t="s">
        <v>955</v>
      </c>
      <c r="B371" s="36" t="s">
        <v>956</v>
      </c>
      <c r="C371">
        <v>3292</v>
      </c>
      <c r="D371" s="18">
        <f t="shared" si="22"/>
        <v>109.73333333333333</v>
      </c>
      <c r="E371" s="5">
        <v>1927.02</v>
      </c>
      <c r="H371" s="18">
        <f t="shared" si="23"/>
        <v>6584</v>
      </c>
      <c r="I371" t="b">
        <f t="shared" si="26"/>
        <v>1</v>
      </c>
      <c r="J371" s="4">
        <f t="shared" si="27"/>
        <v>-0.70731773997569869</v>
      </c>
      <c r="O371" t="s">
        <v>1484</v>
      </c>
      <c r="P371">
        <v>1016</v>
      </c>
      <c r="Q371">
        <v>2364.4699999999998</v>
      </c>
    </row>
    <row r="372" spans="1:17" hidden="1">
      <c r="A372" t="s">
        <v>1114</v>
      </c>
      <c r="B372" t="s">
        <v>1115</v>
      </c>
      <c r="C372" s="18">
        <v>718</v>
      </c>
      <c r="D372" s="18">
        <f t="shared" si="22"/>
        <v>23.933333333333334</v>
      </c>
      <c r="E372" s="5">
        <v>351.79</v>
      </c>
      <c r="H372" s="18">
        <f t="shared" si="23"/>
        <v>1436</v>
      </c>
      <c r="I372" t="b">
        <f t="shared" si="26"/>
        <v>1</v>
      </c>
      <c r="J372" s="4">
        <f t="shared" si="27"/>
        <v>-0.75502089136490247</v>
      </c>
      <c r="O372" t="s">
        <v>1441</v>
      </c>
      <c r="P372">
        <v>1074</v>
      </c>
      <c r="Q372">
        <v>1191.3399999999999</v>
      </c>
    </row>
    <row r="373" spans="1:17" hidden="1">
      <c r="A373" t="s">
        <v>1294</v>
      </c>
      <c r="B373" t="s">
        <v>1295</v>
      </c>
      <c r="C373" s="18">
        <v>3065</v>
      </c>
      <c r="D373" s="18">
        <f t="shared" si="22"/>
        <v>102.16666666666667</v>
      </c>
      <c r="E373" s="5">
        <v>7137.31</v>
      </c>
      <c r="H373" s="18">
        <f t="shared" si="23"/>
        <v>6130</v>
      </c>
      <c r="I373" t="b">
        <f t="shared" si="26"/>
        <v>1</v>
      </c>
      <c r="J373" s="4">
        <f t="shared" si="27"/>
        <v>0.16432463295269173</v>
      </c>
      <c r="P373">
        <v>0</v>
      </c>
      <c r="Q373">
        <v>0</v>
      </c>
    </row>
    <row r="374" spans="1:17" hidden="1">
      <c r="A374" t="s">
        <v>1023</v>
      </c>
      <c r="B374" t="s">
        <v>1024</v>
      </c>
      <c r="C374" s="18">
        <v>1137</v>
      </c>
      <c r="D374" s="18">
        <f t="shared" si="22"/>
        <v>37.9</v>
      </c>
      <c r="E374" s="5">
        <v>1445.69</v>
      </c>
      <c r="H374" s="18">
        <f t="shared" si="23"/>
        <v>2274</v>
      </c>
      <c r="I374" t="b">
        <f t="shared" si="26"/>
        <v>1</v>
      </c>
      <c r="J374" s="4">
        <f t="shared" si="27"/>
        <v>-0.36425241864555846</v>
      </c>
      <c r="O374" t="s">
        <v>1423</v>
      </c>
      <c r="P374">
        <v>539</v>
      </c>
      <c r="Q374">
        <v>1057.49</v>
      </c>
    </row>
    <row r="375" spans="1:17" hidden="1">
      <c r="A375" t="s">
        <v>1223</v>
      </c>
      <c r="B375" t="s">
        <v>1224</v>
      </c>
      <c r="C375" s="18">
        <v>9160</v>
      </c>
      <c r="D375" s="18">
        <f t="shared" si="22"/>
        <v>305.33333333333331</v>
      </c>
      <c r="E375" s="116">
        <v>6638.18</v>
      </c>
      <c r="H375" s="18">
        <f t="shared" si="23"/>
        <v>18320</v>
      </c>
      <c r="I375" t="b">
        <f t="shared" si="26"/>
        <v>1</v>
      </c>
      <c r="J375" s="4">
        <f t="shared" si="27"/>
        <v>-0.63765393013100435</v>
      </c>
      <c r="O375" t="s">
        <v>1510</v>
      </c>
      <c r="P375">
        <v>1075</v>
      </c>
      <c r="Q375">
        <v>1761.57</v>
      </c>
    </row>
    <row r="376" spans="1:17" hidden="1">
      <c r="A376" t="s">
        <v>960</v>
      </c>
      <c r="B376" t="s">
        <v>961</v>
      </c>
      <c r="C376" s="18">
        <v>2589</v>
      </c>
      <c r="D376" s="18">
        <f t="shared" si="22"/>
        <v>86.3</v>
      </c>
      <c r="E376" s="5">
        <v>1399.24</v>
      </c>
      <c r="H376" s="18">
        <f t="shared" si="23"/>
        <v>5178</v>
      </c>
      <c r="I376" t="b">
        <f t="shared" si="26"/>
        <v>1</v>
      </c>
      <c r="J376" s="4">
        <f t="shared" si="27"/>
        <v>-0.72977211278485909</v>
      </c>
      <c r="O376" t="s">
        <v>1480</v>
      </c>
      <c r="P376">
        <v>1470</v>
      </c>
      <c r="Q376">
        <v>2032.1</v>
      </c>
    </row>
    <row r="377" spans="1:17" hidden="1">
      <c r="A377" s="125" t="s">
        <v>1232</v>
      </c>
      <c r="B377" s="36" t="s">
        <v>1233</v>
      </c>
      <c r="C377">
        <v>652</v>
      </c>
      <c r="D377" s="18">
        <f t="shared" si="22"/>
        <v>21.733333333333334</v>
      </c>
      <c r="E377" s="5">
        <v>1071.98</v>
      </c>
      <c r="H377" s="18">
        <f t="shared" si="23"/>
        <v>1304</v>
      </c>
      <c r="I377" t="b">
        <f t="shared" si="26"/>
        <v>1</v>
      </c>
      <c r="J377" s="4">
        <f t="shared" si="27"/>
        <v>-0.17792944785276077</v>
      </c>
      <c r="O377" t="s">
        <v>1504</v>
      </c>
      <c r="P377">
        <v>1676</v>
      </c>
      <c r="Q377">
        <v>2748.23</v>
      </c>
    </row>
    <row r="378" spans="1:17" hidden="1">
      <c r="A378" t="s">
        <v>1000</v>
      </c>
      <c r="B378" t="s">
        <v>1001</v>
      </c>
      <c r="C378" s="18">
        <v>420</v>
      </c>
      <c r="D378" s="18">
        <f t="shared" si="22"/>
        <v>14</v>
      </c>
      <c r="E378" s="5">
        <v>863.07</v>
      </c>
      <c r="H378" s="18">
        <f t="shared" si="23"/>
        <v>840</v>
      </c>
      <c r="I378" t="b">
        <f t="shared" si="26"/>
        <v>1</v>
      </c>
      <c r="J378" s="4">
        <f t="shared" si="27"/>
        <v>2.7464285714285719E-2</v>
      </c>
      <c r="O378" t="s">
        <v>1774</v>
      </c>
      <c r="P378">
        <v>556</v>
      </c>
      <c r="Q378">
        <v>399.59</v>
      </c>
    </row>
    <row r="379" spans="1:17" hidden="1">
      <c r="A379" s="26" t="s">
        <v>1254</v>
      </c>
      <c r="B379" s="26" t="s">
        <v>1255</v>
      </c>
      <c r="C379" s="18">
        <v>580</v>
      </c>
      <c r="D379" s="18">
        <f t="shared" si="22"/>
        <v>19.333333333333332</v>
      </c>
      <c r="E379" s="5">
        <v>190.09</v>
      </c>
      <c r="H379" s="18">
        <f t="shared" si="23"/>
        <v>1160</v>
      </c>
      <c r="I379" t="b">
        <f t="shared" si="26"/>
        <v>1</v>
      </c>
      <c r="J379" s="4">
        <f t="shared" si="27"/>
        <v>-0.83612931034482751</v>
      </c>
      <c r="O379" t="s">
        <v>1416</v>
      </c>
      <c r="P379">
        <v>1179</v>
      </c>
      <c r="Q379">
        <v>2708.58</v>
      </c>
    </row>
    <row r="380" spans="1:17" hidden="1">
      <c r="A380" t="s">
        <v>1275</v>
      </c>
      <c r="B380" t="s">
        <v>1276</v>
      </c>
      <c r="C380" s="18">
        <v>903</v>
      </c>
      <c r="D380" s="18">
        <f t="shared" si="22"/>
        <v>30.1</v>
      </c>
      <c r="E380" s="5">
        <v>374.9</v>
      </c>
      <c r="H380" s="18">
        <f t="shared" si="23"/>
        <v>1806</v>
      </c>
      <c r="I380" t="b">
        <f t="shared" si="26"/>
        <v>1</v>
      </c>
      <c r="J380" s="4">
        <f t="shared" si="27"/>
        <v>-0.79241417497231459</v>
      </c>
      <c r="O380" t="s">
        <v>1559</v>
      </c>
      <c r="P380">
        <v>1553</v>
      </c>
      <c r="Q380">
        <v>1075</v>
      </c>
    </row>
    <row r="381" spans="1:17" hidden="1">
      <c r="A381" s="115" t="s">
        <v>1100</v>
      </c>
      <c r="B381" s="36" t="s">
        <v>1101</v>
      </c>
      <c r="C381">
        <v>3</v>
      </c>
      <c r="D381" s="18">
        <f t="shared" si="22"/>
        <v>0.1</v>
      </c>
      <c r="E381" s="5">
        <v>0</v>
      </c>
      <c r="H381" s="18">
        <f t="shared" si="23"/>
        <v>6</v>
      </c>
      <c r="I381" t="b">
        <f t="shared" si="26"/>
        <v>1</v>
      </c>
      <c r="J381" s="4">
        <f t="shared" si="27"/>
        <v>-1</v>
      </c>
      <c r="O381" t="s">
        <v>1494</v>
      </c>
      <c r="P381">
        <v>1400</v>
      </c>
      <c r="Q381">
        <v>1440.96</v>
      </c>
    </row>
    <row r="382" spans="1:17" hidden="1">
      <c r="A382" t="s">
        <v>1188</v>
      </c>
      <c r="B382" t="s">
        <v>1189</v>
      </c>
      <c r="C382" s="18">
        <v>985</v>
      </c>
      <c r="D382" s="18">
        <f t="shared" si="22"/>
        <v>32.833333333333336</v>
      </c>
      <c r="E382" s="5">
        <v>624.55999999999995</v>
      </c>
      <c r="H382" s="18">
        <f t="shared" si="23"/>
        <v>1970</v>
      </c>
      <c r="I382" t="b">
        <f t="shared" si="26"/>
        <v>1</v>
      </c>
      <c r="J382" s="4">
        <f t="shared" si="27"/>
        <v>-0.68296446700507618</v>
      </c>
      <c r="O382" t="s">
        <v>1457</v>
      </c>
      <c r="P382">
        <v>1462</v>
      </c>
      <c r="Q382">
        <v>1070.9000000000001</v>
      </c>
    </row>
    <row r="383" spans="1:17" hidden="1">
      <c r="A383" s="26" t="s">
        <v>1084</v>
      </c>
      <c r="B383" s="36" t="s">
        <v>1085</v>
      </c>
      <c r="C383" s="18">
        <v>645</v>
      </c>
      <c r="D383" s="18">
        <f t="shared" si="22"/>
        <v>21.5</v>
      </c>
      <c r="E383" s="5">
        <v>569.04999999999995</v>
      </c>
      <c r="H383" s="18">
        <f t="shared" si="23"/>
        <v>1290</v>
      </c>
      <c r="I383" t="b">
        <f t="shared" si="26"/>
        <v>1</v>
      </c>
      <c r="J383" s="4">
        <f t="shared" si="27"/>
        <v>-0.55887596899224812</v>
      </c>
      <c r="O383" t="s">
        <v>1425</v>
      </c>
      <c r="P383">
        <v>7031</v>
      </c>
      <c r="Q383">
        <v>6062.04</v>
      </c>
    </row>
    <row r="384" spans="1:17" hidden="1">
      <c r="A384" t="s">
        <v>1176</v>
      </c>
      <c r="B384" t="s">
        <v>1177</v>
      </c>
      <c r="C384" s="18">
        <v>802</v>
      </c>
      <c r="D384" s="18">
        <f t="shared" si="22"/>
        <v>26.733333333333334</v>
      </c>
      <c r="E384" s="5">
        <v>176.68</v>
      </c>
      <c r="H384" s="18">
        <f t="shared" si="23"/>
        <v>1604</v>
      </c>
      <c r="I384" t="b">
        <f t="shared" si="26"/>
        <v>1</v>
      </c>
      <c r="J384" s="4">
        <f t="shared" si="27"/>
        <v>-0.88985037406483791</v>
      </c>
      <c r="O384" t="s">
        <v>1474</v>
      </c>
      <c r="P384">
        <v>1743</v>
      </c>
      <c r="Q384">
        <v>2986.39</v>
      </c>
    </row>
    <row r="385" spans="1:17" hidden="1">
      <c r="A385" t="s">
        <v>1106</v>
      </c>
      <c r="B385" t="s">
        <v>1107</v>
      </c>
      <c r="C385" s="18">
        <v>2034</v>
      </c>
      <c r="D385" s="18">
        <f t="shared" si="22"/>
        <v>67.8</v>
      </c>
      <c r="E385" s="5">
        <v>683.2</v>
      </c>
      <c r="H385" s="18">
        <f t="shared" si="23"/>
        <v>4068</v>
      </c>
      <c r="I385" t="b">
        <f t="shared" si="26"/>
        <v>1</v>
      </c>
      <c r="J385" s="4">
        <f t="shared" si="27"/>
        <v>-0.83205506391347095</v>
      </c>
      <c r="O385" t="s">
        <v>1350</v>
      </c>
      <c r="P385">
        <v>1235</v>
      </c>
      <c r="Q385">
        <v>2031.46</v>
      </c>
    </row>
    <row r="386" spans="1:17" hidden="1">
      <c r="A386" t="s">
        <v>1192</v>
      </c>
      <c r="B386" t="s">
        <v>1193</v>
      </c>
      <c r="C386" s="18">
        <v>936</v>
      </c>
      <c r="D386" s="18">
        <f t="shared" si="22"/>
        <v>31.2</v>
      </c>
      <c r="E386" s="5">
        <v>0</v>
      </c>
      <c r="H386" s="18">
        <f t="shared" si="23"/>
        <v>1872</v>
      </c>
      <c r="I386" t="b">
        <f t="shared" si="26"/>
        <v>1</v>
      </c>
      <c r="J386" s="4">
        <f t="shared" si="27"/>
        <v>-1</v>
      </c>
      <c r="O386" t="s">
        <v>1777</v>
      </c>
      <c r="P386">
        <v>1</v>
      </c>
      <c r="Q386">
        <v>0</v>
      </c>
    </row>
    <row r="387" spans="1:17" hidden="1">
      <c r="A387" t="s">
        <v>1281</v>
      </c>
      <c r="B387" t="s">
        <v>1282</v>
      </c>
      <c r="C387" s="18">
        <v>2086</v>
      </c>
      <c r="D387" s="18">
        <f t="shared" ref="D387:D450" si="28">C387/30</f>
        <v>69.533333333333331</v>
      </c>
      <c r="E387" s="5">
        <v>1756.12</v>
      </c>
      <c r="H387" s="18">
        <f t="shared" ref="H387:H450" si="29">IF((C387/30)&gt;100,C387*2,C387*2)</f>
        <v>4172</v>
      </c>
      <c r="I387" t="b">
        <f t="shared" si="26"/>
        <v>1</v>
      </c>
      <c r="J387" s="4">
        <f t="shared" si="27"/>
        <v>-0.57906999041227225</v>
      </c>
      <c r="O387" t="s">
        <v>1400</v>
      </c>
      <c r="P387">
        <v>1060</v>
      </c>
      <c r="Q387">
        <v>1987.32</v>
      </c>
    </row>
    <row r="388" spans="1:17" hidden="1">
      <c r="A388" t="s">
        <v>1221</v>
      </c>
      <c r="B388" t="s">
        <v>1222</v>
      </c>
      <c r="C388" s="18">
        <v>1117</v>
      </c>
      <c r="D388" s="18">
        <f t="shared" si="28"/>
        <v>37.233333333333334</v>
      </c>
      <c r="E388" s="5">
        <v>1107.23</v>
      </c>
      <c r="H388" s="18">
        <f t="shared" si="29"/>
        <v>2234</v>
      </c>
      <c r="I388" t="b">
        <f t="shared" si="26"/>
        <v>1</v>
      </c>
      <c r="J388" s="4">
        <f t="shared" si="27"/>
        <v>-0.50437332139659796</v>
      </c>
      <c r="O388" t="s">
        <v>1398</v>
      </c>
      <c r="P388">
        <v>810</v>
      </c>
      <c r="Q388">
        <v>987.64</v>
      </c>
    </row>
    <row r="389" spans="1:17" hidden="1">
      <c r="A389" t="s">
        <v>983</v>
      </c>
      <c r="B389" t="s">
        <v>984</v>
      </c>
      <c r="C389" s="18">
        <v>886</v>
      </c>
      <c r="D389" s="18">
        <f t="shared" si="28"/>
        <v>29.533333333333335</v>
      </c>
      <c r="E389" s="5">
        <v>1028.22</v>
      </c>
      <c r="H389" s="18">
        <f t="shared" si="29"/>
        <v>1772</v>
      </c>
      <c r="I389" t="b">
        <f t="shared" si="26"/>
        <v>1</v>
      </c>
      <c r="J389" s="4">
        <f t="shared" si="27"/>
        <v>-0.41974040632054177</v>
      </c>
      <c r="O389" t="s">
        <v>1529</v>
      </c>
      <c r="P389">
        <v>1161</v>
      </c>
      <c r="Q389">
        <v>2264.92</v>
      </c>
    </row>
    <row r="390" spans="1:17" hidden="1">
      <c r="A390" s="26" t="s">
        <v>1174</v>
      </c>
      <c r="B390" s="26" t="s">
        <v>1175</v>
      </c>
      <c r="C390" s="18">
        <v>744</v>
      </c>
      <c r="D390" s="18">
        <f t="shared" si="28"/>
        <v>24.8</v>
      </c>
      <c r="E390" s="116">
        <v>305.93</v>
      </c>
      <c r="H390" s="18">
        <f t="shared" si="29"/>
        <v>1488</v>
      </c>
      <c r="I390" t="b">
        <f t="shared" si="26"/>
        <v>1</v>
      </c>
      <c r="J390" s="4">
        <f t="shared" si="27"/>
        <v>-0.79440188172043014</v>
      </c>
      <c r="O390" t="s">
        <v>1548</v>
      </c>
      <c r="P390">
        <v>1609</v>
      </c>
      <c r="Q390">
        <v>1661.07</v>
      </c>
    </row>
    <row r="391" spans="1:17" hidden="1">
      <c r="A391" t="s">
        <v>1116</v>
      </c>
      <c r="B391" t="s">
        <v>1117</v>
      </c>
      <c r="C391" s="18">
        <v>2101</v>
      </c>
      <c r="D391" s="18">
        <f t="shared" si="28"/>
        <v>70.033333333333331</v>
      </c>
      <c r="E391" s="5">
        <v>1469.59</v>
      </c>
      <c r="H391" s="18">
        <f t="shared" si="29"/>
        <v>4202</v>
      </c>
      <c r="I391" t="b">
        <f t="shared" si="26"/>
        <v>1</v>
      </c>
      <c r="J391" s="4">
        <f t="shared" si="27"/>
        <v>-0.65026415992384579</v>
      </c>
      <c r="O391" t="s">
        <v>1496</v>
      </c>
      <c r="P391">
        <v>1107</v>
      </c>
      <c r="Q391">
        <v>1110.52</v>
      </c>
    </row>
    <row r="392" spans="1:17" hidden="1">
      <c r="A392" t="s">
        <v>1180</v>
      </c>
      <c r="B392" t="s">
        <v>1181</v>
      </c>
      <c r="C392" s="18">
        <v>1518</v>
      </c>
      <c r="D392" s="18">
        <f t="shared" si="28"/>
        <v>50.6</v>
      </c>
      <c r="E392" s="5">
        <v>3463.2599999999998</v>
      </c>
      <c r="H392" s="18">
        <f t="shared" si="29"/>
        <v>3036</v>
      </c>
      <c r="I392" t="b">
        <f t="shared" si="26"/>
        <v>1</v>
      </c>
      <c r="J392" s="4">
        <f t="shared" si="27"/>
        <v>0.14073122529644255</v>
      </c>
      <c r="O392" t="s">
        <v>1755</v>
      </c>
      <c r="P392">
        <v>550</v>
      </c>
      <c r="Q392">
        <v>515.15</v>
      </c>
    </row>
    <row r="393" spans="1:17" hidden="1">
      <c r="A393" t="s">
        <v>981</v>
      </c>
      <c r="B393" t="s">
        <v>982</v>
      </c>
      <c r="C393" s="18">
        <v>4340</v>
      </c>
      <c r="D393" s="18">
        <f t="shared" si="28"/>
        <v>144.66666666666666</v>
      </c>
      <c r="E393" s="5">
        <v>10105.969999999999</v>
      </c>
      <c r="H393" s="18">
        <f t="shared" si="29"/>
        <v>8680</v>
      </c>
      <c r="I393" t="b">
        <f t="shared" si="26"/>
        <v>1</v>
      </c>
      <c r="J393" s="4">
        <f t="shared" si="27"/>
        <v>0.16428225806451602</v>
      </c>
      <c r="O393" t="s">
        <v>1470</v>
      </c>
      <c r="P393">
        <v>925</v>
      </c>
      <c r="Q393">
        <v>1261.25</v>
      </c>
    </row>
    <row r="394" spans="1:17" hidden="1">
      <c r="A394" t="s">
        <v>1021</v>
      </c>
      <c r="B394" t="s">
        <v>1022</v>
      </c>
      <c r="C394" s="18">
        <v>491</v>
      </c>
      <c r="D394" s="18">
        <f t="shared" si="28"/>
        <v>16.366666666666667</v>
      </c>
      <c r="E394" s="5">
        <v>0</v>
      </c>
      <c r="H394" s="18">
        <f t="shared" si="29"/>
        <v>982</v>
      </c>
      <c r="I394" t="b">
        <f t="shared" si="26"/>
        <v>1</v>
      </c>
      <c r="J394" s="4">
        <f t="shared" si="27"/>
        <v>-1</v>
      </c>
      <c r="O394" t="s">
        <v>1514</v>
      </c>
      <c r="P394">
        <v>1375</v>
      </c>
      <c r="Q394">
        <v>2480.4</v>
      </c>
    </row>
    <row r="395" spans="1:17" hidden="1">
      <c r="A395" t="s">
        <v>1266</v>
      </c>
      <c r="B395" t="s">
        <v>1267</v>
      </c>
      <c r="C395" s="18">
        <v>1482</v>
      </c>
      <c r="D395" s="18">
        <f t="shared" si="28"/>
        <v>49.4</v>
      </c>
      <c r="E395" s="5">
        <v>702.38</v>
      </c>
      <c r="H395" s="18">
        <f t="shared" si="29"/>
        <v>2964</v>
      </c>
      <c r="I395" t="b">
        <f t="shared" si="26"/>
        <v>1</v>
      </c>
      <c r="J395" s="4">
        <f t="shared" si="27"/>
        <v>-0.76302968960863704</v>
      </c>
      <c r="O395" t="s">
        <v>1388</v>
      </c>
      <c r="P395">
        <v>770</v>
      </c>
      <c r="Q395">
        <v>85.89</v>
      </c>
    </row>
    <row r="396" spans="1:17" hidden="1">
      <c r="A396" t="s">
        <v>1284</v>
      </c>
      <c r="B396" t="s">
        <v>1285</v>
      </c>
      <c r="C396" s="18">
        <v>1226</v>
      </c>
      <c r="D396" s="18">
        <f t="shared" si="28"/>
        <v>40.866666666666667</v>
      </c>
      <c r="E396" s="5">
        <v>1163.29</v>
      </c>
      <c r="H396" s="18">
        <f t="shared" si="29"/>
        <v>2452</v>
      </c>
      <c r="I396" t="b">
        <f t="shared" si="26"/>
        <v>1</v>
      </c>
      <c r="J396" s="4">
        <f t="shared" si="27"/>
        <v>-0.5255750407830343</v>
      </c>
      <c r="O396" t="s">
        <v>1490</v>
      </c>
      <c r="P396">
        <v>1104</v>
      </c>
      <c r="Q396">
        <v>2117</v>
      </c>
    </row>
    <row r="397" spans="1:17" hidden="1">
      <c r="A397" s="40" t="s">
        <v>1155</v>
      </c>
      <c r="B397" s="36" t="s">
        <v>1156</v>
      </c>
      <c r="C397" s="18">
        <v>812</v>
      </c>
      <c r="D397" s="18">
        <f t="shared" si="28"/>
        <v>27.066666666666666</v>
      </c>
      <c r="E397" s="5">
        <v>1375.16</v>
      </c>
      <c r="H397" s="18">
        <f t="shared" si="29"/>
        <v>1624</v>
      </c>
      <c r="I397" t="b">
        <f t="shared" si="26"/>
        <v>1</v>
      </c>
      <c r="J397" s="4">
        <f t="shared" si="27"/>
        <v>-0.15322660098522167</v>
      </c>
      <c r="O397" t="s">
        <v>1516</v>
      </c>
      <c r="P397">
        <v>1299</v>
      </c>
      <c r="Q397">
        <v>2181.89</v>
      </c>
    </row>
    <row r="398" spans="1:17" hidden="1">
      <c r="A398" t="s">
        <v>1209</v>
      </c>
      <c r="B398" t="s">
        <v>1210</v>
      </c>
      <c r="C398" s="18">
        <v>3170</v>
      </c>
      <c r="D398" s="18">
        <f t="shared" si="28"/>
        <v>105.66666666666667</v>
      </c>
      <c r="E398" s="5">
        <v>4688.3999999999996</v>
      </c>
      <c r="H398" s="18">
        <f t="shared" si="29"/>
        <v>6340</v>
      </c>
      <c r="I398" t="b">
        <f t="shared" si="26"/>
        <v>1</v>
      </c>
      <c r="J398" s="4">
        <f t="shared" si="27"/>
        <v>-0.26050473186119882</v>
      </c>
      <c r="O398" t="s">
        <v>1346</v>
      </c>
      <c r="P398">
        <v>930</v>
      </c>
      <c r="Q398">
        <v>2178.85</v>
      </c>
    </row>
    <row r="399" spans="1:17" hidden="1">
      <c r="A399" t="s">
        <v>1134</v>
      </c>
      <c r="B399" t="s">
        <v>1135</v>
      </c>
      <c r="C399" s="18">
        <v>486</v>
      </c>
      <c r="D399" s="18">
        <f t="shared" si="28"/>
        <v>16.2</v>
      </c>
      <c r="E399" s="5">
        <v>256.63</v>
      </c>
      <c r="H399" s="18">
        <f t="shared" si="29"/>
        <v>972</v>
      </c>
      <c r="I399" t="b">
        <f t="shared" si="26"/>
        <v>1</v>
      </c>
      <c r="J399" s="4">
        <f t="shared" si="27"/>
        <v>-0.73597736625514409</v>
      </c>
      <c r="O399" t="s">
        <v>1443</v>
      </c>
      <c r="P399">
        <v>531</v>
      </c>
      <c r="Q399">
        <v>251.56</v>
      </c>
    </row>
    <row r="400" spans="1:17" hidden="1">
      <c r="A400" t="s">
        <v>1136</v>
      </c>
      <c r="B400" t="s">
        <v>1137</v>
      </c>
      <c r="C400" s="18">
        <v>864</v>
      </c>
      <c r="D400" s="18">
        <f t="shared" si="28"/>
        <v>28.8</v>
      </c>
      <c r="E400" s="5">
        <v>918.92</v>
      </c>
      <c r="H400" s="18">
        <f t="shared" si="29"/>
        <v>1728</v>
      </c>
      <c r="I400" t="b">
        <f t="shared" si="26"/>
        <v>1</v>
      </c>
      <c r="J400" s="4">
        <f t="shared" si="27"/>
        <v>-0.46821759259259266</v>
      </c>
      <c r="O400" t="s">
        <v>1319</v>
      </c>
      <c r="P400">
        <v>1122</v>
      </c>
      <c r="Q400">
        <v>2440.81</v>
      </c>
    </row>
    <row r="401" spans="1:17" hidden="1">
      <c r="A401" t="s">
        <v>985</v>
      </c>
      <c r="B401" t="s">
        <v>986</v>
      </c>
      <c r="C401" s="18">
        <v>990</v>
      </c>
      <c r="D401" s="18">
        <f t="shared" si="28"/>
        <v>33</v>
      </c>
      <c r="E401" s="5">
        <v>1859.79</v>
      </c>
      <c r="H401" s="18">
        <f t="shared" si="29"/>
        <v>1980</v>
      </c>
      <c r="I401" t="b">
        <f t="shared" si="26"/>
        <v>1</v>
      </c>
      <c r="J401" s="4">
        <f t="shared" si="27"/>
        <v>-6.0712121212121217E-2</v>
      </c>
      <c r="O401" t="s">
        <v>1362</v>
      </c>
      <c r="P401">
        <v>325</v>
      </c>
      <c r="Q401">
        <v>978.93</v>
      </c>
    </row>
    <row r="402" spans="1:17" hidden="1">
      <c r="A402" s="26" t="s">
        <v>1215</v>
      </c>
      <c r="B402" s="26" t="s">
        <v>1216</v>
      </c>
      <c r="C402" s="18">
        <v>1776</v>
      </c>
      <c r="D402" s="18">
        <f t="shared" si="28"/>
        <v>59.2</v>
      </c>
      <c r="E402" s="5">
        <v>2597.09</v>
      </c>
      <c r="H402" s="18">
        <f t="shared" si="29"/>
        <v>3552</v>
      </c>
      <c r="I402" t="b">
        <f t="shared" si="26"/>
        <v>1</v>
      </c>
      <c r="J402" s="4">
        <f t="shared" si="27"/>
        <v>-0.2688372747747747</v>
      </c>
      <c r="O402" t="s">
        <v>1546</v>
      </c>
      <c r="P402">
        <v>1173</v>
      </c>
      <c r="Q402">
        <v>2045.63</v>
      </c>
    </row>
    <row r="403" spans="1:17" hidden="1">
      <c r="A403" t="s">
        <v>1196</v>
      </c>
      <c r="B403" t="s">
        <v>1197</v>
      </c>
      <c r="C403" s="18">
        <v>678</v>
      </c>
      <c r="D403" s="18">
        <f t="shared" si="28"/>
        <v>22.6</v>
      </c>
      <c r="E403" s="5">
        <v>386.88</v>
      </c>
      <c r="H403" s="18">
        <f t="shared" si="29"/>
        <v>1356</v>
      </c>
      <c r="I403" t="b">
        <f t="shared" si="26"/>
        <v>1</v>
      </c>
      <c r="J403" s="4">
        <f t="shared" si="27"/>
        <v>-0.71469026548672565</v>
      </c>
      <c r="O403" t="s">
        <v>1832</v>
      </c>
      <c r="P403">
        <v>0</v>
      </c>
      <c r="Q403">
        <v>0</v>
      </c>
    </row>
    <row r="404" spans="1:17" hidden="1">
      <c r="A404" t="s">
        <v>1172</v>
      </c>
      <c r="B404" t="s">
        <v>1173</v>
      </c>
      <c r="C404" s="18">
        <v>791</v>
      </c>
      <c r="D404" s="18">
        <f t="shared" si="28"/>
        <v>26.366666666666667</v>
      </c>
      <c r="E404" s="5">
        <v>662</v>
      </c>
      <c r="H404" s="18">
        <f t="shared" si="29"/>
        <v>1582</v>
      </c>
      <c r="I404" t="b">
        <f t="shared" si="26"/>
        <v>1</v>
      </c>
      <c r="J404" s="4">
        <f t="shared" si="27"/>
        <v>-0.5815423514538558</v>
      </c>
      <c r="P404">
        <v>0</v>
      </c>
      <c r="Q404">
        <v>0</v>
      </c>
    </row>
    <row r="405" spans="1:17" hidden="1">
      <c r="A405" s="40" t="s">
        <v>1130</v>
      </c>
      <c r="B405" s="36" t="s">
        <v>1131</v>
      </c>
      <c r="C405" s="18">
        <v>1093</v>
      </c>
      <c r="D405" s="18">
        <f t="shared" si="28"/>
        <v>36.43333333333333</v>
      </c>
      <c r="E405" s="5">
        <v>1278.44</v>
      </c>
      <c r="H405" s="18">
        <f t="shared" si="29"/>
        <v>2186</v>
      </c>
      <c r="I405" t="b">
        <f t="shared" si="26"/>
        <v>1</v>
      </c>
      <c r="J405" s="4">
        <f t="shared" si="27"/>
        <v>-0.41516925892040257</v>
      </c>
      <c r="P405">
        <v>0</v>
      </c>
      <c r="Q405">
        <v>0</v>
      </c>
    </row>
    <row r="406" spans="1:17" hidden="1">
      <c r="A406" t="s">
        <v>1268</v>
      </c>
      <c r="B406" t="s">
        <v>1269</v>
      </c>
      <c r="C406" s="18">
        <v>790</v>
      </c>
      <c r="D406" s="18">
        <f t="shared" si="28"/>
        <v>26.333333333333332</v>
      </c>
      <c r="E406" s="5">
        <v>656.08</v>
      </c>
      <c r="H406" s="18">
        <f t="shared" si="29"/>
        <v>1580</v>
      </c>
      <c r="I406" t="b">
        <f t="shared" si="26"/>
        <v>1</v>
      </c>
      <c r="J406" s="4">
        <f t="shared" si="27"/>
        <v>-0.58475949367088598</v>
      </c>
      <c r="O406" t="s">
        <v>1460</v>
      </c>
      <c r="P406">
        <v>1253</v>
      </c>
      <c r="Q406">
        <v>1938.81</v>
      </c>
    </row>
    <row r="407" spans="1:17" hidden="1">
      <c r="A407" s="39" t="s">
        <v>1251</v>
      </c>
      <c r="B407" s="36" t="s">
        <v>1252</v>
      </c>
      <c r="C407" s="18">
        <v>877</v>
      </c>
      <c r="D407" s="18">
        <f t="shared" si="28"/>
        <v>29.233333333333334</v>
      </c>
      <c r="E407" s="116">
        <v>1227.8399999999999</v>
      </c>
      <c r="H407" s="18">
        <f t="shared" si="29"/>
        <v>1754</v>
      </c>
      <c r="I407" t="b">
        <f t="shared" si="26"/>
        <v>1</v>
      </c>
      <c r="J407" s="4">
        <f t="shared" si="27"/>
        <v>-0.29997719498289632</v>
      </c>
      <c r="P407">
        <v>0</v>
      </c>
      <c r="Q407">
        <v>0</v>
      </c>
    </row>
    <row r="408" spans="1:17" hidden="1">
      <c r="A408" s="26" t="s">
        <v>1230</v>
      </c>
      <c r="B408" s="36" t="s">
        <v>1231</v>
      </c>
      <c r="C408" s="18">
        <v>621</v>
      </c>
      <c r="D408" s="18">
        <f t="shared" si="28"/>
        <v>20.7</v>
      </c>
      <c r="E408" s="5">
        <v>495.17</v>
      </c>
      <c r="H408" s="18">
        <f t="shared" si="29"/>
        <v>1242</v>
      </c>
      <c r="I408" t="b">
        <f t="shared" si="26"/>
        <v>1</v>
      </c>
      <c r="J408" s="4">
        <f t="shared" si="27"/>
        <v>-0.60131239935587755</v>
      </c>
      <c r="O408" t="s">
        <v>1333</v>
      </c>
      <c r="P408">
        <v>566</v>
      </c>
      <c r="Q408">
        <v>1224.96</v>
      </c>
    </row>
    <row r="409" spans="1:17" hidden="1">
      <c r="A409" t="s">
        <v>1246</v>
      </c>
      <c r="B409" t="s">
        <v>1247</v>
      </c>
      <c r="C409" s="18">
        <v>2431</v>
      </c>
      <c r="D409" s="18">
        <f t="shared" si="28"/>
        <v>81.033333333333331</v>
      </c>
      <c r="E409" s="5">
        <v>2390.73</v>
      </c>
      <c r="H409" s="18">
        <f t="shared" si="29"/>
        <v>4862</v>
      </c>
      <c r="I409" t="b">
        <f t="shared" si="26"/>
        <v>1</v>
      </c>
      <c r="J409" s="4">
        <f t="shared" si="27"/>
        <v>-0.5082825997531879</v>
      </c>
      <c r="O409" t="s">
        <v>1412</v>
      </c>
      <c r="P409">
        <v>601</v>
      </c>
      <c r="Q409">
        <v>1605.96</v>
      </c>
    </row>
    <row r="410" spans="1:17" hidden="1">
      <c r="A410" s="26" t="s">
        <v>1027</v>
      </c>
      <c r="B410" s="26" t="s">
        <v>1028</v>
      </c>
      <c r="C410" s="18">
        <v>498</v>
      </c>
      <c r="D410" s="18">
        <f t="shared" si="28"/>
        <v>16.600000000000001</v>
      </c>
      <c r="E410" s="116">
        <v>863.5</v>
      </c>
      <c r="H410" s="18">
        <f t="shared" si="29"/>
        <v>996</v>
      </c>
      <c r="I410" t="b">
        <f t="shared" si="26"/>
        <v>1</v>
      </c>
      <c r="J410" s="4">
        <f t="shared" si="27"/>
        <v>-0.13303212851405621</v>
      </c>
      <c r="O410" t="s">
        <v>1782</v>
      </c>
      <c r="P410">
        <v>375</v>
      </c>
      <c r="Q410">
        <v>652.58000000000004</v>
      </c>
    </row>
    <row r="411" spans="1:17" hidden="1">
      <c r="A411" t="s">
        <v>1108</v>
      </c>
      <c r="B411" t="s">
        <v>1109</v>
      </c>
      <c r="C411" s="18">
        <v>863</v>
      </c>
      <c r="D411" s="18">
        <f t="shared" si="28"/>
        <v>28.766666666666666</v>
      </c>
      <c r="E411" s="5">
        <v>1239.45</v>
      </c>
      <c r="H411" s="18">
        <f t="shared" si="29"/>
        <v>1726</v>
      </c>
      <c r="I411" t="b">
        <f t="shared" si="26"/>
        <v>1</v>
      </c>
      <c r="J411" s="4">
        <f t="shared" si="27"/>
        <v>-0.28189455388180762</v>
      </c>
      <c r="O411" t="s">
        <v>1764</v>
      </c>
      <c r="P411">
        <v>17</v>
      </c>
      <c r="Q411">
        <v>31</v>
      </c>
    </row>
    <row r="412" spans="1:17" hidden="1">
      <c r="A412" s="39" t="s">
        <v>1256</v>
      </c>
      <c r="B412" s="36" t="s">
        <v>1257</v>
      </c>
      <c r="C412">
        <v>418</v>
      </c>
      <c r="D412" s="18">
        <f t="shared" si="28"/>
        <v>13.933333333333334</v>
      </c>
      <c r="E412" s="5">
        <v>936.48</v>
      </c>
      <c r="H412" s="18">
        <f t="shared" si="29"/>
        <v>836</v>
      </c>
      <c r="I412" t="b">
        <f t="shared" si="26"/>
        <v>1</v>
      </c>
      <c r="J412" s="4">
        <f t="shared" si="27"/>
        <v>0.12019138755980863</v>
      </c>
      <c r="O412" t="s">
        <v>1342</v>
      </c>
      <c r="P412">
        <v>0</v>
      </c>
      <c r="Q412">
        <v>0</v>
      </c>
    </row>
    <row r="413" spans="1:17" hidden="1">
      <c r="A413" t="s">
        <v>1278</v>
      </c>
      <c r="B413" t="s">
        <v>1279</v>
      </c>
      <c r="C413" s="18">
        <v>996</v>
      </c>
      <c r="D413" s="18">
        <f t="shared" si="28"/>
        <v>33.200000000000003</v>
      </c>
      <c r="E413" s="5">
        <v>1296.17</v>
      </c>
      <c r="H413" s="18">
        <f t="shared" si="29"/>
        <v>1992</v>
      </c>
      <c r="I413" t="b">
        <f t="shared" si="26"/>
        <v>1</v>
      </c>
      <c r="J413" s="4">
        <f t="shared" si="27"/>
        <v>-0.3493122489959839</v>
      </c>
      <c r="O413" t="s">
        <v>1462</v>
      </c>
      <c r="P413">
        <v>966</v>
      </c>
      <c r="Q413">
        <v>591.04999999999995</v>
      </c>
    </row>
    <row r="414" spans="1:17" hidden="1">
      <c r="A414" t="s">
        <v>1098</v>
      </c>
      <c r="B414" t="s">
        <v>1099</v>
      </c>
      <c r="C414" s="18">
        <v>277</v>
      </c>
      <c r="D414" s="18">
        <f t="shared" si="28"/>
        <v>9.2333333333333325</v>
      </c>
      <c r="E414" s="5">
        <v>178.93</v>
      </c>
      <c r="H414" s="18">
        <f t="shared" si="29"/>
        <v>554</v>
      </c>
      <c r="I414" t="b">
        <f t="shared" si="26"/>
        <v>1</v>
      </c>
      <c r="J414" s="4">
        <f t="shared" si="27"/>
        <v>-0.6770216606498195</v>
      </c>
      <c r="O414" t="s">
        <v>1364</v>
      </c>
      <c r="P414">
        <v>22</v>
      </c>
      <c r="Q414">
        <v>26.05</v>
      </c>
    </row>
    <row r="415" spans="1:17" hidden="1">
      <c r="A415" t="s">
        <v>1061</v>
      </c>
      <c r="B415" t="s">
        <v>1062</v>
      </c>
      <c r="C415" s="18">
        <v>144</v>
      </c>
      <c r="D415" s="18">
        <f t="shared" si="28"/>
        <v>4.8</v>
      </c>
      <c r="E415" s="5">
        <v>41.63</v>
      </c>
      <c r="H415" s="18">
        <f t="shared" si="29"/>
        <v>288</v>
      </c>
      <c r="I415" t="b">
        <f t="shared" si="26"/>
        <v>1</v>
      </c>
      <c r="J415" s="4">
        <f t="shared" si="27"/>
        <v>-0.85545138888888883</v>
      </c>
      <c r="O415" t="s">
        <v>1500</v>
      </c>
      <c r="P415">
        <v>1292</v>
      </c>
      <c r="Q415">
        <v>1954.98</v>
      </c>
    </row>
    <row r="416" spans="1:17" hidden="1">
      <c r="A416" t="s">
        <v>1019</v>
      </c>
      <c r="B416" t="s">
        <v>1020</v>
      </c>
      <c r="C416" s="18">
        <v>1210</v>
      </c>
      <c r="D416" s="18">
        <f t="shared" si="28"/>
        <v>40.333333333333336</v>
      </c>
      <c r="E416" s="5">
        <v>939.85</v>
      </c>
      <c r="H416" s="18">
        <f t="shared" si="29"/>
        <v>2420</v>
      </c>
      <c r="I416" t="b">
        <f t="shared" si="26"/>
        <v>1</v>
      </c>
      <c r="J416" s="4">
        <f t="shared" si="27"/>
        <v>-0.6116322314049587</v>
      </c>
      <c r="O416" t="s">
        <v>1555</v>
      </c>
      <c r="P416">
        <v>840</v>
      </c>
      <c r="Q416">
        <v>462.91</v>
      </c>
    </row>
    <row r="417" spans="1:17" hidden="1">
      <c r="A417" s="5" t="s">
        <v>975</v>
      </c>
      <c r="B417" t="s">
        <v>976</v>
      </c>
      <c r="C417" s="18">
        <v>1360</v>
      </c>
      <c r="D417" s="18">
        <f t="shared" si="28"/>
        <v>45.333333333333336</v>
      </c>
      <c r="E417" s="5">
        <v>0</v>
      </c>
      <c r="H417" s="18">
        <f t="shared" si="29"/>
        <v>2720</v>
      </c>
      <c r="I417" t="b">
        <f t="shared" si="26"/>
        <v>1</v>
      </c>
      <c r="J417" s="4">
        <f t="shared" si="27"/>
        <v>-1</v>
      </c>
      <c r="O417" t="s">
        <v>1754</v>
      </c>
      <c r="P417">
        <v>142</v>
      </c>
      <c r="Q417">
        <v>0</v>
      </c>
    </row>
    <row r="418" spans="1:17" hidden="1">
      <c r="A418" t="s">
        <v>1286</v>
      </c>
      <c r="B418" t="s">
        <v>1287</v>
      </c>
      <c r="C418" s="18">
        <v>3281</v>
      </c>
      <c r="D418" s="18">
        <f t="shared" si="28"/>
        <v>109.36666666666666</v>
      </c>
      <c r="E418" s="5">
        <v>4528.9399999999996</v>
      </c>
      <c r="H418" s="18">
        <f t="shared" si="29"/>
        <v>6562</v>
      </c>
      <c r="I418" t="b">
        <f t="shared" si="26"/>
        <v>1</v>
      </c>
      <c r="J418" s="4">
        <f t="shared" si="27"/>
        <v>-0.30982322462663825</v>
      </c>
      <c r="O418" t="s">
        <v>1789</v>
      </c>
      <c r="P418">
        <v>131</v>
      </c>
      <c r="Q418">
        <v>513.11</v>
      </c>
    </row>
    <row r="419" spans="1:17" hidden="1">
      <c r="A419" t="s">
        <v>1234</v>
      </c>
      <c r="B419" t="s">
        <v>1235</v>
      </c>
      <c r="C419" s="18">
        <v>2538</v>
      </c>
      <c r="D419" s="18">
        <f t="shared" si="28"/>
        <v>84.6</v>
      </c>
      <c r="E419" s="5">
        <v>2125.27</v>
      </c>
      <c r="H419" s="18">
        <f t="shared" si="29"/>
        <v>5076</v>
      </c>
      <c r="I419" t="b">
        <f t="shared" si="26"/>
        <v>1</v>
      </c>
      <c r="J419" s="4">
        <f t="shared" si="27"/>
        <v>-0.58131008668242712</v>
      </c>
      <c r="O419" t="s">
        <v>1366</v>
      </c>
      <c r="P419">
        <v>0</v>
      </c>
      <c r="Q419">
        <v>0</v>
      </c>
    </row>
    <row r="420" spans="1:17" hidden="1">
      <c r="A420" t="s">
        <v>1094</v>
      </c>
      <c r="B420" t="s">
        <v>1095</v>
      </c>
      <c r="C420" s="18">
        <v>850</v>
      </c>
      <c r="D420" s="18">
        <f t="shared" si="28"/>
        <v>28.333333333333332</v>
      </c>
      <c r="E420" s="5">
        <v>459.42</v>
      </c>
      <c r="H420" s="18">
        <f t="shared" si="29"/>
        <v>1700</v>
      </c>
      <c r="I420" t="b">
        <f t="shared" si="26"/>
        <v>1</v>
      </c>
      <c r="J420" s="4">
        <f t="shared" si="27"/>
        <v>-0.7297529411764706</v>
      </c>
      <c r="O420" t="s">
        <v>1476</v>
      </c>
      <c r="P420">
        <v>683</v>
      </c>
      <c r="Q420">
        <v>642.48</v>
      </c>
    </row>
    <row r="421" spans="1:17" hidden="1">
      <c r="A421" t="s">
        <v>1126</v>
      </c>
      <c r="B421" t="s">
        <v>1127</v>
      </c>
      <c r="C421" s="18">
        <v>1182</v>
      </c>
      <c r="D421" s="18">
        <f t="shared" si="28"/>
        <v>39.4</v>
      </c>
      <c r="E421" s="116">
        <v>1002.73</v>
      </c>
      <c r="H421" s="18">
        <f t="shared" si="29"/>
        <v>2364</v>
      </c>
      <c r="I421" t="b">
        <f t="shared" si="26"/>
        <v>1</v>
      </c>
      <c r="J421" s="4">
        <f t="shared" si="27"/>
        <v>-0.57583333333333331</v>
      </c>
      <c r="O421" t="s">
        <v>1354</v>
      </c>
      <c r="P421">
        <v>276</v>
      </c>
      <c r="Q421">
        <v>0</v>
      </c>
    </row>
    <row r="422" spans="1:17" hidden="1">
      <c r="A422" t="s">
        <v>1182</v>
      </c>
      <c r="B422" t="s">
        <v>1183</v>
      </c>
      <c r="C422" s="18">
        <v>709</v>
      </c>
      <c r="D422" s="18">
        <f t="shared" si="28"/>
        <v>23.633333333333333</v>
      </c>
      <c r="E422" s="5">
        <v>552.99</v>
      </c>
      <c r="H422" s="18">
        <f t="shared" si="29"/>
        <v>1418</v>
      </c>
      <c r="I422" t="b">
        <f t="shared" si="26"/>
        <v>1</v>
      </c>
      <c r="J422" s="4">
        <f t="shared" si="27"/>
        <v>-0.61002115655853317</v>
      </c>
      <c r="O422" t="s">
        <v>1356</v>
      </c>
      <c r="P422">
        <v>295</v>
      </c>
      <c r="Q422">
        <v>114.7</v>
      </c>
    </row>
    <row r="423" spans="1:17" hidden="1">
      <c r="A423" t="s">
        <v>1161</v>
      </c>
      <c r="B423" t="s">
        <v>1162</v>
      </c>
      <c r="C423" s="18">
        <v>4182</v>
      </c>
      <c r="D423" s="18">
        <f t="shared" si="28"/>
        <v>139.4</v>
      </c>
      <c r="E423" s="5">
        <v>8609.49</v>
      </c>
      <c r="H423" s="18">
        <f t="shared" si="29"/>
        <v>8364</v>
      </c>
      <c r="I423" t="b">
        <f t="shared" si="26"/>
        <v>1</v>
      </c>
      <c r="J423" s="4">
        <f t="shared" si="27"/>
        <v>2.9350789096126206E-2</v>
      </c>
      <c r="O423" t="s">
        <v>1756</v>
      </c>
      <c r="P423">
        <v>279</v>
      </c>
      <c r="Q423">
        <v>0</v>
      </c>
    </row>
    <row r="424" spans="1:17" hidden="1">
      <c r="A424" t="s">
        <v>1068</v>
      </c>
      <c r="B424" t="s">
        <v>1069</v>
      </c>
      <c r="C424" s="18">
        <v>710</v>
      </c>
      <c r="D424" s="18">
        <f t="shared" si="28"/>
        <v>23.666666666666668</v>
      </c>
      <c r="E424" s="5">
        <v>422.77</v>
      </c>
      <c r="H424" s="18">
        <f t="shared" si="29"/>
        <v>1420</v>
      </c>
      <c r="I424" t="b">
        <f t="shared" si="26"/>
        <v>1</v>
      </c>
      <c r="J424" s="4">
        <f t="shared" si="27"/>
        <v>-0.70227464788732397</v>
      </c>
      <c r="O424" t="s">
        <v>1579</v>
      </c>
      <c r="P424">
        <v>1946</v>
      </c>
      <c r="Q424">
        <v>2591</v>
      </c>
    </row>
    <row r="425" spans="1:17" hidden="1">
      <c r="A425" t="s">
        <v>1010</v>
      </c>
      <c r="B425" t="s">
        <v>1011</v>
      </c>
      <c r="C425" s="18">
        <v>1074</v>
      </c>
      <c r="D425" s="18">
        <f t="shared" si="28"/>
        <v>35.799999999999997</v>
      </c>
      <c r="E425" s="116">
        <v>436.72</v>
      </c>
      <c r="H425" s="18">
        <f t="shared" si="29"/>
        <v>2148</v>
      </c>
      <c r="I425" t="b">
        <f t="shared" si="26"/>
        <v>1</v>
      </c>
      <c r="J425" s="4">
        <f t="shared" si="27"/>
        <v>-0.79668528864059596</v>
      </c>
      <c r="O425" t="s">
        <v>1557</v>
      </c>
      <c r="P425">
        <v>1462</v>
      </c>
      <c r="Q425">
        <v>2207.94</v>
      </c>
    </row>
    <row r="426" spans="1:17" hidden="1">
      <c r="A426" t="s">
        <v>1297</v>
      </c>
      <c r="B426" t="s">
        <v>1298</v>
      </c>
      <c r="C426" s="18">
        <v>3054</v>
      </c>
      <c r="D426" s="18">
        <f t="shared" si="28"/>
        <v>101.8</v>
      </c>
      <c r="E426" s="5">
        <v>1102.8599999999999</v>
      </c>
      <c r="H426" s="18">
        <f t="shared" si="29"/>
        <v>6108</v>
      </c>
      <c r="I426" t="b">
        <f t="shared" si="26"/>
        <v>1</v>
      </c>
      <c r="J426" s="4">
        <f t="shared" si="27"/>
        <v>-0.81944007858546164</v>
      </c>
      <c r="O426" t="s">
        <v>1581</v>
      </c>
      <c r="P426">
        <v>2083</v>
      </c>
      <c r="Q426">
        <v>2456.46</v>
      </c>
    </row>
    <row r="427" spans="1:17" hidden="1">
      <c r="A427" s="119" t="s">
        <v>1301</v>
      </c>
      <c r="B427" s="36" t="s">
        <v>1302</v>
      </c>
      <c r="C427" s="18">
        <v>933</v>
      </c>
      <c r="D427" s="18">
        <f t="shared" si="28"/>
        <v>31.1</v>
      </c>
      <c r="E427" s="5">
        <v>1460.04</v>
      </c>
      <c r="H427" s="18">
        <f t="shared" si="29"/>
        <v>1866</v>
      </c>
      <c r="I427" t="b">
        <f t="shared" ref="I427:I490" si="30">IF(E427&gt;1.2*H427,FALSE,TRUE)</f>
        <v>1</v>
      </c>
      <c r="J427" s="4">
        <f t="shared" ref="J427:J490" si="31">E427/H427-1</f>
        <v>-0.21755627009646306</v>
      </c>
      <c r="O427" t="s">
        <v>1378</v>
      </c>
      <c r="P427">
        <v>336</v>
      </c>
      <c r="Q427">
        <v>1014.8</v>
      </c>
    </row>
    <row r="428" spans="1:17" hidden="1">
      <c r="A428" t="s">
        <v>1856</v>
      </c>
      <c r="B428" t="s">
        <v>1771</v>
      </c>
      <c r="C428" s="18">
        <v>0</v>
      </c>
      <c r="D428" s="18">
        <f t="shared" si="28"/>
        <v>0</v>
      </c>
      <c r="E428" s="5">
        <v>0</v>
      </c>
      <c r="H428" s="18">
        <f t="shared" si="29"/>
        <v>0</v>
      </c>
      <c r="I428" t="b">
        <f t="shared" si="30"/>
        <v>1</v>
      </c>
      <c r="J428" s="4" t="e">
        <f t="shared" si="31"/>
        <v>#DIV/0!</v>
      </c>
      <c r="O428" t="s">
        <v>1340</v>
      </c>
      <c r="P428">
        <v>1332</v>
      </c>
      <c r="Q428">
        <v>1485.85</v>
      </c>
    </row>
    <row r="429" spans="1:17" hidden="1">
      <c r="A429" t="s">
        <v>1184</v>
      </c>
      <c r="B429" t="s">
        <v>1185</v>
      </c>
      <c r="C429" s="18">
        <v>1109</v>
      </c>
      <c r="D429" s="18">
        <f t="shared" si="28"/>
        <v>36.966666666666669</v>
      </c>
      <c r="E429" s="5">
        <v>580.1</v>
      </c>
      <c r="H429" s="18">
        <f t="shared" si="29"/>
        <v>2218</v>
      </c>
      <c r="I429" t="b">
        <f t="shared" si="30"/>
        <v>1</v>
      </c>
      <c r="J429" s="4">
        <f t="shared" si="31"/>
        <v>-0.73845807033363386</v>
      </c>
      <c r="O429" t="s">
        <v>1478</v>
      </c>
      <c r="P429">
        <v>796</v>
      </c>
      <c r="Q429">
        <v>1368.16</v>
      </c>
    </row>
    <row r="430" spans="1:17" hidden="1">
      <c r="A430" t="s">
        <v>1857</v>
      </c>
      <c r="B430" t="s">
        <v>1709</v>
      </c>
      <c r="C430" s="18">
        <v>0</v>
      </c>
      <c r="D430" s="18">
        <f t="shared" si="28"/>
        <v>0</v>
      </c>
      <c r="E430" s="5">
        <v>0</v>
      </c>
      <c r="H430" s="18">
        <f t="shared" si="29"/>
        <v>0</v>
      </c>
      <c r="I430" t="b">
        <f t="shared" si="30"/>
        <v>1</v>
      </c>
      <c r="J430" s="4" t="e">
        <f t="shared" si="31"/>
        <v>#DIV/0!</v>
      </c>
      <c r="O430" t="s">
        <v>1540</v>
      </c>
      <c r="P430">
        <v>3891</v>
      </c>
      <c r="Q430">
        <v>3675.14</v>
      </c>
    </row>
    <row r="431" spans="1:17" hidden="1">
      <c r="A431" s="39" t="s">
        <v>952</v>
      </c>
      <c r="B431" s="36" t="s">
        <v>953</v>
      </c>
      <c r="C431">
        <v>570</v>
      </c>
      <c r="D431" s="18">
        <f t="shared" si="28"/>
        <v>19</v>
      </c>
      <c r="E431" s="5">
        <v>658.06</v>
      </c>
      <c r="H431" s="18">
        <f t="shared" si="29"/>
        <v>1140</v>
      </c>
      <c r="I431" t="b">
        <f t="shared" si="30"/>
        <v>1</v>
      </c>
      <c r="J431" s="4">
        <f t="shared" si="31"/>
        <v>-0.42275438596491233</v>
      </c>
      <c r="O431" t="s">
        <v>1553</v>
      </c>
      <c r="P431">
        <v>1452</v>
      </c>
      <c r="Q431">
        <v>3178.29</v>
      </c>
    </row>
    <row r="432" spans="1:17" hidden="1">
      <c r="A432" t="s">
        <v>993</v>
      </c>
      <c r="B432" t="s">
        <v>994</v>
      </c>
      <c r="C432" s="18">
        <v>718</v>
      </c>
      <c r="D432" s="18">
        <f t="shared" si="28"/>
        <v>23.933333333333334</v>
      </c>
      <c r="E432" s="5">
        <v>333.26</v>
      </c>
      <c r="H432" s="18">
        <f t="shared" si="29"/>
        <v>1436</v>
      </c>
      <c r="I432" t="b">
        <f t="shared" si="30"/>
        <v>1</v>
      </c>
      <c r="J432" s="4">
        <f t="shared" si="31"/>
        <v>-0.76792479108635092</v>
      </c>
      <c r="O432" t="s">
        <v>1525</v>
      </c>
      <c r="P432">
        <v>1547</v>
      </c>
      <c r="Q432">
        <v>2379.5700000000002</v>
      </c>
    </row>
    <row r="433" spans="1:17" hidden="1">
      <c r="A433" t="s">
        <v>1858</v>
      </c>
      <c r="B433" t="s">
        <v>1694</v>
      </c>
      <c r="C433" s="18">
        <v>0</v>
      </c>
      <c r="D433" s="18">
        <f t="shared" si="28"/>
        <v>0</v>
      </c>
      <c r="E433" s="5">
        <v>0</v>
      </c>
      <c r="H433" s="18">
        <f t="shared" si="29"/>
        <v>0</v>
      </c>
      <c r="I433" t="b">
        <f t="shared" si="30"/>
        <v>1</v>
      </c>
      <c r="J433" s="4" t="e">
        <f t="shared" si="31"/>
        <v>#DIV/0!</v>
      </c>
      <c r="O433" t="s">
        <v>1348</v>
      </c>
      <c r="P433">
        <v>303</v>
      </c>
      <c r="Q433">
        <v>0</v>
      </c>
    </row>
    <row r="434" spans="1:17" hidden="1">
      <c r="A434" t="s">
        <v>1120</v>
      </c>
      <c r="B434" t="s">
        <v>1121</v>
      </c>
      <c r="C434" s="18">
        <v>480</v>
      </c>
      <c r="D434" s="18">
        <f t="shared" si="28"/>
        <v>16</v>
      </c>
      <c r="E434" s="5">
        <v>137.13999999999999</v>
      </c>
      <c r="H434" s="18">
        <f t="shared" si="29"/>
        <v>960</v>
      </c>
      <c r="I434" t="b">
        <f t="shared" si="30"/>
        <v>1</v>
      </c>
      <c r="J434" s="4">
        <f t="shared" si="31"/>
        <v>-0.85714583333333338</v>
      </c>
      <c r="O434" t="s">
        <v>1538</v>
      </c>
      <c r="P434">
        <v>1797</v>
      </c>
      <c r="Q434">
        <v>1445.79</v>
      </c>
    </row>
    <row r="435" spans="1:17" hidden="1">
      <c r="A435" t="s">
        <v>1082</v>
      </c>
      <c r="B435" t="s">
        <v>1083</v>
      </c>
      <c r="C435" s="18">
        <v>344</v>
      </c>
      <c r="D435" s="18">
        <f t="shared" si="28"/>
        <v>11.466666666666667</v>
      </c>
      <c r="E435" s="5">
        <v>98.5</v>
      </c>
      <c r="H435" s="18">
        <f t="shared" si="29"/>
        <v>688</v>
      </c>
      <c r="I435" t="b">
        <f t="shared" si="30"/>
        <v>1</v>
      </c>
      <c r="J435" s="4">
        <f t="shared" si="31"/>
        <v>-0.85683139534883723</v>
      </c>
      <c r="O435" t="s">
        <v>1762</v>
      </c>
      <c r="P435">
        <v>313</v>
      </c>
      <c r="Q435">
        <v>201.38</v>
      </c>
    </row>
    <row r="436" spans="1:17" hidden="1">
      <c r="A436" t="s">
        <v>1080</v>
      </c>
      <c r="B436" t="s">
        <v>1081</v>
      </c>
      <c r="C436" s="18">
        <v>461</v>
      </c>
      <c r="D436" s="18">
        <f t="shared" si="28"/>
        <v>15.366666666666667</v>
      </c>
      <c r="E436" s="5">
        <v>230.3</v>
      </c>
      <c r="H436" s="18">
        <f t="shared" si="29"/>
        <v>922</v>
      </c>
      <c r="I436" t="b">
        <f t="shared" si="30"/>
        <v>1</v>
      </c>
      <c r="J436" s="4">
        <f t="shared" si="31"/>
        <v>-0.75021691973969629</v>
      </c>
      <c r="O436" t="s">
        <v>1384</v>
      </c>
      <c r="P436">
        <v>742</v>
      </c>
      <c r="Q436">
        <v>704.89</v>
      </c>
    </row>
    <row r="437" spans="1:17" hidden="1">
      <c r="A437" t="s">
        <v>1151</v>
      </c>
      <c r="B437" t="s">
        <v>1152</v>
      </c>
      <c r="C437" s="18">
        <v>148</v>
      </c>
      <c r="D437" s="18">
        <f t="shared" si="28"/>
        <v>4.9333333333333336</v>
      </c>
      <c r="E437" s="5">
        <v>91.11</v>
      </c>
      <c r="H437" s="18">
        <f t="shared" si="29"/>
        <v>296</v>
      </c>
      <c r="I437" t="b">
        <f t="shared" si="30"/>
        <v>1</v>
      </c>
      <c r="J437" s="4">
        <f t="shared" si="31"/>
        <v>-0.69219594594594591</v>
      </c>
      <c r="O437" t="s">
        <v>1380</v>
      </c>
      <c r="P437">
        <v>356</v>
      </c>
      <c r="Q437">
        <v>199.27</v>
      </c>
    </row>
    <row r="438" spans="1:17" hidden="1">
      <c r="A438" t="s">
        <v>1086</v>
      </c>
      <c r="B438" t="s">
        <v>1087</v>
      </c>
      <c r="C438" s="18">
        <v>677</v>
      </c>
      <c r="D438" s="18">
        <f t="shared" si="28"/>
        <v>22.566666666666666</v>
      </c>
      <c r="E438" s="116">
        <v>255.47</v>
      </c>
      <c r="H438" s="18">
        <f t="shared" si="29"/>
        <v>1354</v>
      </c>
      <c r="I438" t="b">
        <f t="shared" si="30"/>
        <v>1</v>
      </c>
      <c r="J438" s="4">
        <f t="shared" si="31"/>
        <v>-0.81132200886262928</v>
      </c>
      <c r="O438" t="s">
        <v>1512</v>
      </c>
      <c r="P438">
        <v>1874</v>
      </c>
      <c r="Q438">
        <v>3772.22</v>
      </c>
    </row>
    <row r="439" spans="1:17" hidden="1">
      <c r="A439" t="s">
        <v>1118</v>
      </c>
      <c r="B439" t="s">
        <v>1119</v>
      </c>
      <c r="C439" s="18">
        <v>458</v>
      </c>
      <c r="D439" s="18">
        <f t="shared" si="28"/>
        <v>15.266666666666667</v>
      </c>
      <c r="E439" s="5">
        <v>145.28</v>
      </c>
      <c r="H439" s="18">
        <f t="shared" si="29"/>
        <v>916</v>
      </c>
      <c r="I439" t="b">
        <f t="shared" si="30"/>
        <v>1</v>
      </c>
      <c r="J439" s="4">
        <f t="shared" si="31"/>
        <v>-0.84139737991266372</v>
      </c>
      <c r="O439" t="s">
        <v>1761</v>
      </c>
      <c r="P439">
        <v>434</v>
      </c>
      <c r="Q439">
        <v>676.99</v>
      </c>
    </row>
    <row r="440" spans="1:17" hidden="1">
      <c r="A440" t="s">
        <v>998</v>
      </c>
      <c r="B440" t="s">
        <v>999</v>
      </c>
      <c r="C440" s="18">
        <v>714</v>
      </c>
      <c r="D440" s="18">
        <f t="shared" si="28"/>
        <v>23.8</v>
      </c>
      <c r="E440" s="5">
        <v>388.15</v>
      </c>
      <c r="H440" s="18">
        <f t="shared" si="29"/>
        <v>1428</v>
      </c>
      <c r="I440" t="b">
        <f t="shared" si="30"/>
        <v>1</v>
      </c>
      <c r="J440" s="4">
        <f t="shared" si="31"/>
        <v>-0.728186274509804</v>
      </c>
      <c r="O440" t="s">
        <v>1449</v>
      </c>
      <c r="P440">
        <v>922</v>
      </c>
      <c r="Q440">
        <v>615.99</v>
      </c>
    </row>
    <row r="441" spans="1:17" hidden="1">
      <c r="A441" s="125" t="s">
        <v>1859</v>
      </c>
      <c r="B441" s="26" t="s">
        <v>1860</v>
      </c>
      <c r="C441">
        <v>0</v>
      </c>
      <c r="D441" s="18">
        <f t="shared" si="28"/>
        <v>0</v>
      </c>
      <c r="E441" s="5">
        <v>0</v>
      </c>
      <c r="H441" s="18">
        <f t="shared" si="29"/>
        <v>0</v>
      </c>
      <c r="I441" t="b">
        <f t="shared" si="30"/>
        <v>1</v>
      </c>
      <c r="J441" s="4" t="e">
        <f t="shared" si="31"/>
        <v>#DIV/0!</v>
      </c>
      <c r="O441" t="s">
        <v>1433</v>
      </c>
      <c r="P441">
        <v>1303</v>
      </c>
      <c r="Q441">
        <v>976.48</v>
      </c>
    </row>
    <row r="442" spans="1:17" hidden="1">
      <c r="A442" t="s">
        <v>1299</v>
      </c>
      <c r="B442" t="s">
        <v>1300</v>
      </c>
      <c r="C442" s="18">
        <v>1474</v>
      </c>
      <c r="D442" s="18">
        <f t="shared" si="28"/>
        <v>49.133333333333333</v>
      </c>
      <c r="E442" s="5">
        <v>1373.23</v>
      </c>
      <c r="H442" s="18">
        <f t="shared" si="29"/>
        <v>2948</v>
      </c>
      <c r="I442" t="b">
        <f t="shared" si="30"/>
        <v>1</v>
      </c>
      <c r="J442" s="4">
        <f t="shared" si="31"/>
        <v>-0.53418249660786976</v>
      </c>
      <c r="O442" t="s">
        <v>1508</v>
      </c>
      <c r="P442">
        <v>1967</v>
      </c>
      <c r="Q442">
        <v>2669.32</v>
      </c>
    </row>
    <row r="443" spans="1:17" hidden="1">
      <c r="A443" t="s">
        <v>1096</v>
      </c>
      <c r="B443" t="s">
        <v>1097</v>
      </c>
      <c r="C443" s="18">
        <v>665</v>
      </c>
      <c r="D443" s="18">
        <f t="shared" si="28"/>
        <v>22.166666666666668</v>
      </c>
      <c r="E443" s="5">
        <v>571.95000000000005</v>
      </c>
      <c r="H443" s="18">
        <f t="shared" si="29"/>
        <v>1330</v>
      </c>
      <c r="I443" t="b">
        <f t="shared" si="30"/>
        <v>1</v>
      </c>
      <c r="J443" s="4">
        <f t="shared" si="31"/>
        <v>-0.56996240601503756</v>
      </c>
      <c r="O443" t="s">
        <v>1468</v>
      </c>
      <c r="P443">
        <v>2648</v>
      </c>
      <c r="Q443">
        <v>1533.95</v>
      </c>
    </row>
    <row r="444" spans="1:17" hidden="1">
      <c r="A444" t="s">
        <v>1102</v>
      </c>
      <c r="B444" t="s">
        <v>1103</v>
      </c>
      <c r="C444" s="18">
        <v>426</v>
      </c>
      <c r="D444" s="18">
        <f t="shared" si="28"/>
        <v>14.2</v>
      </c>
      <c r="E444" s="5">
        <v>662.09</v>
      </c>
      <c r="H444" s="18">
        <f t="shared" si="29"/>
        <v>852</v>
      </c>
      <c r="I444" t="b">
        <f t="shared" si="30"/>
        <v>1</v>
      </c>
      <c r="J444" s="4">
        <f t="shared" si="31"/>
        <v>-0.22289906103286383</v>
      </c>
      <c r="O444" t="s">
        <v>1374</v>
      </c>
      <c r="P444">
        <v>1099</v>
      </c>
      <c r="Q444">
        <v>1681.39</v>
      </c>
    </row>
    <row r="445" spans="1:17" hidden="1">
      <c r="A445" t="s">
        <v>973</v>
      </c>
      <c r="B445" t="s">
        <v>974</v>
      </c>
      <c r="C445" s="18">
        <v>707</v>
      </c>
      <c r="D445" s="18">
        <f t="shared" si="28"/>
        <v>23.566666666666666</v>
      </c>
      <c r="E445" s="5">
        <v>375.79</v>
      </c>
      <c r="H445" s="18">
        <f t="shared" si="29"/>
        <v>1414</v>
      </c>
      <c r="I445" t="b">
        <f t="shared" si="30"/>
        <v>1</v>
      </c>
      <c r="J445" s="4">
        <f t="shared" si="31"/>
        <v>-0.73423620933521927</v>
      </c>
      <c r="O445" t="s">
        <v>1492</v>
      </c>
      <c r="P445">
        <v>3298</v>
      </c>
      <c r="Q445">
        <v>6920.57</v>
      </c>
    </row>
    <row r="446" spans="1:17" hidden="1">
      <c r="A446" t="s">
        <v>1211</v>
      </c>
      <c r="B446" t="s">
        <v>1212</v>
      </c>
      <c r="C446" s="18">
        <v>782</v>
      </c>
      <c r="D446" s="18">
        <f t="shared" si="28"/>
        <v>26.066666666666666</v>
      </c>
      <c r="E446" s="5">
        <v>538.47</v>
      </c>
      <c r="H446" s="18">
        <f t="shared" si="29"/>
        <v>1564</v>
      </c>
      <c r="I446" t="b">
        <f t="shared" si="30"/>
        <v>1</v>
      </c>
      <c r="J446" s="4">
        <f t="shared" si="31"/>
        <v>-0.65570971867007666</v>
      </c>
      <c r="O446" t="s">
        <v>1372</v>
      </c>
      <c r="P446">
        <v>355</v>
      </c>
      <c r="Q446">
        <v>1017.38</v>
      </c>
    </row>
    <row r="447" spans="1:17" hidden="1">
      <c r="A447" t="s">
        <v>1249</v>
      </c>
      <c r="B447" t="s">
        <v>1250</v>
      </c>
      <c r="C447" s="18">
        <v>661</v>
      </c>
      <c r="D447" s="18">
        <f t="shared" si="28"/>
        <v>22.033333333333335</v>
      </c>
      <c r="E447" s="5">
        <v>904.2</v>
      </c>
      <c r="H447" s="18">
        <f t="shared" si="29"/>
        <v>1322</v>
      </c>
      <c r="I447" t="b">
        <f t="shared" si="30"/>
        <v>1</v>
      </c>
      <c r="J447" s="4">
        <f t="shared" si="31"/>
        <v>-0.31603630862329801</v>
      </c>
      <c r="O447" t="s">
        <v>1535</v>
      </c>
      <c r="P447">
        <v>4192</v>
      </c>
      <c r="Q447">
        <v>3703.72</v>
      </c>
    </row>
    <row r="448" spans="1:17" hidden="1">
      <c r="A448" t="s">
        <v>1260</v>
      </c>
      <c r="B448" t="s">
        <v>1261</v>
      </c>
      <c r="C448" s="18">
        <v>1938</v>
      </c>
      <c r="D448" s="18">
        <f t="shared" si="28"/>
        <v>64.599999999999994</v>
      </c>
      <c r="E448" s="5">
        <v>1580.19</v>
      </c>
      <c r="H448" s="18">
        <f t="shared" si="29"/>
        <v>3876</v>
      </c>
      <c r="I448" t="b">
        <f t="shared" si="30"/>
        <v>1</v>
      </c>
      <c r="J448" s="4">
        <f t="shared" si="31"/>
        <v>-0.59231424148606804</v>
      </c>
      <c r="O448" t="s">
        <v>1482</v>
      </c>
      <c r="P448">
        <v>5893</v>
      </c>
      <c r="Q448">
        <v>4482.1899999999996</v>
      </c>
    </row>
    <row r="449" spans="1:17" hidden="1">
      <c r="A449" t="s">
        <v>1190</v>
      </c>
      <c r="B449" t="s">
        <v>1191</v>
      </c>
      <c r="C449" s="18">
        <v>573</v>
      </c>
      <c r="D449" s="18">
        <f t="shared" si="28"/>
        <v>19.100000000000001</v>
      </c>
      <c r="E449" s="5">
        <v>633.41999999999996</v>
      </c>
      <c r="H449" s="18">
        <f t="shared" si="29"/>
        <v>1146</v>
      </c>
      <c r="I449" t="b">
        <f t="shared" si="30"/>
        <v>1</v>
      </c>
      <c r="J449" s="4">
        <f t="shared" si="31"/>
        <v>-0.44727748691099478</v>
      </c>
      <c r="O449" t="s">
        <v>1502</v>
      </c>
      <c r="P449">
        <v>1168</v>
      </c>
      <c r="Q449">
        <v>1022.36</v>
      </c>
    </row>
    <row r="450" spans="1:17" hidden="1">
      <c r="A450" t="s">
        <v>1147</v>
      </c>
      <c r="B450" t="s">
        <v>1148</v>
      </c>
      <c r="C450" s="18">
        <v>655</v>
      </c>
      <c r="D450" s="18">
        <f t="shared" si="28"/>
        <v>21.833333333333332</v>
      </c>
      <c r="E450" s="5">
        <v>366.52</v>
      </c>
      <c r="H450" s="18">
        <f t="shared" si="29"/>
        <v>1310</v>
      </c>
      <c r="I450" t="b">
        <f t="shared" si="30"/>
        <v>1</v>
      </c>
      <c r="J450" s="4">
        <f t="shared" si="31"/>
        <v>-0.72021374045801534</v>
      </c>
      <c r="O450" t="s">
        <v>1472</v>
      </c>
      <c r="P450">
        <v>660</v>
      </c>
      <c r="Q450">
        <v>1099.67</v>
      </c>
    </row>
    <row r="451" spans="1:17" hidden="1">
      <c r="A451" t="s">
        <v>971</v>
      </c>
      <c r="B451" s="26" t="s">
        <v>972</v>
      </c>
      <c r="C451" s="18">
        <v>973</v>
      </c>
      <c r="D451" s="18">
        <f t="shared" ref="D451:D514" si="32">C451/30</f>
        <v>32.43333333333333</v>
      </c>
      <c r="E451" s="5">
        <v>1213.6199999999999</v>
      </c>
      <c r="H451" s="18">
        <f t="shared" ref="H451:H514" si="33">IF((C451/30)&gt;100,C451*2,C451*2)</f>
        <v>1946</v>
      </c>
      <c r="I451" t="b">
        <f t="shared" si="30"/>
        <v>1</v>
      </c>
      <c r="J451" s="4">
        <f t="shared" si="31"/>
        <v>-0.37635149023638237</v>
      </c>
      <c r="O451" t="s">
        <v>1574</v>
      </c>
      <c r="P451">
        <v>1341</v>
      </c>
      <c r="Q451">
        <v>2691.33</v>
      </c>
    </row>
    <row r="452" spans="1:17" hidden="1">
      <c r="A452" t="s">
        <v>1070</v>
      </c>
      <c r="B452" t="s">
        <v>1071</v>
      </c>
      <c r="C452" s="18">
        <v>796</v>
      </c>
      <c r="D452" s="18">
        <f t="shared" si="32"/>
        <v>26.533333333333335</v>
      </c>
      <c r="E452" s="5">
        <v>744.98</v>
      </c>
      <c r="H452" s="18">
        <f t="shared" si="33"/>
        <v>1592</v>
      </c>
      <c r="I452" t="b">
        <f t="shared" si="30"/>
        <v>1</v>
      </c>
      <c r="J452" s="4">
        <f t="shared" si="31"/>
        <v>-0.53204773869346733</v>
      </c>
      <c r="O452" t="s">
        <v>1570</v>
      </c>
      <c r="P452">
        <v>3129</v>
      </c>
      <c r="Q452">
        <v>2951.94</v>
      </c>
    </row>
    <row r="453" spans="1:17" hidden="1">
      <c r="A453" t="s">
        <v>1025</v>
      </c>
      <c r="B453" t="s">
        <v>1026</v>
      </c>
      <c r="C453" s="18">
        <v>395</v>
      </c>
      <c r="D453" s="18">
        <f t="shared" si="32"/>
        <v>13.166666666666666</v>
      </c>
      <c r="E453" s="5">
        <v>129.30000000000001</v>
      </c>
      <c r="H453" s="18">
        <f t="shared" si="33"/>
        <v>790</v>
      </c>
      <c r="I453" t="b">
        <f t="shared" si="30"/>
        <v>1</v>
      </c>
      <c r="J453" s="4">
        <f t="shared" si="31"/>
        <v>-0.83632911392405063</v>
      </c>
      <c r="O453" t="s">
        <v>1572</v>
      </c>
      <c r="P453">
        <v>3780</v>
      </c>
      <c r="Q453">
        <v>6358.12</v>
      </c>
    </row>
    <row r="454" spans="1:17" hidden="1">
      <c r="A454" t="s">
        <v>958</v>
      </c>
      <c r="B454" s="26" t="s">
        <v>959</v>
      </c>
      <c r="C454" s="18">
        <v>711</v>
      </c>
      <c r="D454" s="18">
        <f t="shared" si="32"/>
        <v>23.7</v>
      </c>
      <c r="E454" s="5">
        <v>350.3</v>
      </c>
      <c r="H454" s="18">
        <f t="shared" si="33"/>
        <v>1422</v>
      </c>
      <c r="I454" t="b">
        <f t="shared" si="30"/>
        <v>1</v>
      </c>
      <c r="J454" s="4">
        <f t="shared" si="31"/>
        <v>-0.75365682137834034</v>
      </c>
      <c r="O454" t="s">
        <v>1588</v>
      </c>
      <c r="P454">
        <v>4424</v>
      </c>
      <c r="Q454">
        <v>4518.8</v>
      </c>
    </row>
    <row r="455" spans="1:17" hidden="1">
      <c r="A455" t="s">
        <v>1078</v>
      </c>
      <c r="B455" t="s">
        <v>1079</v>
      </c>
      <c r="C455" s="18">
        <v>848</v>
      </c>
      <c r="D455" s="18">
        <f t="shared" si="32"/>
        <v>28.266666666666666</v>
      </c>
      <c r="E455" s="5">
        <v>1625.12</v>
      </c>
      <c r="H455" s="18">
        <f t="shared" si="33"/>
        <v>1696</v>
      </c>
      <c r="I455" t="b">
        <f t="shared" si="30"/>
        <v>1</v>
      </c>
      <c r="J455" s="4">
        <f t="shared" si="31"/>
        <v>-4.1792452830188731E-2</v>
      </c>
      <c r="O455" t="s">
        <v>1437</v>
      </c>
      <c r="P455">
        <v>910</v>
      </c>
      <c r="Q455">
        <v>2003.82</v>
      </c>
    </row>
    <row r="456" spans="1:17" hidden="1">
      <c r="A456" t="s">
        <v>1219</v>
      </c>
      <c r="B456" t="s">
        <v>1220</v>
      </c>
      <c r="C456" s="18">
        <v>1071</v>
      </c>
      <c r="D456" s="18">
        <f t="shared" si="32"/>
        <v>35.700000000000003</v>
      </c>
      <c r="E456" s="5">
        <v>592.04999999999995</v>
      </c>
      <c r="H456" s="18">
        <f t="shared" si="33"/>
        <v>2142</v>
      </c>
      <c r="I456" t="b">
        <f t="shared" si="30"/>
        <v>1</v>
      </c>
      <c r="J456" s="4">
        <f t="shared" si="31"/>
        <v>-0.72359943977591046</v>
      </c>
    </row>
    <row r="457" spans="1:17" hidden="1">
      <c r="A457" t="s">
        <v>1240</v>
      </c>
      <c r="B457" t="s">
        <v>1241</v>
      </c>
      <c r="C457" s="18">
        <v>1098</v>
      </c>
      <c r="D457" s="18">
        <f t="shared" si="32"/>
        <v>36.6</v>
      </c>
      <c r="E457" s="5">
        <v>604.21</v>
      </c>
      <c r="H457" s="18">
        <f t="shared" si="33"/>
        <v>2196</v>
      </c>
      <c r="I457" t="b">
        <f t="shared" si="30"/>
        <v>1</v>
      </c>
      <c r="J457" s="4">
        <f t="shared" si="31"/>
        <v>-0.72485883424408015</v>
      </c>
    </row>
    <row r="458" spans="1:17" hidden="1">
      <c r="A458" s="23" t="s">
        <v>1238</v>
      </c>
      <c r="B458" s="22" t="s">
        <v>1239</v>
      </c>
      <c r="C458" s="18">
        <v>668</v>
      </c>
      <c r="D458" s="18">
        <f t="shared" si="32"/>
        <v>22.266666666666666</v>
      </c>
      <c r="E458" s="5">
        <v>587.72</v>
      </c>
      <c r="H458" s="18">
        <f t="shared" si="33"/>
        <v>1336</v>
      </c>
      <c r="I458" t="b">
        <f t="shared" si="30"/>
        <v>1</v>
      </c>
      <c r="J458" s="4">
        <f t="shared" si="31"/>
        <v>-0.56008982035928145</v>
      </c>
    </row>
    <row r="459" spans="1:17" hidden="1">
      <c r="A459" t="s">
        <v>1124</v>
      </c>
      <c r="B459" t="s">
        <v>1125</v>
      </c>
      <c r="C459" s="18">
        <v>754</v>
      </c>
      <c r="D459" s="18">
        <f t="shared" si="32"/>
        <v>25.133333333333333</v>
      </c>
      <c r="E459" s="5">
        <v>179.87</v>
      </c>
      <c r="H459" s="18">
        <f t="shared" si="33"/>
        <v>1508</v>
      </c>
      <c r="I459" t="b">
        <f t="shared" si="30"/>
        <v>1</v>
      </c>
      <c r="J459" s="4">
        <f t="shared" si="31"/>
        <v>-0.88072281167108757</v>
      </c>
    </row>
    <row r="460" spans="1:17" hidden="1">
      <c r="A460" t="s">
        <v>1088</v>
      </c>
      <c r="B460" t="s">
        <v>1089</v>
      </c>
      <c r="C460" s="18">
        <v>801</v>
      </c>
      <c r="D460" s="18">
        <f t="shared" si="32"/>
        <v>26.7</v>
      </c>
      <c r="E460" s="5">
        <v>342.26</v>
      </c>
      <c r="H460" s="18">
        <f t="shared" si="33"/>
        <v>1602</v>
      </c>
      <c r="I460" t="b">
        <f t="shared" si="30"/>
        <v>1</v>
      </c>
      <c r="J460" s="4">
        <f t="shared" si="31"/>
        <v>-0.78635455680399502</v>
      </c>
    </row>
    <row r="461" spans="1:17" hidden="1">
      <c r="A461" t="s">
        <v>1029</v>
      </c>
      <c r="B461" t="s">
        <v>1030</v>
      </c>
      <c r="C461" s="18">
        <v>452</v>
      </c>
      <c r="D461" s="18">
        <f t="shared" si="32"/>
        <v>15.066666666666666</v>
      </c>
      <c r="E461" s="5">
        <v>70.459999999999994</v>
      </c>
      <c r="H461" s="18">
        <f t="shared" si="33"/>
        <v>904</v>
      </c>
      <c r="I461" t="b">
        <f t="shared" si="30"/>
        <v>1</v>
      </c>
      <c r="J461" s="4">
        <f t="shared" si="31"/>
        <v>-0.9220575221238938</v>
      </c>
    </row>
    <row r="462" spans="1:17" hidden="1">
      <c r="A462" t="s">
        <v>1304</v>
      </c>
      <c r="B462" t="s">
        <v>1305</v>
      </c>
      <c r="C462" s="18">
        <v>2485</v>
      </c>
      <c r="D462" s="18">
        <f t="shared" si="32"/>
        <v>82.833333333333329</v>
      </c>
      <c r="E462" s="5">
        <v>1332.6</v>
      </c>
      <c r="H462" s="18">
        <f t="shared" si="33"/>
        <v>4970</v>
      </c>
      <c r="I462" t="b">
        <f t="shared" si="30"/>
        <v>1</v>
      </c>
      <c r="J462" s="4">
        <f t="shared" si="31"/>
        <v>-0.7318712273641852</v>
      </c>
    </row>
    <row r="463" spans="1:17" hidden="1">
      <c r="A463" t="s">
        <v>1017</v>
      </c>
      <c r="B463" t="s">
        <v>1018</v>
      </c>
      <c r="C463" s="18">
        <v>535</v>
      </c>
      <c r="D463" s="18">
        <f t="shared" si="32"/>
        <v>17.833333333333332</v>
      </c>
      <c r="E463" s="5">
        <v>126.46</v>
      </c>
      <c r="H463" s="18">
        <f t="shared" si="33"/>
        <v>1070</v>
      </c>
      <c r="I463" t="b">
        <f t="shared" si="30"/>
        <v>1</v>
      </c>
      <c r="J463" s="4">
        <f t="shared" si="31"/>
        <v>-0.88181308411214954</v>
      </c>
    </row>
    <row r="464" spans="1:17" hidden="1">
      <c r="A464" t="s">
        <v>979</v>
      </c>
      <c r="B464" t="s">
        <v>980</v>
      </c>
      <c r="C464" s="18">
        <v>801</v>
      </c>
      <c r="D464" s="18">
        <f t="shared" si="32"/>
        <v>26.7</v>
      </c>
      <c r="E464" s="5">
        <v>584.39</v>
      </c>
      <c r="H464" s="18">
        <f t="shared" si="33"/>
        <v>1602</v>
      </c>
      <c r="I464" t="b">
        <f t="shared" si="30"/>
        <v>1</v>
      </c>
      <c r="J464" s="4">
        <f t="shared" si="31"/>
        <v>-0.6352122347066167</v>
      </c>
    </row>
    <row r="465" spans="1:10" hidden="1">
      <c r="A465" t="s">
        <v>1092</v>
      </c>
      <c r="B465" t="s">
        <v>1093</v>
      </c>
      <c r="C465" s="18">
        <v>792</v>
      </c>
      <c r="D465" s="18">
        <f t="shared" si="32"/>
        <v>26.4</v>
      </c>
      <c r="E465" s="5">
        <v>662.42</v>
      </c>
      <c r="H465" s="18">
        <f t="shared" si="33"/>
        <v>1584</v>
      </c>
      <c r="I465" t="b">
        <f t="shared" si="30"/>
        <v>1</v>
      </c>
      <c r="J465" s="4">
        <f t="shared" si="31"/>
        <v>-0.58180555555555558</v>
      </c>
    </row>
    <row r="466" spans="1:10" hidden="1">
      <c r="A466" t="s">
        <v>1110</v>
      </c>
      <c r="B466" t="s">
        <v>1111</v>
      </c>
      <c r="C466" s="18">
        <v>501</v>
      </c>
      <c r="D466" s="18">
        <f t="shared" si="32"/>
        <v>16.7</v>
      </c>
      <c r="E466" s="5">
        <v>245.85</v>
      </c>
      <c r="H466" s="18">
        <f t="shared" si="33"/>
        <v>1002</v>
      </c>
      <c r="I466" t="b">
        <f t="shared" si="30"/>
        <v>1</v>
      </c>
      <c r="J466" s="4">
        <f t="shared" si="31"/>
        <v>-0.75464071856287429</v>
      </c>
    </row>
    <row r="467" spans="1:10" hidden="1">
      <c r="A467" t="s">
        <v>1138</v>
      </c>
      <c r="B467" t="s">
        <v>1139</v>
      </c>
      <c r="C467" s="18">
        <v>732</v>
      </c>
      <c r="D467" s="18">
        <f t="shared" si="32"/>
        <v>24.4</v>
      </c>
      <c r="E467" s="5">
        <v>397.84</v>
      </c>
      <c r="H467" s="18">
        <f t="shared" si="33"/>
        <v>1464</v>
      </c>
      <c r="I467" t="b">
        <f t="shared" si="30"/>
        <v>1</v>
      </c>
      <c r="J467" s="4">
        <f t="shared" si="31"/>
        <v>-0.72825136612021857</v>
      </c>
    </row>
    <row r="468" spans="1:10" hidden="1">
      <c r="A468" t="s">
        <v>1031</v>
      </c>
      <c r="B468" t="s">
        <v>1032</v>
      </c>
      <c r="C468" s="18">
        <v>800</v>
      </c>
      <c r="D468" s="18">
        <f t="shared" si="32"/>
        <v>26.666666666666668</v>
      </c>
      <c r="E468" s="5">
        <v>547.70000000000005</v>
      </c>
      <c r="H468" s="18">
        <f t="shared" si="33"/>
        <v>1600</v>
      </c>
      <c r="I468" t="b">
        <f t="shared" si="30"/>
        <v>1</v>
      </c>
      <c r="J468" s="4">
        <f t="shared" si="31"/>
        <v>-0.65768749999999998</v>
      </c>
    </row>
    <row r="469" spans="1:10" hidden="1">
      <c r="A469" t="s">
        <v>1264</v>
      </c>
      <c r="B469" t="s">
        <v>1265</v>
      </c>
      <c r="C469" s="18">
        <v>1179</v>
      </c>
      <c r="D469" s="18">
        <f t="shared" si="32"/>
        <v>39.299999999999997</v>
      </c>
      <c r="E469" s="5">
        <v>1104.24</v>
      </c>
      <c r="H469" s="18">
        <f t="shared" si="33"/>
        <v>2358</v>
      </c>
      <c r="I469" t="b">
        <f t="shared" si="30"/>
        <v>1</v>
      </c>
      <c r="J469" s="4">
        <f t="shared" si="31"/>
        <v>-0.53170483460559792</v>
      </c>
    </row>
    <row r="470" spans="1:10" hidden="1">
      <c r="A470" t="s">
        <v>1076</v>
      </c>
      <c r="B470" t="s">
        <v>1077</v>
      </c>
      <c r="C470" s="18">
        <v>256</v>
      </c>
      <c r="D470" s="18">
        <f t="shared" si="32"/>
        <v>8.5333333333333332</v>
      </c>
      <c r="E470" s="5">
        <v>143.26</v>
      </c>
      <c r="H470" s="18">
        <f t="shared" si="33"/>
        <v>512</v>
      </c>
      <c r="I470" t="b">
        <f t="shared" si="30"/>
        <v>1</v>
      </c>
      <c r="J470" s="4">
        <f t="shared" si="31"/>
        <v>-0.72019531250000002</v>
      </c>
    </row>
    <row r="471" spans="1:10" hidden="1">
      <c r="A471" t="s">
        <v>1186</v>
      </c>
      <c r="B471" t="s">
        <v>1187</v>
      </c>
      <c r="C471" s="18">
        <v>1201</v>
      </c>
      <c r="D471" s="18">
        <f t="shared" si="32"/>
        <v>40.033333333333331</v>
      </c>
      <c r="E471" s="5">
        <v>1300.6099999999999</v>
      </c>
      <c r="H471" s="18">
        <f t="shared" si="33"/>
        <v>2402</v>
      </c>
      <c r="I471" t="b">
        <f t="shared" si="30"/>
        <v>1</v>
      </c>
      <c r="J471" s="4">
        <f t="shared" si="31"/>
        <v>-0.45853039134054963</v>
      </c>
    </row>
    <row r="472" spans="1:10" hidden="1">
      <c r="A472" t="s">
        <v>1217</v>
      </c>
      <c r="B472" t="s">
        <v>1218</v>
      </c>
      <c r="C472" s="18">
        <v>1148</v>
      </c>
      <c r="D472" s="18">
        <f t="shared" si="32"/>
        <v>38.266666666666666</v>
      </c>
      <c r="E472" s="5">
        <v>286.56</v>
      </c>
      <c r="H472" s="18">
        <f t="shared" si="33"/>
        <v>2296</v>
      </c>
      <c r="I472" t="b">
        <f t="shared" si="30"/>
        <v>1</v>
      </c>
      <c r="J472" s="4">
        <f t="shared" si="31"/>
        <v>-0.87519163763066199</v>
      </c>
    </row>
    <row r="473" spans="1:10" hidden="1">
      <c r="A473" t="s">
        <v>1015</v>
      </c>
      <c r="B473" t="s">
        <v>1016</v>
      </c>
      <c r="C473" s="18">
        <v>617</v>
      </c>
      <c r="D473" s="18">
        <f t="shared" si="32"/>
        <v>20.566666666666666</v>
      </c>
      <c r="E473" s="5">
        <v>507.56</v>
      </c>
      <c r="H473" s="18">
        <f t="shared" si="33"/>
        <v>1234</v>
      </c>
      <c r="I473" t="b">
        <f t="shared" si="30"/>
        <v>1</v>
      </c>
      <c r="J473" s="4">
        <f t="shared" si="31"/>
        <v>-0.5886871961102107</v>
      </c>
    </row>
    <row r="474" spans="1:10" hidden="1">
      <c r="A474" t="s">
        <v>977</v>
      </c>
      <c r="B474" t="s">
        <v>978</v>
      </c>
      <c r="C474" s="18">
        <v>708</v>
      </c>
      <c r="D474" s="18">
        <f t="shared" si="32"/>
        <v>23.6</v>
      </c>
      <c r="E474" s="5">
        <v>429.44</v>
      </c>
      <c r="H474" s="18">
        <f t="shared" si="33"/>
        <v>1416</v>
      </c>
      <c r="I474" t="b">
        <f t="shared" si="30"/>
        <v>1</v>
      </c>
      <c r="J474" s="4">
        <f t="shared" si="31"/>
        <v>-0.69672316384180788</v>
      </c>
    </row>
    <row r="475" spans="1:10" hidden="1">
      <c r="A475" t="s">
        <v>1244</v>
      </c>
      <c r="B475" t="s">
        <v>1245</v>
      </c>
      <c r="C475" s="18">
        <v>660</v>
      </c>
      <c r="D475" s="18">
        <f t="shared" si="32"/>
        <v>22</v>
      </c>
      <c r="E475" s="5">
        <v>1287.74</v>
      </c>
      <c r="H475" s="18">
        <f t="shared" si="33"/>
        <v>1320</v>
      </c>
      <c r="I475" t="b">
        <f t="shared" si="30"/>
        <v>1</v>
      </c>
      <c r="J475" s="4">
        <f t="shared" si="31"/>
        <v>-2.4439393939393983E-2</v>
      </c>
    </row>
    <row r="476" spans="1:10" hidden="1">
      <c r="A476" s="39" t="s">
        <v>1033</v>
      </c>
      <c r="B476" s="36" t="s">
        <v>1034</v>
      </c>
      <c r="C476">
        <v>0</v>
      </c>
      <c r="D476" s="18">
        <f t="shared" si="32"/>
        <v>0</v>
      </c>
      <c r="E476" s="5">
        <v>0</v>
      </c>
      <c r="H476" s="18">
        <f t="shared" si="33"/>
        <v>0</v>
      </c>
      <c r="I476" t="b">
        <f t="shared" si="30"/>
        <v>1</v>
      </c>
      <c r="J476" s="4" t="e">
        <f t="shared" si="31"/>
        <v>#DIV/0!</v>
      </c>
    </row>
    <row r="477" spans="1:10" hidden="1">
      <c r="A477" s="115" t="s">
        <v>1006</v>
      </c>
      <c r="B477" s="36" t="s">
        <v>1007</v>
      </c>
      <c r="C477">
        <v>116</v>
      </c>
      <c r="D477" s="18">
        <f t="shared" si="32"/>
        <v>3.8666666666666667</v>
      </c>
      <c r="E477" s="5">
        <v>5.18</v>
      </c>
      <c r="H477" s="18">
        <f t="shared" si="33"/>
        <v>232</v>
      </c>
      <c r="I477" t="b">
        <f t="shared" si="30"/>
        <v>1</v>
      </c>
      <c r="J477" s="4">
        <f t="shared" si="31"/>
        <v>-0.97767241379310343</v>
      </c>
    </row>
    <row r="478" spans="1:10" hidden="1">
      <c r="A478" t="s">
        <v>1258</v>
      </c>
      <c r="B478" t="s">
        <v>1259</v>
      </c>
      <c r="C478" s="18">
        <v>1609</v>
      </c>
      <c r="D478" s="18">
        <f t="shared" si="32"/>
        <v>53.633333333333333</v>
      </c>
      <c r="E478" s="5">
        <v>1930.63</v>
      </c>
      <c r="H478" s="18">
        <f t="shared" si="33"/>
        <v>3218</v>
      </c>
      <c r="I478" t="b">
        <f t="shared" si="30"/>
        <v>1</v>
      </c>
      <c r="J478" s="4">
        <f t="shared" si="31"/>
        <v>-0.40005282784338092</v>
      </c>
    </row>
    <row r="479" spans="1:10" hidden="1">
      <c r="A479" t="s">
        <v>1157</v>
      </c>
      <c r="B479" t="s">
        <v>1158</v>
      </c>
      <c r="C479" s="18">
        <v>1013</v>
      </c>
      <c r="D479" s="18">
        <f t="shared" si="32"/>
        <v>33.766666666666666</v>
      </c>
      <c r="E479" s="5">
        <v>1165.3800000000001</v>
      </c>
      <c r="H479" s="18">
        <f t="shared" si="33"/>
        <v>2026</v>
      </c>
      <c r="I479" t="b">
        <f t="shared" si="30"/>
        <v>1</v>
      </c>
      <c r="J479" s="4">
        <f t="shared" si="31"/>
        <v>-0.42478775913129319</v>
      </c>
    </row>
    <row r="480" spans="1:10" hidden="1">
      <c r="A480" t="s">
        <v>1168</v>
      </c>
      <c r="B480" t="s">
        <v>1169</v>
      </c>
      <c r="C480" s="18">
        <v>1216</v>
      </c>
      <c r="D480" s="18">
        <f t="shared" si="32"/>
        <v>40.533333333333331</v>
      </c>
      <c r="E480" s="5">
        <v>384.87</v>
      </c>
      <c r="H480" s="18">
        <f t="shared" si="33"/>
        <v>2432</v>
      </c>
      <c r="I480" t="b">
        <f t="shared" si="30"/>
        <v>1</v>
      </c>
      <c r="J480" s="4">
        <f t="shared" si="31"/>
        <v>-0.84174753289473681</v>
      </c>
    </row>
    <row r="481" spans="1:10" hidden="1">
      <c r="A481" s="26" t="s">
        <v>1205</v>
      </c>
      <c r="B481" s="26" t="s">
        <v>1206</v>
      </c>
      <c r="C481" s="18">
        <v>507</v>
      </c>
      <c r="D481" s="18">
        <f t="shared" si="32"/>
        <v>16.899999999999999</v>
      </c>
      <c r="E481" s="5">
        <v>785.63</v>
      </c>
      <c r="H481" s="18">
        <f t="shared" si="33"/>
        <v>1014</v>
      </c>
      <c r="I481" t="b">
        <f t="shared" si="30"/>
        <v>1</v>
      </c>
      <c r="J481" s="4">
        <f t="shared" si="31"/>
        <v>-0.22521696252465484</v>
      </c>
    </row>
    <row r="482" spans="1:10" hidden="1">
      <c r="A482" s="5" t="s">
        <v>1213</v>
      </c>
      <c r="B482" t="s">
        <v>1214</v>
      </c>
      <c r="C482" s="18">
        <v>770</v>
      </c>
      <c r="D482" s="18">
        <f t="shared" si="32"/>
        <v>25.666666666666668</v>
      </c>
      <c r="E482" s="5">
        <v>639.98</v>
      </c>
      <c r="H482" s="18">
        <f t="shared" si="33"/>
        <v>1540</v>
      </c>
      <c r="I482" t="b">
        <f t="shared" si="30"/>
        <v>1</v>
      </c>
      <c r="J482" s="4">
        <f t="shared" si="31"/>
        <v>-0.58442857142857141</v>
      </c>
    </row>
    <row r="483" spans="1:10" hidden="1">
      <c r="A483" t="s">
        <v>1153</v>
      </c>
      <c r="B483" t="s">
        <v>1154</v>
      </c>
      <c r="C483" s="18">
        <v>1552</v>
      </c>
      <c r="D483" s="18">
        <f t="shared" si="32"/>
        <v>51.733333333333334</v>
      </c>
      <c r="E483" s="5">
        <v>2570.36</v>
      </c>
      <c r="H483" s="18">
        <f t="shared" si="33"/>
        <v>3104</v>
      </c>
      <c r="I483" t="b">
        <f t="shared" si="30"/>
        <v>1</v>
      </c>
      <c r="J483" s="4">
        <f t="shared" si="31"/>
        <v>-0.17192010309278349</v>
      </c>
    </row>
    <row r="484" spans="1:10" hidden="1">
      <c r="A484" s="5" t="s">
        <v>1199</v>
      </c>
      <c r="B484" s="26" t="s">
        <v>1200</v>
      </c>
      <c r="C484" s="18">
        <v>654</v>
      </c>
      <c r="D484" s="18">
        <f t="shared" si="32"/>
        <v>21.8</v>
      </c>
      <c r="E484" s="5">
        <v>271.95999999999998</v>
      </c>
      <c r="H484" s="18">
        <f t="shared" si="33"/>
        <v>1308</v>
      </c>
      <c r="I484" t="b">
        <f t="shared" si="30"/>
        <v>1</v>
      </c>
      <c r="J484" s="4">
        <f t="shared" si="31"/>
        <v>-0.79207951070336391</v>
      </c>
    </row>
    <row r="485" spans="1:10" hidden="1">
      <c r="A485" t="s">
        <v>1236</v>
      </c>
      <c r="B485" t="s">
        <v>1237</v>
      </c>
      <c r="C485" s="18">
        <v>1465</v>
      </c>
      <c r="D485" s="18">
        <f t="shared" si="32"/>
        <v>48.833333333333336</v>
      </c>
      <c r="E485" s="5">
        <v>635.21</v>
      </c>
      <c r="H485" s="18">
        <f t="shared" si="33"/>
        <v>2930</v>
      </c>
      <c r="I485" t="b">
        <f t="shared" si="30"/>
        <v>1</v>
      </c>
      <c r="J485" s="4">
        <f t="shared" si="31"/>
        <v>-0.78320477815699663</v>
      </c>
    </row>
    <row r="486" spans="1:10" hidden="1">
      <c r="A486" t="s">
        <v>1166</v>
      </c>
      <c r="B486" t="s">
        <v>1167</v>
      </c>
      <c r="C486" s="18">
        <v>1152</v>
      </c>
      <c r="D486" s="18">
        <f t="shared" si="32"/>
        <v>38.4</v>
      </c>
      <c r="E486" s="5">
        <v>738.43</v>
      </c>
      <c r="H486" s="18">
        <f t="shared" si="33"/>
        <v>2304</v>
      </c>
      <c r="I486" t="b">
        <f t="shared" si="30"/>
        <v>1</v>
      </c>
      <c r="J486" s="4">
        <f t="shared" si="31"/>
        <v>-0.67950086805555565</v>
      </c>
    </row>
    <row r="487" spans="1:10" hidden="1">
      <c r="A487" t="s">
        <v>1149</v>
      </c>
      <c r="B487" t="s">
        <v>1150</v>
      </c>
      <c r="C487" s="18">
        <v>1115</v>
      </c>
      <c r="D487" s="18">
        <f t="shared" si="32"/>
        <v>37.166666666666664</v>
      </c>
      <c r="E487" s="5">
        <v>1713</v>
      </c>
      <c r="H487" s="18">
        <f t="shared" si="33"/>
        <v>2230</v>
      </c>
      <c r="I487" t="b">
        <f t="shared" si="30"/>
        <v>1</v>
      </c>
      <c r="J487" s="4">
        <f t="shared" si="31"/>
        <v>-0.23183856502242151</v>
      </c>
    </row>
    <row r="488" spans="1:10" hidden="1">
      <c r="A488" t="s">
        <v>1164</v>
      </c>
      <c r="B488" t="s">
        <v>1165</v>
      </c>
      <c r="C488" s="18">
        <v>771</v>
      </c>
      <c r="D488" s="18">
        <f t="shared" si="32"/>
        <v>25.7</v>
      </c>
      <c r="E488" s="5">
        <v>628.02</v>
      </c>
      <c r="H488" s="18">
        <f t="shared" si="33"/>
        <v>1542</v>
      </c>
      <c r="I488" t="b">
        <f t="shared" si="30"/>
        <v>1</v>
      </c>
      <c r="J488" s="4">
        <f t="shared" si="31"/>
        <v>-0.59272373540856038</v>
      </c>
    </row>
    <row r="489" spans="1:10" hidden="1">
      <c r="A489" t="s">
        <v>1227</v>
      </c>
      <c r="B489" t="s">
        <v>1228</v>
      </c>
      <c r="C489" s="18">
        <v>2221</v>
      </c>
      <c r="D489" s="18">
        <f>C489/30</f>
        <v>74.033333333333331</v>
      </c>
      <c r="E489" s="5">
        <v>1429.45</v>
      </c>
      <c r="H489" s="18">
        <f t="shared" si="33"/>
        <v>4442</v>
      </c>
      <c r="I489" t="b">
        <f t="shared" si="30"/>
        <v>1</v>
      </c>
      <c r="J489" s="4">
        <f t="shared" si="31"/>
        <v>-0.67819675821701941</v>
      </c>
    </row>
    <row r="490" spans="1:10" hidden="1">
      <c r="A490" s="26" t="s">
        <v>1159</v>
      </c>
      <c r="B490" s="36" t="s">
        <v>1160</v>
      </c>
      <c r="C490" s="18">
        <v>902</v>
      </c>
      <c r="D490" s="18">
        <f t="shared" si="32"/>
        <v>30.066666666666666</v>
      </c>
      <c r="E490" s="5">
        <v>1010.73</v>
      </c>
      <c r="H490" s="18">
        <f t="shared" si="33"/>
        <v>1804</v>
      </c>
      <c r="I490" t="b">
        <f t="shared" si="30"/>
        <v>1</v>
      </c>
      <c r="J490" s="4">
        <f t="shared" si="31"/>
        <v>-0.43972838137472281</v>
      </c>
    </row>
    <row r="491" spans="1:10" hidden="1">
      <c r="A491" s="115" t="s">
        <v>1292</v>
      </c>
      <c r="B491" s="36" t="s">
        <v>1293</v>
      </c>
      <c r="C491">
        <v>274</v>
      </c>
      <c r="D491" s="18">
        <f t="shared" si="32"/>
        <v>9.1333333333333329</v>
      </c>
      <c r="E491" s="5">
        <v>349.82</v>
      </c>
      <c r="H491" s="18">
        <f t="shared" si="33"/>
        <v>548</v>
      </c>
      <c r="I491" t="b">
        <f t="shared" ref="I491:I554" si="34">IF(E491&gt;1.2*H491,FALSE,TRUE)</f>
        <v>1</v>
      </c>
      <c r="J491" s="4">
        <f t="shared" ref="J491:J554" si="35">E491/H491-1</f>
        <v>-0.36164233576642335</v>
      </c>
    </row>
    <row r="492" spans="1:10" hidden="1">
      <c r="A492" s="23" t="s">
        <v>969</v>
      </c>
      <c r="B492" s="22" t="s">
        <v>970</v>
      </c>
      <c r="C492" s="18">
        <v>1507</v>
      </c>
      <c r="D492" s="18">
        <f t="shared" si="32"/>
        <v>50.233333333333334</v>
      </c>
      <c r="E492" s="5">
        <v>2488.0700000000002</v>
      </c>
      <c r="H492" s="18">
        <f t="shared" si="33"/>
        <v>3014</v>
      </c>
      <c r="I492" t="b">
        <f t="shared" si="34"/>
        <v>1</v>
      </c>
      <c r="J492" s="4">
        <f t="shared" si="35"/>
        <v>-0.17449568679495686</v>
      </c>
    </row>
    <row r="493" spans="1:10" hidden="1">
      <c r="A493" s="26" t="s">
        <v>949</v>
      </c>
      <c r="B493" s="26" t="s">
        <v>950</v>
      </c>
      <c r="C493" s="18">
        <v>3850</v>
      </c>
      <c r="D493" s="18">
        <f t="shared" si="32"/>
        <v>128.33333333333334</v>
      </c>
      <c r="E493" s="5">
        <v>2752.71</v>
      </c>
      <c r="H493" s="18">
        <f t="shared" si="33"/>
        <v>7700</v>
      </c>
      <c r="I493" t="b">
        <f t="shared" si="34"/>
        <v>1</v>
      </c>
      <c r="J493" s="4">
        <f t="shared" si="35"/>
        <v>-0.64250519480519475</v>
      </c>
    </row>
    <row r="494" spans="1:10" hidden="1">
      <c r="A494" s="23" t="s">
        <v>991</v>
      </c>
      <c r="B494" s="22" t="s">
        <v>992</v>
      </c>
      <c r="C494" s="18">
        <v>924</v>
      </c>
      <c r="D494" s="18">
        <f t="shared" si="32"/>
        <v>30.8</v>
      </c>
      <c r="E494" s="5">
        <v>552.72</v>
      </c>
      <c r="H494" s="18">
        <f t="shared" si="33"/>
        <v>1848</v>
      </c>
      <c r="I494" t="b">
        <f t="shared" si="34"/>
        <v>1</v>
      </c>
      <c r="J494" s="4">
        <f t="shared" si="35"/>
        <v>-0.70090909090909093</v>
      </c>
    </row>
    <row r="495" spans="1:10" hidden="1">
      <c r="A495" t="s">
        <v>1207</v>
      </c>
      <c r="B495" t="s">
        <v>1208</v>
      </c>
      <c r="C495" s="18">
        <v>1302</v>
      </c>
      <c r="D495" s="18">
        <f t="shared" si="32"/>
        <v>43.4</v>
      </c>
      <c r="E495" s="5">
        <v>714.73</v>
      </c>
      <c r="H495" s="18">
        <f t="shared" si="33"/>
        <v>2604</v>
      </c>
      <c r="I495" t="b">
        <f t="shared" si="34"/>
        <v>1</v>
      </c>
      <c r="J495" s="4">
        <f t="shared" si="35"/>
        <v>-0.72552611367127495</v>
      </c>
    </row>
    <row r="496" spans="1:10" hidden="1">
      <c r="A496" t="s">
        <v>1203</v>
      </c>
      <c r="B496" t="s">
        <v>1204</v>
      </c>
      <c r="C496" s="18">
        <v>964</v>
      </c>
      <c r="D496" s="18">
        <f t="shared" si="32"/>
        <v>32.133333333333333</v>
      </c>
      <c r="E496" s="5">
        <v>304.82</v>
      </c>
      <c r="H496" s="18">
        <f t="shared" si="33"/>
        <v>1928</v>
      </c>
      <c r="I496" t="b">
        <f t="shared" si="34"/>
        <v>1</v>
      </c>
      <c r="J496" s="4">
        <f t="shared" si="35"/>
        <v>-0.8418983402489626</v>
      </c>
    </row>
    <row r="497" spans="1:10" hidden="1">
      <c r="A497" t="s">
        <v>1128</v>
      </c>
      <c r="B497" t="s">
        <v>1129</v>
      </c>
      <c r="C497" s="18">
        <v>445</v>
      </c>
      <c r="D497" s="18">
        <f t="shared" si="32"/>
        <v>14.833333333333334</v>
      </c>
      <c r="E497" s="5">
        <v>343.45</v>
      </c>
      <c r="H497" s="18">
        <f t="shared" si="33"/>
        <v>890</v>
      </c>
      <c r="I497" t="b">
        <f t="shared" si="34"/>
        <v>1</v>
      </c>
      <c r="J497" s="4">
        <f t="shared" si="35"/>
        <v>-0.61410112359550562</v>
      </c>
    </row>
    <row r="498" spans="1:10" hidden="1">
      <c r="A498" t="s">
        <v>1273</v>
      </c>
      <c r="B498" t="s">
        <v>1274</v>
      </c>
      <c r="C498" s="18">
        <v>613</v>
      </c>
      <c r="D498" s="18">
        <f t="shared" si="32"/>
        <v>20.433333333333334</v>
      </c>
      <c r="E498" s="5">
        <v>949.84</v>
      </c>
      <c r="H498" s="18">
        <f t="shared" si="33"/>
        <v>1226</v>
      </c>
      <c r="I498" t="b">
        <f t="shared" si="34"/>
        <v>1</v>
      </c>
      <c r="J498" s="4">
        <f t="shared" si="35"/>
        <v>-0.22525285481239798</v>
      </c>
    </row>
    <row r="499" spans="1:10" hidden="1">
      <c r="A499" s="115" t="s">
        <v>1306</v>
      </c>
      <c r="B499" s="36" t="s">
        <v>1307</v>
      </c>
      <c r="C499">
        <v>1377</v>
      </c>
      <c r="D499" s="18">
        <f t="shared" si="32"/>
        <v>45.9</v>
      </c>
      <c r="E499" s="5">
        <v>1202.32</v>
      </c>
      <c r="H499" s="18">
        <f t="shared" si="33"/>
        <v>2754</v>
      </c>
      <c r="I499" t="b">
        <f t="shared" si="34"/>
        <v>1</v>
      </c>
      <c r="J499" s="4">
        <f t="shared" si="35"/>
        <v>-0.56342774146695718</v>
      </c>
    </row>
    <row r="500" spans="1:10" hidden="1">
      <c r="A500" s="36" t="s">
        <v>1132</v>
      </c>
      <c r="B500" s="36" t="s">
        <v>1133</v>
      </c>
      <c r="C500" s="18">
        <v>415</v>
      </c>
      <c r="D500" s="18">
        <f t="shared" si="32"/>
        <v>13.833333333333334</v>
      </c>
      <c r="E500" s="5">
        <v>112.53</v>
      </c>
      <c r="H500" s="18">
        <f t="shared" si="33"/>
        <v>830</v>
      </c>
      <c r="I500" t="b">
        <f t="shared" si="34"/>
        <v>1</v>
      </c>
      <c r="J500" s="4">
        <f t="shared" si="35"/>
        <v>-0.86442168674698794</v>
      </c>
    </row>
    <row r="501" spans="1:10" hidden="1">
      <c r="A501" t="s">
        <v>1270</v>
      </c>
      <c r="B501" t="s">
        <v>1271</v>
      </c>
      <c r="C501" s="18">
        <v>741</v>
      </c>
      <c r="D501" s="18">
        <f t="shared" si="32"/>
        <v>24.7</v>
      </c>
      <c r="E501" s="5">
        <v>887.28</v>
      </c>
      <c r="H501" s="18">
        <f t="shared" si="33"/>
        <v>1482</v>
      </c>
      <c r="I501" t="b">
        <f t="shared" si="34"/>
        <v>1</v>
      </c>
      <c r="J501" s="4">
        <f t="shared" si="35"/>
        <v>-0.40129554655870447</v>
      </c>
    </row>
    <row r="502" spans="1:10" hidden="1">
      <c r="A502" t="s">
        <v>1145</v>
      </c>
      <c r="B502" t="s">
        <v>1146</v>
      </c>
      <c r="C502" s="18">
        <v>2285</v>
      </c>
      <c r="D502" s="18">
        <f t="shared" si="32"/>
        <v>76.166666666666671</v>
      </c>
      <c r="E502" s="5">
        <v>2219.42</v>
      </c>
      <c r="H502" s="18">
        <f t="shared" si="33"/>
        <v>4570</v>
      </c>
      <c r="I502" t="b">
        <f t="shared" si="34"/>
        <v>1</v>
      </c>
      <c r="J502" s="4">
        <f t="shared" si="35"/>
        <v>-0.51435010940919035</v>
      </c>
    </row>
    <row r="503" spans="1:10" hidden="1">
      <c r="A503" t="s">
        <v>1002</v>
      </c>
      <c r="B503" t="s">
        <v>1003</v>
      </c>
      <c r="C503" s="18">
        <v>3904</v>
      </c>
      <c r="D503" s="18">
        <f t="shared" si="32"/>
        <v>130.13333333333333</v>
      </c>
      <c r="E503" s="5">
        <v>1513.42</v>
      </c>
      <c r="H503" s="18">
        <f t="shared" si="33"/>
        <v>7808</v>
      </c>
      <c r="I503" t="b">
        <f t="shared" si="34"/>
        <v>1</v>
      </c>
      <c r="J503" s="4">
        <f t="shared" si="35"/>
        <v>-0.80617059426229509</v>
      </c>
    </row>
    <row r="504" spans="1:10" hidden="1">
      <c r="A504" s="26" t="s">
        <v>967</v>
      </c>
      <c r="B504" s="26" t="s">
        <v>968</v>
      </c>
      <c r="C504" s="18">
        <v>708</v>
      </c>
      <c r="D504" s="18">
        <f t="shared" si="32"/>
        <v>23.6</v>
      </c>
      <c r="E504" s="5">
        <v>1136.3699999999999</v>
      </c>
      <c r="H504" s="18">
        <f t="shared" si="33"/>
        <v>1416</v>
      </c>
      <c r="I504" t="b">
        <f t="shared" si="34"/>
        <v>1</v>
      </c>
      <c r="J504" s="4">
        <f t="shared" si="35"/>
        <v>-0.19747881355932206</v>
      </c>
    </row>
    <row r="505" spans="1:10" hidden="1">
      <c r="A505" t="s">
        <v>1262</v>
      </c>
      <c r="B505" t="s">
        <v>1263</v>
      </c>
      <c r="C505" s="18">
        <v>4376</v>
      </c>
      <c r="D505" s="18">
        <f t="shared" si="32"/>
        <v>145.86666666666667</v>
      </c>
      <c r="E505" s="5">
        <v>8688.24</v>
      </c>
      <c r="H505" s="18">
        <f t="shared" si="33"/>
        <v>8752</v>
      </c>
      <c r="I505" t="b">
        <f t="shared" si="34"/>
        <v>1</v>
      </c>
      <c r="J505" s="4">
        <f t="shared" si="35"/>
        <v>-7.285191956124315E-3</v>
      </c>
    </row>
    <row r="506" spans="1:10" hidden="1">
      <c r="A506" t="s">
        <v>1008</v>
      </c>
      <c r="B506" t="s">
        <v>1009</v>
      </c>
      <c r="C506" s="18">
        <v>697</v>
      </c>
      <c r="D506" s="18">
        <f t="shared" si="32"/>
        <v>23.233333333333334</v>
      </c>
      <c r="E506" s="5">
        <v>1239.44</v>
      </c>
      <c r="H506" s="18">
        <f t="shared" si="33"/>
        <v>1394</v>
      </c>
      <c r="I506" t="b">
        <f t="shared" si="34"/>
        <v>1</v>
      </c>
      <c r="J506" s="4">
        <f t="shared" si="35"/>
        <v>-0.11087517934002866</v>
      </c>
    </row>
    <row r="507" spans="1:10" hidden="1">
      <c r="A507" s="39" t="s">
        <v>1122</v>
      </c>
      <c r="B507" s="36" t="s">
        <v>1123</v>
      </c>
      <c r="C507" s="18">
        <v>221</v>
      </c>
      <c r="D507" s="18">
        <f t="shared" si="32"/>
        <v>7.3666666666666663</v>
      </c>
      <c r="E507" s="5">
        <v>242.76</v>
      </c>
      <c r="H507" s="18">
        <f t="shared" si="33"/>
        <v>442</v>
      </c>
      <c r="I507" t="b">
        <f t="shared" si="34"/>
        <v>1</v>
      </c>
      <c r="J507" s="4">
        <f t="shared" si="35"/>
        <v>-0.45076923076923081</v>
      </c>
    </row>
    <row r="508" spans="1:10" hidden="1">
      <c r="A508" s="39" t="s">
        <v>962</v>
      </c>
      <c r="B508" s="36" t="s">
        <v>963</v>
      </c>
      <c r="C508" s="18">
        <v>620</v>
      </c>
      <c r="D508" s="18">
        <f t="shared" si="32"/>
        <v>20.666666666666668</v>
      </c>
      <c r="E508" s="5">
        <v>1385.34</v>
      </c>
      <c r="H508" s="18">
        <f t="shared" si="33"/>
        <v>1240</v>
      </c>
      <c r="I508" t="b">
        <f t="shared" si="34"/>
        <v>1</v>
      </c>
      <c r="J508" s="4">
        <f t="shared" si="35"/>
        <v>0.11720967741935473</v>
      </c>
    </row>
    <row r="509" spans="1:10" hidden="1">
      <c r="A509" s="39" t="s">
        <v>1004</v>
      </c>
      <c r="B509" s="36" t="s">
        <v>1005</v>
      </c>
      <c r="C509" s="18">
        <v>354</v>
      </c>
      <c r="D509" s="18">
        <f t="shared" si="32"/>
        <v>11.8</v>
      </c>
      <c r="E509" s="5">
        <v>847.69</v>
      </c>
      <c r="H509" s="18">
        <f t="shared" si="33"/>
        <v>708</v>
      </c>
      <c r="I509" t="b">
        <f t="shared" si="34"/>
        <v>1</v>
      </c>
      <c r="J509" s="4">
        <f t="shared" si="35"/>
        <v>0.19730225988700578</v>
      </c>
    </row>
    <row r="510" spans="1:10" hidden="1">
      <c r="A510" s="39" t="s">
        <v>1142</v>
      </c>
      <c r="B510" s="36" t="s">
        <v>1143</v>
      </c>
      <c r="C510" s="18">
        <v>853</v>
      </c>
      <c r="D510" s="18">
        <f t="shared" si="32"/>
        <v>28.433333333333334</v>
      </c>
      <c r="E510" s="5">
        <v>1487.78</v>
      </c>
      <c r="H510" s="18">
        <f t="shared" si="33"/>
        <v>1706</v>
      </c>
      <c r="I510" t="b">
        <f t="shared" si="34"/>
        <v>1</v>
      </c>
      <c r="J510" s="4">
        <f t="shared" si="35"/>
        <v>-0.12791324736225085</v>
      </c>
    </row>
    <row r="511" spans="1:10">
      <c r="A511" s="39" t="s">
        <v>1194</v>
      </c>
      <c r="B511" s="36" t="s">
        <v>1195</v>
      </c>
      <c r="C511" s="18">
        <v>198</v>
      </c>
      <c r="D511" s="18">
        <f t="shared" si="32"/>
        <v>6.6</v>
      </c>
      <c r="E511" s="5">
        <v>664.72</v>
      </c>
      <c r="H511" s="18">
        <f t="shared" si="33"/>
        <v>396</v>
      </c>
      <c r="I511" t="b">
        <f t="shared" si="34"/>
        <v>0</v>
      </c>
      <c r="J511" s="4">
        <f t="shared" si="35"/>
        <v>0.67858585858585863</v>
      </c>
    </row>
    <row r="512" spans="1:10" hidden="1">
      <c r="A512" s="39" t="s">
        <v>1035</v>
      </c>
      <c r="B512" s="36" t="s">
        <v>1036</v>
      </c>
      <c r="C512" s="18">
        <v>387</v>
      </c>
      <c r="D512" s="18">
        <f t="shared" si="32"/>
        <v>12.9</v>
      </c>
      <c r="E512" s="5">
        <v>808.89</v>
      </c>
      <c r="H512" s="18">
        <f t="shared" si="33"/>
        <v>774</v>
      </c>
      <c r="I512" t="b">
        <f t="shared" si="34"/>
        <v>1</v>
      </c>
      <c r="J512" s="4">
        <f t="shared" si="35"/>
        <v>4.5077519379844944E-2</v>
      </c>
    </row>
    <row r="513" spans="1:10">
      <c r="A513" s="119" t="s">
        <v>1038</v>
      </c>
      <c r="B513" s="36" t="s">
        <v>1039</v>
      </c>
      <c r="C513" s="18">
        <v>42</v>
      </c>
      <c r="D513" s="18">
        <f t="shared" si="32"/>
        <v>1.4</v>
      </c>
      <c r="E513" s="5">
        <v>135.93</v>
      </c>
      <c r="H513" s="18">
        <f t="shared" si="33"/>
        <v>84</v>
      </c>
      <c r="I513" t="b">
        <f t="shared" si="34"/>
        <v>0</v>
      </c>
      <c r="J513" s="4">
        <f t="shared" si="35"/>
        <v>0.61821428571428583</v>
      </c>
    </row>
    <row r="514" spans="1:10">
      <c r="A514" s="119" t="s">
        <v>1040</v>
      </c>
      <c r="B514" s="36" t="s">
        <v>1041</v>
      </c>
      <c r="C514" s="18">
        <v>64</v>
      </c>
      <c r="D514" s="18">
        <f t="shared" si="32"/>
        <v>2.1333333333333333</v>
      </c>
      <c r="E514" s="5">
        <v>266.36</v>
      </c>
      <c r="H514" s="18">
        <f t="shared" si="33"/>
        <v>128</v>
      </c>
      <c r="I514" t="b">
        <f t="shared" si="34"/>
        <v>0</v>
      </c>
      <c r="J514" s="4">
        <f t="shared" si="35"/>
        <v>1.0809375000000001</v>
      </c>
    </row>
    <row r="515" spans="1:10">
      <c r="A515" s="39" t="s">
        <v>1042</v>
      </c>
      <c r="B515" s="36" t="s">
        <v>1043</v>
      </c>
      <c r="C515" s="18">
        <v>328</v>
      </c>
      <c r="D515" s="18">
        <f t="shared" ref="D515:D556" si="36">C515/30</f>
        <v>10.933333333333334</v>
      </c>
      <c r="E515" s="5">
        <v>1263.01</v>
      </c>
      <c r="H515" s="18">
        <f t="shared" ref="H515:H578" si="37">IF((C515/30)&gt;100,C515*2,C515*2)</f>
        <v>656</v>
      </c>
      <c r="I515" t="b">
        <f t="shared" si="34"/>
        <v>0</v>
      </c>
      <c r="J515" s="4">
        <f t="shared" si="35"/>
        <v>0.92532012195121949</v>
      </c>
    </row>
    <row r="516" spans="1:10" hidden="1">
      <c r="A516" t="s">
        <v>1481</v>
      </c>
      <c r="B516" t="s">
        <v>1482</v>
      </c>
      <c r="C516">
        <v>3442</v>
      </c>
      <c r="D516" s="18">
        <f t="shared" si="36"/>
        <v>114.73333333333333</v>
      </c>
      <c r="E516" s="5">
        <v>1324.5</v>
      </c>
      <c r="H516" s="18">
        <f t="shared" si="37"/>
        <v>6884</v>
      </c>
      <c r="I516" t="b">
        <f t="shared" si="34"/>
        <v>1</v>
      </c>
      <c r="J516" s="4">
        <f t="shared" si="35"/>
        <v>-0.80759732713538646</v>
      </c>
    </row>
    <row r="517" spans="1:10" hidden="1">
      <c r="A517" t="s">
        <v>1580</v>
      </c>
      <c r="B517" t="s">
        <v>1581</v>
      </c>
      <c r="C517">
        <v>1060</v>
      </c>
      <c r="D517" s="18">
        <f t="shared" si="36"/>
        <v>35.333333333333336</v>
      </c>
      <c r="E517" s="5">
        <v>325.48</v>
      </c>
      <c r="H517" s="18">
        <f t="shared" si="37"/>
        <v>2120</v>
      </c>
      <c r="I517" t="b">
        <f t="shared" si="34"/>
        <v>1</v>
      </c>
      <c r="J517" s="4">
        <f t="shared" si="35"/>
        <v>-0.84647169811320755</v>
      </c>
    </row>
    <row r="518" spans="1:10" hidden="1">
      <c r="A518" t="s">
        <v>1537</v>
      </c>
      <c r="B518" t="s">
        <v>1538</v>
      </c>
      <c r="C518">
        <v>2051</v>
      </c>
      <c r="D518" s="18">
        <f t="shared" si="36"/>
        <v>68.36666666666666</v>
      </c>
      <c r="E518" s="5">
        <v>1798.87</v>
      </c>
      <c r="H518" s="18">
        <f t="shared" si="37"/>
        <v>4102</v>
      </c>
      <c r="I518" t="b">
        <f t="shared" si="34"/>
        <v>1</v>
      </c>
      <c r="J518" s="4">
        <f t="shared" si="35"/>
        <v>-0.56146513895660655</v>
      </c>
    </row>
    <row r="519" spans="1:10" hidden="1">
      <c r="A519" t="s">
        <v>1575</v>
      </c>
      <c r="B519" t="s">
        <v>1576</v>
      </c>
      <c r="C519">
        <v>3598</v>
      </c>
      <c r="D519" s="18">
        <f t="shared" si="36"/>
        <v>119.93333333333334</v>
      </c>
      <c r="E519" s="5">
        <v>2646.5</v>
      </c>
      <c r="H519" s="18">
        <f t="shared" si="37"/>
        <v>7196</v>
      </c>
      <c r="I519" t="b">
        <f t="shared" si="34"/>
        <v>1</v>
      </c>
      <c r="J519" s="4">
        <f t="shared" si="35"/>
        <v>-0.63222623679822121</v>
      </c>
    </row>
    <row r="520" spans="1:10" hidden="1">
      <c r="A520" s="40" t="s">
        <v>1320</v>
      </c>
      <c r="B520" s="36" t="s">
        <v>1321</v>
      </c>
      <c r="C520">
        <v>1317</v>
      </c>
      <c r="D520" s="18">
        <f t="shared" si="36"/>
        <v>43.9</v>
      </c>
      <c r="E520" s="5">
        <v>1370.33</v>
      </c>
      <c r="H520" s="18">
        <f t="shared" si="37"/>
        <v>2634</v>
      </c>
      <c r="I520" t="b">
        <f t="shared" si="34"/>
        <v>1</v>
      </c>
      <c r="J520" s="4">
        <f t="shared" si="35"/>
        <v>-0.47975322703113144</v>
      </c>
    </row>
    <row r="521" spans="1:10" hidden="1">
      <c r="A521" t="s">
        <v>1541</v>
      </c>
      <c r="B521" t="s">
        <v>1542</v>
      </c>
      <c r="C521">
        <v>2670</v>
      </c>
      <c r="D521" s="18">
        <f t="shared" si="36"/>
        <v>89</v>
      </c>
      <c r="E521" s="5">
        <v>2704.24</v>
      </c>
      <c r="H521" s="18">
        <f t="shared" si="37"/>
        <v>5340</v>
      </c>
      <c r="I521" t="b">
        <f t="shared" si="34"/>
        <v>1</v>
      </c>
      <c r="J521" s="4">
        <f t="shared" si="35"/>
        <v>-0.49358801498127347</v>
      </c>
    </row>
    <row r="522" spans="1:10" hidden="1">
      <c r="A522" t="s">
        <v>1456</v>
      </c>
      <c r="B522" t="s">
        <v>1457</v>
      </c>
      <c r="C522">
        <v>1157</v>
      </c>
      <c r="D522" s="18">
        <f t="shared" si="36"/>
        <v>38.56666666666667</v>
      </c>
      <c r="E522" s="5">
        <v>526.24</v>
      </c>
      <c r="H522" s="18">
        <f t="shared" si="37"/>
        <v>2314</v>
      </c>
      <c r="I522" t="b">
        <f t="shared" si="34"/>
        <v>1</v>
      </c>
      <c r="J522" s="4">
        <f t="shared" si="35"/>
        <v>-0.77258426966292137</v>
      </c>
    </row>
    <row r="523" spans="1:10" hidden="1">
      <c r="A523" t="s">
        <v>1515</v>
      </c>
      <c r="B523" t="s">
        <v>1516</v>
      </c>
      <c r="C523">
        <v>1566</v>
      </c>
      <c r="D523" s="18">
        <f t="shared" si="36"/>
        <v>52.2</v>
      </c>
      <c r="E523" s="5">
        <v>1962.36</v>
      </c>
      <c r="H523" s="18">
        <f t="shared" si="37"/>
        <v>3132</v>
      </c>
      <c r="I523" t="b">
        <f t="shared" si="34"/>
        <v>1</v>
      </c>
      <c r="J523" s="4">
        <f t="shared" si="35"/>
        <v>-0.37344827586206897</v>
      </c>
    </row>
    <row r="524" spans="1:10" hidden="1">
      <c r="A524" t="s">
        <v>1430</v>
      </c>
      <c r="B524" t="s">
        <v>1431</v>
      </c>
      <c r="C524">
        <v>2344</v>
      </c>
      <c r="D524" s="18">
        <f t="shared" si="36"/>
        <v>78.13333333333334</v>
      </c>
      <c r="E524" s="5">
        <v>2027.99</v>
      </c>
      <c r="H524" s="18">
        <f t="shared" si="37"/>
        <v>4688</v>
      </c>
      <c r="I524" t="b">
        <f t="shared" si="34"/>
        <v>1</v>
      </c>
      <c r="J524" s="4">
        <f t="shared" si="35"/>
        <v>-0.56740827645051195</v>
      </c>
    </row>
    <row r="525" spans="1:10" hidden="1">
      <c r="A525" t="s">
        <v>1571</v>
      </c>
      <c r="B525" t="s">
        <v>1572</v>
      </c>
      <c r="C525">
        <v>2854</v>
      </c>
      <c r="D525" s="18">
        <f t="shared" si="36"/>
        <v>95.13333333333334</v>
      </c>
      <c r="E525" s="5">
        <v>3330.89</v>
      </c>
      <c r="H525" s="18">
        <f t="shared" si="37"/>
        <v>5708</v>
      </c>
      <c r="I525" t="b">
        <f t="shared" si="34"/>
        <v>1</v>
      </c>
      <c r="J525" s="4">
        <f t="shared" si="35"/>
        <v>-0.41645234758234062</v>
      </c>
    </row>
    <row r="526" spans="1:10" hidden="1">
      <c r="A526" t="s">
        <v>1467</v>
      </c>
      <c r="B526" t="s">
        <v>1468</v>
      </c>
      <c r="C526">
        <v>2312</v>
      </c>
      <c r="D526" s="18">
        <f t="shared" si="36"/>
        <v>77.066666666666663</v>
      </c>
      <c r="E526" s="5">
        <v>1412.19</v>
      </c>
      <c r="H526" s="18">
        <f t="shared" si="37"/>
        <v>4624</v>
      </c>
      <c r="I526" t="b">
        <f t="shared" si="34"/>
        <v>1</v>
      </c>
      <c r="J526" s="4">
        <f t="shared" si="35"/>
        <v>-0.6945955882352941</v>
      </c>
    </row>
    <row r="527" spans="1:10" hidden="1">
      <c r="A527" s="39" t="s">
        <v>1526</v>
      </c>
      <c r="B527" s="36" t="s">
        <v>1527</v>
      </c>
      <c r="C527">
        <v>2218</v>
      </c>
      <c r="D527" s="18">
        <f t="shared" si="36"/>
        <v>73.933333333333337</v>
      </c>
      <c r="E527" s="5">
        <v>5303.19</v>
      </c>
      <c r="H527" s="18">
        <f t="shared" si="37"/>
        <v>4436</v>
      </c>
      <c r="I527" t="b">
        <f t="shared" si="34"/>
        <v>1</v>
      </c>
      <c r="J527" s="4">
        <f t="shared" si="35"/>
        <v>0.19548917944093769</v>
      </c>
    </row>
    <row r="528" spans="1:10" hidden="1">
      <c r="A528" t="s">
        <v>1562</v>
      </c>
      <c r="B528" t="s">
        <v>1563</v>
      </c>
      <c r="C528">
        <v>1843</v>
      </c>
      <c r="D528" s="18">
        <f t="shared" si="36"/>
        <v>61.43333333333333</v>
      </c>
      <c r="E528" s="5">
        <v>1915.18</v>
      </c>
      <c r="H528" s="18">
        <f t="shared" si="37"/>
        <v>3686</v>
      </c>
      <c r="I528" t="b">
        <f t="shared" si="34"/>
        <v>1</v>
      </c>
      <c r="J528" s="4">
        <f t="shared" si="35"/>
        <v>-0.48041779706999455</v>
      </c>
    </row>
    <row r="529" spans="1:10" hidden="1">
      <c r="A529" t="s">
        <v>1459</v>
      </c>
      <c r="B529" t="s">
        <v>1460</v>
      </c>
      <c r="C529">
        <v>1213</v>
      </c>
      <c r="D529" s="18">
        <f t="shared" si="36"/>
        <v>40.43333333333333</v>
      </c>
      <c r="E529" s="5">
        <v>1432.76</v>
      </c>
      <c r="H529" s="18">
        <f t="shared" si="37"/>
        <v>2426</v>
      </c>
      <c r="I529" t="b">
        <f t="shared" si="34"/>
        <v>1</v>
      </c>
      <c r="J529" s="4">
        <f t="shared" si="35"/>
        <v>-0.40941467436108825</v>
      </c>
    </row>
    <row r="530" spans="1:10" hidden="1">
      <c r="A530" t="s">
        <v>1501</v>
      </c>
      <c r="B530" t="s">
        <v>1502</v>
      </c>
      <c r="C530">
        <v>991</v>
      </c>
      <c r="D530" s="18">
        <f t="shared" si="36"/>
        <v>33.033333333333331</v>
      </c>
      <c r="E530" s="5">
        <v>898.36</v>
      </c>
      <c r="H530" s="18">
        <f t="shared" si="37"/>
        <v>1982</v>
      </c>
      <c r="I530" t="b">
        <f t="shared" si="34"/>
        <v>1</v>
      </c>
      <c r="J530" s="4">
        <f t="shared" si="35"/>
        <v>-0.54674066599394555</v>
      </c>
    </row>
    <row r="531" spans="1:10" hidden="1">
      <c r="A531" t="s">
        <v>1567</v>
      </c>
      <c r="B531" t="s">
        <v>1568</v>
      </c>
      <c r="C531">
        <v>1938</v>
      </c>
      <c r="D531" s="18">
        <f t="shared" si="36"/>
        <v>64.599999999999994</v>
      </c>
      <c r="E531" s="5">
        <v>1088.33</v>
      </c>
      <c r="H531" s="18">
        <f t="shared" si="37"/>
        <v>3876</v>
      </c>
      <c r="I531" t="b">
        <f t="shared" si="34"/>
        <v>1</v>
      </c>
      <c r="J531" s="4">
        <f t="shared" si="35"/>
        <v>-0.71921310629514967</v>
      </c>
    </row>
    <row r="532" spans="1:10" hidden="1">
      <c r="A532" s="39" t="s">
        <v>1438</v>
      </c>
      <c r="B532" s="36" t="s">
        <v>1439</v>
      </c>
      <c r="C532">
        <v>1289</v>
      </c>
      <c r="D532" s="18">
        <f t="shared" si="36"/>
        <v>42.966666666666669</v>
      </c>
      <c r="E532" s="5">
        <v>807.75</v>
      </c>
      <c r="H532" s="18">
        <f t="shared" si="37"/>
        <v>2578</v>
      </c>
      <c r="I532" t="b">
        <f t="shared" si="34"/>
        <v>1</v>
      </c>
      <c r="J532" s="4">
        <f t="shared" si="35"/>
        <v>-0.6866757176105508</v>
      </c>
    </row>
    <row r="533" spans="1:10" hidden="1">
      <c r="A533" t="s">
        <v>1531</v>
      </c>
      <c r="B533" t="s">
        <v>1532</v>
      </c>
      <c r="C533">
        <v>1180</v>
      </c>
      <c r="D533" s="18">
        <f t="shared" si="36"/>
        <v>39.333333333333336</v>
      </c>
      <c r="E533" s="5">
        <v>1210.3</v>
      </c>
      <c r="H533" s="18">
        <f t="shared" si="37"/>
        <v>2360</v>
      </c>
      <c r="I533" t="b">
        <f t="shared" si="34"/>
        <v>1</v>
      </c>
      <c r="J533" s="4">
        <f t="shared" si="35"/>
        <v>-0.48716101694915259</v>
      </c>
    </row>
    <row r="534" spans="1:10" hidden="1">
      <c r="A534" t="s">
        <v>1491</v>
      </c>
      <c r="B534" t="s">
        <v>1492</v>
      </c>
      <c r="C534">
        <v>1670</v>
      </c>
      <c r="D534" s="18">
        <f t="shared" si="36"/>
        <v>55.666666666666664</v>
      </c>
      <c r="E534" s="5">
        <v>2199.11</v>
      </c>
      <c r="H534" s="18">
        <f t="shared" si="37"/>
        <v>3340</v>
      </c>
      <c r="I534" t="b">
        <f t="shared" si="34"/>
        <v>1</v>
      </c>
      <c r="J534" s="4">
        <f t="shared" si="35"/>
        <v>-0.3415838323353293</v>
      </c>
    </row>
    <row r="535" spans="1:10" hidden="1">
      <c r="A535" t="s">
        <v>1444</v>
      </c>
      <c r="B535" t="s">
        <v>1445</v>
      </c>
      <c r="C535">
        <v>1065</v>
      </c>
      <c r="D535" s="18">
        <f t="shared" si="36"/>
        <v>35.5</v>
      </c>
      <c r="E535" s="5">
        <v>937.71</v>
      </c>
      <c r="H535" s="18">
        <f t="shared" si="37"/>
        <v>2130</v>
      </c>
      <c r="I535" t="b">
        <f t="shared" si="34"/>
        <v>1</v>
      </c>
      <c r="J535" s="4">
        <f t="shared" si="35"/>
        <v>-0.55976056338028168</v>
      </c>
    </row>
    <row r="536" spans="1:10" hidden="1">
      <c r="A536" t="s">
        <v>1503</v>
      </c>
      <c r="B536" t="s">
        <v>1504</v>
      </c>
      <c r="C536">
        <v>1773</v>
      </c>
      <c r="D536" s="18">
        <f t="shared" si="36"/>
        <v>59.1</v>
      </c>
      <c r="E536" s="5">
        <v>1282.8800000000001</v>
      </c>
      <c r="H536" s="18">
        <f t="shared" si="37"/>
        <v>3546</v>
      </c>
      <c r="I536" t="b">
        <f t="shared" si="34"/>
        <v>1</v>
      </c>
      <c r="J536" s="4">
        <f t="shared" si="35"/>
        <v>-0.63821771009588257</v>
      </c>
    </row>
    <row r="537" spans="1:10" hidden="1">
      <c r="A537" t="s">
        <v>1471</v>
      </c>
      <c r="B537" t="s">
        <v>1472</v>
      </c>
      <c r="C537">
        <v>191</v>
      </c>
      <c r="D537" s="18">
        <f t="shared" si="36"/>
        <v>6.3666666666666663</v>
      </c>
      <c r="E537" s="5">
        <v>257</v>
      </c>
      <c r="H537" s="18">
        <f t="shared" si="37"/>
        <v>382</v>
      </c>
      <c r="I537" t="b">
        <f t="shared" si="34"/>
        <v>1</v>
      </c>
      <c r="J537" s="4">
        <f t="shared" si="35"/>
        <v>-0.32722513089005234</v>
      </c>
    </row>
    <row r="538" spans="1:10" hidden="1">
      <c r="A538" t="s">
        <v>1552</v>
      </c>
      <c r="B538" t="s">
        <v>1553</v>
      </c>
      <c r="C538">
        <v>920</v>
      </c>
      <c r="D538" s="18">
        <f t="shared" si="36"/>
        <v>30.666666666666668</v>
      </c>
      <c r="E538" s="5">
        <v>424.34</v>
      </c>
      <c r="H538" s="18">
        <f t="shared" si="37"/>
        <v>1840</v>
      </c>
      <c r="I538" t="b">
        <f t="shared" si="34"/>
        <v>1</v>
      </c>
      <c r="J538" s="4">
        <f t="shared" si="35"/>
        <v>-0.76938043478260876</v>
      </c>
    </row>
    <row r="539" spans="1:10" hidden="1">
      <c r="A539" t="s">
        <v>1432</v>
      </c>
      <c r="B539" t="s">
        <v>1433</v>
      </c>
      <c r="C539">
        <v>767</v>
      </c>
      <c r="D539" s="18">
        <f t="shared" si="36"/>
        <v>25.566666666666666</v>
      </c>
      <c r="E539" s="5">
        <v>447.11</v>
      </c>
      <c r="H539" s="18">
        <f t="shared" si="37"/>
        <v>1534</v>
      </c>
      <c r="I539" t="b">
        <f t="shared" si="34"/>
        <v>1</v>
      </c>
      <c r="J539" s="4">
        <f t="shared" si="35"/>
        <v>-0.70853324641460236</v>
      </c>
    </row>
    <row r="540" spans="1:10" hidden="1">
      <c r="A540" t="s">
        <v>1565</v>
      </c>
      <c r="B540" t="s">
        <v>1566</v>
      </c>
      <c r="C540">
        <v>1396</v>
      </c>
      <c r="D540" s="18">
        <f t="shared" si="36"/>
        <v>46.533333333333331</v>
      </c>
      <c r="E540" s="5">
        <v>1966.27</v>
      </c>
      <c r="H540" s="18">
        <f t="shared" si="37"/>
        <v>2792</v>
      </c>
      <c r="I540" t="b">
        <f t="shared" si="34"/>
        <v>1</v>
      </c>
      <c r="J540" s="4">
        <f t="shared" si="35"/>
        <v>-0.29574856733524357</v>
      </c>
    </row>
    <row r="541" spans="1:10" hidden="1">
      <c r="A541" t="s">
        <v>1578</v>
      </c>
      <c r="B541" t="s">
        <v>1579</v>
      </c>
      <c r="C541">
        <v>1682</v>
      </c>
      <c r="D541" s="18">
        <f t="shared" si="36"/>
        <v>56.06666666666667</v>
      </c>
      <c r="E541" s="5">
        <v>910.49</v>
      </c>
      <c r="H541" s="18">
        <f t="shared" si="37"/>
        <v>3364</v>
      </c>
      <c r="I541" t="b">
        <f t="shared" si="34"/>
        <v>1</v>
      </c>
      <c r="J541" s="4">
        <f t="shared" si="35"/>
        <v>-0.72934304399524374</v>
      </c>
    </row>
    <row r="542" spans="1:10">
      <c r="A542" s="39" t="s">
        <v>1452</v>
      </c>
      <c r="B542" s="26" t="s">
        <v>1453</v>
      </c>
      <c r="C542">
        <v>800</v>
      </c>
      <c r="D542" s="18">
        <f t="shared" si="36"/>
        <v>26.666666666666668</v>
      </c>
      <c r="E542" s="5">
        <v>2246.34</v>
      </c>
      <c r="H542" s="18">
        <f t="shared" si="37"/>
        <v>1600</v>
      </c>
      <c r="I542" t="b">
        <f t="shared" si="34"/>
        <v>0</v>
      </c>
      <c r="J542" s="4">
        <f t="shared" si="35"/>
        <v>0.4039625</v>
      </c>
    </row>
    <row r="543" spans="1:10" hidden="1">
      <c r="A543" t="s">
        <v>1569</v>
      </c>
      <c r="B543" t="s">
        <v>1570</v>
      </c>
      <c r="C543">
        <v>2780</v>
      </c>
      <c r="D543" s="18">
        <f t="shared" si="36"/>
        <v>92.666666666666671</v>
      </c>
      <c r="E543" s="5">
        <v>2056.31</v>
      </c>
      <c r="H543" s="18">
        <f t="shared" si="37"/>
        <v>5560</v>
      </c>
      <c r="I543" t="b">
        <f t="shared" si="34"/>
        <v>1</v>
      </c>
      <c r="J543" s="4">
        <f t="shared" si="35"/>
        <v>-0.63016007194244605</v>
      </c>
    </row>
    <row r="544" spans="1:10" hidden="1">
      <c r="A544" t="s">
        <v>1522</v>
      </c>
      <c r="B544" t="s">
        <v>1523</v>
      </c>
      <c r="C544">
        <v>1121</v>
      </c>
      <c r="D544" s="18">
        <f t="shared" si="36"/>
        <v>37.366666666666667</v>
      </c>
      <c r="E544" s="5">
        <v>857.19</v>
      </c>
      <c r="H544" s="18">
        <f t="shared" si="37"/>
        <v>2242</v>
      </c>
      <c r="I544" t="b">
        <f t="shared" si="34"/>
        <v>1</v>
      </c>
      <c r="J544" s="4">
        <f t="shared" si="35"/>
        <v>-0.61766726137377337</v>
      </c>
    </row>
    <row r="545" spans="1:10" hidden="1">
      <c r="A545" t="s">
        <v>1469</v>
      </c>
      <c r="B545" t="s">
        <v>1470</v>
      </c>
      <c r="C545">
        <v>664</v>
      </c>
      <c r="D545" s="18">
        <f t="shared" si="36"/>
        <v>22.133333333333333</v>
      </c>
      <c r="E545" s="5">
        <v>1104.6500000000001</v>
      </c>
      <c r="H545" s="18">
        <f t="shared" si="37"/>
        <v>1328</v>
      </c>
      <c r="I545" t="b">
        <f t="shared" si="34"/>
        <v>1</v>
      </c>
      <c r="J545" s="4">
        <f t="shared" si="35"/>
        <v>-0.16818524096385534</v>
      </c>
    </row>
    <row r="546" spans="1:10" hidden="1">
      <c r="A546" t="s">
        <v>1373</v>
      </c>
      <c r="B546" t="s">
        <v>1374</v>
      </c>
      <c r="C546">
        <v>630</v>
      </c>
      <c r="D546" s="18">
        <f t="shared" si="36"/>
        <v>21</v>
      </c>
      <c r="E546" s="5">
        <v>932.39</v>
      </c>
      <c r="H546" s="18">
        <f t="shared" si="37"/>
        <v>1260</v>
      </c>
      <c r="I546" t="b">
        <f t="shared" si="34"/>
        <v>1</v>
      </c>
      <c r="J546" s="4">
        <f t="shared" si="35"/>
        <v>-0.26000793650793652</v>
      </c>
    </row>
    <row r="547" spans="1:10" hidden="1">
      <c r="A547" t="s">
        <v>1387</v>
      </c>
      <c r="B547" t="s">
        <v>1388</v>
      </c>
      <c r="C547">
        <v>63</v>
      </c>
      <c r="D547" s="18">
        <f t="shared" si="36"/>
        <v>2.1</v>
      </c>
      <c r="E547" s="5">
        <v>3.28</v>
      </c>
      <c r="H547" s="18">
        <f t="shared" si="37"/>
        <v>126</v>
      </c>
      <c r="I547" t="b">
        <f t="shared" si="34"/>
        <v>1</v>
      </c>
      <c r="J547" s="4">
        <f t="shared" si="35"/>
        <v>-0.97396825396825393</v>
      </c>
    </row>
    <row r="548" spans="1:10" hidden="1">
      <c r="A548" t="s">
        <v>1347</v>
      </c>
      <c r="B548" t="s">
        <v>1348</v>
      </c>
      <c r="C548">
        <v>194</v>
      </c>
      <c r="D548" s="18">
        <f t="shared" si="36"/>
        <v>6.4666666666666668</v>
      </c>
      <c r="E548" s="5">
        <v>0</v>
      </c>
      <c r="H548" s="18">
        <f t="shared" si="37"/>
        <v>388</v>
      </c>
      <c r="I548" t="b">
        <f t="shared" si="34"/>
        <v>1</v>
      </c>
      <c r="J548" s="4">
        <f t="shared" si="35"/>
        <v>-1</v>
      </c>
    </row>
    <row r="549" spans="1:10" hidden="1">
      <c r="A549" t="s">
        <v>1489</v>
      </c>
      <c r="B549" t="s">
        <v>1490</v>
      </c>
      <c r="C549">
        <v>905</v>
      </c>
      <c r="D549" s="18">
        <f t="shared" si="36"/>
        <v>30.166666666666668</v>
      </c>
      <c r="E549" s="5">
        <v>1092.29</v>
      </c>
      <c r="H549" s="18">
        <f t="shared" si="37"/>
        <v>1810</v>
      </c>
      <c r="I549" t="b">
        <f t="shared" si="34"/>
        <v>1</v>
      </c>
      <c r="J549" s="4">
        <f t="shared" si="35"/>
        <v>-0.39652486187845304</v>
      </c>
    </row>
    <row r="550" spans="1:10" hidden="1">
      <c r="A550" t="s">
        <v>1394</v>
      </c>
      <c r="B550" t="s">
        <v>1395</v>
      </c>
      <c r="C550">
        <v>829</v>
      </c>
      <c r="D550" s="18">
        <f t="shared" si="36"/>
        <v>27.633333333333333</v>
      </c>
      <c r="E550" s="5">
        <v>1308.0899999999999</v>
      </c>
      <c r="H550" s="18">
        <f t="shared" si="37"/>
        <v>1658</v>
      </c>
      <c r="I550" t="b">
        <f t="shared" si="34"/>
        <v>1</v>
      </c>
      <c r="J550" s="4">
        <f t="shared" si="35"/>
        <v>-0.21104342581423408</v>
      </c>
    </row>
    <row r="551" spans="1:10" hidden="1">
      <c r="A551" t="s">
        <v>1434</v>
      </c>
      <c r="B551" t="s">
        <v>1435</v>
      </c>
      <c r="C551">
        <v>991</v>
      </c>
      <c r="D551" s="18">
        <f t="shared" si="36"/>
        <v>33.033333333333331</v>
      </c>
      <c r="E551" s="5">
        <v>529.38</v>
      </c>
      <c r="H551" s="18">
        <f t="shared" si="37"/>
        <v>1982</v>
      </c>
      <c r="I551" t="b">
        <f t="shared" si="34"/>
        <v>1</v>
      </c>
      <c r="J551" s="4">
        <f t="shared" si="35"/>
        <v>-0.73290615539858728</v>
      </c>
    </row>
    <row r="552" spans="1:10" hidden="1">
      <c r="A552" t="s">
        <v>1499</v>
      </c>
      <c r="B552" t="s">
        <v>1500</v>
      </c>
      <c r="C552">
        <v>951</v>
      </c>
      <c r="D552" s="18">
        <f t="shared" si="36"/>
        <v>31.7</v>
      </c>
      <c r="E552" s="5">
        <v>717.58</v>
      </c>
      <c r="H552" s="18">
        <f t="shared" si="37"/>
        <v>1902</v>
      </c>
      <c r="I552" t="b">
        <f t="shared" si="34"/>
        <v>1</v>
      </c>
      <c r="J552" s="4">
        <f t="shared" si="35"/>
        <v>-0.62272344900105148</v>
      </c>
    </row>
    <row r="553" spans="1:10" hidden="1">
      <c r="A553" t="s">
        <v>1556</v>
      </c>
      <c r="B553" t="s">
        <v>1557</v>
      </c>
      <c r="C553">
        <v>752</v>
      </c>
      <c r="D553" s="18">
        <f t="shared" si="36"/>
        <v>25.066666666666666</v>
      </c>
      <c r="E553" s="5">
        <v>744.49</v>
      </c>
      <c r="H553" s="18">
        <f t="shared" si="37"/>
        <v>1504</v>
      </c>
      <c r="I553" t="b">
        <f t="shared" si="34"/>
        <v>1</v>
      </c>
      <c r="J553" s="4">
        <f t="shared" si="35"/>
        <v>-0.50499335106382981</v>
      </c>
    </row>
    <row r="554" spans="1:10" hidden="1">
      <c r="A554" s="26" t="s">
        <v>1377</v>
      </c>
      <c r="B554" s="26" t="s">
        <v>1378</v>
      </c>
      <c r="C554">
        <v>167</v>
      </c>
      <c r="D554" s="18">
        <f t="shared" si="36"/>
        <v>5.5666666666666664</v>
      </c>
      <c r="E554" s="5">
        <v>329.47</v>
      </c>
      <c r="H554" s="18">
        <f t="shared" si="37"/>
        <v>334</v>
      </c>
      <c r="I554" t="b">
        <f t="shared" si="34"/>
        <v>1</v>
      </c>
      <c r="J554" s="4">
        <f t="shared" si="35"/>
        <v>-1.3562874251496937E-2</v>
      </c>
    </row>
    <row r="555" spans="1:10" hidden="1">
      <c r="A555" t="s">
        <v>1461</v>
      </c>
      <c r="B555" t="s">
        <v>1462</v>
      </c>
      <c r="C555">
        <v>1177</v>
      </c>
      <c r="D555" s="18">
        <f t="shared" si="36"/>
        <v>39.233333333333334</v>
      </c>
      <c r="E555" s="5">
        <v>705.01</v>
      </c>
      <c r="H555" s="18">
        <f t="shared" si="37"/>
        <v>2354</v>
      </c>
      <c r="I555" t="b">
        <f t="shared" ref="I555:I557" si="38">IF(E555&gt;1.2*H555,FALSE,TRUE)</f>
        <v>1</v>
      </c>
      <c r="J555" s="4">
        <f t="shared" ref="J555:J557" si="39">E555/H555-1</f>
        <v>-0.70050552251486831</v>
      </c>
    </row>
    <row r="556" spans="1:10" hidden="1">
      <c r="A556" t="s">
        <v>1573</v>
      </c>
      <c r="B556" t="s">
        <v>1574</v>
      </c>
      <c r="C556">
        <v>880</v>
      </c>
      <c r="D556" s="18">
        <f t="shared" si="36"/>
        <v>29.333333333333332</v>
      </c>
      <c r="E556" s="5">
        <v>537.94000000000005</v>
      </c>
      <c r="H556" s="18">
        <f t="shared" si="37"/>
        <v>1760</v>
      </c>
      <c r="I556" t="b">
        <f t="shared" si="38"/>
        <v>1</v>
      </c>
      <c r="J556" s="4">
        <f t="shared" si="39"/>
        <v>-0.69435227272727262</v>
      </c>
    </row>
    <row r="557" spans="1:10" hidden="1">
      <c r="A557" s="39" t="s">
        <v>1323</v>
      </c>
      <c r="B557" s="36" t="s">
        <v>1324</v>
      </c>
      <c r="C557">
        <v>452</v>
      </c>
      <c r="D557" s="18">
        <f>C557/30</f>
        <v>15.066666666666666</v>
      </c>
      <c r="E557" s="5">
        <v>552.80999999999995</v>
      </c>
      <c r="H557" s="18">
        <f t="shared" si="37"/>
        <v>904</v>
      </c>
      <c r="I557" t="b">
        <f t="shared" si="38"/>
        <v>1</v>
      </c>
      <c r="J557" s="4">
        <f t="shared" si="39"/>
        <v>-0.38848451327433631</v>
      </c>
    </row>
    <row r="558" spans="1:10" hidden="1">
      <c r="A558" t="s">
        <v>1479</v>
      </c>
      <c r="B558" t="s">
        <v>1480</v>
      </c>
      <c r="C558">
        <v>1404</v>
      </c>
      <c r="D558" s="18">
        <f t="shared" ref="D558:D621" si="40">C558/30</f>
        <v>46.8</v>
      </c>
      <c r="E558" s="116">
        <v>1087.28</v>
      </c>
      <c r="H558" s="18">
        <f t="shared" si="37"/>
        <v>2808</v>
      </c>
      <c r="I558" t="b">
        <f t="shared" ref="I558:I621" si="41">IF(E558&gt;1.2*H558,FALSE,TRUE)</f>
        <v>1</v>
      </c>
      <c r="J558" s="4">
        <f t="shared" ref="J558:J621" si="42">E558/H558-1</f>
        <v>-0.61279202279202283</v>
      </c>
    </row>
    <row r="559" spans="1:10" hidden="1">
      <c r="A559" t="s">
        <v>1383</v>
      </c>
      <c r="B559" t="s">
        <v>1384</v>
      </c>
      <c r="C559">
        <v>644</v>
      </c>
      <c r="D559" s="18">
        <f t="shared" si="40"/>
        <v>21.466666666666665</v>
      </c>
      <c r="E559" s="116">
        <v>464.36</v>
      </c>
      <c r="H559" s="18">
        <f t="shared" si="37"/>
        <v>1288</v>
      </c>
      <c r="I559" t="b">
        <f t="shared" si="41"/>
        <v>1</v>
      </c>
      <c r="J559" s="4">
        <f t="shared" si="42"/>
        <v>-0.63947204968944105</v>
      </c>
    </row>
    <row r="560" spans="1:10" hidden="1">
      <c r="A560" t="s">
        <v>1861</v>
      </c>
      <c r="B560" t="s">
        <v>1782</v>
      </c>
      <c r="C560">
        <v>0</v>
      </c>
      <c r="D560" s="18">
        <f t="shared" si="40"/>
        <v>0</v>
      </c>
      <c r="E560" s="116">
        <v>0</v>
      </c>
      <c r="H560" s="18">
        <f t="shared" si="37"/>
        <v>0</v>
      </c>
      <c r="I560" t="b">
        <f t="shared" si="41"/>
        <v>1</v>
      </c>
      <c r="J560" s="4" t="e">
        <f t="shared" si="42"/>
        <v>#DIV/0!</v>
      </c>
    </row>
    <row r="561" spans="1:10" hidden="1">
      <c r="A561" t="s">
        <v>1517</v>
      </c>
      <c r="B561" t="s">
        <v>1518</v>
      </c>
      <c r="C561">
        <v>1091</v>
      </c>
      <c r="D561" s="18">
        <f t="shared" si="40"/>
        <v>36.366666666666667</v>
      </c>
      <c r="E561" s="116">
        <v>1273.1099999999999</v>
      </c>
      <c r="H561" s="18">
        <f t="shared" si="37"/>
        <v>2182</v>
      </c>
      <c r="I561" t="b">
        <f t="shared" si="41"/>
        <v>1</v>
      </c>
      <c r="J561" s="4">
        <f t="shared" si="42"/>
        <v>-0.41653987167736028</v>
      </c>
    </row>
    <row r="562" spans="1:10" hidden="1">
      <c r="A562" t="s">
        <v>1345</v>
      </c>
      <c r="B562" t="s">
        <v>1346</v>
      </c>
      <c r="C562">
        <v>800</v>
      </c>
      <c r="D562" s="18">
        <f t="shared" si="40"/>
        <v>26.666666666666668</v>
      </c>
      <c r="E562" s="116">
        <v>994.72</v>
      </c>
      <c r="H562" s="18">
        <f t="shared" si="37"/>
        <v>1600</v>
      </c>
      <c r="I562" t="b">
        <f t="shared" si="41"/>
        <v>1</v>
      </c>
      <c r="J562" s="4">
        <f t="shared" si="42"/>
        <v>-0.37829999999999997</v>
      </c>
    </row>
    <row r="563" spans="1:10" hidden="1">
      <c r="A563" s="26" t="s">
        <v>1361</v>
      </c>
      <c r="B563" s="26" t="s">
        <v>1362</v>
      </c>
      <c r="C563">
        <v>249</v>
      </c>
      <c r="D563" s="18">
        <f t="shared" si="40"/>
        <v>8.3000000000000007</v>
      </c>
      <c r="E563" s="116">
        <v>123.49</v>
      </c>
      <c r="H563" s="18">
        <f t="shared" si="37"/>
        <v>498</v>
      </c>
      <c r="I563" t="b">
        <f t="shared" si="41"/>
        <v>1</v>
      </c>
      <c r="J563" s="4">
        <f t="shared" si="42"/>
        <v>-0.75202811244979917</v>
      </c>
    </row>
    <row r="564" spans="1:10" hidden="1">
      <c r="A564" s="40" t="s">
        <v>1862</v>
      </c>
      <c r="B564" s="36" t="s">
        <v>1789</v>
      </c>
      <c r="C564">
        <v>0</v>
      </c>
      <c r="D564" s="18">
        <f t="shared" si="40"/>
        <v>0</v>
      </c>
      <c r="E564" s="116">
        <v>0</v>
      </c>
      <c r="H564" s="18">
        <f t="shared" si="37"/>
        <v>0</v>
      </c>
      <c r="I564" t="b">
        <f t="shared" si="41"/>
        <v>1</v>
      </c>
      <c r="J564" s="4" t="e">
        <f t="shared" si="42"/>
        <v>#DIV/0!</v>
      </c>
    </row>
    <row r="565" spans="1:10" hidden="1">
      <c r="A565" s="39" t="s">
        <v>1543</v>
      </c>
      <c r="B565" s="36" t="s">
        <v>1544</v>
      </c>
      <c r="C565">
        <v>855</v>
      </c>
      <c r="D565" s="18">
        <f t="shared" si="40"/>
        <v>28.5</v>
      </c>
      <c r="E565" s="116">
        <v>317.42</v>
      </c>
      <c r="H565" s="18">
        <f t="shared" si="37"/>
        <v>1710</v>
      </c>
      <c r="I565" t="b">
        <f t="shared" si="41"/>
        <v>1</v>
      </c>
      <c r="J565" s="4">
        <f t="shared" si="42"/>
        <v>-0.81437426900584797</v>
      </c>
    </row>
    <row r="566" spans="1:10" hidden="1">
      <c r="A566" s="36" t="s">
        <v>1426</v>
      </c>
      <c r="B566" s="36" t="s">
        <v>1427</v>
      </c>
      <c r="C566">
        <v>744</v>
      </c>
      <c r="D566" s="18">
        <f t="shared" si="40"/>
        <v>24.8</v>
      </c>
      <c r="E566" s="116">
        <v>1054.8</v>
      </c>
      <c r="H566" s="18">
        <f t="shared" si="37"/>
        <v>1488</v>
      </c>
      <c r="I566" t="b">
        <f t="shared" si="41"/>
        <v>1</v>
      </c>
      <c r="J566" s="4">
        <f t="shared" si="42"/>
        <v>-0.29112903225806452</v>
      </c>
    </row>
    <row r="567" spans="1:10" hidden="1">
      <c r="A567" t="s">
        <v>1505</v>
      </c>
      <c r="B567" t="s">
        <v>1506</v>
      </c>
      <c r="C567">
        <v>924</v>
      </c>
      <c r="D567" s="18">
        <f t="shared" si="40"/>
        <v>30.8</v>
      </c>
      <c r="E567" s="116">
        <v>562.15</v>
      </c>
      <c r="H567" s="18">
        <f t="shared" si="37"/>
        <v>1848</v>
      </c>
      <c r="I567" t="b">
        <f t="shared" si="41"/>
        <v>1</v>
      </c>
      <c r="J567" s="4">
        <f t="shared" si="42"/>
        <v>-0.69580627705627707</v>
      </c>
    </row>
    <row r="568" spans="1:10" hidden="1">
      <c r="A568" t="s">
        <v>1863</v>
      </c>
      <c r="B568" t="s">
        <v>1755</v>
      </c>
      <c r="C568">
        <v>0</v>
      </c>
      <c r="D568" s="18">
        <f t="shared" si="40"/>
        <v>0</v>
      </c>
      <c r="E568" s="116">
        <v>0</v>
      </c>
      <c r="H568" s="18">
        <f t="shared" si="37"/>
        <v>0</v>
      </c>
      <c r="I568" t="b">
        <f t="shared" si="41"/>
        <v>1</v>
      </c>
      <c r="J568" s="4" t="e">
        <f t="shared" si="42"/>
        <v>#DIV/0!</v>
      </c>
    </row>
    <row r="569" spans="1:10" hidden="1">
      <c r="A569" t="s">
        <v>1534</v>
      </c>
      <c r="B569" t="s">
        <v>1535</v>
      </c>
      <c r="C569">
        <v>2915</v>
      </c>
      <c r="D569" s="18">
        <f t="shared" si="40"/>
        <v>97.166666666666671</v>
      </c>
      <c r="E569" s="116">
        <v>753.57</v>
      </c>
      <c r="H569" s="18">
        <f t="shared" si="37"/>
        <v>5830</v>
      </c>
      <c r="I569" t="b">
        <f t="shared" si="41"/>
        <v>1</v>
      </c>
      <c r="J569" s="4">
        <f t="shared" si="42"/>
        <v>-0.87074271012006865</v>
      </c>
    </row>
    <row r="570" spans="1:10" hidden="1">
      <c r="A570" s="39" t="s">
        <v>1418</v>
      </c>
      <c r="B570" s="36" t="s">
        <v>1419</v>
      </c>
      <c r="C570">
        <v>757</v>
      </c>
      <c r="D570" s="18">
        <f t="shared" si="40"/>
        <v>25.233333333333334</v>
      </c>
      <c r="E570" s="116">
        <v>942.23</v>
      </c>
      <c r="H570" s="18">
        <f t="shared" si="37"/>
        <v>1514</v>
      </c>
      <c r="I570" t="b">
        <f t="shared" si="41"/>
        <v>1</v>
      </c>
      <c r="J570" s="4">
        <f t="shared" si="42"/>
        <v>-0.37765521796565393</v>
      </c>
    </row>
    <row r="571" spans="1:10" hidden="1">
      <c r="A571" t="s">
        <v>1336</v>
      </c>
      <c r="B571" t="s">
        <v>1337</v>
      </c>
      <c r="C571">
        <v>664</v>
      </c>
      <c r="D571" s="18">
        <f t="shared" si="40"/>
        <v>22.133333333333333</v>
      </c>
      <c r="E571" s="116">
        <v>1088.6400000000001</v>
      </c>
      <c r="H571" s="18">
        <f t="shared" si="37"/>
        <v>1328</v>
      </c>
      <c r="I571" t="b">
        <f t="shared" si="41"/>
        <v>1</v>
      </c>
      <c r="J571" s="4">
        <f t="shared" si="42"/>
        <v>-0.18024096385542165</v>
      </c>
    </row>
    <row r="572" spans="1:10" hidden="1">
      <c r="A572" t="s">
        <v>1365</v>
      </c>
      <c r="B572" t="s">
        <v>1366</v>
      </c>
      <c r="C572">
        <v>391</v>
      </c>
      <c r="D572" s="18">
        <f t="shared" si="40"/>
        <v>13.033333333333333</v>
      </c>
      <c r="E572" s="116">
        <v>76.83</v>
      </c>
      <c r="H572" s="18">
        <f t="shared" si="37"/>
        <v>782</v>
      </c>
      <c r="I572" t="b">
        <f t="shared" si="41"/>
        <v>1</v>
      </c>
      <c r="J572" s="4">
        <f t="shared" si="42"/>
        <v>-0.90175191815856781</v>
      </c>
    </row>
    <row r="573" spans="1:10" hidden="1">
      <c r="A573" t="s">
        <v>1440</v>
      </c>
      <c r="B573" t="s">
        <v>1441</v>
      </c>
      <c r="C573">
        <v>783</v>
      </c>
      <c r="D573" s="18">
        <f t="shared" si="40"/>
        <v>26.1</v>
      </c>
      <c r="E573" s="116">
        <v>582.94000000000005</v>
      </c>
      <c r="H573" s="18">
        <f t="shared" si="37"/>
        <v>1566</v>
      </c>
      <c r="I573" t="b">
        <f t="shared" si="41"/>
        <v>1</v>
      </c>
      <c r="J573" s="4">
        <f t="shared" si="42"/>
        <v>-0.62775223499361421</v>
      </c>
    </row>
    <row r="574" spans="1:10" hidden="1">
      <c r="A574" t="s">
        <v>1339</v>
      </c>
      <c r="B574" t="s">
        <v>1340</v>
      </c>
      <c r="C574">
        <v>966</v>
      </c>
      <c r="D574" s="18">
        <f t="shared" si="40"/>
        <v>32.200000000000003</v>
      </c>
      <c r="E574" s="116">
        <v>342.16</v>
      </c>
      <c r="H574" s="18">
        <f t="shared" si="37"/>
        <v>1932</v>
      </c>
      <c r="I574" t="b">
        <f t="shared" si="41"/>
        <v>1</v>
      </c>
      <c r="J574" s="4">
        <f t="shared" si="42"/>
        <v>-0.82289855072463769</v>
      </c>
    </row>
    <row r="575" spans="1:10" hidden="1">
      <c r="A575" t="s">
        <v>1332</v>
      </c>
      <c r="B575" t="s">
        <v>1333</v>
      </c>
      <c r="C575">
        <v>246</v>
      </c>
      <c r="D575" s="18">
        <f t="shared" si="40"/>
        <v>8.1999999999999993</v>
      </c>
      <c r="E575" s="116">
        <v>348.63</v>
      </c>
      <c r="H575" s="18">
        <f t="shared" si="37"/>
        <v>492</v>
      </c>
      <c r="I575" t="b">
        <f t="shared" si="41"/>
        <v>1</v>
      </c>
      <c r="J575" s="4">
        <f t="shared" si="42"/>
        <v>-0.29140243902439023</v>
      </c>
    </row>
    <row r="576" spans="1:10" hidden="1">
      <c r="A576" t="s">
        <v>1353</v>
      </c>
      <c r="B576" t="s">
        <v>1354</v>
      </c>
      <c r="C576">
        <v>257</v>
      </c>
      <c r="D576" s="18">
        <f t="shared" si="40"/>
        <v>8.5666666666666664</v>
      </c>
      <c r="E576" s="116">
        <v>0</v>
      </c>
      <c r="H576" s="18">
        <f t="shared" si="37"/>
        <v>514</v>
      </c>
      <c r="I576" t="b">
        <f t="shared" si="41"/>
        <v>1</v>
      </c>
      <c r="J576" s="4">
        <f t="shared" si="42"/>
        <v>-1</v>
      </c>
    </row>
    <row r="577" spans="1:10" hidden="1">
      <c r="A577" t="s">
        <v>1355</v>
      </c>
      <c r="B577" t="s">
        <v>1356</v>
      </c>
      <c r="C577">
        <v>260</v>
      </c>
      <c r="D577" s="18">
        <f t="shared" si="40"/>
        <v>8.6666666666666661</v>
      </c>
      <c r="E577" s="116">
        <v>237.15</v>
      </c>
      <c r="H577" s="18">
        <f t="shared" si="37"/>
        <v>520</v>
      </c>
      <c r="I577" t="b">
        <f t="shared" si="41"/>
        <v>1</v>
      </c>
      <c r="J577" s="4">
        <f t="shared" si="42"/>
        <v>-0.54394230769230767</v>
      </c>
    </row>
    <row r="578" spans="1:10" hidden="1">
      <c r="A578" t="s">
        <v>1448</v>
      </c>
      <c r="B578" t="s">
        <v>1449</v>
      </c>
      <c r="C578">
        <v>59</v>
      </c>
      <c r="D578" s="18">
        <f t="shared" si="40"/>
        <v>1.9666666666666666</v>
      </c>
      <c r="E578" s="116">
        <v>15.55</v>
      </c>
      <c r="H578" s="18">
        <f t="shared" si="37"/>
        <v>118</v>
      </c>
      <c r="I578" t="b">
        <f t="shared" si="41"/>
        <v>1</v>
      </c>
      <c r="J578" s="4">
        <f t="shared" si="42"/>
        <v>-0.86822033898305084</v>
      </c>
    </row>
    <row r="579" spans="1:10" hidden="1">
      <c r="A579" s="39" t="s">
        <v>1420</v>
      </c>
      <c r="B579" t="s">
        <v>1421</v>
      </c>
      <c r="C579">
        <v>272</v>
      </c>
      <c r="D579" s="18">
        <f t="shared" si="40"/>
        <v>9.0666666666666664</v>
      </c>
      <c r="E579" s="116">
        <v>386.11</v>
      </c>
      <c r="H579" s="18">
        <f t="shared" ref="H579:H640" si="43">IF((C579/30)&gt;100,C579*2,C579*2)</f>
        <v>544</v>
      </c>
      <c r="I579" t="b">
        <f t="shared" si="41"/>
        <v>1</v>
      </c>
      <c r="J579" s="4">
        <f t="shared" si="42"/>
        <v>-0.29023897058823522</v>
      </c>
    </row>
    <row r="580" spans="1:10" hidden="1">
      <c r="A580" t="s">
        <v>1495</v>
      </c>
      <c r="B580" t="s">
        <v>1496</v>
      </c>
      <c r="C580">
        <v>627</v>
      </c>
      <c r="D580" s="18">
        <f t="shared" si="40"/>
        <v>20.9</v>
      </c>
      <c r="E580" s="116">
        <v>285.66000000000003</v>
      </c>
      <c r="H580" s="18">
        <f t="shared" si="43"/>
        <v>1254</v>
      </c>
      <c r="I580" t="b">
        <f t="shared" si="41"/>
        <v>1</v>
      </c>
      <c r="J580" s="4">
        <f t="shared" si="42"/>
        <v>-0.772200956937799</v>
      </c>
    </row>
    <row r="581" spans="1:10" hidden="1">
      <c r="A581" t="s">
        <v>1473</v>
      </c>
      <c r="B581" t="s">
        <v>1474</v>
      </c>
      <c r="C581">
        <v>917</v>
      </c>
      <c r="D581" s="18">
        <f t="shared" si="40"/>
        <v>30.566666666666666</v>
      </c>
      <c r="E581" s="116">
        <v>1011.76</v>
      </c>
      <c r="H581" s="18">
        <f t="shared" si="43"/>
        <v>1834</v>
      </c>
      <c r="I581" t="b">
        <f t="shared" si="41"/>
        <v>1</v>
      </c>
      <c r="J581" s="4">
        <f t="shared" si="42"/>
        <v>-0.4483315158124318</v>
      </c>
    </row>
    <row r="582" spans="1:10" hidden="1">
      <c r="A582" t="s">
        <v>1477</v>
      </c>
      <c r="B582" t="s">
        <v>1478</v>
      </c>
      <c r="C582">
        <v>586</v>
      </c>
      <c r="D582" s="18">
        <f t="shared" si="40"/>
        <v>19.533333333333335</v>
      </c>
      <c r="E582" s="116">
        <v>575.20000000000005</v>
      </c>
      <c r="H582" s="18">
        <f t="shared" si="43"/>
        <v>1172</v>
      </c>
      <c r="I582" t="b">
        <f t="shared" si="41"/>
        <v>1</v>
      </c>
      <c r="J582" s="4">
        <f t="shared" si="42"/>
        <v>-0.5092150170648464</v>
      </c>
    </row>
    <row r="583" spans="1:10">
      <c r="A583" s="39" t="s">
        <v>1392</v>
      </c>
      <c r="B583" s="36" t="s">
        <v>1393</v>
      </c>
      <c r="C583">
        <v>258</v>
      </c>
      <c r="D583" s="18">
        <f t="shared" si="40"/>
        <v>8.6</v>
      </c>
      <c r="E583" s="116">
        <v>874.98</v>
      </c>
      <c r="H583" s="18">
        <f t="shared" si="43"/>
        <v>516</v>
      </c>
      <c r="I583" t="b">
        <f t="shared" si="41"/>
        <v>0</v>
      </c>
      <c r="J583" s="4">
        <f t="shared" si="42"/>
        <v>0.69569767441860475</v>
      </c>
    </row>
    <row r="584" spans="1:10" hidden="1">
      <c r="A584" t="s">
        <v>1475</v>
      </c>
      <c r="B584" t="s">
        <v>1476</v>
      </c>
      <c r="C584">
        <v>775</v>
      </c>
      <c r="D584" s="18">
        <f t="shared" si="40"/>
        <v>25.833333333333332</v>
      </c>
      <c r="E584" s="116">
        <v>615.9</v>
      </c>
      <c r="H584" s="18">
        <f t="shared" si="43"/>
        <v>1550</v>
      </c>
      <c r="I584" t="b">
        <f t="shared" si="41"/>
        <v>1</v>
      </c>
      <c r="J584" s="4">
        <f t="shared" si="42"/>
        <v>-0.60264516129032253</v>
      </c>
    </row>
    <row r="585" spans="1:10" hidden="1">
      <c r="A585" t="s">
        <v>1363</v>
      </c>
      <c r="B585" t="s">
        <v>1364</v>
      </c>
      <c r="C585">
        <v>11</v>
      </c>
      <c r="D585" s="18">
        <f t="shared" si="40"/>
        <v>0.36666666666666664</v>
      </c>
      <c r="E585" s="116">
        <v>20.62</v>
      </c>
      <c r="H585" s="18">
        <f t="shared" si="43"/>
        <v>22</v>
      </c>
      <c r="I585" t="b">
        <f t="shared" si="41"/>
        <v>1</v>
      </c>
      <c r="J585" s="4">
        <f t="shared" si="42"/>
        <v>-6.2727272727272632E-2</v>
      </c>
    </row>
    <row r="586" spans="1:10" hidden="1">
      <c r="A586" t="s">
        <v>1371</v>
      </c>
      <c r="B586" t="s">
        <v>1372</v>
      </c>
      <c r="C586">
        <v>245</v>
      </c>
      <c r="D586" s="18">
        <f t="shared" si="40"/>
        <v>8.1666666666666661</v>
      </c>
      <c r="E586" s="116">
        <v>337.58</v>
      </c>
      <c r="H586" s="18">
        <f t="shared" si="43"/>
        <v>490</v>
      </c>
      <c r="I586" t="b">
        <f t="shared" si="41"/>
        <v>1</v>
      </c>
      <c r="J586" s="4">
        <f t="shared" si="42"/>
        <v>-0.3110612244897959</v>
      </c>
    </row>
    <row r="587" spans="1:10" hidden="1">
      <c r="A587" t="s">
        <v>1375</v>
      </c>
      <c r="B587" t="s">
        <v>1376</v>
      </c>
      <c r="C587">
        <v>458</v>
      </c>
      <c r="D587" s="18">
        <f t="shared" si="40"/>
        <v>15.266666666666667</v>
      </c>
      <c r="E587" s="116">
        <v>421.77</v>
      </c>
      <c r="H587" s="18">
        <f t="shared" si="43"/>
        <v>916</v>
      </c>
      <c r="I587" t="b">
        <f t="shared" si="41"/>
        <v>1</v>
      </c>
      <c r="J587" s="4">
        <f t="shared" si="42"/>
        <v>-0.53955240174672492</v>
      </c>
    </row>
    <row r="588" spans="1:10" hidden="1">
      <c r="A588" t="s">
        <v>1864</v>
      </c>
      <c r="B588" t="s">
        <v>1761</v>
      </c>
      <c r="C588">
        <v>0</v>
      </c>
      <c r="D588" s="18">
        <f t="shared" si="40"/>
        <v>0</v>
      </c>
      <c r="E588" s="116">
        <v>0</v>
      </c>
      <c r="H588" s="18">
        <f t="shared" si="43"/>
        <v>0</v>
      </c>
      <c r="I588" t="b">
        <f t="shared" si="41"/>
        <v>1</v>
      </c>
      <c r="J588" s="4" t="e">
        <f t="shared" si="42"/>
        <v>#DIV/0!</v>
      </c>
    </row>
    <row r="589" spans="1:10" hidden="1">
      <c r="A589" t="s">
        <v>1865</v>
      </c>
      <c r="B589" t="s">
        <v>1774</v>
      </c>
      <c r="C589">
        <v>0</v>
      </c>
      <c r="D589" s="18">
        <f t="shared" si="40"/>
        <v>0</v>
      </c>
      <c r="E589" s="116">
        <v>0</v>
      </c>
      <c r="H589" s="18">
        <f t="shared" si="43"/>
        <v>0</v>
      </c>
      <c r="I589" t="b">
        <f t="shared" si="41"/>
        <v>1</v>
      </c>
      <c r="J589" s="4" t="e">
        <f t="shared" si="42"/>
        <v>#DIV/0!</v>
      </c>
    </row>
    <row r="590" spans="1:10" hidden="1">
      <c r="A590" t="s">
        <v>1866</v>
      </c>
      <c r="B590" t="s">
        <v>1762</v>
      </c>
      <c r="C590">
        <v>0</v>
      </c>
      <c r="D590" s="18">
        <f t="shared" si="40"/>
        <v>0</v>
      </c>
      <c r="E590" s="116">
        <v>0</v>
      </c>
      <c r="H590" s="18">
        <f t="shared" si="43"/>
        <v>0</v>
      </c>
      <c r="I590" t="b">
        <f t="shared" si="41"/>
        <v>1</v>
      </c>
      <c r="J590" s="4" t="e">
        <f t="shared" si="42"/>
        <v>#DIV/0!</v>
      </c>
    </row>
    <row r="591" spans="1:10" hidden="1">
      <c r="A591" t="s">
        <v>1867</v>
      </c>
      <c r="B591" t="s">
        <v>1754</v>
      </c>
      <c r="C591">
        <v>0</v>
      </c>
      <c r="D591" s="18">
        <f t="shared" si="40"/>
        <v>0</v>
      </c>
      <c r="E591" s="116">
        <v>0</v>
      </c>
      <c r="H591" s="18">
        <f t="shared" si="43"/>
        <v>0</v>
      </c>
      <c r="I591" t="b">
        <f t="shared" si="41"/>
        <v>1</v>
      </c>
      <c r="J591" s="4" t="e">
        <f t="shared" si="42"/>
        <v>#DIV/0!</v>
      </c>
    </row>
    <row r="592" spans="1:10" hidden="1">
      <c r="A592" t="s">
        <v>1868</v>
      </c>
      <c r="B592" t="s">
        <v>1764</v>
      </c>
      <c r="C592">
        <v>0</v>
      </c>
      <c r="D592" s="18">
        <f t="shared" si="40"/>
        <v>0</v>
      </c>
      <c r="E592" s="116">
        <v>0</v>
      </c>
      <c r="H592" s="18">
        <f t="shared" si="43"/>
        <v>0</v>
      </c>
      <c r="I592" t="b">
        <f t="shared" si="41"/>
        <v>1</v>
      </c>
      <c r="J592" s="4" t="e">
        <f t="shared" si="42"/>
        <v>#DIV/0!</v>
      </c>
    </row>
    <row r="593" spans="1:10">
      <c r="A593" s="36" t="s">
        <v>1450</v>
      </c>
      <c r="B593" s="36" t="s">
        <v>1451</v>
      </c>
      <c r="C593">
        <v>336</v>
      </c>
      <c r="D593" s="18">
        <f t="shared" si="40"/>
        <v>11.2</v>
      </c>
      <c r="E593" s="116">
        <v>943.45</v>
      </c>
      <c r="H593" s="18">
        <f t="shared" si="43"/>
        <v>672</v>
      </c>
      <c r="I593" t="b">
        <f t="shared" si="41"/>
        <v>0</v>
      </c>
      <c r="J593" s="4">
        <f t="shared" si="42"/>
        <v>0.40394345238095242</v>
      </c>
    </row>
    <row r="594" spans="1:10" hidden="1">
      <c r="A594" t="s">
        <v>1341</v>
      </c>
      <c r="B594" t="s">
        <v>1342</v>
      </c>
      <c r="C594">
        <v>58</v>
      </c>
      <c r="D594" s="18">
        <f t="shared" si="40"/>
        <v>1.9333333333333333</v>
      </c>
      <c r="E594" s="116">
        <v>24.15</v>
      </c>
      <c r="H594" s="18">
        <f t="shared" si="43"/>
        <v>116</v>
      </c>
      <c r="I594" t="b">
        <f t="shared" si="41"/>
        <v>1</v>
      </c>
      <c r="J594" s="4">
        <f t="shared" si="42"/>
        <v>-0.79181034482758617</v>
      </c>
    </row>
    <row r="595" spans="1:10" hidden="1">
      <c r="A595" t="s">
        <v>1560</v>
      </c>
      <c r="B595" t="s">
        <v>1561</v>
      </c>
      <c r="C595">
        <v>3680</v>
      </c>
      <c r="D595" s="18">
        <f t="shared" si="40"/>
        <v>122.66666666666667</v>
      </c>
      <c r="E595" s="116">
        <v>5816.31</v>
      </c>
      <c r="H595" s="18">
        <f t="shared" si="43"/>
        <v>7360</v>
      </c>
      <c r="I595" t="b">
        <f t="shared" si="41"/>
        <v>1</v>
      </c>
      <c r="J595" s="4">
        <f t="shared" si="42"/>
        <v>-0.20974048913043475</v>
      </c>
    </row>
    <row r="596" spans="1:10">
      <c r="A596" s="26" t="s">
        <v>1411</v>
      </c>
      <c r="B596" t="s">
        <v>1412</v>
      </c>
      <c r="C596">
        <v>135</v>
      </c>
      <c r="D596" s="18">
        <f t="shared" si="40"/>
        <v>4.5</v>
      </c>
      <c r="E596" s="116">
        <v>363.33</v>
      </c>
      <c r="H596" s="18">
        <f t="shared" si="43"/>
        <v>270</v>
      </c>
      <c r="I596" t="b">
        <f t="shared" si="41"/>
        <v>0</v>
      </c>
      <c r="J596" s="4">
        <f t="shared" si="42"/>
        <v>0.34566666666666657</v>
      </c>
    </row>
    <row r="597" spans="1:10" hidden="1">
      <c r="A597" s="40" t="s">
        <v>1318</v>
      </c>
      <c r="B597" s="36" t="s">
        <v>1319</v>
      </c>
      <c r="C597">
        <v>555</v>
      </c>
      <c r="D597" s="18">
        <f t="shared" si="40"/>
        <v>18.5</v>
      </c>
      <c r="E597" s="116">
        <v>961.12</v>
      </c>
      <c r="H597" s="18">
        <f t="shared" si="43"/>
        <v>1110</v>
      </c>
      <c r="I597" t="b">
        <f t="shared" si="41"/>
        <v>1</v>
      </c>
      <c r="J597" s="4">
        <f t="shared" si="42"/>
        <v>-0.13412612612612618</v>
      </c>
    </row>
    <row r="598" spans="1:10" hidden="1">
      <c r="A598" t="s">
        <v>1507</v>
      </c>
      <c r="B598" t="s">
        <v>1508</v>
      </c>
      <c r="C598">
        <v>847</v>
      </c>
      <c r="D598" s="18">
        <f t="shared" si="40"/>
        <v>28.233333333333334</v>
      </c>
      <c r="E598" s="116">
        <v>358.69</v>
      </c>
      <c r="H598" s="18">
        <f t="shared" si="43"/>
        <v>1694</v>
      </c>
      <c r="I598" t="b">
        <f t="shared" si="41"/>
        <v>1</v>
      </c>
      <c r="J598" s="4">
        <f t="shared" si="42"/>
        <v>-0.78825855962219604</v>
      </c>
    </row>
    <row r="599" spans="1:10" hidden="1">
      <c r="A599" t="s">
        <v>1497</v>
      </c>
      <c r="B599" t="s">
        <v>1498</v>
      </c>
      <c r="C599">
        <v>1407</v>
      </c>
      <c r="D599" s="18">
        <f t="shared" si="40"/>
        <v>46.9</v>
      </c>
      <c r="E599" s="116">
        <v>1608.82</v>
      </c>
      <c r="H599" s="18">
        <f t="shared" si="43"/>
        <v>2814</v>
      </c>
      <c r="I599" t="b">
        <f t="shared" si="41"/>
        <v>1</v>
      </c>
      <c r="J599" s="4">
        <f t="shared" si="42"/>
        <v>-0.42828002842928214</v>
      </c>
    </row>
    <row r="600" spans="1:10" hidden="1">
      <c r="A600" t="s">
        <v>1513</v>
      </c>
      <c r="B600" t="s">
        <v>1514</v>
      </c>
      <c r="C600">
        <v>1802</v>
      </c>
      <c r="D600" s="18">
        <f t="shared" si="40"/>
        <v>60.06666666666667</v>
      </c>
      <c r="E600" s="116">
        <v>1881.81</v>
      </c>
      <c r="H600" s="18">
        <f t="shared" si="43"/>
        <v>3604</v>
      </c>
      <c r="I600" t="b">
        <f t="shared" si="41"/>
        <v>1</v>
      </c>
      <c r="J600" s="4">
        <f t="shared" si="42"/>
        <v>-0.47785516093229741</v>
      </c>
    </row>
    <row r="601" spans="1:10" hidden="1">
      <c r="A601" t="s">
        <v>1528</v>
      </c>
      <c r="B601" t="s">
        <v>1529</v>
      </c>
      <c r="C601">
        <v>960</v>
      </c>
      <c r="D601" s="18">
        <f t="shared" si="40"/>
        <v>32</v>
      </c>
      <c r="E601" s="116">
        <v>922.55</v>
      </c>
      <c r="H601" s="18">
        <f t="shared" si="43"/>
        <v>1920</v>
      </c>
      <c r="I601" t="b">
        <f t="shared" si="41"/>
        <v>1</v>
      </c>
      <c r="J601" s="4">
        <f t="shared" si="42"/>
        <v>-0.51950520833333336</v>
      </c>
    </row>
    <row r="602" spans="1:10" hidden="1">
      <c r="A602" s="40" t="s">
        <v>1390</v>
      </c>
      <c r="B602" s="36" t="s">
        <v>1391</v>
      </c>
      <c r="C602">
        <v>1635</v>
      </c>
      <c r="D602" s="18">
        <f t="shared" si="40"/>
        <v>54.5</v>
      </c>
      <c r="E602" s="116">
        <v>1809.6</v>
      </c>
      <c r="H602" s="18">
        <f t="shared" si="43"/>
        <v>3270</v>
      </c>
      <c r="I602" t="b">
        <f t="shared" si="41"/>
        <v>1</v>
      </c>
      <c r="J602" s="4">
        <f t="shared" si="42"/>
        <v>-0.44660550458715598</v>
      </c>
    </row>
    <row r="603" spans="1:10" hidden="1">
      <c r="A603" t="s">
        <v>1436</v>
      </c>
      <c r="B603" t="s">
        <v>1437</v>
      </c>
      <c r="C603">
        <v>871</v>
      </c>
      <c r="D603" s="18">
        <f t="shared" si="40"/>
        <v>29.033333333333335</v>
      </c>
      <c r="E603" s="116">
        <v>656.8</v>
      </c>
      <c r="H603" s="18">
        <f t="shared" si="43"/>
        <v>1742</v>
      </c>
      <c r="I603" t="b">
        <f t="shared" si="41"/>
        <v>1</v>
      </c>
      <c r="J603" s="4">
        <f t="shared" si="42"/>
        <v>-0.62296211251435141</v>
      </c>
    </row>
    <row r="604" spans="1:10" hidden="1">
      <c r="A604" t="s">
        <v>1422</v>
      </c>
      <c r="B604" t="s">
        <v>1423</v>
      </c>
      <c r="C604">
        <v>667</v>
      </c>
      <c r="D604" s="18">
        <f t="shared" si="40"/>
        <v>22.233333333333334</v>
      </c>
      <c r="E604" s="116">
        <v>292.32</v>
      </c>
      <c r="H604" s="18">
        <f t="shared" si="43"/>
        <v>1334</v>
      </c>
      <c r="I604" t="b">
        <f t="shared" si="41"/>
        <v>1</v>
      </c>
      <c r="J604" s="4">
        <f t="shared" si="42"/>
        <v>-0.78086956521739137</v>
      </c>
    </row>
    <row r="605" spans="1:10" hidden="1">
      <c r="A605" t="s">
        <v>1415</v>
      </c>
      <c r="B605" t="s">
        <v>1416</v>
      </c>
      <c r="C605">
        <v>1404</v>
      </c>
      <c r="D605" s="18">
        <f t="shared" si="40"/>
        <v>46.8</v>
      </c>
      <c r="E605" s="116">
        <v>2568.7199999999998</v>
      </c>
      <c r="H605" s="18">
        <f t="shared" si="43"/>
        <v>2808</v>
      </c>
      <c r="I605" t="b">
        <f t="shared" si="41"/>
        <v>1</v>
      </c>
      <c r="J605" s="4">
        <f t="shared" si="42"/>
        <v>-8.5213675213675288E-2</v>
      </c>
    </row>
    <row r="606" spans="1:10" hidden="1">
      <c r="A606" t="s">
        <v>1487</v>
      </c>
      <c r="B606" t="s">
        <v>1488</v>
      </c>
      <c r="C606">
        <v>1326</v>
      </c>
      <c r="D606" s="18">
        <f t="shared" si="40"/>
        <v>44.2</v>
      </c>
      <c r="E606" s="116">
        <v>1081.48</v>
      </c>
      <c r="H606" s="18">
        <f t="shared" si="43"/>
        <v>2652</v>
      </c>
      <c r="I606" t="b">
        <f t="shared" si="41"/>
        <v>1</v>
      </c>
      <c r="J606" s="4">
        <f t="shared" si="42"/>
        <v>-0.59220211161387626</v>
      </c>
    </row>
    <row r="607" spans="1:10" hidden="1">
      <c r="A607" t="s">
        <v>1442</v>
      </c>
      <c r="B607" t="s">
        <v>1443</v>
      </c>
      <c r="C607">
        <v>410</v>
      </c>
      <c r="D607" s="18">
        <f t="shared" si="40"/>
        <v>13.666666666666666</v>
      </c>
      <c r="E607" s="116">
        <v>553.35</v>
      </c>
      <c r="H607" s="18">
        <f t="shared" si="43"/>
        <v>820</v>
      </c>
      <c r="I607" t="b">
        <f t="shared" si="41"/>
        <v>1</v>
      </c>
      <c r="J607" s="4">
        <f t="shared" si="42"/>
        <v>-0.3251829268292683</v>
      </c>
    </row>
    <row r="608" spans="1:10" hidden="1">
      <c r="A608" s="39" t="s">
        <v>1385</v>
      </c>
      <c r="B608" s="36" t="s">
        <v>1386</v>
      </c>
      <c r="C608">
        <v>576</v>
      </c>
      <c r="D608" s="18">
        <f t="shared" si="40"/>
        <v>19.2</v>
      </c>
      <c r="E608" s="116">
        <v>421.34</v>
      </c>
      <c r="H608" s="18">
        <f t="shared" si="43"/>
        <v>1152</v>
      </c>
      <c r="I608" t="b">
        <f t="shared" si="41"/>
        <v>1</v>
      </c>
      <c r="J608" s="4">
        <f t="shared" si="42"/>
        <v>-0.63425347222222217</v>
      </c>
    </row>
    <row r="609" spans="1:10" hidden="1">
      <c r="A609" t="s">
        <v>1446</v>
      </c>
      <c r="B609" t="s">
        <v>1447</v>
      </c>
      <c r="C609">
        <v>797</v>
      </c>
      <c r="D609" s="18">
        <f t="shared" si="40"/>
        <v>26.566666666666666</v>
      </c>
      <c r="E609" s="116">
        <v>1093.3499999999999</v>
      </c>
      <c r="H609" s="18">
        <f t="shared" si="43"/>
        <v>1594</v>
      </c>
      <c r="I609" t="b">
        <f t="shared" si="41"/>
        <v>1</v>
      </c>
      <c r="J609" s="4">
        <f t="shared" si="42"/>
        <v>-0.31408406524466759</v>
      </c>
    </row>
    <row r="610" spans="1:10" hidden="1">
      <c r="A610" t="s">
        <v>1558</v>
      </c>
      <c r="B610" t="s">
        <v>1559</v>
      </c>
      <c r="C610">
        <v>1265</v>
      </c>
      <c r="D610" s="18">
        <f t="shared" si="40"/>
        <v>42.166666666666664</v>
      </c>
      <c r="E610" s="116">
        <v>535.71</v>
      </c>
      <c r="H610" s="18">
        <f t="shared" si="43"/>
        <v>2530</v>
      </c>
      <c r="I610" t="b">
        <f t="shared" si="41"/>
        <v>1</v>
      </c>
      <c r="J610" s="4">
        <f t="shared" si="42"/>
        <v>-0.78825691699604739</v>
      </c>
    </row>
    <row r="611" spans="1:10" hidden="1">
      <c r="A611" t="s">
        <v>1379</v>
      </c>
      <c r="B611" t="s">
        <v>1380</v>
      </c>
      <c r="C611">
        <v>323</v>
      </c>
      <c r="D611" s="18">
        <f t="shared" si="40"/>
        <v>10.766666666666667</v>
      </c>
      <c r="E611" s="116">
        <v>147.53</v>
      </c>
      <c r="H611" s="18">
        <f t="shared" si="43"/>
        <v>646</v>
      </c>
      <c r="I611" t="b">
        <f t="shared" si="41"/>
        <v>1</v>
      </c>
      <c r="J611" s="4">
        <f t="shared" si="42"/>
        <v>-0.77162538699690408</v>
      </c>
    </row>
    <row r="612" spans="1:10" hidden="1">
      <c r="A612" t="s">
        <v>1397</v>
      </c>
      <c r="B612" t="s">
        <v>1398</v>
      </c>
      <c r="C612">
        <v>675</v>
      </c>
      <c r="D612" s="18">
        <f t="shared" si="40"/>
        <v>22.5</v>
      </c>
      <c r="E612" s="116">
        <v>404.4</v>
      </c>
      <c r="H612" s="18">
        <f t="shared" si="43"/>
        <v>1350</v>
      </c>
      <c r="I612" t="b">
        <f t="shared" si="41"/>
        <v>1</v>
      </c>
      <c r="J612" s="4">
        <f t="shared" si="42"/>
        <v>-0.70044444444444443</v>
      </c>
    </row>
    <row r="613" spans="1:10" hidden="1">
      <c r="A613" t="s">
        <v>1454</v>
      </c>
      <c r="B613" t="s">
        <v>1455</v>
      </c>
      <c r="C613">
        <v>911</v>
      </c>
      <c r="D613" s="18">
        <f t="shared" si="40"/>
        <v>30.366666666666667</v>
      </c>
      <c r="E613" s="116">
        <v>1017.16</v>
      </c>
      <c r="H613" s="18">
        <f t="shared" si="43"/>
        <v>1822</v>
      </c>
      <c r="I613" t="b">
        <f t="shared" si="41"/>
        <v>1</v>
      </c>
      <c r="J613" s="4">
        <f t="shared" si="42"/>
        <v>-0.44173435784851811</v>
      </c>
    </row>
    <row r="614" spans="1:10" hidden="1">
      <c r="A614" t="s">
        <v>1524</v>
      </c>
      <c r="B614" t="s">
        <v>1525</v>
      </c>
      <c r="C614">
        <v>1076</v>
      </c>
      <c r="D614" s="18">
        <f t="shared" si="40"/>
        <v>35.866666666666667</v>
      </c>
      <c r="E614" s="116">
        <v>1594.1</v>
      </c>
      <c r="H614" s="18">
        <f t="shared" si="43"/>
        <v>2152</v>
      </c>
      <c r="I614" t="b">
        <f t="shared" si="41"/>
        <v>1</v>
      </c>
      <c r="J614" s="4">
        <f t="shared" si="42"/>
        <v>-0.25924721189591082</v>
      </c>
    </row>
    <row r="615" spans="1:10" hidden="1">
      <c r="A615" s="26" t="s">
        <v>1545</v>
      </c>
      <c r="B615" s="26" t="s">
        <v>1546</v>
      </c>
      <c r="C615">
        <v>1270</v>
      </c>
      <c r="D615" s="18">
        <f t="shared" si="40"/>
        <v>42.333333333333336</v>
      </c>
      <c r="E615" s="116">
        <v>1492.08</v>
      </c>
      <c r="H615" s="18">
        <f t="shared" si="43"/>
        <v>2540</v>
      </c>
      <c r="I615" t="b">
        <f t="shared" si="41"/>
        <v>1</v>
      </c>
      <c r="J615" s="4">
        <f t="shared" si="42"/>
        <v>-0.41256692913385828</v>
      </c>
    </row>
    <row r="616" spans="1:10" hidden="1">
      <c r="A616" t="s">
        <v>1483</v>
      </c>
      <c r="B616" t="s">
        <v>1484</v>
      </c>
      <c r="C616">
        <v>1419</v>
      </c>
      <c r="D616" s="18">
        <f t="shared" si="40"/>
        <v>47.3</v>
      </c>
      <c r="E616" s="116">
        <v>1639.82</v>
      </c>
      <c r="H616" s="18">
        <f t="shared" si="43"/>
        <v>2838</v>
      </c>
      <c r="I616" t="b">
        <f t="shared" si="41"/>
        <v>1</v>
      </c>
      <c r="J616" s="4">
        <f t="shared" si="42"/>
        <v>-0.42219168428470755</v>
      </c>
    </row>
    <row r="617" spans="1:10" hidden="1">
      <c r="A617" t="s">
        <v>1493</v>
      </c>
      <c r="B617" t="s">
        <v>1494</v>
      </c>
      <c r="C617">
        <v>1430</v>
      </c>
      <c r="D617" s="18">
        <f t="shared" si="40"/>
        <v>47.666666666666664</v>
      </c>
      <c r="E617" s="116">
        <v>1408.95</v>
      </c>
      <c r="H617" s="18">
        <f t="shared" si="43"/>
        <v>2860</v>
      </c>
      <c r="I617" t="b">
        <f t="shared" si="41"/>
        <v>1</v>
      </c>
      <c r="J617" s="4">
        <f t="shared" si="42"/>
        <v>-0.50736013986013984</v>
      </c>
    </row>
    <row r="618" spans="1:10" hidden="1">
      <c r="A618" t="s">
        <v>1511</v>
      </c>
      <c r="B618" t="s">
        <v>1512</v>
      </c>
      <c r="C618">
        <v>897</v>
      </c>
      <c r="D618" s="18">
        <f t="shared" si="40"/>
        <v>29.9</v>
      </c>
      <c r="E618" s="116">
        <v>459.29</v>
      </c>
      <c r="H618" s="18">
        <f t="shared" si="43"/>
        <v>1794</v>
      </c>
      <c r="I618" t="b">
        <f t="shared" si="41"/>
        <v>1</v>
      </c>
      <c r="J618" s="4">
        <f t="shared" si="42"/>
        <v>-0.7439855072463768</v>
      </c>
    </row>
    <row r="619" spans="1:10" hidden="1">
      <c r="A619" t="s">
        <v>1509</v>
      </c>
      <c r="B619" t="s">
        <v>1510</v>
      </c>
      <c r="C619">
        <v>921</v>
      </c>
      <c r="D619" s="18">
        <f t="shared" si="40"/>
        <v>30.7</v>
      </c>
      <c r="E619" s="116">
        <v>608.41</v>
      </c>
      <c r="H619" s="18">
        <f t="shared" si="43"/>
        <v>1842</v>
      </c>
      <c r="I619" t="b">
        <f t="shared" si="41"/>
        <v>1</v>
      </c>
      <c r="J619" s="4">
        <f t="shared" si="42"/>
        <v>-0.66970141150922913</v>
      </c>
    </row>
    <row r="620" spans="1:10" hidden="1">
      <c r="A620" t="s">
        <v>1399</v>
      </c>
      <c r="B620" t="s">
        <v>1400</v>
      </c>
      <c r="C620">
        <v>773</v>
      </c>
      <c r="D620" s="18">
        <f t="shared" si="40"/>
        <v>25.766666666666666</v>
      </c>
      <c r="E620" s="116">
        <v>477.98</v>
      </c>
      <c r="H620" s="18">
        <f t="shared" si="43"/>
        <v>1546</v>
      </c>
      <c r="I620" t="b">
        <f t="shared" si="41"/>
        <v>1</v>
      </c>
      <c r="J620" s="4">
        <f t="shared" si="42"/>
        <v>-0.69082794307891326</v>
      </c>
    </row>
    <row r="621" spans="1:10" hidden="1">
      <c r="A621" t="s">
        <v>1349</v>
      </c>
      <c r="B621" t="s">
        <v>1350</v>
      </c>
      <c r="C621">
        <v>608</v>
      </c>
      <c r="D621" s="18">
        <f t="shared" si="40"/>
        <v>20.266666666666666</v>
      </c>
      <c r="E621" s="116">
        <v>924.57</v>
      </c>
      <c r="H621" s="18">
        <f t="shared" si="43"/>
        <v>1216</v>
      </c>
      <c r="I621" t="b">
        <f t="shared" si="41"/>
        <v>1</v>
      </c>
      <c r="J621" s="4">
        <f t="shared" si="42"/>
        <v>-0.23966282894736834</v>
      </c>
    </row>
    <row r="622" spans="1:10" hidden="1">
      <c r="A622" t="s">
        <v>1549</v>
      </c>
      <c r="B622" t="s">
        <v>1550</v>
      </c>
      <c r="C622">
        <v>3338</v>
      </c>
      <c r="D622" s="18">
        <f t="shared" ref="D622:D640" si="44">C622/30</f>
        <v>111.26666666666667</v>
      </c>
      <c r="E622" s="116">
        <v>1680.62</v>
      </c>
      <c r="H622" s="18">
        <f t="shared" si="43"/>
        <v>6676</v>
      </c>
      <c r="I622" t="b">
        <f t="shared" ref="I622:I640" si="45">IF(E622&gt;1.2*H622,FALSE,TRUE)</f>
        <v>1</v>
      </c>
      <c r="J622" s="4">
        <f t="shared" ref="J622:J640" si="46">E622/H622-1</f>
        <v>-0.74825943678849605</v>
      </c>
    </row>
    <row r="623" spans="1:10" hidden="1">
      <c r="A623" s="39" t="s">
        <v>1313</v>
      </c>
      <c r="B623" s="124" t="s">
        <v>1314</v>
      </c>
      <c r="C623">
        <v>360</v>
      </c>
      <c r="D623" s="18">
        <f t="shared" si="44"/>
        <v>12</v>
      </c>
      <c r="E623" s="116">
        <v>743.89</v>
      </c>
      <c r="H623" s="18">
        <f t="shared" si="43"/>
        <v>720</v>
      </c>
      <c r="I623" t="b">
        <f t="shared" si="45"/>
        <v>1</v>
      </c>
      <c r="J623" s="4">
        <f t="shared" si="46"/>
        <v>3.3180555555555546E-2</v>
      </c>
    </row>
    <row r="624" spans="1:10" hidden="1">
      <c r="A624" s="39" t="s">
        <v>1403</v>
      </c>
      <c r="B624" s="36" t="s">
        <v>1404</v>
      </c>
      <c r="C624">
        <v>738</v>
      </c>
      <c r="D624" s="18">
        <f t="shared" si="44"/>
        <v>24.6</v>
      </c>
      <c r="E624" s="116">
        <v>1481.98</v>
      </c>
      <c r="H624" s="18">
        <f t="shared" si="43"/>
        <v>1476</v>
      </c>
      <c r="I624" t="b">
        <f t="shared" si="45"/>
        <v>1</v>
      </c>
      <c r="J624" s="4">
        <f t="shared" si="46"/>
        <v>4.051490514905165E-3</v>
      </c>
    </row>
    <row r="625" spans="1:10" hidden="1">
      <c r="A625" t="s">
        <v>1554</v>
      </c>
      <c r="B625" t="s">
        <v>1555</v>
      </c>
      <c r="C625">
        <v>899</v>
      </c>
      <c r="D625" s="18">
        <f t="shared" si="44"/>
        <v>29.966666666666665</v>
      </c>
      <c r="E625" s="116">
        <v>529.74</v>
      </c>
      <c r="H625" s="18">
        <f t="shared" si="43"/>
        <v>1798</v>
      </c>
      <c r="I625" t="b">
        <f t="shared" si="45"/>
        <v>1</v>
      </c>
      <c r="J625" s="4">
        <f t="shared" si="46"/>
        <v>-0.7053726362625139</v>
      </c>
    </row>
    <row r="626" spans="1:10" hidden="1">
      <c r="A626" t="s">
        <v>1539</v>
      </c>
      <c r="B626" t="s">
        <v>1540</v>
      </c>
      <c r="C626">
        <v>3058</v>
      </c>
      <c r="D626" s="18">
        <f t="shared" si="44"/>
        <v>101.93333333333334</v>
      </c>
      <c r="E626" s="116">
        <v>2964.9</v>
      </c>
      <c r="H626" s="18">
        <f t="shared" si="43"/>
        <v>6116</v>
      </c>
      <c r="I626" t="b">
        <f t="shared" si="45"/>
        <v>1</v>
      </c>
      <c r="J626" s="4">
        <f t="shared" si="46"/>
        <v>-0.515222367560497</v>
      </c>
    </row>
    <row r="627" spans="1:10">
      <c r="A627" s="39" t="s">
        <v>1155</v>
      </c>
      <c r="B627" s="36" t="s">
        <v>1322</v>
      </c>
      <c r="C627">
        <v>721</v>
      </c>
      <c r="D627" s="18">
        <f t="shared" si="44"/>
        <v>24.033333333333335</v>
      </c>
      <c r="E627" s="116">
        <v>2406.75</v>
      </c>
      <c r="H627" s="18">
        <f t="shared" si="43"/>
        <v>1442</v>
      </c>
      <c r="I627" t="b">
        <f t="shared" si="45"/>
        <v>0</v>
      </c>
      <c r="J627" s="4">
        <f t="shared" si="46"/>
        <v>0.66903606102635238</v>
      </c>
    </row>
    <row r="628" spans="1:10" hidden="1">
      <c r="A628" t="s">
        <v>1424</v>
      </c>
      <c r="B628" t="s">
        <v>1425</v>
      </c>
      <c r="C628">
        <v>4729</v>
      </c>
      <c r="D628" s="18">
        <f t="shared" si="44"/>
        <v>157.63333333333333</v>
      </c>
      <c r="E628" s="116">
        <v>3256.45</v>
      </c>
      <c r="H628" s="18">
        <f t="shared" si="43"/>
        <v>9458</v>
      </c>
      <c r="I628" t="b">
        <f t="shared" si="45"/>
        <v>1</v>
      </c>
      <c r="J628" s="4">
        <f t="shared" si="46"/>
        <v>-0.6556935927257348</v>
      </c>
    </row>
    <row r="629" spans="1:10" hidden="1">
      <c r="A629" s="39" t="s">
        <v>1463</v>
      </c>
      <c r="B629" s="36" t="s">
        <v>1464</v>
      </c>
      <c r="C629">
        <v>599</v>
      </c>
      <c r="D629" s="18">
        <f t="shared" si="44"/>
        <v>19.966666666666665</v>
      </c>
      <c r="E629" s="116">
        <v>1384.59</v>
      </c>
      <c r="H629" s="18">
        <f t="shared" si="43"/>
        <v>1198</v>
      </c>
      <c r="I629" t="b">
        <f t="shared" si="45"/>
        <v>1</v>
      </c>
      <c r="J629" s="4">
        <f t="shared" si="46"/>
        <v>0.15575125208681118</v>
      </c>
    </row>
    <row r="630" spans="1:10" hidden="1">
      <c r="A630" t="s">
        <v>1547</v>
      </c>
      <c r="B630" t="s">
        <v>1548</v>
      </c>
      <c r="C630">
        <v>1506</v>
      </c>
      <c r="D630" s="18">
        <f t="shared" si="44"/>
        <v>50.2</v>
      </c>
      <c r="E630" s="116">
        <v>1323.8</v>
      </c>
      <c r="H630" s="18">
        <f t="shared" si="43"/>
        <v>3012</v>
      </c>
      <c r="I630" t="b">
        <f t="shared" si="45"/>
        <v>1</v>
      </c>
      <c r="J630" s="4">
        <f t="shared" si="46"/>
        <v>-0.5604913678618858</v>
      </c>
    </row>
    <row r="631" spans="1:10" hidden="1">
      <c r="A631" t="s">
        <v>1587</v>
      </c>
      <c r="B631" t="s">
        <v>1588</v>
      </c>
      <c r="C631">
        <v>4469</v>
      </c>
      <c r="D631" s="18">
        <f t="shared" si="44"/>
        <v>148.96666666666667</v>
      </c>
      <c r="E631" s="116">
        <v>2843.57</v>
      </c>
      <c r="H631" s="18">
        <f t="shared" si="43"/>
        <v>8938</v>
      </c>
      <c r="I631" t="b">
        <f t="shared" si="45"/>
        <v>1</v>
      </c>
      <c r="J631" s="4">
        <f t="shared" si="46"/>
        <v>-0.68185611993734607</v>
      </c>
    </row>
    <row r="632" spans="1:10" hidden="1">
      <c r="A632" t="s">
        <v>1519</v>
      </c>
      <c r="B632" t="s">
        <v>1520</v>
      </c>
      <c r="C632">
        <v>5219</v>
      </c>
      <c r="D632" s="18">
        <f t="shared" si="44"/>
        <v>173.96666666666667</v>
      </c>
      <c r="E632" s="116">
        <v>3246.94</v>
      </c>
      <c r="H632" s="18">
        <f t="shared" si="43"/>
        <v>10438</v>
      </c>
      <c r="I632" t="b">
        <f t="shared" si="45"/>
        <v>1</v>
      </c>
      <c r="J632" s="4">
        <f t="shared" si="46"/>
        <v>-0.6889308296608545</v>
      </c>
    </row>
    <row r="633" spans="1:10" hidden="1">
      <c r="A633" s="39" t="s">
        <v>1325</v>
      </c>
      <c r="B633" t="s">
        <v>1326</v>
      </c>
      <c r="C633">
        <v>4366</v>
      </c>
      <c r="D633" s="18">
        <f t="shared" si="44"/>
        <v>145.53333333333333</v>
      </c>
      <c r="E633" s="116">
        <v>6580.92</v>
      </c>
      <c r="H633" s="18">
        <f t="shared" si="43"/>
        <v>8732</v>
      </c>
      <c r="I633" t="b">
        <f t="shared" si="45"/>
        <v>1</v>
      </c>
      <c r="J633" s="4">
        <f t="shared" si="46"/>
        <v>-0.24634448007329357</v>
      </c>
    </row>
    <row r="634" spans="1:10" hidden="1">
      <c r="A634" t="s">
        <v>1582</v>
      </c>
      <c r="B634" t="s">
        <v>1583</v>
      </c>
      <c r="C634">
        <v>3539</v>
      </c>
      <c r="D634" s="18">
        <f t="shared" si="44"/>
        <v>117.96666666666667</v>
      </c>
      <c r="E634" s="116">
        <v>3089.21</v>
      </c>
      <c r="H634" s="18">
        <f t="shared" si="43"/>
        <v>7078</v>
      </c>
      <c r="I634" t="b">
        <f t="shared" si="45"/>
        <v>1</v>
      </c>
      <c r="J634" s="4">
        <f t="shared" si="46"/>
        <v>-0.56354761231986439</v>
      </c>
    </row>
    <row r="635" spans="1:10" hidden="1">
      <c r="A635" t="s">
        <v>1584</v>
      </c>
      <c r="B635" t="s">
        <v>1585</v>
      </c>
      <c r="C635">
        <v>10984</v>
      </c>
      <c r="D635" s="18">
        <f t="shared" si="44"/>
        <v>366.13333333333333</v>
      </c>
      <c r="E635" s="116">
        <v>8101.28</v>
      </c>
      <c r="H635" s="18">
        <f t="shared" si="43"/>
        <v>21968</v>
      </c>
      <c r="I635" t="b">
        <f t="shared" si="45"/>
        <v>1</v>
      </c>
      <c r="J635" s="4">
        <f t="shared" si="46"/>
        <v>-0.63122359796067007</v>
      </c>
    </row>
    <row r="636" spans="1:10">
      <c r="A636" s="125" t="s">
        <v>1328</v>
      </c>
      <c r="B636" s="36" t="s">
        <v>1329</v>
      </c>
      <c r="C636">
        <v>173</v>
      </c>
      <c r="D636" s="18">
        <f t="shared" si="44"/>
        <v>5.7666666666666666</v>
      </c>
      <c r="E636" s="116">
        <v>770.56</v>
      </c>
      <c r="H636" s="18">
        <f t="shared" si="43"/>
        <v>346</v>
      </c>
      <c r="I636" t="b">
        <f t="shared" si="45"/>
        <v>0</v>
      </c>
      <c r="J636" s="4">
        <f t="shared" si="46"/>
        <v>1.2270520231213871</v>
      </c>
    </row>
    <row r="637" spans="1:10">
      <c r="A637" s="125" t="s">
        <v>1330</v>
      </c>
      <c r="B637" s="36" t="s">
        <v>1331</v>
      </c>
      <c r="C637">
        <v>153</v>
      </c>
      <c r="D637" s="18">
        <f t="shared" si="44"/>
        <v>5.0999999999999996</v>
      </c>
      <c r="E637" s="116">
        <v>382.73</v>
      </c>
      <c r="H637" s="18">
        <f t="shared" si="43"/>
        <v>306</v>
      </c>
      <c r="I637" t="b">
        <f t="shared" si="45"/>
        <v>0</v>
      </c>
      <c r="J637" s="4">
        <f t="shared" si="46"/>
        <v>0.25075163398692824</v>
      </c>
    </row>
    <row r="638" spans="1:10">
      <c r="A638" s="127" t="s">
        <v>1334</v>
      </c>
      <c r="B638" s="127" t="s">
        <v>1335</v>
      </c>
      <c r="C638">
        <v>283</v>
      </c>
      <c r="D638" s="18">
        <f t="shared" si="44"/>
        <v>9.4333333333333336</v>
      </c>
      <c r="E638" s="116">
        <v>1221.47</v>
      </c>
      <c r="H638" s="18">
        <f t="shared" si="43"/>
        <v>566</v>
      </c>
      <c r="I638" t="b">
        <f t="shared" si="45"/>
        <v>0</v>
      </c>
      <c r="J638" s="4">
        <f t="shared" si="46"/>
        <v>1.1580742049469963</v>
      </c>
    </row>
    <row r="639" spans="1:10" hidden="1">
      <c r="A639" s="127" t="s">
        <v>1428</v>
      </c>
      <c r="B639" s="127" t="s">
        <v>1429</v>
      </c>
      <c r="C639">
        <v>394</v>
      </c>
      <c r="D639" s="18">
        <f t="shared" si="44"/>
        <v>13.133333333333333</v>
      </c>
      <c r="E639" s="116">
        <v>80.12</v>
      </c>
      <c r="H639" s="18">
        <f t="shared" si="43"/>
        <v>788</v>
      </c>
      <c r="I639" t="b">
        <f t="shared" si="45"/>
        <v>1</v>
      </c>
      <c r="J639" s="4">
        <f t="shared" si="46"/>
        <v>-0.89832487309644671</v>
      </c>
    </row>
    <row r="640" spans="1:10" hidden="1">
      <c r="A640" s="39" t="s">
        <v>1316</v>
      </c>
      <c r="B640" s="36" t="s">
        <v>1317</v>
      </c>
      <c r="C640">
        <v>361</v>
      </c>
      <c r="D640" s="18">
        <f t="shared" si="44"/>
        <v>12.033333333333333</v>
      </c>
      <c r="E640" s="116">
        <v>449.81</v>
      </c>
      <c r="H640" s="18">
        <f t="shared" si="43"/>
        <v>722</v>
      </c>
      <c r="I640" t="b">
        <f t="shared" si="45"/>
        <v>1</v>
      </c>
      <c r="J640" s="4">
        <f t="shared" si="46"/>
        <v>-0.37699445983379498</v>
      </c>
    </row>
    <row r="641" spans="8:10">
      <c r="H641" s="18"/>
      <c r="J641" s="4"/>
    </row>
  </sheetData>
  <autoFilter ref="A1:M640" xr:uid="{EAD0D377-3820-4DB4-B8D5-8AE187021F68}">
    <filterColumn colId="8">
      <filters>
        <filter val="FALSE"/>
      </filters>
    </filterColumn>
  </autoFilter>
  <sortState xmlns:xlrd2="http://schemas.microsoft.com/office/spreadsheetml/2017/richdata2" ref="A2:E361">
    <sortCondition descending="1" ref="D1:D36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86F3-679C-4DA8-84F4-A16904FA35D6}">
  <dimension ref="A1:BB86"/>
  <sheetViews>
    <sheetView workbookViewId="0">
      <selection activeCell="A41" sqref="A41"/>
    </sheetView>
  </sheetViews>
  <sheetFormatPr defaultRowHeight="15"/>
  <cols>
    <col min="1" max="1" width="14.42578125" bestFit="1" customWidth="1"/>
    <col min="2" max="2" width="51" customWidth="1"/>
    <col min="3" max="3" width="15.140625" customWidth="1"/>
    <col min="4" max="4" width="10.28515625" bestFit="1" customWidth="1"/>
    <col min="5" max="5" width="42.85546875" customWidth="1"/>
    <col min="7" max="7" width="10.85546875" customWidth="1"/>
    <col min="14" max="14" width="14.7109375" customWidth="1"/>
    <col min="18" max="18" width="15.28515625" customWidth="1"/>
    <col min="20" max="20" width="13.28515625" customWidth="1"/>
    <col min="21" max="21" width="10.140625" customWidth="1"/>
    <col min="22" max="22" width="17.28515625" customWidth="1"/>
  </cols>
  <sheetData>
    <row r="1" spans="1:54" ht="66.75">
      <c r="A1" s="177" t="s">
        <v>1869</v>
      </c>
      <c r="B1" s="177" t="s">
        <v>6</v>
      </c>
      <c r="C1" s="177" t="s">
        <v>1870</v>
      </c>
      <c r="D1" s="177" t="s">
        <v>1871</v>
      </c>
      <c r="E1" s="177" t="s">
        <v>1872</v>
      </c>
      <c r="F1" s="177" t="s">
        <v>1873</v>
      </c>
      <c r="G1" s="177" t="s">
        <v>1874</v>
      </c>
      <c r="H1" s="177" t="s">
        <v>1875</v>
      </c>
      <c r="I1" s="177" t="s">
        <v>1876</v>
      </c>
      <c r="J1" s="177" t="s">
        <v>1877</v>
      </c>
      <c r="K1" s="177" t="s">
        <v>1878</v>
      </c>
      <c r="L1" s="177" t="s">
        <v>1879</v>
      </c>
      <c r="M1" s="177" t="s">
        <v>1880</v>
      </c>
      <c r="N1" s="177" t="s">
        <v>1881</v>
      </c>
      <c r="O1" s="177" t="s">
        <v>1882</v>
      </c>
      <c r="P1" s="177" t="s">
        <v>942</v>
      </c>
      <c r="Q1" s="177" t="s">
        <v>1883</v>
      </c>
      <c r="R1" s="177" t="s">
        <v>1884</v>
      </c>
      <c r="S1" s="177" t="s">
        <v>1885</v>
      </c>
      <c r="T1" s="177" t="s">
        <v>1886</v>
      </c>
      <c r="U1" s="177" t="s">
        <v>1887</v>
      </c>
      <c r="V1" s="177" t="s">
        <v>1888</v>
      </c>
      <c r="W1" s="177" t="s">
        <v>1889</v>
      </c>
      <c r="X1" s="177" t="s">
        <v>1890</v>
      </c>
      <c r="Y1" s="177" t="s">
        <v>1891</v>
      </c>
      <c r="Z1" s="177" t="s">
        <v>1892</v>
      </c>
      <c r="AA1" s="177" t="s">
        <v>1893</v>
      </c>
      <c r="AB1" s="177" t="s">
        <v>1894</v>
      </c>
      <c r="AC1" s="177" t="s">
        <v>1895</v>
      </c>
      <c r="AD1" s="177" t="s">
        <v>1896</v>
      </c>
      <c r="AE1" s="177" t="s">
        <v>1897</v>
      </c>
      <c r="AF1" s="177" t="s">
        <v>1898</v>
      </c>
      <c r="AG1" s="177" t="s">
        <v>1899</v>
      </c>
      <c r="AH1" s="177" t="s">
        <v>1900</v>
      </c>
      <c r="AI1" s="177" t="s">
        <v>1901</v>
      </c>
      <c r="AJ1" s="177" t="s">
        <v>1902</v>
      </c>
      <c r="AK1" s="177" t="s">
        <v>1903</v>
      </c>
      <c r="AL1" s="177" t="s">
        <v>1904</v>
      </c>
      <c r="AM1" s="177" t="s">
        <v>1905</v>
      </c>
      <c r="AN1" s="177" t="s">
        <v>1906</v>
      </c>
      <c r="AO1" s="177" t="s">
        <v>1907</v>
      </c>
      <c r="AP1" s="177" t="s">
        <v>1908</v>
      </c>
      <c r="AQ1" s="177" t="s">
        <v>1909</v>
      </c>
      <c r="AR1" s="177" t="s">
        <v>1910</v>
      </c>
      <c r="AS1" s="177" t="s">
        <v>1911</v>
      </c>
      <c r="AT1" s="177" t="s">
        <v>1912</v>
      </c>
      <c r="AU1" s="177" t="s">
        <v>1913</v>
      </c>
      <c r="AV1" s="177" t="s">
        <v>1914</v>
      </c>
      <c r="AW1" s="177" t="s">
        <v>1915</v>
      </c>
      <c r="AX1" s="177" t="s">
        <v>1916</v>
      </c>
      <c r="AY1" s="177" t="s">
        <v>1917</v>
      </c>
      <c r="AZ1" s="177" t="s">
        <v>1918</v>
      </c>
      <c r="BA1" s="177" t="s">
        <v>1919</v>
      </c>
      <c r="BB1" s="177" t="s">
        <v>1920</v>
      </c>
    </row>
    <row r="2" spans="1:54">
      <c r="A2" s="185" t="s">
        <v>1001</v>
      </c>
      <c r="B2" s="185" t="s">
        <v>1921</v>
      </c>
      <c r="C2" s="184">
        <v>0.21340000000000001</v>
      </c>
      <c r="D2" s="180">
        <v>4719.68</v>
      </c>
      <c r="E2" s="190" t="s">
        <v>1922</v>
      </c>
      <c r="F2" s="181">
        <v>1435</v>
      </c>
      <c r="G2" s="178">
        <v>968</v>
      </c>
      <c r="H2" s="178">
        <v>820</v>
      </c>
      <c r="I2" s="179">
        <v>0.20469999999999999</v>
      </c>
      <c r="J2" s="180">
        <v>5.76</v>
      </c>
      <c r="K2" s="181">
        <v>4006</v>
      </c>
      <c r="L2" s="179">
        <v>9.4000000000000004E-3</v>
      </c>
      <c r="M2" s="181">
        <v>426549</v>
      </c>
      <c r="N2" s="180">
        <v>16302.36</v>
      </c>
      <c r="O2" s="180">
        <v>1.18</v>
      </c>
      <c r="P2" s="179">
        <v>0.28949999999999998</v>
      </c>
      <c r="Q2" s="178">
        <v>3.45</v>
      </c>
      <c r="R2" s="180">
        <v>11051.96</v>
      </c>
      <c r="S2" s="178">
        <v>642</v>
      </c>
      <c r="T2" s="180">
        <v>22117.78</v>
      </c>
      <c r="U2" s="179">
        <v>0.13769999999999999</v>
      </c>
      <c r="V2" s="180">
        <v>3180.32</v>
      </c>
      <c r="W2" s="181">
        <v>1585</v>
      </c>
      <c r="X2" s="178">
        <v>687</v>
      </c>
      <c r="Y2" s="178">
        <v>620</v>
      </c>
      <c r="Z2" s="179">
        <v>0.24360000000000001</v>
      </c>
      <c r="AA2" s="180">
        <v>5.13</v>
      </c>
      <c r="AB2" s="181">
        <v>2545</v>
      </c>
      <c r="AC2" s="179">
        <v>8.5000000000000006E-3</v>
      </c>
      <c r="AD2" s="181">
        <v>298208</v>
      </c>
      <c r="AE2" s="180">
        <v>11109.8</v>
      </c>
      <c r="AF2" s="180">
        <v>1.25</v>
      </c>
      <c r="AG2" s="179">
        <v>0.2863</v>
      </c>
      <c r="AH2" s="178">
        <v>3.49</v>
      </c>
      <c r="AI2" s="180">
        <v>8096.39</v>
      </c>
      <c r="AJ2" s="178">
        <v>494</v>
      </c>
      <c r="AK2" s="180">
        <v>23102.79</v>
      </c>
      <c r="AL2" s="179">
        <v>0.54969999999999997</v>
      </c>
      <c r="AM2" s="179">
        <v>0.48399999999999999</v>
      </c>
      <c r="AN2" s="179">
        <v>-9.4600000000000004E-2</v>
      </c>
      <c r="AO2" s="179">
        <v>0.40899999999999997</v>
      </c>
      <c r="AP2" s="179">
        <v>0.3226</v>
      </c>
      <c r="AQ2" s="179">
        <v>-0.15970000000000001</v>
      </c>
      <c r="AR2" s="179">
        <v>0.12280000000000001</v>
      </c>
      <c r="AS2" s="179">
        <v>0.57410000000000005</v>
      </c>
      <c r="AT2" s="179">
        <v>0.10589999999999999</v>
      </c>
      <c r="AU2" s="179">
        <v>0.4304</v>
      </c>
      <c r="AV2" s="179">
        <v>0.46739999999999998</v>
      </c>
      <c r="AW2" s="179">
        <v>-5.6000000000000001E-2</v>
      </c>
      <c r="AX2" s="179">
        <v>1.12E-2</v>
      </c>
      <c r="AY2" s="179">
        <v>-1.15E-2</v>
      </c>
      <c r="AZ2" s="179">
        <v>0.36499999999999999</v>
      </c>
      <c r="BA2" s="179">
        <v>0.29959999999999998</v>
      </c>
      <c r="BB2" s="179">
        <v>-4.2599999999999999E-2</v>
      </c>
    </row>
    <row r="3" spans="1:54">
      <c r="A3" s="188" t="s">
        <v>94</v>
      </c>
      <c r="B3" s="188" t="s">
        <v>1923</v>
      </c>
      <c r="C3" s="184">
        <v>0.2084</v>
      </c>
      <c r="D3" s="180">
        <v>2729.43</v>
      </c>
      <c r="E3" s="180" t="s">
        <v>1924</v>
      </c>
      <c r="F3" s="178">
        <v>337</v>
      </c>
      <c r="G3" s="178">
        <v>376</v>
      </c>
      <c r="H3" s="178">
        <v>371</v>
      </c>
      <c r="I3" s="179">
        <v>0.24199999999999999</v>
      </c>
      <c r="J3" s="180">
        <v>7.36</v>
      </c>
      <c r="K3" s="181">
        <v>1533</v>
      </c>
      <c r="L3" s="179">
        <v>1.01E-2</v>
      </c>
      <c r="M3" s="181">
        <v>151853</v>
      </c>
      <c r="N3" s="180">
        <v>12778.83</v>
      </c>
      <c r="O3" s="180">
        <v>1.78</v>
      </c>
      <c r="P3" s="179">
        <v>0.21360000000000001</v>
      </c>
      <c r="Q3" s="178">
        <v>4.68</v>
      </c>
      <c r="R3" s="180">
        <v>3859.62</v>
      </c>
      <c r="S3" s="178">
        <v>99</v>
      </c>
      <c r="T3" s="180">
        <v>13098.3</v>
      </c>
      <c r="U3" s="179">
        <v>9.2999999999999999E-2</v>
      </c>
      <c r="V3" s="180">
        <v>2091.8200000000002</v>
      </c>
      <c r="W3" s="178">
        <v>873</v>
      </c>
      <c r="X3" s="178">
        <v>479</v>
      </c>
      <c r="Y3" s="178">
        <v>461</v>
      </c>
      <c r="Z3" s="179">
        <v>0.31</v>
      </c>
      <c r="AA3" s="180">
        <v>4.54</v>
      </c>
      <c r="AB3" s="181">
        <v>1487</v>
      </c>
      <c r="AC3" s="179">
        <v>3.0999999999999999E-3</v>
      </c>
      <c r="AD3" s="181">
        <v>480605</v>
      </c>
      <c r="AE3" s="180">
        <v>13824.95</v>
      </c>
      <c r="AF3" s="180">
        <v>1.41</v>
      </c>
      <c r="AG3" s="179">
        <v>0.15129999999999999</v>
      </c>
      <c r="AH3" s="178">
        <v>6.61</v>
      </c>
      <c r="AI3" s="180">
        <v>5753.01</v>
      </c>
      <c r="AJ3" s="178">
        <v>204</v>
      </c>
      <c r="AK3" s="180">
        <v>22490.34</v>
      </c>
      <c r="AL3" s="179">
        <v>1.2408999999999999</v>
      </c>
      <c r="AM3" s="179">
        <v>0.30480000000000002</v>
      </c>
      <c r="AN3" s="179">
        <v>-0.61399999999999999</v>
      </c>
      <c r="AO3" s="179">
        <v>-0.215</v>
      </c>
      <c r="AP3" s="179">
        <v>-0.19520000000000001</v>
      </c>
      <c r="AQ3" s="179">
        <v>-0.21940000000000001</v>
      </c>
      <c r="AR3" s="179">
        <v>0.62109999999999999</v>
      </c>
      <c r="AS3" s="179">
        <v>3.09E-2</v>
      </c>
      <c r="AT3" s="179">
        <v>2.2581000000000002</v>
      </c>
      <c r="AU3" s="179">
        <v>-0.68400000000000005</v>
      </c>
      <c r="AV3" s="179">
        <v>-7.5700000000000003E-2</v>
      </c>
      <c r="AW3" s="179">
        <v>0.26240000000000002</v>
      </c>
      <c r="AX3" s="179">
        <v>0.4118</v>
      </c>
      <c r="AY3" s="179">
        <v>-0.29199999999999998</v>
      </c>
      <c r="AZ3" s="179">
        <v>-0.3291</v>
      </c>
      <c r="BA3" s="179">
        <v>-0.51470000000000005</v>
      </c>
      <c r="BB3" s="179">
        <v>-0.41760000000000003</v>
      </c>
    </row>
    <row r="4" spans="1:54">
      <c r="A4" s="185" t="s">
        <v>1041</v>
      </c>
      <c r="B4" s="185" t="s">
        <v>1925</v>
      </c>
      <c r="C4" s="184">
        <v>0.26429999999999998</v>
      </c>
      <c r="D4" s="180">
        <v>2653.1</v>
      </c>
      <c r="E4" s="135" t="s">
        <v>1926</v>
      </c>
      <c r="F4" s="178">
        <v>486</v>
      </c>
      <c r="G4" s="178">
        <v>272</v>
      </c>
      <c r="H4" s="178">
        <v>257</v>
      </c>
      <c r="I4" s="179">
        <v>0.17749999999999999</v>
      </c>
      <c r="J4" s="180">
        <v>10.32</v>
      </c>
      <c r="K4" s="181">
        <v>1448</v>
      </c>
      <c r="L4" s="179">
        <v>9.4999999999999998E-3</v>
      </c>
      <c r="M4" s="181">
        <v>152454</v>
      </c>
      <c r="N4" s="180">
        <v>6204.65</v>
      </c>
      <c r="O4" s="180">
        <v>1.83</v>
      </c>
      <c r="P4" s="184">
        <v>0.42759999999999998</v>
      </c>
      <c r="Q4" s="178">
        <v>2.34</v>
      </c>
      <c r="R4" s="180">
        <v>3676.29</v>
      </c>
      <c r="S4" s="178">
        <v>162</v>
      </c>
      <c r="T4" s="180">
        <v>10039.14</v>
      </c>
      <c r="U4" s="179">
        <v>0.16719999999999999</v>
      </c>
      <c r="V4" s="180">
        <v>1643.45</v>
      </c>
      <c r="W4" s="178">
        <v>501</v>
      </c>
      <c r="X4" s="178">
        <v>207</v>
      </c>
      <c r="Y4" s="178">
        <v>202</v>
      </c>
      <c r="Z4" s="179">
        <v>0.1986</v>
      </c>
      <c r="AA4" s="180">
        <v>8.14</v>
      </c>
      <c r="AB4" s="181">
        <v>1017</v>
      </c>
      <c r="AC4" s="179">
        <v>8.9999999999999998E-4</v>
      </c>
      <c r="AD4" s="181">
        <v>1096306</v>
      </c>
      <c r="AE4" s="180">
        <v>4172.1099999999997</v>
      </c>
      <c r="AF4" s="180">
        <v>1.62</v>
      </c>
      <c r="AG4" s="179">
        <v>0.39389999999999997</v>
      </c>
      <c r="AH4" s="178">
        <v>2.54</v>
      </c>
      <c r="AI4" s="180">
        <v>2451.54</v>
      </c>
      <c r="AJ4" s="178">
        <v>123</v>
      </c>
      <c r="AK4" s="180">
        <v>9827.31</v>
      </c>
      <c r="AL4" s="179">
        <v>0.58069999999999999</v>
      </c>
      <c r="AM4" s="179">
        <v>0.61429999999999996</v>
      </c>
      <c r="AN4" s="179">
        <v>-2.9899999999999999E-2</v>
      </c>
      <c r="AO4" s="179">
        <v>0.314</v>
      </c>
      <c r="AP4" s="179">
        <v>0.27229999999999999</v>
      </c>
      <c r="AQ4" s="179">
        <v>-0.1062</v>
      </c>
      <c r="AR4" s="179">
        <v>0.26779999999999998</v>
      </c>
      <c r="AS4" s="179">
        <v>0.42380000000000001</v>
      </c>
      <c r="AT4" s="179">
        <v>9.5556000000000001</v>
      </c>
      <c r="AU4" s="179">
        <v>-0.8609</v>
      </c>
      <c r="AV4" s="179">
        <v>0.48720000000000002</v>
      </c>
      <c r="AW4" s="179">
        <v>0.12959999999999999</v>
      </c>
      <c r="AX4" s="179">
        <v>8.5599999999999996E-2</v>
      </c>
      <c r="AY4" s="179">
        <v>-7.8700000000000006E-2</v>
      </c>
      <c r="AZ4" s="179">
        <v>0.49959999999999999</v>
      </c>
      <c r="BA4" s="179">
        <v>0.31709999999999999</v>
      </c>
      <c r="BB4" s="179">
        <v>2.1600000000000001E-2</v>
      </c>
    </row>
    <row r="5" spans="1:54">
      <c r="A5" s="185" t="s">
        <v>614</v>
      </c>
      <c r="B5" s="185" t="s">
        <v>613</v>
      </c>
      <c r="C5" s="184">
        <v>0.17480000000000001</v>
      </c>
      <c r="D5" s="180">
        <v>2610.91</v>
      </c>
      <c r="E5" s="180" t="s">
        <v>1927</v>
      </c>
      <c r="F5" s="178">
        <v>859</v>
      </c>
      <c r="G5" s="178">
        <v>524</v>
      </c>
      <c r="H5" s="178">
        <v>507</v>
      </c>
      <c r="I5" s="179">
        <v>0.32029999999999997</v>
      </c>
      <c r="J5" s="180">
        <v>5.15</v>
      </c>
      <c r="K5" s="181">
        <v>1583</v>
      </c>
      <c r="L5" s="179">
        <v>1.4E-2</v>
      </c>
      <c r="M5" s="181">
        <v>113197</v>
      </c>
      <c r="N5" s="180">
        <v>10490.15</v>
      </c>
      <c r="O5" s="180">
        <v>1.65</v>
      </c>
      <c r="P5" s="179">
        <v>0.24890000000000001</v>
      </c>
      <c r="Q5" s="178">
        <v>4.0199999999999996</v>
      </c>
      <c r="R5" s="180">
        <v>5730.14</v>
      </c>
      <c r="S5" s="178">
        <v>315</v>
      </c>
      <c r="T5" s="180">
        <v>14936.02</v>
      </c>
      <c r="U5" s="179">
        <v>0.1318</v>
      </c>
      <c r="V5" s="180">
        <v>1505.56</v>
      </c>
      <c r="W5" s="178">
        <v>675</v>
      </c>
      <c r="X5" s="178">
        <v>368</v>
      </c>
      <c r="Y5" s="178">
        <v>354</v>
      </c>
      <c r="Z5" s="179">
        <v>0.34599999999999997</v>
      </c>
      <c r="AA5" s="180">
        <v>4.25</v>
      </c>
      <c r="AB5" s="181">
        <v>1023</v>
      </c>
      <c r="AC5" s="179">
        <v>1.18E-2</v>
      </c>
      <c r="AD5" s="181">
        <v>86679</v>
      </c>
      <c r="AE5" s="180">
        <v>7543.7</v>
      </c>
      <c r="AF5" s="180">
        <v>1.47</v>
      </c>
      <c r="AG5" s="179">
        <v>0.1996</v>
      </c>
      <c r="AH5" s="178">
        <v>5.01</v>
      </c>
      <c r="AI5" s="180">
        <v>3637.83</v>
      </c>
      <c r="AJ5" s="178">
        <v>205</v>
      </c>
      <c r="AK5" s="180">
        <v>11423.25</v>
      </c>
      <c r="AL5" s="179">
        <v>0.32629999999999998</v>
      </c>
      <c r="AM5" s="179">
        <v>0.73419999999999996</v>
      </c>
      <c r="AN5" s="179">
        <v>0.27260000000000001</v>
      </c>
      <c r="AO5" s="179">
        <v>0.4239</v>
      </c>
      <c r="AP5" s="179">
        <v>0.43219999999999997</v>
      </c>
      <c r="AQ5" s="179">
        <v>-7.4300000000000005E-2</v>
      </c>
      <c r="AR5" s="179">
        <v>0.21179999999999999</v>
      </c>
      <c r="AS5" s="179">
        <v>0.5474</v>
      </c>
      <c r="AT5" s="179">
        <v>0.18640000000000001</v>
      </c>
      <c r="AU5" s="179">
        <v>0.30590000000000001</v>
      </c>
      <c r="AV5" s="179">
        <v>0.3906</v>
      </c>
      <c r="AW5" s="179">
        <v>0.12239999999999999</v>
      </c>
      <c r="AX5" s="179">
        <v>0.247</v>
      </c>
      <c r="AY5" s="179">
        <v>-0.1976</v>
      </c>
      <c r="AZ5" s="179">
        <v>0.57520000000000004</v>
      </c>
      <c r="BA5" s="179">
        <v>0.53659999999999997</v>
      </c>
      <c r="BB5" s="179">
        <v>0.3075</v>
      </c>
    </row>
    <row r="6" spans="1:54">
      <c r="A6" s="188" t="s">
        <v>445</v>
      </c>
      <c r="B6" s="188" t="s">
        <v>1928</v>
      </c>
      <c r="C6" s="184">
        <v>0.2361</v>
      </c>
      <c r="D6" s="180">
        <v>2556.4899999999998</v>
      </c>
      <c r="E6" s="180" t="s">
        <v>1924</v>
      </c>
      <c r="F6" s="181">
        <v>1084</v>
      </c>
      <c r="G6" s="178">
        <v>616</v>
      </c>
      <c r="H6" s="178">
        <v>563</v>
      </c>
      <c r="I6" s="179">
        <v>0.23200000000000001</v>
      </c>
      <c r="J6" s="180">
        <v>4.54</v>
      </c>
      <c r="K6" s="181">
        <v>2427</v>
      </c>
      <c r="L6" s="179">
        <v>9.2999999999999992E-3</v>
      </c>
      <c r="M6" s="181">
        <v>262125</v>
      </c>
      <c r="N6" s="180">
        <v>10041.950000000001</v>
      </c>
      <c r="O6" s="180">
        <v>1.05</v>
      </c>
      <c r="P6" s="179">
        <v>0.25459999999999999</v>
      </c>
      <c r="Q6" s="178">
        <v>3.93</v>
      </c>
      <c r="R6" s="180">
        <v>3525.87</v>
      </c>
      <c r="S6" s="178">
        <v>338</v>
      </c>
      <c r="T6" s="180">
        <v>10827.86</v>
      </c>
      <c r="U6" s="179">
        <v>0.2475</v>
      </c>
      <c r="V6" s="180">
        <v>2727.35</v>
      </c>
      <c r="W6" s="181">
        <v>1103</v>
      </c>
      <c r="X6" s="178">
        <v>663</v>
      </c>
      <c r="Y6" s="178">
        <v>616</v>
      </c>
      <c r="Z6" s="179">
        <v>0.23130000000000001</v>
      </c>
      <c r="AA6" s="180">
        <v>4.43</v>
      </c>
      <c r="AB6" s="181">
        <v>2663</v>
      </c>
      <c r="AC6" s="179">
        <v>1.0500000000000001E-2</v>
      </c>
      <c r="AD6" s="181">
        <v>254384</v>
      </c>
      <c r="AE6" s="180">
        <v>10406.64</v>
      </c>
      <c r="AF6" s="180">
        <v>1.02</v>
      </c>
      <c r="AG6" s="179">
        <v>0.2621</v>
      </c>
      <c r="AH6" s="178">
        <v>3.82</v>
      </c>
      <c r="AI6" s="180">
        <v>4155.74</v>
      </c>
      <c r="AJ6" s="178">
        <v>390</v>
      </c>
      <c r="AK6" s="180">
        <v>11018.17</v>
      </c>
      <c r="AL6" s="179">
        <v>-4.6100000000000002E-2</v>
      </c>
      <c r="AM6" s="179">
        <v>-6.2600000000000003E-2</v>
      </c>
      <c r="AN6" s="179">
        <v>-1.72E-2</v>
      </c>
      <c r="AO6" s="179">
        <v>-7.0900000000000005E-2</v>
      </c>
      <c r="AP6" s="179">
        <v>-8.5999999999999993E-2</v>
      </c>
      <c r="AQ6" s="179">
        <v>3.0000000000000001E-3</v>
      </c>
      <c r="AR6" s="179">
        <v>2.4799999999999999E-2</v>
      </c>
      <c r="AS6" s="179">
        <v>-8.8599999999999998E-2</v>
      </c>
      <c r="AT6" s="179">
        <v>-0.1143</v>
      </c>
      <c r="AU6" s="179">
        <v>3.04E-2</v>
      </c>
      <c r="AV6" s="179">
        <v>-3.5000000000000003E-2</v>
      </c>
      <c r="AW6" s="179">
        <v>2.9399999999999999E-2</v>
      </c>
      <c r="AX6" s="179">
        <v>-2.86E-2</v>
      </c>
      <c r="AY6" s="179">
        <v>2.8799999999999999E-2</v>
      </c>
      <c r="AZ6" s="179">
        <v>-0.15160000000000001</v>
      </c>
      <c r="BA6" s="179">
        <v>-0.1333</v>
      </c>
      <c r="BB6" s="179">
        <v>-1.7299999999999999E-2</v>
      </c>
    </row>
    <row r="7" spans="1:54">
      <c r="A7" s="185" t="s">
        <v>699</v>
      </c>
      <c r="B7" s="185" t="s">
        <v>1929</v>
      </c>
      <c r="C7" s="184">
        <v>0.26900000000000002</v>
      </c>
      <c r="D7" s="180">
        <v>2536.83</v>
      </c>
      <c r="E7" s="180" t="s">
        <v>1930</v>
      </c>
      <c r="F7" s="178">
        <v>413</v>
      </c>
      <c r="G7" s="178">
        <v>706</v>
      </c>
      <c r="H7" s="178">
        <v>662</v>
      </c>
      <c r="I7" s="179">
        <v>0.24099999999999999</v>
      </c>
      <c r="J7" s="180">
        <v>3.83</v>
      </c>
      <c r="K7" s="181">
        <v>2747</v>
      </c>
      <c r="L7" s="179">
        <v>2.3599999999999999E-2</v>
      </c>
      <c r="M7" s="181">
        <v>116338</v>
      </c>
      <c r="N7" s="180">
        <v>18461.939999999999</v>
      </c>
      <c r="O7" s="180">
        <v>0.92</v>
      </c>
      <c r="P7" s="179">
        <v>0.13739999999999999</v>
      </c>
      <c r="Q7" s="178">
        <v>7.28</v>
      </c>
      <c r="R7" s="180">
        <v>5092.04</v>
      </c>
      <c r="S7" s="178">
        <v>208</v>
      </c>
      <c r="T7" s="180">
        <v>9429.6200000000008</v>
      </c>
      <c r="U7" s="179">
        <v>3.0200000000000001E-2</v>
      </c>
      <c r="V7" s="180">
        <v>25.7</v>
      </c>
      <c r="W7" s="178">
        <v>34</v>
      </c>
      <c r="X7" s="178">
        <v>3</v>
      </c>
      <c r="Y7" s="178">
        <v>3</v>
      </c>
      <c r="Z7" s="179">
        <v>0.10340000000000001</v>
      </c>
      <c r="AA7" s="180">
        <v>8.57</v>
      </c>
      <c r="AB7" s="178">
        <v>29</v>
      </c>
      <c r="AC7" s="179">
        <v>4.8999999999999998E-3</v>
      </c>
      <c r="AD7" s="181">
        <v>5871</v>
      </c>
      <c r="AE7" s="180">
        <v>54.97</v>
      </c>
      <c r="AF7" s="180">
        <v>0.89</v>
      </c>
      <c r="AG7" s="179">
        <v>0.46750000000000003</v>
      </c>
      <c r="AH7" s="178">
        <v>2.14</v>
      </c>
      <c r="AI7" s="180">
        <v>0</v>
      </c>
      <c r="AJ7" s="178">
        <v>0</v>
      </c>
      <c r="AK7" s="180">
        <v>849.66</v>
      </c>
      <c r="AL7" s="179">
        <v>7.9073000000000002</v>
      </c>
      <c r="AM7" s="179">
        <v>97.709299999999999</v>
      </c>
      <c r="AN7" s="179">
        <v>11.1471</v>
      </c>
      <c r="AO7" s="179">
        <v>234.33330000000001</v>
      </c>
      <c r="AP7" s="179">
        <v>219.66669999999999</v>
      </c>
      <c r="AQ7" s="179">
        <v>1.3308</v>
      </c>
      <c r="AR7" s="179">
        <v>-0.55310000000000004</v>
      </c>
      <c r="AS7" s="179">
        <v>93.724100000000007</v>
      </c>
      <c r="AT7" s="179">
        <v>3.8163</v>
      </c>
      <c r="AU7" s="179">
        <v>18.8157</v>
      </c>
      <c r="AV7" s="179">
        <v>334.85480000000001</v>
      </c>
      <c r="AW7" s="179">
        <v>3.3700000000000001E-2</v>
      </c>
      <c r="AX7" s="179">
        <v>-0.70609999999999995</v>
      </c>
      <c r="AY7" s="179">
        <v>2.4018999999999999</v>
      </c>
      <c r="AZ7" s="179">
        <v>5092.04</v>
      </c>
      <c r="BA7" s="179">
        <v>208</v>
      </c>
      <c r="BB7" s="179">
        <v>10.098100000000001</v>
      </c>
    </row>
    <row r="8" spans="1:54">
      <c r="A8" s="188" t="s">
        <v>662</v>
      </c>
      <c r="B8" s="188" t="s">
        <v>1931</v>
      </c>
      <c r="C8" s="184">
        <v>0.17979999999999999</v>
      </c>
      <c r="D8" s="180">
        <v>2486.12</v>
      </c>
      <c r="E8" s="180" t="s">
        <v>1924</v>
      </c>
      <c r="F8" s="181">
        <v>1384</v>
      </c>
      <c r="G8" s="178">
        <v>491</v>
      </c>
      <c r="H8" s="178">
        <v>460</v>
      </c>
      <c r="I8" s="179">
        <v>0.19109999999999999</v>
      </c>
      <c r="J8" s="180">
        <v>5.4</v>
      </c>
      <c r="K8" s="181">
        <v>2407</v>
      </c>
      <c r="L8" s="179">
        <v>1.47E-2</v>
      </c>
      <c r="M8" s="181">
        <v>164144</v>
      </c>
      <c r="N8" s="180">
        <v>5305.46</v>
      </c>
      <c r="O8" s="180">
        <v>1.03</v>
      </c>
      <c r="P8" s="184">
        <v>0.46860000000000002</v>
      </c>
      <c r="Q8" s="178">
        <v>2.13</v>
      </c>
      <c r="R8" s="180">
        <v>4595.3</v>
      </c>
      <c r="S8" s="178">
        <v>430</v>
      </c>
      <c r="T8" s="180">
        <v>13825.36</v>
      </c>
      <c r="U8" s="179">
        <v>0.1074</v>
      </c>
      <c r="V8" s="180">
        <v>1208.97</v>
      </c>
      <c r="W8" s="181">
        <v>1127</v>
      </c>
      <c r="X8" s="178">
        <v>322</v>
      </c>
      <c r="Y8" s="178">
        <v>284</v>
      </c>
      <c r="Z8" s="179">
        <v>0.217</v>
      </c>
      <c r="AA8" s="180">
        <v>4.26</v>
      </c>
      <c r="AB8" s="181">
        <v>1309</v>
      </c>
      <c r="AC8" s="179">
        <v>2.3699999999999999E-2</v>
      </c>
      <c r="AD8" s="181">
        <v>55212</v>
      </c>
      <c r="AE8" s="180">
        <v>3866.08</v>
      </c>
      <c r="AF8" s="180">
        <v>0.92</v>
      </c>
      <c r="AG8" s="179">
        <v>0.31269999999999998</v>
      </c>
      <c r="AH8" s="178">
        <v>3.2</v>
      </c>
      <c r="AI8" s="180">
        <v>2737.16</v>
      </c>
      <c r="AJ8" s="178">
        <v>244</v>
      </c>
      <c r="AK8" s="180">
        <v>11257.93</v>
      </c>
      <c r="AL8" s="179">
        <v>0.67410000000000003</v>
      </c>
      <c r="AM8" s="179">
        <v>1.0564</v>
      </c>
      <c r="AN8" s="179">
        <v>0.22800000000000001</v>
      </c>
      <c r="AO8" s="179">
        <v>0.52480000000000004</v>
      </c>
      <c r="AP8" s="179">
        <v>0.61970000000000003</v>
      </c>
      <c r="AQ8" s="179">
        <v>-0.11940000000000001</v>
      </c>
      <c r="AR8" s="179">
        <v>0.2676</v>
      </c>
      <c r="AS8" s="179">
        <v>0.83879999999999999</v>
      </c>
      <c r="AT8" s="179">
        <v>-0.37969999999999998</v>
      </c>
      <c r="AU8" s="179">
        <v>1.9730000000000001</v>
      </c>
      <c r="AV8" s="179">
        <v>0.37230000000000002</v>
      </c>
      <c r="AW8" s="179">
        <v>0.1196</v>
      </c>
      <c r="AX8" s="179">
        <v>0.49859999999999999</v>
      </c>
      <c r="AY8" s="179">
        <v>-0.33439999999999998</v>
      </c>
      <c r="AZ8" s="179">
        <v>0.67889999999999995</v>
      </c>
      <c r="BA8" s="179">
        <v>0.76229999999999998</v>
      </c>
      <c r="BB8" s="179">
        <v>0.2281</v>
      </c>
    </row>
    <row r="9" spans="1:54">
      <c r="A9" s="185" t="s">
        <v>427</v>
      </c>
      <c r="B9" s="185" t="s">
        <v>1932</v>
      </c>
      <c r="C9" s="184">
        <v>0.1648</v>
      </c>
      <c r="D9" s="180">
        <v>2307.11</v>
      </c>
      <c r="E9" s="187" t="s">
        <v>1933</v>
      </c>
      <c r="F9" s="178">
        <v>629</v>
      </c>
      <c r="G9" s="178">
        <v>477</v>
      </c>
      <c r="H9" s="178">
        <v>464</v>
      </c>
      <c r="I9" s="179">
        <v>0.2445</v>
      </c>
      <c r="J9" s="180">
        <v>4.97</v>
      </c>
      <c r="K9" s="181">
        <v>1898</v>
      </c>
      <c r="L9" s="179">
        <v>1.29E-2</v>
      </c>
      <c r="M9" s="181">
        <v>147576</v>
      </c>
      <c r="N9" s="180">
        <v>11008.21</v>
      </c>
      <c r="O9" s="180">
        <v>1.22</v>
      </c>
      <c r="P9" s="179">
        <v>0.20960000000000001</v>
      </c>
      <c r="Q9" s="178">
        <v>4.7699999999999996</v>
      </c>
      <c r="R9" s="180">
        <v>4466.3</v>
      </c>
      <c r="S9" s="178">
        <v>199</v>
      </c>
      <c r="T9" s="180">
        <v>13998.43</v>
      </c>
      <c r="U9" s="179">
        <v>0.1454</v>
      </c>
      <c r="V9" s="180">
        <v>1968.01</v>
      </c>
      <c r="W9" s="178">
        <v>590</v>
      </c>
      <c r="X9" s="178">
        <v>485</v>
      </c>
      <c r="Y9" s="178">
        <v>472</v>
      </c>
      <c r="Z9" s="179">
        <v>0.2671</v>
      </c>
      <c r="AA9" s="180">
        <v>4.17</v>
      </c>
      <c r="AB9" s="181">
        <v>1767</v>
      </c>
      <c r="AC9" s="179">
        <v>1.66E-2</v>
      </c>
      <c r="AD9" s="181">
        <v>106608</v>
      </c>
      <c r="AE9" s="180">
        <v>11729.89</v>
      </c>
      <c r="AF9" s="180">
        <v>1.1100000000000001</v>
      </c>
      <c r="AG9" s="179">
        <v>0.1678</v>
      </c>
      <c r="AH9" s="178">
        <v>5.96</v>
      </c>
      <c r="AI9" s="180">
        <v>4618.3999999999996</v>
      </c>
      <c r="AJ9" s="178">
        <v>198</v>
      </c>
      <c r="AK9" s="180">
        <v>13530.58</v>
      </c>
      <c r="AL9" s="179">
        <v>0.13339999999999999</v>
      </c>
      <c r="AM9" s="179">
        <v>0.17230000000000001</v>
      </c>
      <c r="AN9" s="179">
        <v>6.6100000000000006E-2</v>
      </c>
      <c r="AO9" s="179">
        <v>-1.6500000000000001E-2</v>
      </c>
      <c r="AP9" s="179">
        <v>-1.6899999999999998E-2</v>
      </c>
      <c r="AQ9" s="179">
        <v>-8.4599999999999995E-2</v>
      </c>
      <c r="AR9" s="179">
        <v>0.1918</v>
      </c>
      <c r="AS9" s="179">
        <v>7.4099999999999999E-2</v>
      </c>
      <c r="AT9" s="179">
        <v>-0.22289999999999999</v>
      </c>
      <c r="AU9" s="179">
        <v>0.38429999999999997</v>
      </c>
      <c r="AV9" s="179">
        <v>-6.1499999999999999E-2</v>
      </c>
      <c r="AW9" s="179">
        <v>9.9099999999999994E-2</v>
      </c>
      <c r="AX9" s="179">
        <v>0.24909999999999999</v>
      </c>
      <c r="AY9" s="179">
        <v>-0.19969999999999999</v>
      </c>
      <c r="AZ9" s="179">
        <v>-3.2899999999999999E-2</v>
      </c>
      <c r="BA9" s="179">
        <v>5.1000000000000004E-3</v>
      </c>
      <c r="BB9" s="179">
        <v>3.4599999999999999E-2</v>
      </c>
    </row>
    <row r="10" spans="1:54">
      <c r="A10" s="185" t="s">
        <v>1412</v>
      </c>
      <c r="B10" s="185" t="s">
        <v>1934</v>
      </c>
      <c r="C10" s="184">
        <v>0.16189999999999999</v>
      </c>
      <c r="D10" s="180">
        <v>2224.87</v>
      </c>
      <c r="E10" s="180"/>
      <c r="F10" s="178">
        <v>510</v>
      </c>
      <c r="G10" s="178">
        <v>352</v>
      </c>
      <c r="H10" s="178">
        <v>347</v>
      </c>
      <c r="I10" s="179">
        <v>0.252</v>
      </c>
      <c r="J10" s="180">
        <v>6.41</v>
      </c>
      <c r="K10" s="181">
        <v>1377</v>
      </c>
      <c r="L10" s="179">
        <v>4.8999999999999998E-3</v>
      </c>
      <c r="M10" s="181">
        <v>281626</v>
      </c>
      <c r="N10" s="180">
        <v>9752.93</v>
      </c>
      <c r="O10" s="180">
        <v>1.62</v>
      </c>
      <c r="P10" s="179">
        <v>0.2281</v>
      </c>
      <c r="Q10" s="178">
        <v>4.38</v>
      </c>
      <c r="R10" s="180">
        <v>6629.16</v>
      </c>
      <c r="S10" s="178">
        <v>243</v>
      </c>
      <c r="T10" s="180">
        <v>13742.88</v>
      </c>
      <c r="U10" s="179">
        <v>0.15359999999999999</v>
      </c>
      <c r="V10" s="180">
        <v>1725.53</v>
      </c>
      <c r="W10" s="178">
        <v>417</v>
      </c>
      <c r="X10" s="178">
        <v>296</v>
      </c>
      <c r="Y10" s="178">
        <v>286</v>
      </c>
      <c r="Z10" s="179">
        <v>0.24299999999999999</v>
      </c>
      <c r="AA10" s="180">
        <v>6.03</v>
      </c>
      <c r="AB10" s="181">
        <v>1177</v>
      </c>
      <c r="AC10" s="179">
        <v>5.7999999999999996E-3</v>
      </c>
      <c r="AD10" s="181">
        <v>202424</v>
      </c>
      <c r="AE10" s="180">
        <v>8277.15</v>
      </c>
      <c r="AF10" s="180">
        <v>1.47</v>
      </c>
      <c r="AG10" s="179">
        <v>0.20849999999999999</v>
      </c>
      <c r="AH10" s="178">
        <v>4.8</v>
      </c>
      <c r="AI10" s="180">
        <v>5281.39</v>
      </c>
      <c r="AJ10" s="178">
        <v>194</v>
      </c>
      <c r="AK10" s="180">
        <v>11235.99</v>
      </c>
      <c r="AL10" s="179">
        <v>5.3999999999999999E-2</v>
      </c>
      <c r="AM10" s="179">
        <v>0.28939999999999999</v>
      </c>
      <c r="AN10" s="179">
        <v>0.223</v>
      </c>
      <c r="AO10" s="179">
        <v>0.18920000000000001</v>
      </c>
      <c r="AP10" s="179">
        <v>0.21329999999999999</v>
      </c>
      <c r="AQ10" s="179">
        <v>3.6999999999999998E-2</v>
      </c>
      <c r="AR10" s="179">
        <v>6.3E-2</v>
      </c>
      <c r="AS10" s="179">
        <v>0.1699</v>
      </c>
      <c r="AT10" s="179">
        <v>-0.1552</v>
      </c>
      <c r="AU10" s="179">
        <v>0.39129999999999998</v>
      </c>
      <c r="AV10" s="179">
        <v>0.17829999999999999</v>
      </c>
      <c r="AW10" s="179">
        <v>0.10199999999999999</v>
      </c>
      <c r="AX10" s="179">
        <v>9.4E-2</v>
      </c>
      <c r="AY10" s="179">
        <v>-8.7499999999999994E-2</v>
      </c>
      <c r="AZ10" s="179">
        <v>0.25519999999999998</v>
      </c>
      <c r="BA10" s="179">
        <v>0.25259999999999999</v>
      </c>
      <c r="BB10" s="179">
        <v>0.22309999999999999</v>
      </c>
    </row>
    <row r="11" spans="1:54">
      <c r="A11" s="185" t="s">
        <v>1143</v>
      </c>
      <c r="B11" s="185" t="s">
        <v>1935</v>
      </c>
      <c r="C11" s="184">
        <v>0.15390000000000001</v>
      </c>
      <c r="D11" s="180">
        <v>2110.04</v>
      </c>
      <c r="E11" s="180" t="s">
        <v>1936</v>
      </c>
      <c r="F11" s="178">
        <v>980</v>
      </c>
      <c r="G11" s="178">
        <v>412</v>
      </c>
      <c r="H11" s="178">
        <v>383</v>
      </c>
      <c r="I11" s="179">
        <v>0.25929999999999997</v>
      </c>
      <c r="J11" s="180">
        <v>5.51</v>
      </c>
      <c r="K11" s="181">
        <v>1477</v>
      </c>
      <c r="L11" s="179">
        <v>1.67E-2</v>
      </c>
      <c r="M11" s="181">
        <v>88640</v>
      </c>
      <c r="N11" s="180">
        <v>6371.03</v>
      </c>
      <c r="O11" s="180">
        <v>1.43</v>
      </c>
      <c r="P11" s="184">
        <v>0.33119999999999999</v>
      </c>
      <c r="Q11" s="178">
        <v>3.02</v>
      </c>
      <c r="R11" s="180">
        <v>4672.24</v>
      </c>
      <c r="S11" s="178">
        <v>308</v>
      </c>
      <c r="T11" s="180">
        <v>13708.66</v>
      </c>
      <c r="U11" s="179">
        <v>0.1515</v>
      </c>
      <c r="V11" s="180">
        <v>2021.8</v>
      </c>
      <c r="W11" s="178">
        <v>954</v>
      </c>
      <c r="X11" s="178">
        <v>505</v>
      </c>
      <c r="Y11" s="178">
        <v>408</v>
      </c>
      <c r="Z11" s="179">
        <v>0.26550000000000001</v>
      </c>
      <c r="AA11" s="180">
        <v>4.96</v>
      </c>
      <c r="AB11" s="181">
        <v>1537</v>
      </c>
      <c r="AC11" s="179">
        <v>1.67E-2</v>
      </c>
      <c r="AD11" s="181">
        <v>92002</v>
      </c>
      <c r="AE11" s="180">
        <v>8878.77</v>
      </c>
      <c r="AF11" s="180">
        <v>1.32</v>
      </c>
      <c r="AG11" s="179">
        <v>0.22770000000000001</v>
      </c>
      <c r="AH11" s="178">
        <v>4.3899999999999997</v>
      </c>
      <c r="AI11" s="180">
        <v>4685.95</v>
      </c>
      <c r="AJ11" s="178">
        <v>306</v>
      </c>
      <c r="AK11" s="180">
        <v>13344.92</v>
      </c>
      <c r="AL11" s="179">
        <v>1.5800000000000002E-2</v>
      </c>
      <c r="AM11" s="179">
        <v>4.36E-2</v>
      </c>
      <c r="AN11" s="179">
        <v>2.7300000000000001E-2</v>
      </c>
      <c r="AO11" s="179">
        <v>-0.1842</v>
      </c>
      <c r="AP11" s="179">
        <v>-6.13E-2</v>
      </c>
      <c r="AQ11" s="179">
        <v>-2.3400000000000001E-2</v>
      </c>
      <c r="AR11" s="179">
        <v>0.1109</v>
      </c>
      <c r="AS11" s="179">
        <v>-3.9E-2</v>
      </c>
      <c r="AT11" s="179">
        <v>0</v>
      </c>
      <c r="AU11" s="179">
        <v>-3.6499999999999998E-2</v>
      </c>
      <c r="AV11" s="179">
        <v>-0.28239999999999998</v>
      </c>
      <c r="AW11" s="179">
        <v>8.3299999999999999E-2</v>
      </c>
      <c r="AX11" s="179">
        <v>0.45450000000000002</v>
      </c>
      <c r="AY11" s="179">
        <v>-0.31209999999999999</v>
      </c>
      <c r="AZ11" s="179">
        <v>-2.8999999999999998E-3</v>
      </c>
      <c r="BA11" s="179">
        <v>6.4999999999999997E-3</v>
      </c>
      <c r="BB11" s="179">
        <v>2.7300000000000001E-2</v>
      </c>
    </row>
    <row r="12" spans="1:54">
      <c r="A12" s="185" t="s">
        <v>1036</v>
      </c>
      <c r="B12" s="185" t="s">
        <v>1937</v>
      </c>
      <c r="C12" s="184">
        <v>0.22470000000000001</v>
      </c>
      <c r="D12" s="180">
        <v>2095.29</v>
      </c>
      <c r="E12" s="135" t="s">
        <v>1938</v>
      </c>
      <c r="F12" s="178">
        <v>556</v>
      </c>
      <c r="G12" s="178">
        <v>460</v>
      </c>
      <c r="H12" s="178">
        <v>418</v>
      </c>
      <c r="I12" s="179">
        <v>0.25629999999999997</v>
      </c>
      <c r="J12" s="180">
        <v>5.01</v>
      </c>
      <c r="K12" s="181">
        <v>1631</v>
      </c>
      <c r="L12" s="179">
        <v>1.03E-2</v>
      </c>
      <c r="M12" s="181">
        <v>158325</v>
      </c>
      <c r="N12" s="180">
        <v>8711.52</v>
      </c>
      <c r="O12" s="180">
        <v>1.28</v>
      </c>
      <c r="P12" s="179">
        <v>0.24049999999999999</v>
      </c>
      <c r="Q12" s="178">
        <v>4.16</v>
      </c>
      <c r="R12" s="180">
        <v>4454.3</v>
      </c>
      <c r="S12" s="178">
        <v>249</v>
      </c>
      <c r="T12" s="180">
        <v>9325.0400000000009</v>
      </c>
      <c r="U12" s="179">
        <v>0.19700000000000001</v>
      </c>
      <c r="V12" s="180">
        <v>2326.16</v>
      </c>
      <c r="W12" s="178">
        <v>773</v>
      </c>
      <c r="X12" s="178">
        <v>512</v>
      </c>
      <c r="Y12" s="178">
        <v>471</v>
      </c>
      <c r="Z12" s="179">
        <v>0.28460000000000002</v>
      </c>
      <c r="AA12" s="180">
        <v>4.9400000000000004</v>
      </c>
      <c r="AB12" s="181">
        <v>1655</v>
      </c>
      <c r="AC12" s="179">
        <v>2.0999999999999999E-3</v>
      </c>
      <c r="AD12" s="181">
        <v>797507</v>
      </c>
      <c r="AE12" s="180">
        <v>9167.58</v>
      </c>
      <c r="AF12" s="180">
        <v>1.41</v>
      </c>
      <c r="AG12" s="179">
        <v>0.25369999999999998</v>
      </c>
      <c r="AH12" s="178">
        <v>3.94</v>
      </c>
      <c r="AI12" s="180">
        <v>4854.82</v>
      </c>
      <c r="AJ12" s="178">
        <v>294</v>
      </c>
      <c r="AK12" s="180">
        <v>11809.87</v>
      </c>
      <c r="AL12" s="179">
        <v>0.1406</v>
      </c>
      <c r="AM12" s="179">
        <v>-9.9199999999999997E-2</v>
      </c>
      <c r="AN12" s="179">
        <v>-0.28070000000000001</v>
      </c>
      <c r="AO12" s="179">
        <v>-0.1016</v>
      </c>
      <c r="AP12" s="179">
        <v>-0.1125</v>
      </c>
      <c r="AQ12" s="179">
        <v>-9.9400000000000002E-2</v>
      </c>
      <c r="AR12" s="179">
        <v>1.4200000000000001E-2</v>
      </c>
      <c r="AS12" s="179">
        <v>-1.4500000000000001E-2</v>
      </c>
      <c r="AT12" s="179">
        <v>3.9047999999999998</v>
      </c>
      <c r="AU12" s="179">
        <v>-0.80149999999999999</v>
      </c>
      <c r="AV12" s="179">
        <v>-4.9700000000000001E-2</v>
      </c>
      <c r="AW12" s="179">
        <v>-9.2200000000000004E-2</v>
      </c>
      <c r="AX12" s="179">
        <v>-5.1999999999999998E-2</v>
      </c>
      <c r="AY12" s="179">
        <v>5.5800000000000002E-2</v>
      </c>
      <c r="AZ12" s="179">
        <v>-8.2500000000000004E-2</v>
      </c>
      <c r="BA12" s="179">
        <v>-0.15310000000000001</v>
      </c>
      <c r="BB12" s="179">
        <v>-0.2104</v>
      </c>
    </row>
    <row r="13" spans="1:54">
      <c r="A13" s="185" t="s">
        <v>997</v>
      </c>
      <c r="B13" s="185" t="s">
        <v>1939</v>
      </c>
      <c r="C13" s="184">
        <v>0.18160000000000001</v>
      </c>
      <c r="D13" s="180">
        <v>2065.5</v>
      </c>
      <c r="E13" s="180" t="s">
        <v>1940</v>
      </c>
      <c r="F13" s="178">
        <v>638</v>
      </c>
      <c r="G13" s="178">
        <v>499</v>
      </c>
      <c r="H13" s="178">
        <v>452</v>
      </c>
      <c r="I13" s="179">
        <v>0.25069999999999998</v>
      </c>
      <c r="J13" s="180">
        <v>4.57</v>
      </c>
      <c r="K13" s="181">
        <v>1803</v>
      </c>
      <c r="L13" s="179">
        <v>0.01</v>
      </c>
      <c r="M13" s="181">
        <v>179411</v>
      </c>
      <c r="N13" s="180">
        <v>9559.68</v>
      </c>
      <c r="O13" s="180">
        <v>1.1499999999999999</v>
      </c>
      <c r="P13" s="179">
        <v>0.21609999999999999</v>
      </c>
      <c r="Q13" s="178">
        <v>4.63</v>
      </c>
      <c r="R13" s="180">
        <v>5116.3500000000004</v>
      </c>
      <c r="S13" s="178">
        <v>264</v>
      </c>
      <c r="T13" s="180">
        <v>11376.02</v>
      </c>
      <c r="U13" s="179">
        <v>0.1648</v>
      </c>
      <c r="V13" s="180">
        <v>2067.59</v>
      </c>
      <c r="W13" s="178">
        <v>749</v>
      </c>
      <c r="X13" s="178">
        <v>483</v>
      </c>
      <c r="Y13" s="178">
        <v>442</v>
      </c>
      <c r="Z13" s="179">
        <v>0.21609999999999999</v>
      </c>
      <c r="AA13" s="180">
        <v>4.68</v>
      </c>
      <c r="AB13" s="181">
        <v>2045</v>
      </c>
      <c r="AC13" s="179">
        <v>9.4000000000000004E-3</v>
      </c>
      <c r="AD13" s="181">
        <v>218041</v>
      </c>
      <c r="AE13" s="180">
        <v>8957.74</v>
      </c>
      <c r="AF13" s="180">
        <v>1.01</v>
      </c>
      <c r="AG13" s="179">
        <v>0.23080000000000001</v>
      </c>
      <c r="AH13" s="178">
        <v>4.33</v>
      </c>
      <c r="AI13" s="180">
        <v>5642.32</v>
      </c>
      <c r="AJ13" s="178">
        <v>300</v>
      </c>
      <c r="AK13" s="180">
        <v>12547.51</v>
      </c>
      <c r="AL13" s="179">
        <v>0.1019</v>
      </c>
      <c r="AM13" s="179">
        <v>-1E-3</v>
      </c>
      <c r="AN13" s="179">
        <v>-0.1482</v>
      </c>
      <c r="AO13" s="179">
        <v>3.3099999999999997E-2</v>
      </c>
      <c r="AP13" s="179">
        <v>2.2599999999999999E-2</v>
      </c>
      <c r="AQ13" s="179">
        <v>0.16009999999999999</v>
      </c>
      <c r="AR13" s="179">
        <v>-2.35E-2</v>
      </c>
      <c r="AS13" s="179">
        <v>-0.1183</v>
      </c>
      <c r="AT13" s="179">
        <v>6.3799999999999996E-2</v>
      </c>
      <c r="AU13" s="179">
        <v>-0.1772</v>
      </c>
      <c r="AV13" s="179">
        <v>6.7199999999999996E-2</v>
      </c>
      <c r="AW13" s="179">
        <v>0.1386</v>
      </c>
      <c r="AX13" s="179">
        <v>-6.3700000000000007E-2</v>
      </c>
      <c r="AY13" s="179">
        <v>6.93E-2</v>
      </c>
      <c r="AZ13" s="179">
        <v>-9.3200000000000005E-2</v>
      </c>
      <c r="BA13" s="179">
        <v>-0.12</v>
      </c>
      <c r="BB13" s="179">
        <v>-9.3399999999999997E-2</v>
      </c>
    </row>
    <row r="14" spans="1:54">
      <c r="A14" s="188" t="s">
        <v>455</v>
      </c>
      <c r="B14" s="188" t="s">
        <v>1941</v>
      </c>
      <c r="C14" s="184">
        <v>0.1915</v>
      </c>
      <c r="D14" s="180">
        <v>2023.46</v>
      </c>
      <c r="E14" s="180" t="s">
        <v>1924</v>
      </c>
      <c r="F14" s="178">
        <v>271</v>
      </c>
      <c r="G14" s="178">
        <v>352</v>
      </c>
      <c r="H14" s="178">
        <v>345</v>
      </c>
      <c r="I14" s="179">
        <v>0.25979999999999998</v>
      </c>
      <c r="J14" s="180">
        <v>5.87</v>
      </c>
      <c r="K14" s="181">
        <v>1328</v>
      </c>
      <c r="L14" s="179">
        <v>5.5999999999999999E-3</v>
      </c>
      <c r="M14" s="181">
        <v>236051</v>
      </c>
      <c r="N14" s="180">
        <v>11853.77</v>
      </c>
      <c r="O14" s="180">
        <v>1.52</v>
      </c>
      <c r="P14" s="179">
        <v>0.17069999999999999</v>
      </c>
      <c r="Q14" s="178">
        <v>5.86</v>
      </c>
      <c r="R14" s="180">
        <v>3353.14</v>
      </c>
      <c r="S14" s="178">
        <v>85</v>
      </c>
      <c r="T14" s="180">
        <v>10564.73</v>
      </c>
      <c r="U14" s="179">
        <v>0.2215</v>
      </c>
      <c r="V14" s="180">
        <v>1692.33</v>
      </c>
      <c r="W14" s="178">
        <v>196</v>
      </c>
      <c r="X14" s="178">
        <v>360</v>
      </c>
      <c r="Y14" s="178">
        <v>338</v>
      </c>
      <c r="Z14" s="179">
        <v>0.28100000000000003</v>
      </c>
      <c r="AA14" s="180">
        <v>5.01</v>
      </c>
      <c r="AB14" s="181">
        <v>1203</v>
      </c>
      <c r="AC14" s="179">
        <v>7.6E-3</v>
      </c>
      <c r="AD14" s="181">
        <v>158701</v>
      </c>
      <c r="AE14" s="180">
        <v>11212.8</v>
      </c>
      <c r="AF14" s="180">
        <v>1.41</v>
      </c>
      <c r="AG14" s="179">
        <v>0.15090000000000001</v>
      </c>
      <c r="AH14" s="178">
        <v>6.63</v>
      </c>
      <c r="AI14" s="180">
        <v>2378.39</v>
      </c>
      <c r="AJ14" s="178">
        <v>60</v>
      </c>
      <c r="AK14" s="180">
        <v>7641.65</v>
      </c>
      <c r="AL14" s="179">
        <v>-0.13539999999999999</v>
      </c>
      <c r="AM14" s="179">
        <v>0.19570000000000001</v>
      </c>
      <c r="AN14" s="179">
        <v>0.38269999999999998</v>
      </c>
      <c r="AO14" s="179">
        <v>-2.2200000000000001E-2</v>
      </c>
      <c r="AP14" s="179">
        <v>2.07E-2</v>
      </c>
      <c r="AQ14" s="179">
        <v>-7.5399999999999995E-2</v>
      </c>
      <c r="AR14" s="179">
        <v>0.17169999999999999</v>
      </c>
      <c r="AS14" s="179">
        <v>0.10390000000000001</v>
      </c>
      <c r="AT14" s="179">
        <v>-0.26319999999999999</v>
      </c>
      <c r="AU14" s="179">
        <v>0.4874</v>
      </c>
      <c r="AV14" s="179">
        <v>5.7200000000000001E-2</v>
      </c>
      <c r="AW14" s="179">
        <v>7.8E-2</v>
      </c>
      <c r="AX14" s="179">
        <v>0.13120000000000001</v>
      </c>
      <c r="AY14" s="179">
        <v>-0.11609999999999999</v>
      </c>
      <c r="AZ14" s="179">
        <v>0.4098</v>
      </c>
      <c r="BA14" s="179">
        <v>0.41670000000000001</v>
      </c>
      <c r="BB14" s="179">
        <v>0.38250000000000001</v>
      </c>
    </row>
    <row r="15" spans="1:54">
      <c r="A15" s="185" t="s">
        <v>311</v>
      </c>
      <c r="B15" s="185" t="s">
        <v>1942</v>
      </c>
      <c r="C15" s="184">
        <v>0.16450000000000001</v>
      </c>
      <c r="D15" s="180">
        <v>2014.14</v>
      </c>
      <c r="E15" s="180"/>
      <c r="F15" s="178">
        <v>657</v>
      </c>
      <c r="G15" s="178">
        <v>468</v>
      </c>
      <c r="H15" s="178">
        <v>428</v>
      </c>
      <c r="I15" s="179">
        <v>0.28070000000000001</v>
      </c>
      <c r="J15" s="180">
        <v>4.71</v>
      </c>
      <c r="K15" s="181">
        <v>1525</v>
      </c>
      <c r="L15" s="179">
        <v>1.03E-2</v>
      </c>
      <c r="M15" s="181">
        <v>147514</v>
      </c>
      <c r="N15" s="180">
        <v>10212.06</v>
      </c>
      <c r="O15" s="180">
        <v>1.32</v>
      </c>
      <c r="P15" s="179">
        <v>0.19719999999999999</v>
      </c>
      <c r="Q15" s="178">
        <v>5.07</v>
      </c>
      <c r="R15" s="180">
        <v>3777.78</v>
      </c>
      <c r="S15" s="178">
        <v>190</v>
      </c>
      <c r="T15" s="180">
        <v>12240.83</v>
      </c>
      <c r="U15" s="179">
        <v>0.16739999999999999</v>
      </c>
      <c r="V15" s="180">
        <v>1956.79</v>
      </c>
      <c r="W15" s="178">
        <v>669</v>
      </c>
      <c r="X15" s="178">
        <v>455</v>
      </c>
      <c r="Y15" s="178">
        <v>425</v>
      </c>
      <c r="Z15" s="179">
        <v>0.28389999999999999</v>
      </c>
      <c r="AA15" s="180">
        <v>4.5999999999999996</v>
      </c>
      <c r="AB15" s="181">
        <v>1497</v>
      </c>
      <c r="AC15" s="179">
        <v>5.7999999999999996E-3</v>
      </c>
      <c r="AD15" s="181">
        <v>257515</v>
      </c>
      <c r="AE15" s="180">
        <v>9742.35</v>
      </c>
      <c r="AF15" s="180">
        <v>1.31</v>
      </c>
      <c r="AG15" s="179">
        <v>0.2009</v>
      </c>
      <c r="AH15" s="178">
        <v>4.9800000000000004</v>
      </c>
      <c r="AI15" s="180">
        <v>3892.79</v>
      </c>
      <c r="AJ15" s="178">
        <v>207</v>
      </c>
      <c r="AK15" s="180">
        <v>11691.31</v>
      </c>
      <c r="AL15" s="179">
        <v>-1.7299999999999999E-2</v>
      </c>
      <c r="AM15" s="179">
        <v>2.93E-2</v>
      </c>
      <c r="AN15" s="179">
        <v>-1.7899999999999999E-2</v>
      </c>
      <c r="AO15" s="179">
        <v>2.86E-2</v>
      </c>
      <c r="AP15" s="179">
        <v>7.1000000000000004E-3</v>
      </c>
      <c r="AQ15" s="179">
        <v>-1.1299999999999999E-2</v>
      </c>
      <c r="AR15" s="179">
        <v>2.3900000000000001E-2</v>
      </c>
      <c r="AS15" s="179">
        <v>1.8700000000000001E-2</v>
      </c>
      <c r="AT15" s="179">
        <v>0.77590000000000003</v>
      </c>
      <c r="AU15" s="179">
        <v>-0.42720000000000002</v>
      </c>
      <c r="AV15" s="179">
        <v>4.82E-2</v>
      </c>
      <c r="AW15" s="179">
        <v>7.6E-3</v>
      </c>
      <c r="AX15" s="179">
        <v>-1.84E-2</v>
      </c>
      <c r="AY15" s="179">
        <v>1.8100000000000002E-2</v>
      </c>
      <c r="AZ15" s="179">
        <v>-2.9499999999999998E-2</v>
      </c>
      <c r="BA15" s="179">
        <v>-8.2100000000000006E-2</v>
      </c>
      <c r="BB15" s="179">
        <v>4.7E-2</v>
      </c>
    </row>
    <row r="16" spans="1:54">
      <c r="A16" s="185" t="s">
        <v>684</v>
      </c>
      <c r="B16" s="185" t="s">
        <v>1943</v>
      </c>
      <c r="C16" s="184">
        <v>0.19850000000000001</v>
      </c>
      <c r="D16" s="180">
        <v>1987.73</v>
      </c>
      <c r="E16" s="187" t="s">
        <v>1944</v>
      </c>
      <c r="F16" s="178">
        <v>364</v>
      </c>
      <c r="G16" s="178">
        <v>375</v>
      </c>
      <c r="H16" s="178">
        <v>369</v>
      </c>
      <c r="I16" s="179">
        <v>0.17380000000000001</v>
      </c>
      <c r="J16" s="180">
        <v>5.39</v>
      </c>
      <c r="K16" s="181">
        <v>2123</v>
      </c>
      <c r="L16" s="179">
        <v>1.6299999999999999E-2</v>
      </c>
      <c r="M16" s="181">
        <v>129988</v>
      </c>
      <c r="N16" s="180">
        <v>9704.83</v>
      </c>
      <c r="O16" s="180">
        <v>0.94</v>
      </c>
      <c r="P16" s="179">
        <v>0.20480000000000001</v>
      </c>
      <c r="Q16" s="178">
        <v>4.88</v>
      </c>
      <c r="R16" s="180">
        <v>4197.8900000000003</v>
      </c>
      <c r="S16" s="178">
        <v>150</v>
      </c>
      <c r="T16" s="180">
        <v>10013.959999999999</v>
      </c>
      <c r="U16" s="179">
        <v>6.3799999999999996E-2</v>
      </c>
      <c r="V16" s="180">
        <v>15.3</v>
      </c>
      <c r="W16" s="178">
        <v>8</v>
      </c>
      <c r="X16" s="178">
        <v>10</v>
      </c>
      <c r="Y16" s="178">
        <v>10</v>
      </c>
      <c r="Z16" s="179">
        <v>0.66669999999999996</v>
      </c>
      <c r="AA16" s="180">
        <v>1.53</v>
      </c>
      <c r="AB16" s="178">
        <v>15</v>
      </c>
      <c r="AC16" s="179">
        <v>2.4299999999999999E-2</v>
      </c>
      <c r="AD16" s="178">
        <v>618</v>
      </c>
      <c r="AE16" s="180">
        <v>278.7</v>
      </c>
      <c r="AF16" s="180">
        <v>1.02</v>
      </c>
      <c r="AG16" s="179">
        <v>5.4899999999999997E-2</v>
      </c>
      <c r="AH16" s="178">
        <v>18.22</v>
      </c>
      <c r="AI16" s="180">
        <v>89.97</v>
      </c>
      <c r="AJ16" s="178">
        <v>3</v>
      </c>
      <c r="AK16" s="180">
        <v>239.92</v>
      </c>
      <c r="AL16" s="179">
        <v>2.1113</v>
      </c>
      <c r="AM16" s="179">
        <v>128.917</v>
      </c>
      <c r="AN16" s="179">
        <v>44.5</v>
      </c>
      <c r="AO16" s="179">
        <v>36.5</v>
      </c>
      <c r="AP16" s="179">
        <v>35.9</v>
      </c>
      <c r="AQ16" s="179">
        <v>-0.73929999999999996</v>
      </c>
      <c r="AR16" s="179">
        <v>2.5228999999999999</v>
      </c>
      <c r="AS16" s="179">
        <v>140.5333</v>
      </c>
      <c r="AT16" s="179">
        <v>-0.32919999999999999</v>
      </c>
      <c r="AU16" s="179">
        <v>209.3366</v>
      </c>
      <c r="AV16" s="179">
        <v>33.821800000000003</v>
      </c>
      <c r="AW16" s="179">
        <v>-7.8399999999999997E-2</v>
      </c>
      <c r="AX16" s="179">
        <v>2.7303999999999999</v>
      </c>
      <c r="AY16" s="179">
        <v>-0.73219999999999996</v>
      </c>
      <c r="AZ16" s="179">
        <v>45.658799999999999</v>
      </c>
      <c r="BA16" s="179">
        <v>49</v>
      </c>
      <c r="BB16" s="179">
        <v>40.738700000000001</v>
      </c>
    </row>
    <row r="17" spans="1:54">
      <c r="A17" s="185" t="s">
        <v>756</v>
      </c>
      <c r="B17" s="185" t="s">
        <v>1945</v>
      </c>
      <c r="C17" s="184">
        <v>0.223</v>
      </c>
      <c r="D17" s="180">
        <v>1941.43</v>
      </c>
      <c r="E17" s="180" t="s">
        <v>1946</v>
      </c>
      <c r="F17" s="178">
        <v>517</v>
      </c>
      <c r="G17" s="178">
        <v>563</v>
      </c>
      <c r="H17" s="178">
        <v>514</v>
      </c>
      <c r="I17" s="179">
        <v>0.27650000000000002</v>
      </c>
      <c r="J17" s="180">
        <v>3.78</v>
      </c>
      <c r="K17" s="181">
        <v>1859</v>
      </c>
      <c r="L17" s="179">
        <v>9.5999999999999992E-3</v>
      </c>
      <c r="M17" s="181">
        <v>193539</v>
      </c>
      <c r="N17" s="180">
        <v>12883.01</v>
      </c>
      <c r="O17" s="180">
        <v>1.04</v>
      </c>
      <c r="P17" s="179">
        <v>0.1507</v>
      </c>
      <c r="Q17" s="178">
        <v>6.64</v>
      </c>
      <c r="R17" s="180">
        <v>4313.03</v>
      </c>
      <c r="S17" s="178">
        <v>241</v>
      </c>
      <c r="T17" s="180">
        <v>8706.43</v>
      </c>
      <c r="U17" s="182" t="s">
        <v>1947</v>
      </c>
      <c r="V17" s="180">
        <v>0</v>
      </c>
      <c r="W17" s="182" t="s">
        <v>1947</v>
      </c>
      <c r="X17" s="182" t="s">
        <v>1947</v>
      </c>
      <c r="Y17" s="182" t="s">
        <v>1947</v>
      </c>
      <c r="Z17" s="182" t="s">
        <v>1947</v>
      </c>
      <c r="AA17" s="180">
        <v>0</v>
      </c>
      <c r="AB17" s="182" t="s">
        <v>1947</v>
      </c>
      <c r="AC17" s="182" t="s">
        <v>1947</v>
      </c>
      <c r="AD17" s="182" t="s">
        <v>1947</v>
      </c>
      <c r="AE17" s="180">
        <v>0</v>
      </c>
      <c r="AF17" s="180">
        <v>0</v>
      </c>
      <c r="AG17" s="182" t="s">
        <v>1947</v>
      </c>
      <c r="AH17" s="182" t="s">
        <v>1947</v>
      </c>
      <c r="AI17" s="180">
        <v>0</v>
      </c>
      <c r="AJ17" s="182" t="s">
        <v>1947</v>
      </c>
      <c r="AK17" s="180">
        <v>0</v>
      </c>
      <c r="AL17" s="179">
        <v>22.3</v>
      </c>
      <c r="AM17" s="179">
        <v>1941.43</v>
      </c>
      <c r="AN17" s="179">
        <v>517</v>
      </c>
      <c r="AO17" s="179">
        <v>563</v>
      </c>
      <c r="AP17" s="179">
        <v>514</v>
      </c>
      <c r="AQ17" s="179">
        <v>27.65</v>
      </c>
      <c r="AR17" s="179">
        <v>3.78</v>
      </c>
      <c r="AS17" s="179">
        <v>1859</v>
      </c>
      <c r="AT17" s="179">
        <v>0.96</v>
      </c>
      <c r="AU17" s="179">
        <v>193539</v>
      </c>
      <c r="AV17" s="179">
        <v>12883.01</v>
      </c>
      <c r="AW17" s="179">
        <v>1.04</v>
      </c>
      <c r="AX17" s="179">
        <v>15.07</v>
      </c>
      <c r="AY17" s="179">
        <v>6.64</v>
      </c>
      <c r="AZ17" s="179">
        <v>4313.03</v>
      </c>
      <c r="BA17" s="179">
        <v>241</v>
      </c>
      <c r="BB17" s="179">
        <v>8706.43</v>
      </c>
    </row>
    <row r="18" spans="1:54">
      <c r="A18" s="185" t="s">
        <v>618</v>
      </c>
      <c r="B18" s="185" t="s">
        <v>1948</v>
      </c>
      <c r="C18" s="184">
        <v>0.2238</v>
      </c>
      <c r="D18" s="180">
        <v>1879.27</v>
      </c>
      <c r="E18" s="180" t="s">
        <v>1949</v>
      </c>
      <c r="F18" s="178">
        <v>633</v>
      </c>
      <c r="G18" s="178">
        <v>389</v>
      </c>
      <c r="H18" s="178">
        <v>373</v>
      </c>
      <c r="I18" s="179">
        <v>0.2903</v>
      </c>
      <c r="J18" s="180">
        <v>5.04</v>
      </c>
      <c r="K18" s="181">
        <v>1285</v>
      </c>
      <c r="L18" s="179">
        <v>1.06E-2</v>
      </c>
      <c r="M18" s="181">
        <v>121641</v>
      </c>
      <c r="N18" s="180">
        <v>6068.07</v>
      </c>
      <c r="O18" s="180">
        <v>1.46</v>
      </c>
      <c r="P18" s="184">
        <v>0.30969999999999998</v>
      </c>
      <c r="Q18" s="178">
        <v>3.23</v>
      </c>
      <c r="R18" s="180">
        <v>4880.24</v>
      </c>
      <c r="S18" s="178">
        <v>325</v>
      </c>
      <c r="T18" s="180">
        <v>8395.67</v>
      </c>
      <c r="U18" s="179">
        <v>0.25440000000000002</v>
      </c>
      <c r="V18" s="180">
        <v>1507.62</v>
      </c>
      <c r="W18" s="178">
        <v>413</v>
      </c>
      <c r="X18" s="178">
        <v>264</v>
      </c>
      <c r="Y18" s="178">
        <v>256</v>
      </c>
      <c r="Z18" s="179">
        <v>0.2626</v>
      </c>
      <c r="AA18" s="180">
        <v>5.89</v>
      </c>
      <c r="AB18" s="178">
        <v>975</v>
      </c>
      <c r="AC18" s="179">
        <v>1.0800000000000001E-2</v>
      </c>
      <c r="AD18" s="181">
        <v>90534</v>
      </c>
      <c r="AE18" s="180">
        <v>4019.7</v>
      </c>
      <c r="AF18" s="180">
        <v>1.55</v>
      </c>
      <c r="AG18" s="179">
        <v>0.37509999999999999</v>
      </c>
      <c r="AH18" s="178">
        <v>2.67</v>
      </c>
      <c r="AI18" s="180">
        <v>3434.81</v>
      </c>
      <c r="AJ18" s="178">
        <v>233</v>
      </c>
      <c r="AK18" s="180">
        <v>5925.49</v>
      </c>
      <c r="AL18" s="179">
        <v>-0.1203</v>
      </c>
      <c r="AM18" s="179">
        <v>0.2465</v>
      </c>
      <c r="AN18" s="179">
        <v>0.53269999999999995</v>
      </c>
      <c r="AO18" s="179">
        <v>0.47349999999999998</v>
      </c>
      <c r="AP18" s="179">
        <v>0.45700000000000002</v>
      </c>
      <c r="AQ18" s="179">
        <v>0.1055</v>
      </c>
      <c r="AR18" s="179">
        <v>-0.14430000000000001</v>
      </c>
      <c r="AS18" s="179">
        <v>0.31790000000000002</v>
      </c>
      <c r="AT18" s="179">
        <v>-1.8499999999999999E-2</v>
      </c>
      <c r="AU18" s="179">
        <v>0.34360000000000002</v>
      </c>
      <c r="AV18" s="179">
        <v>0.50960000000000005</v>
      </c>
      <c r="AW18" s="179">
        <v>-5.8099999999999999E-2</v>
      </c>
      <c r="AX18" s="179">
        <v>-0.1744</v>
      </c>
      <c r="AY18" s="179">
        <v>0.2097</v>
      </c>
      <c r="AZ18" s="179">
        <v>0.42080000000000001</v>
      </c>
      <c r="BA18" s="179">
        <v>0.39479999999999998</v>
      </c>
      <c r="BB18" s="179">
        <v>0.41689999999999999</v>
      </c>
    </row>
    <row r="19" spans="1:54">
      <c r="A19" s="185" t="s">
        <v>297</v>
      </c>
      <c r="B19" s="185" t="s">
        <v>1950</v>
      </c>
      <c r="C19" s="184">
        <v>0.15529999999999999</v>
      </c>
      <c r="D19" s="180">
        <v>1868.22</v>
      </c>
      <c r="E19" s="187" t="s">
        <v>1951</v>
      </c>
      <c r="F19" s="178">
        <v>645</v>
      </c>
      <c r="G19" s="178">
        <v>322</v>
      </c>
      <c r="H19" s="178">
        <v>302</v>
      </c>
      <c r="I19" s="179">
        <v>0.21679999999999999</v>
      </c>
      <c r="J19" s="180">
        <v>6.19</v>
      </c>
      <c r="K19" s="181">
        <v>1393</v>
      </c>
      <c r="L19" s="179">
        <v>1.43E-2</v>
      </c>
      <c r="M19" s="181">
        <v>97171</v>
      </c>
      <c r="N19" s="180">
        <v>7644.95</v>
      </c>
      <c r="O19" s="180">
        <v>1.34</v>
      </c>
      <c r="P19" s="179">
        <v>0.24440000000000001</v>
      </c>
      <c r="Q19" s="178">
        <v>4.09</v>
      </c>
      <c r="R19" s="180">
        <v>2498.4899999999998</v>
      </c>
      <c r="S19" s="178">
        <v>120</v>
      </c>
      <c r="T19" s="180">
        <v>12027.75</v>
      </c>
      <c r="U19" s="179">
        <v>0.1469</v>
      </c>
      <c r="V19" s="180">
        <v>1724.48</v>
      </c>
      <c r="W19" s="178">
        <v>676</v>
      </c>
      <c r="X19" s="178">
        <v>322</v>
      </c>
      <c r="Y19" s="178">
        <v>295</v>
      </c>
      <c r="Z19" s="179">
        <v>0.1865</v>
      </c>
      <c r="AA19" s="180">
        <v>5.85</v>
      </c>
      <c r="AB19" s="181">
        <v>1582</v>
      </c>
      <c r="AC19" s="179">
        <v>9.1000000000000004E-3</v>
      </c>
      <c r="AD19" s="181">
        <v>173432</v>
      </c>
      <c r="AE19" s="180">
        <v>7322.29</v>
      </c>
      <c r="AF19" s="180">
        <v>1.0900000000000001</v>
      </c>
      <c r="AG19" s="179">
        <v>0.23549999999999999</v>
      </c>
      <c r="AH19" s="178">
        <v>4.25</v>
      </c>
      <c r="AI19" s="180">
        <v>2400.66</v>
      </c>
      <c r="AJ19" s="178">
        <v>127</v>
      </c>
      <c r="AK19" s="180">
        <v>11739.84</v>
      </c>
      <c r="AL19" s="179">
        <v>5.7200000000000001E-2</v>
      </c>
      <c r="AM19" s="179">
        <v>8.3400000000000002E-2</v>
      </c>
      <c r="AN19" s="179">
        <v>-4.5900000000000003E-2</v>
      </c>
      <c r="AO19" s="179">
        <v>0</v>
      </c>
      <c r="AP19" s="179">
        <v>2.3699999999999999E-2</v>
      </c>
      <c r="AQ19" s="179">
        <v>0.16250000000000001</v>
      </c>
      <c r="AR19" s="179">
        <v>5.8099999999999999E-2</v>
      </c>
      <c r="AS19" s="179">
        <v>-0.1195</v>
      </c>
      <c r="AT19" s="179">
        <v>0.57140000000000002</v>
      </c>
      <c r="AU19" s="179">
        <v>-0.43969999999999998</v>
      </c>
      <c r="AV19" s="179">
        <v>4.41E-2</v>
      </c>
      <c r="AW19" s="179">
        <v>0.22939999999999999</v>
      </c>
      <c r="AX19" s="179">
        <v>3.78E-2</v>
      </c>
      <c r="AY19" s="179">
        <v>-3.7600000000000001E-2</v>
      </c>
      <c r="AZ19" s="179">
        <v>4.0800000000000003E-2</v>
      </c>
      <c r="BA19" s="179">
        <v>-5.5100000000000003E-2</v>
      </c>
      <c r="BB19" s="179">
        <v>2.4500000000000001E-2</v>
      </c>
    </row>
    <row r="20" spans="1:54">
      <c r="A20" s="185" t="s">
        <v>230</v>
      </c>
      <c r="B20" s="185" t="s">
        <v>1952</v>
      </c>
      <c r="C20" s="184">
        <v>0.16120000000000001</v>
      </c>
      <c r="D20" s="180">
        <v>1852.31</v>
      </c>
      <c r="E20" s="187" t="s">
        <v>1953</v>
      </c>
      <c r="F20" s="178">
        <v>677</v>
      </c>
      <c r="G20" s="178">
        <v>339</v>
      </c>
      <c r="H20" s="178">
        <v>316</v>
      </c>
      <c r="I20" s="179">
        <v>0.27889999999999998</v>
      </c>
      <c r="J20" s="180">
        <v>5.86</v>
      </c>
      <c r="K20" s="181">
        <v>1133</v>
      </c>
      <c r="L20" s="179">
        <v>6.3E-3</v>
      </c>
      <c r="M20" s="181">
        <v>181077</v>
      </c>
      <c r="N20" s="180">
        <v>6475.64</v>
      </c>
      <c r="O20" s="180">
        <v>1.63</v>
      </c>
      <c r="P20" s="179">
        <v>0.28599999999999998</v>
      </c>
      <c r="Q20" s="178">
        <v>3.5</v>
      </c>
      <c r="R20" s="180">
        <v>3404.64</v>
      </c>
      <c r="S20" s="178">
        <v>194</v>
      </c>
      <c r="T20" s="180">
        <v>11490.03</v>
      </c>
      <c r="U20" s="179">
        <v>0.14560000000000001</v>
      </c>
      <c r="V20" s="180">
        <v>1951.52</v>
      </c>
      <c r="W20" s="178">
        <v>791</v>
      </c>
      <c r="X20" s="178">
        <v>344</v>
      </c>
      <c r="Y20" s="178">
        <v>331</v>
      </c>
      <c r="Z20" s="179">
        <v>0.29549999999999998</v>
      </c>
      <c r="AA20" s="180">
        <v>5.9</v>
      </c>
      <c r="AB20" s="181">
        <v>1120</v>
      </c>
      <c r="AC20" s="179">
        <v>4.3E-3</v>
      </c>
      <c r="AD20" s="181">
        <v>261512</v>
      </c>
      <c r="AE20" s="180">
        <v>6866.17</v>
      </c>
      <c r="AF20" s="180">
        <v>1.74</v>
      </c>
      <c r="AG20" s="179">
        <v>0.28420000000000001</v>
      </c>
      <c r="AH20" s="178">
        <v>3.52</v>
      </c>
      <c r="AI20" s="180">
        <v>3843.98</v>
      </c>
      <c r="AJ20" s="178">
        <v>214</v>
      </c>
      <c r="AK20" s="180">
        <v>13405.09</v>
      </c>
      <c r="AL20" s="179">
        <v>0.1071</v>
      </c>
      <c r="AM20" s="179">
        <v>-5.0799999999999998E-2</v>
      </c>
      <c r="AN20" s="179">
        <v>-0.14410000000000001</v>
      </c>
      <c r="AO20" s="179">
        <v>-1.4500000000000001E-2</v>
      </c>
      <c r="AP20" s="179">
        <v>-4.53E-2</v>
      </c>
      <c r="AQ20" s="179">
        <v>-5.62E-2</v>
      </c>
      <c r="AR20" s="179">
        <v>-6.7999999999999996E-3</v>
      </c>
      <c r="AS20" s="179">
        <v>1.1599999999999999E-2</v>
      </c>
      <c r="AT20" s="179">
        <v>0.46510000000000001</v>
      </c>
      <c r="AU20" s="179">
        <v>-0.30759999999999998</v>
      </c>
      <c r="AV20" s="179">
        <v>-5.6899999999999999E-2</v>
      </c>
      <c r="AW20" s="179">
        <v>-6.3200000000000006E-2</v>
      </c>
      <c r="AX20" s="179">
        <v>6.3E-3</v>
      </c>
      <c r="AY20" s="179">
        <v>-5.7000000000000002E-3</v>
      </c>
      <c r="AZ20" s="179">
        <v>-0.1143</v>
      </c>
      <c r="BA20" s="179">
        <v>-9.35E-2</v>
      </c>
      <c r="BB20" s="179">
        <v>-0.1429</v>
      </c>
    </row>
    <row r="21" spans="1:54">
      <c r="A21" s="185" t="s">
        <v>1049</v>
      </c>
      <c r="B21" s="185" t="s">
        <v>1954</v>
      </c>
      <c r="C21" s="184">
        <v>0.2094</v>
      </c>
      <c r="D21" s="180">
        <v>1841.75</v>
      </c>
      <c r="E21" s="180" t="s">
        <v>1955</v>
      </c>
      <c r="F21" s="178">
        <v>440</v>
      </c>
      <c r="G21" s="178">
        <v>408</v>
      </c>
      <c r="H21" s="178">
        <v>393</v>
      </c>
      <c r="I21" s="179">
        <v>0.22</v>
      </c>
      <c r="J21" s="180">
        <v>4.6900000000000004</v>
      </c>
      <c r="K21" s="181">
        <v>1786</v>
      </c>
      <c r="L21" s="179">
        <v>8.5000000000000006E-3</v>
      </c>
      <c r="M21" s="181">
        <v>210905</v>
      </c>
      <c r="N21" s="180">
        <v>8352.89</v>
      </c>
      <c r="O21" s="180">
        <v>1.03</v>
      </c>
      <c r="P21" s="179">
        <v>0.2205</v>
      </c>
      <c r="Q21" s="178">
        <v>4.54</v>
      </c>
      <c r="R21" s="180">
        <v>7015.69</v>
      </c>
      <c r="S21" s="178">
        <v>341</v>
      </c>
      <c r="T21" s="180">
        <v>8794.6</v>
      </c>
      <c r="U21" s="182" t="s">
        <v>1947</v>
      </c>
      <c r="V21" s="180">
        <v>0</v>
      </c>
      <c r="W21" s="178">
        <v>0</v>
      </c>
      <c r="X21" s="178">
        <v>0</v>
      </c>
      <c r="Y21" s="178">
        <v>0</v>
      </c>
      <c r="Z21" s="182" t="s">
        <v>1947</v>
      </c>
      <c r="AA21" s="180">
        <v>0</v>
      </c>
      <c r="AB21" s="178">
        <v>0</v>
      </c>
      <c r="AC21" s="179">
        <v>0</v>
      </c>
      <c r="AD21" s="178">
        <v>162</v>
      </c>
      <c r="AE21" s="180">
        <v>0</v>
      </c>
      <c r="AF21" s="180">
        <v>0</v>
      </c>
      <c r="AG21" s="182" t="s">
        <v>1947</v>
      </c>
      <c r="AH21" s="182" t="s">
        <v>1947</v>
      </c>
      <c r="AI21" s="180">
        <v>0</v>
      </c>
      <c r="AJ21" s="178">
        <v>0</v>
      </c>
      <c r="AK21" s="180">
        <v>0</v>
      </c>
      <c r="AL21" s="179">
        <v>20.94</v>
      </c>
      <c r="AM21" s="179">
        <v>1841.75</v>
      </c>
      <c r="AN21" s="179">
        <v>440</v>
      </c>
      <c r="AO21" s="179">
        <v>408</v>
      </c>
      <c r="AP21" s="179">
        <v>393</v>
      </c>
      <c r="AQ21" s="179">
        <v>22</v>
      </c>
      <c r="AR21" s="179">
        <v>4.6900000000000004</v>
      </c>
      <c r="AS21" s="179">
        <v>1786</v>
      </c>
      <c r="AT21" s="179">
        <v>0.85</v>
      </c>
      <c r="AU21" s="179">
        <v>1300.8827000000001</v>
      </c>
      <c r="AV21" s="179">
        <v>8352.89</v>
      </c>
      <c r="AW21" s="179">
        <v>1.03</v>
      </c>
      <c r="AX21" s="179">
        <v>22.05</v>
      </c>
      <c r="AY21" s="179">
        <v>4.54</v>
      </c>
      <c r="AZ21" s="179">
        <v>7015.69</v>
      </c>
      <c r="BA21" s="179">
        <v>341</v>
      </c>
      <c r="BB21" s="179">
        <v>8794.6</v>
      </c>
    </row>
    <row r="22" spans="1:54">
      <c r="A22" s="185" t="s">
        <v>733</v>
      </c>
      <c r="B22" s="185" t="s">
        <v>1956</v>
      </c>
      <c r="C22" s="184">
        <v>0.1721</v>
      </c>
      <c r="D22" s="180">
        <v>1818.99</v>
      </c>
      <c r="E22" s="180" t="s">
        <v>1957</v>
      </c>
      <c r="F22" s="178">
        <v>639</v>
      </c>
      <c r="G22" s="178">
        <v>437</v>
      </c>
      <c r="H22" s="178">
        <v>415</v>
      </c>
      <c r="I22" s="179">
        <v>0.3352</v>
      </c>
      <c r="J22" s="180">
        <v>4.38</v>
      </c>
      <c r="K22" s="181">
        <v>1238</v>
      </c>
      <c r="L22" s="179">
        <v>6.1000000000000004E-3</v>
      </c>
      <c r="M22" s="181">
        <v>204146</v>
      </c>
      <c r="N22" s="180">
        <v>8275.99</v>
      </c>
      <c r="O22" s="180">
        <v>1.47</v>
      </c>
      <c r="P22" s="179">
        <v>0.2198</v>
      </c>
      <c r="Q22" s="178">
        <v>4.55</v>
      </c>
      <c r="R22" s="180">
        <v>5204.67</v>
      </c>
      <c r="S22" s="178">
        <v>297</v>
      </c>
      <c r="T22" s="180">
        <v>10568.81</v>
      </c>
      <c r="U22" s="179">
        <v>0.1401</v>
      </c>
      <c r="V22" s="180">
        <v>485.69</v>
      </c>
      <c r="W22" s="178">
        <v>173</v>
      </c>
      <c r="X22" s="178">
        <v>172</v>
      </c>
      <c r="Y22" s="178">
        <v>141</v>
      </c>
      <c r="Z22" s="179">
        <v>0.376</v>
      </c>
      <c r="AA22" s="180">
        <v>3.44</v>
      </c>
      <c r="AB22" s="178">
        <v>375</v>
      </c>
      <c r="AC22" s="179">
        <v>1.8200000000000001E-2</v>
      </c>
      <c r="AD22" s="181">
        <v>20573</v>
      </c>
      <c r="AE22" s="180">
        <v>3637.85</v>
      </c>
      <c r="AF22" s="180">
        <v>1.3</v>
      </c>
      <c r="AG22" s="179">
        <v>0.13350000000000001</v>
      </c>
      <c r="AH22" s="178">
        <v>7.49</v>
      </c>
      <c r="AI22" s="180">
        <v>1718.94</v>
      </c>
      <c r="AJ22" s="178">
        <v>86</v>
      </c>
      <c r="AK22" s="180">
        <v>3467.47</v>
      </c>
      <c r="AL22" s="179">
        <v>0.22839999999999999</v>
      </c>
      <c r="AM22" s="179">
        <v>2.7452000000000001</v>
      </c>
      <c r="AN22" s="179">
        <v>2.6936</v>
      </c>
      <c r="AO22" s="179">
        <v>1.5407</v>
      </c>
      <c r="AP22" s="179">
        <v>1.9433</v>
      </c>
      <c r="AQ22" s="179">
        <v>-0.1085</v>
      </c>
      <c r="AR22" s="179">
        <v>0.27329999999999999</v>
      </c>
      <c r="AS22" s="179">
        <v>2.3012999999999999</v>
      </c>
      <c r="AT22" s="179">
        <v>-0.66479999999999995</v>
      </c>
      <c r="AU22" s="179">
        <v>8.923</v>
      </c>
      <c r="AV22" s="179">
        <v>1.2749999999999999</v>
      </c>
      <c r="AW22" s="179">
        <v>0.1308</v>
      </c>
      <c r="AX22" s="179">
        <v>0.64639999999999997</v>
      </c>
      <c r="AY22" s="179">
        <v>-0.39250000000000002</v>
      </c>
      <c r="AZ22" s="179">
        <v>2.0278</v>
      </c>
      <c r="BA22" s="179">
        <v>2.4535</v>
      </c>
      <c r="BB22" s="179">
        <v>2.048</v>
      </c>
    </row>
    <row r="23" spans="1:54">
      <c r="A23" s="185" t="s">
        <v>968</v>
      </c>
      <c r="B23" s="185" t="s">
        <v>1958</v>
      </c>
      <c r="C23" s="184">
        <v>0.20319999999999999</v>
      </c>
      <c r="D23" s="180">
        <v>1758.94</v>
      </c>
      <c r="E23" s="180" t="s">
        <v>1959</v>
      </c>
      <c r="F23" s="178">
        <v>433</v>
      </c>
      <c r="G23" s="178">
        <v>347</v>
      </c>
      <c r="H23" s="178">
        <v>315</v>
      </c>
      <c r="I23" s="179">
        <v>0.31659999999999999</v>
      </c>
      <c r="J23" s="180">
        <v>5.58</v>
      </c>
      <c r="K23" s="178">
        <v>995</v>
      </c>
      <c r="L23" s="179">
        <v>1.7100000000000001E-2</v>
      </c>
      <c r="M23" s="181">
        <v>58327</v>
      </c>
      <c r="N23" s="180">
        <v>7195.89</v>
      </c>
      <c r="O23" s="180">
        <v>1.77</v>
      </c>
      <c r="P23" s="179">
        <v>0.24440000000000001</v>
      </c>
      <c r="Q23" s="178">
        <v>4.09</v>
      </c>
      <c r="R23" s="180">
        <v>2658.83</v>
      </c>
      <c r="S23" s="178">
        <v>127</v>
      </c>
      <c r="T23" s="180">
        <v>8657.7900000000009</v>
      </c>
      <c r="U23" s="179">
        <v>0.14480000000000001</v>
      </c>
      <c r="V23" s="180">
        <v>2746.31</v>
      </c>
      <c r="W23" s="181">
        <v>1082</v>
      </c>
      <c r="X23" s="178">
        <v>538</v>
      </c>
      <c r="Y23" s="178">
        <v>492</v>
      </c>
      <c r="Z23" s="179">
        <v>0.26939999999999997</v>
      </c>
      <c r="AA23" s="180">
        <v>5.58</v>
      </c>
      <c r="AB23" s="181">
        <v>1826</v>
      </c>
      <c r="AC23" s="179">
        <v>1E-3</v>
      </c>
      <c r="AD23" s="181">
        <v>1794494</v>
      </c>
      <c r="AE23" s="180">
        <v>10239.68</v>
      </c>
      <c r="AF23" s="180">
        <v>1.5</v>
      </c>
      <c r="AG23" s="179">
        <v>0.26819999999999999</v>
      </c>
      <c r="AH23" s="178">
        <v>3.73</v>
      </c>
      <c r="AI23" s="180">
        <v>5368.93</v>
      </c>
      <c r="AJ23" s="178">
        <v>274</v>
      </c>
      <c r="AK23" s="180">
        <v>18960.580000000002</v>
      </c>
      <c r="AL23" s="179">
        <v>0.40329999999999999</v>
      </c>
      <c r="AM23" s="179">
        <v>-0.35949999999999999</v>
      </c>
      <c r="AN23" s="179">
        <v>-0.5998</v>
      </c>
      <c r="AO23" s="179">
        <v>-0.35499999999999998</v>
      </c>
      <c r="AP23" s="179">
        <v>-0.35980000000000001</v>
      </c>
      <c r="AQ23" s="179">
        <v>0.17519999999999999</v>
      </c>
      <c r="AR23" s="179">
        <v>0</v>
      </c>
      <c r="AS23" s="179">
        <v>-0.4551</v>
      </c>
      <c r="AT23" s="179">
        <v>16.100000000000001</v>
      </c>
      <c r="AU23" s="179">
        <v>-0.96750000000000003</v>
      </c>
      <c r="AV23" s="179">
        <v>-0.29730000000000001</v>
      </c>
      <c r="AW23" s="179">
        <v>0.18</v>
      </c>
      <c r="AX23" s="179">
        <v>-8.8700000000000001E-2</v>
      </c>
      <c r="AY23" s="179">
        <v>9.6500000000000002E-2</v>
      </c>
      <c r="AZ23" s="179">
        <v>-0.50480000000000003</v>
      </c>
      <c r="BA23" s="179">
        <v>-0.53649999999999998</v>
      </c>
      <c r="BB23" s="179">
        <v>-0.54339999999999999</v>
      </c>
    </row>
    <row r="24" spans="1:54">
      <c r="A24" s="185" t="s">
        <v>165</v>
      </c>
      <c r="B24" s="185" t="s">
        <v>1960</v>
      </c>
      <c r="C24" s="184">
        <v>0.26390000000000002</v>
      </c>
      <c r="D24" s="180">
        <v>1741.78</v>
      </c>
      <c r="E24" s="180" t="s">
        <v>1961</v>
      </c>
      <c r="F24" s="178">
        <v>369</v>
      </c>
      <c r="G24" s="178">
        <v>316</v>
      </c>
      <c r="H24" s="178">
        <v>302</v>
      </c>
      <c r="I24" s="179">
        <v>0.18459999999999999</v>
      </c>
      <c r="J24" s="180">
        <v>5.77</v>
      </c>
      <c r="K24" s="181">
        <v>1636</v>
      </c>
      <c r="L24" s="179">
        <v>8.6999999999999994E-3</v>
      </c>
      <c r="M24" s="181">
        <v>187811</v>
      </c>
      <c r="N24" s="180">
        <v>6125.61</v>
      </c>
      <c r="O24" s="180">
        <v>1.06</v>
      </c>
      <c r="P24" s="179">
        <v>0.2843</v>
      </c>
      <c r="Q24" s="178">
        <v>3.52</v>
      </c>
      <c r="R24" s="180">
        <v>4341.13</v>
      </c>
      <c r="S24" s="178">
        <v>238</v>
      </c>
      <c r="T24" s="180">
        <v>6599.51</v>
      </c>
      <c r="U24" s="179">
        <v>0.31819999999999998</v>
      </c>
      <c r="V24" s="180">
        <v>3042.26</v>
      </c>
      <c r="W24" s="178">
        <v>540</v>
      </c>
      <c r="X24" s="178">
        <v>440</v>
      </c>
      <c r="Y24" s="178">
        <v>427</v>
      </c>
      <c r="Z24" s="179">
        <v>0.16739999999999999</v>
      </c>
      <c r="AA24" s="180">
        <v>7.12</v>
      </c>
      <c r="AB24" s="181">
        <v>2551</v>
      </c>
      <c r="AC24" s="179">
        <v>3.0999999999999999E-3</v>
      </c>
      <c r="AD24" s="181">
        <v>811544</v>
      </c>
      <c r="AE24" s="180">
        <v>8469.98</v>
      </c>
      <c r="AF24" s="180">
        <v>1.19</v>
      </c>
      <c r="AG24" s="179">
        <v>0.35920000000000002</v>
      </c>
      <c r="AH24" s="178">
        <v>2.78</v>
      </c>
      <c r="AI24" s="180">
        <v>6416.04</v>
      </c>
      <c r="AJ24" s="178">
        <v>347</v>
      </c>
      <c r="AK24" s="180">
        <v>9562.25</v>
      </c>
      <c r="AL24" s="179">
        <v>-0.1706</v>
      </c>
      <c r="AM24" s="179">
        <v>-0.42749999999999999</v>
      </c>
      <c r="AN24" s="179">
        <v>-0.31669999999999998</v>
      </c>
      <c r="AO24" s="179">
        <v>-0.28179999999999999</v>
      </c>
      <c r="AP24" s="179">
        <v>-0.29270000000000002</v>
      </c>
      <c r="AQ24" s="179">
        <v>0.1027</v>
      </c>
      <c r="AR24" s="179">
        <v>-0.18959999999999999</v>
      </c>
      <c r="AS24" s="179">
        <v>-0.35870000000000002</v>
      </c>
      <c r="AT24" s="179">
        <v>1.8065</v>
      </c>
      <c r="AU24" s="179">
        <v>-0.76859999999999995</v>
      </c>
      <c r="AV24" s="179">
        <v>-0.27679999999999999</v>
      </c>
      <c r="AW24" s="179">
        <v>-0.10920000000000001</v>
      </c>
      <c r="AX24" s="179">
        <v>-0.20849999999999999</v>
      </c>
      <c r="AY24" s="179">
        <v>0.26619999999999999</v>
      </c>
      <c r="AZ24" s="179">
        <v>-0.32340000000000002</v>
      </c>
      <c r="BA24" s="179">
        <v>-0.31409999999999999</v>
      </c>
      <c r="BB24" s="179">
        <v>-0.30980000000000002</v>
      </c>
    </row>
    <row r="25" spans="1:54">
      <c r="A25" s="185" t="s">
        <v>1329</v>
      </c>
      <c r="B25" s="185" t="s">
        <v>1328</v>
      </c>
      <c r="C25" s="184">
        <v>0.182</v>
      </c>
      <c r="D25" s="180">
        <v>1731.46</v>
      </c>
      <c r="E25" s="189" t="s">
        <v>1962</v>
      </c>
      <c r="F25" s="178">
        <v>564</v>
      </c>
      <c r="G25" s="178">
        <v>320</v>
      </c>
      <c r="H25" s="178">
        <v>288</v>
      </c>
      <c r="I25" s="179">
        <v>0.22500000000000001</v>
      </c>
      <c r="J25" s="180">
        <v>6.01</v>
      </c>
      <c r="K25" s="181">
        <v>1280</v>
      </c>
      <c r="L25" s="179">
        <v>1.01E-2</v>
      </c>
      <c r="M25" s="181">
        <v>126427</v>
      </c>
      <c r="N25" s="180">
        <v>5832.67</v>
      </c>
      <c r="O25" s="180">
        <v>1.35</v>
      </c>
      <c r="P25" s="179">
        <v>0.2969</v>
      </c>
      <c r="Q25" s="178">
        <v>3.37</v>
      </c>
      <c r="R25" s="180">
        <v>3779.28</v>
      </c>
      <c r="S25" s="178">
        <v>214</v>
      </c>
      <c r="T25" s="180">
        <v>9511.75</v>
      </c>
      <c r="U25" s="179">
        <v>0.1457</v>
      </c>
      <c r="V25" s="180">
        <v>1881.18</v>
      </c>
      <c r="W25" s="178">
        <v>840</v>
      </c>
      <c r="X25" s="178">
        <v>335</v>
      </c>
      <c r="Y25" s="178">
        <v>319</v>
      </c>
      <c r="Z25" s="179">
        <v>0.22559999999999999</v>
      </c>
      <c r="AA25" s="180">
        <v>5.9</v>
      </c>
      <c r="AB25" s="181">
        <v>1414</v>
      </c>
      <c r="AC25" s="179">
        <v>1.18E-2</v>
      </c>
      <c r="AD25" s="181">
        <v>119726</v>
      </c>
      <c r="AE25" s="180">
        <v>6070.67</v>
      </c>
      <c r="AF25" s="180">
        <v>1.33</v>
      </c>
      <c r="AG25" s="179">
        <v>0.30990000000000001</v>
      </c>
      <c r="AH25" s="178">
        <v>3.23</v>
      </c>
      <c r="AI25" s="180">
        <v>4103.16</v>
      </c>
      <c r="AJ25" s="178">
        <v>249</v>
      </c>
      <c r="AK25" s="180">
        <v>12910</v>
      </c>
      <c r="AL25" s="179">
        <v>0.24909999999999999</v>
      </c>
      <c r="AM25" s="179">
        <v>-7.9600000000000004E-2</v>
      </c>
      <c r="AN25" s="179">
        <v>-0.3286</v>
      </c>
      <c r="AO25" s="179">
        <v>-4.48E-2</v>
      </c>
      <c r="AP25" s="179">
        <v>-9.7199999999999995E-2</v>
      </c>
      <c r="AQ25" s="179">
        <v>-2.7000000000000001E-3</v>
      </c>
      <c r="AR25" s="179">
        <v>1.8599999999999998E-2</v>
      </c>
      <c r="AS25" s="179">
        <v>-9.4799999999999995E-2</v>
      </c>
      <c r="AT25" s="179">
        <v>-0.14410000000000001</v>
      </c>
      <c r="AU25" s="179">
        <v>5.6000000000000001E-2</v>
      </c>
      <c r="AV25" s="179">
        <v>-3.9199999999999999E-2</v>
      </c>
      <c r="AW25" s="179">
        <v>1.4999999999999999E-2</v>
      </c>
      <c r="AX25" s="179">
        <v>-4.19E-2</v>
      </c>
      <c r="AY25" s="179">
        <v>4.3299999999999998E-2</v>
      </c>
      <c r="AZ25" s="179">
        <v>-7.8899999999999998E-2</v>
      </c>
      <c r="BA25" s="179">
        <v>-0.1406</v>
      </c>
      <c r="BB25" s="179">
        <v>-0.26319999999999999</v>
      </c>
    </row>
    <row r="26" spans="1:54">
      <c r="A26" s="185" t="s">
        <v>1466</v>
      </c>
      <c r="B26" s="185" t="s">
        <v>1963</v>
      </c>
      <c r="C26" s="184">
        <v>0.1966</v>
      </c>
      <c r="D26" s="180">
        <v>1723.05</v>
      </c>
      <c r="E26" s="180" t="s">
        <v>1964</v>
      </c>
      <c r="F26" s="178">
        <v>421</v>
      </c>
      <c r="G26" s="178">
        <v>467</v>
      </c>
      <c r="H26" s="178">
        <v>427</v>
      </c>
      <c r="I26" s="179">
        <v>0.2631</v>
      </c>
      <c r="J26" s="180">
        <v>4.04</v>
      </c>
      <c r="K26" s="181">
        <v>1623</v>
      </c>
      <c r="L26" s="179">
        <v>2E-3</v>
      </c>
      <c r="M26" s="181">
        <v>792378</v>
      </c>
      <c r="N26" s="180">
        <v>9868.18</v>
      </c>
      <c r="O26" s="180">
        <v>1.06</v>
      </c>
      <c r="P26" s="179">
        <v>0.17460000000000001</v>
      </c>
      <c r="Q26" s="178">
        <v>5.73</v>
      </c>
      <c r="R26" s="180">
        <v>6201.99</v>
      </c>
      <c r="S26" s="178">
        <v>279</v>
      </c>
      <c r="T26" s="180">
        <v>8764.7900000000009</v>
      </c>
      <c r="U26" s="179">
        <v>5.62E-2</v>
      </c>
      <c r="V26" s="180">
        <v>51.97</v>
      </c>
      <c r="W26" s="178">
        <v>37</v>
      </c>
      <c r="X26" s="178">
        <v>11</v>
      </c>
      <c r="Y26" s="178">
        <v>11</v>
      </c>
      <c r="Z26" s="179">
        <v>0.22919999999999999</v>
      </c>
      <c r="AA26" s="180">
        <v>4.72</v>
      </c>
      <c r="AB26" s="178">
        <v>48</v>
      </c>
      <c r="AC26" s="179">
        <v>8.3000000000000001E-3</v>
      </c>
      <c r="AD26" s="181">
        <v>5779</v>
      </c>
      <c r="AE26" s="180">
        <v>252.39</v>
      </c>
      <c r="AF26" s="180">
        <v>1.08</v>
      </c>
      <c r="AG26" s="179">
        <v>0.2059</v>
      </c>
      <c r="AH26" s="178">
        <v>4.8600000000000003</v>
      </c>
      <c r="AI26" s="180">
        <v>74.97</v>
      </c>
      <c r="AJ26" s="178">
        <v>3</v>
      </c>
      <c r="AK26" s="180">
        <v>924.63</v>
      </c>
      <c r="AL26" s="179">
        <v>2.4982000000000002</v>
      </c>
      <c r="AM26" s="179">
        <v>32.154699999999998</v>
      </c>
      <c r="AN26" s="179">
        <v>10.378399999999999</v>
      </c>
      <c r="AO26" s="179">
        <v>41.454500000000003</v>
      </c>
      <c r="AP26" s="179">
        <v>37.818199999999997</v>
      </c>
      <c r="AQ26" s="179">
        <v>0.1479</v>
      </c>
      <c r="AR26" s="179">
        <v>-0.14410000000000001</v>
      </c>
      <c r="AS26" s="179">
        <v>32.8125</v>
      </c>
      <c r="AT26" s="179">
        <v>-0.75900000000000001</v>
      </c>
      <c r="AU26" s="179">
        <v>136.11330000000001</v>
      </c>
      <c r="AV26" s="179">
        <v>38.0989</v>
      </c>
      <c r="AW26" s="179">
        <v>-1.8499999999999999E-2</v>
      </c>
      <c r="AX26" s="179">
        <v>-0.152</v>
      </c>
      <c r="AY26" s="179">
        <v>0.17899999999999999</v>
      </c>
      <c r="AZ26" s="179">
        <v>81.726299999999995</v>
      </c>
      <c r="BA26" s="179">
        <v>92</v>
      </c>
      <c r="BB26" s="179">
        <v>8.4792000000000005</v>
      </c>
    </row>
    <row r="27" spans="1:54">
      <c r="A27" s="185" t="s">
        <v>307</v>
      </c>
      <c r="B27" s="185" t="s">
        <v>306</v>
      </c>
      <c r="C27" s="184">
        <v>0.16250000000000001</v>
      </c>
      <c r="D27" s="180">
        <v>1719.69</v>
      </c>
      <c r="E27" s="180"/>
      <c r="F27" s="178">
        <v>393</v>
      </c>
      <c r="G27" s="178">
        <v>283</v>
      </c>
      <c r="H27" s="178">
        <v>264</v>
      </c>
      <c r="I27" s="179">
        <v>0.1447</v>
      </c>
      <c r="J27" s="180">
        <v>6.51</v>
      </c>
      <c r="K27" s="181">
        <v>1825</v>
      </c>
      <c r="L27" s="179">
        <v>7.1000000000000004E-3</v>
      </c>
      <c r="M27" s="181">
        <v>257543</v>
      </c>
      <c r="N27" s="180">
        <v>7982.96</v>
      </c>
      <c r="O27" s="180">
        <v>0.94</v>
      </c>
      <c r="P27" s="179">
        <v>0.21540000000000001</v>
      </c>
      <c r="Q27" s="178">
        <v>4.6399999999999997</v>
      </c>
      <c r="R27" s="180">
        <v>916.03</v>
      </c>
      <c r="S27" s="178">
        <v>28</v>
      </c>
      <c r="T27" s="180">
        <v>10581.81</v>
      </c>
      <c r="U27" s="179">
        <v>0.16300000000000001</v>
      </c>
      <c r="V27" s="180">
        <v>1759.77</v>
      </c>
      <c r="W27" s="178">
        <v>402</v>
      </c>
      <c r="X27" s="178">
        <v>306</v>
      </c>
      <c r="Y27" s="178">
        <v>304</v>
      </c>
      <c r="Z27" s="179">
        <v>0.16259999999999999</v>
      </c>
      <c r="AA27" s="180">
        <v>5.79</v>
      </c>
      <c r="AB27" s="181">
        <v>1870</v>
      </c>
      <c r="AC27" s="179">
        <v>6.4999999999999997E-3</v>
      </c>
      <c r="AD27" s="181">
        <v>286665</v>
      </c>
      <c r="AE27" s="180">
        <v>9020.06</v>
      </c>
      <c r="AF27" s="180">
        <v>0.94</v>
      </c>
      <c r="AG27" s="179">
        <v>0.1951</v>
      </c>
      <c r="AH27" s="178">
        <v>5.13</v>
      </c>
      <c r="AI27" s="180">
        <v>943.25</v>
      </c>
      <c r="AJ27" s="178">
        <v>34</v>
      </c>
      <c r="AK27" s="180">
        <v>10797.95</v>
      </c>
      <c r="AL27" s="179">
        <v>-3.0999999999999999E-3</v>
      </c>
      <c r="AM27" s="179">
        <v>-2.2800000000000001E-2</v>
      </c>
      <c r="AN27" s="179">
        <v>-2.24E-2</v>
      </c>
      <c r="AO27" s="179">
        <v>-7.5200000000000003E-2</v>
      </c>
      <c r="AP27" s="179">
        <v>-0.13159999999999999</v>
      </c>
      <c r="AQ27" s="179">
        <v>-0.1101</v>
      </c>
      <c r="AR27" s="179">
        <v>0.1244</v>
      </c>
      <c r="AS27" s="179">
        <v>-2.41E-2</v>
      </c>
      <c r="AT27" s="179">
        <v>9.2299999999999993E-2</v>
      </c>
      <c r="AU27" s="179">
        <v>-0.1016</v>
      </c>
      <c r="AV27" s="179">
        <v>-0.115</v>
      </c>
      <c r="AW27" s="179">
        <v>0</v>
      </c>
      <c r="AX27" s="179">
        <v>0.104</v>
      </c>
      <c r="AY27" s="179">
        <v>-9.5500000000000002E-2</v>
      </c>
      <c r="AZ27" s="179">
        <v>-2.8899999999999999E-2</v>
      </c>
      <c r="BA27" s="179">
        <v>-0.17649999999999999</v>
      </c>
      <c r="BB27" s="179">
        <v>-0.02</v>
      </c>
    </row>
    <row r="28" spans="1:54">
      <c r="A28" s="185" t="s">
        <v>141</v>
      </c>
      <c r="B28" s="185" t="s">
        <v>1965</v>
      </c>
      <c r="C28" s="184">
        <v>0.16539999999999999</v>
      </c>
      <c r="D28" s="180">
        <v>1680.71</v>
      </c>
      <c r="E28" s="180" t="s">
        <v>1966</v>
      </c>
      <c r="F28" s="178">
        <v>339</v>
      </c>
      <c r="G28" s="178">
        <v>338</v>
      </c>
      <c r="H28" s="178">
        <v>327</v>
      </c>
      <c r="I28" s="179">
        <v>0.2535</v>
      </c>
      <c r="J28" s="180">
        <v>5.14</v>
      </c>
      <c r="K28" s="181">
        <v>1290</v>
      </c>
      <c r="L28" s="179">
        <v>1.09E-2</v>
      </c>
      <c r="M28" s="181">
        <v>117925</v>
      </c>
      <c r="N28" s="180">
        <v>9154.2199999999993</v>
      </c>
      <c r="O28" s="180">
        <v>1.3</v>
      </c>
      <c r="P28" s="179">
        <v>0.18360000000000001</v>
      </c>
      <c r="Q28" s="178">
        <v>5.45</v>
      </c>
      <c r="R28" s="180">
        <v>3897.5</v>
      </c>
      <c r="S28" s="178">
        <v>127</v>
      </c>
      <c r="T28" s="180">
        <v>10164.209999999999</v>
      </c>
      <c r="U28" s="179">
        <v>0.18870000000000001</v>
      </c>
      <c r="V28" s="180">
        <v>2156.85</v>
      </c>
      <c r="W28" s="178">
        <v>571</v>
      </c>
      <c r="X28" s="178">
        <v>462</v>
      </c>
      <c r="Y28" s="178">
        <v>431</v>
      </c>
      <c r="Z28" s="179">
        <v>0.21440000000000001</v>
      </c>
      <c r="AA28" s="180">
        <v>5</v>
      </c>
      <c r="AB28" s="181">
        <v>2010</v>
      </c>
      <c r="AC28" s="179">
        <v>2.0999999999999999E-3</v>
      </c>
      <c r="AD28" s="181">
        <v>975189</v>
      </c>
      <c r="AE28" s="180">
        <v>10350.83</v>
      </c>
      <c r="AF28" s="180">
        <v>1.07</v>
      </c>
      <c r="AG28" s="179">
        <v>0.2084</v>
      </c>
      <c r="AH28" s="178">
        <v>4.8</v>
      </c>
      <c r="AI28" s="180">
        <v>4018.43</v>
      </c>
      <c r="AJ28" s="178">
        <v>180</v>
      </c>
      <c r="AK28" s="180">
        <v>11432.74</v>
      </c>
      <c r="AL28" s="179">
        <v>-0.1235</v>
      </c>
      <c r="AM28" s="179">
        <v>-0.2208</v>
      </c>
      <c r="AN28" s="179">
        <v>-0.40629999999999999</v>
      </c>
      <c r="AO28" s="179">
        <v>-0.26840000000000003</v>
      </c>
      <c r="AP28" s="179">
        <v>-0.24129999999999999</v>
      </c>
      <c r="AQ28" s="179">
        <v>0.18240000000000001</v>
      </c>
      <c r="AR28" s="179">
        <v>2.8000000000000001E-2</v>
      </c>
      <c r="AS28" s="179">
        <v>-0.35820000000000002</v>
      </c>
      <c r="AT28" s="179">
        <v>4.1905000000000001</v>
      </c>
      <c r="AU28" s="179">
        <v>-0.87909999999999999</v>
      </c>
      <c r="AV28" s="179">
        <v>-0.11559999999999999</v>
      </c>
      <c r="AW28" s="179">
        <v>0.215</v>
      </c>
      <c r="AX28" s="179">
        <v>-0.11899999999999999</v>
      </c>
      <c r="AY28" s="179">
        <v>0.13539999999999999</v>
      </c>
      <c r="AZ28" s="179">
        <v>-3.0099999999999998E-2</v>
      </c>
      <c r="BA28" s="179">
        <v>-0.2944</v>
      </c>
      <c r="BB28" s="179">
        <v>-0.111</v>
      </c>
    </row>
    <row r="29" spans="1:54">
      <c r="A29" s="185" t="s">
        <v>1352</v>
      </c>
      <c r="B29" s="185" t="s">
        <v>1967</v>
      </c>
      <c r="C29" s="184">
        <v>0.68240000000000001</v>
      </c>
      <c r="D29" s="180">
        <v>1667.69</v>
      </c>
      <c r="E29" s="180" t="s">
        <v>1968</v>
      </c>
      <c r="F29" s="178">
        <v>137</v>
      </c>
      <c r="G29" s="178">
        <v>310</v>
      </c>
      <c r="H29" s="178">
        <v>295</v>
      </c>
      <c r="I29" s="179">
        <v>0.16120000000000001</v>
      </c>
      <c r="J29" s="180">
        <v>5.65</v>
      </c>
      <c r="K29" s="181">
        <v>1830</v>
      </c>
      <c r="L29" s="179">
        <v>1.55E-2</v>
      </c>
      <c r="M29" s="181">
        <v>118148</v>
      </c>
      <c r="N29" s="180">
        <v>6462.76</v>
      </c>
      <c r="O29" s="180">
        <v>0.91</v>
      </c>
      <c r="P29" s="179">
        <v>0.25800000000000001</v>
      </c>
      <c r="Q29" s="178">
        <v>3.88</v>
      </c>
      <c r="R29" s="180">
        <v>1493.16</v>
      </c>
      <c r="S29" s="178">
        <v>78</v>
      </c>
      <c r="T29" s="180">
        <v>2444.0300000000002</v>
      </c>
      <c r="U29" s="179">
        <v>0.79190000000000005</v>
      </c>
      <c r="V29" s="180">
        <v>1913.62</v>
      </c>
      <c r="W29" s="178">
        <v>146</v>
      </c>
      <c r="X29" s="178">
        <v>342</v>
      </c>
      <c r="Y29" s="178">
        <v>328</v>
      </c>
      <c r="Z29" s="179">
        <v>0.1643</v>
      </c>
      <c r="AA29" s="180">
        <v>5.83</v>
      </c>
      <c r="AB29" s="181">
        <v>1996</v>
      </c>
      <c r="AC29" s="179">
        <v>5.4000000000000003E-3</v>
      </c>
      <c r="AD29" s="181">
        <v>370581</v>
      </c>
      <c r="AE29" s="180">
        <v>7092.62</v>
      </c>
      <c r="AF29" s="180">
        <v>0.96</v>
      </c>
      <c r="AG29" s="179">
        <v>0.26979999999999998</v>
      </c>
      <c r="AH29" s="178">
        <v>3.71</v>
      </c>
      <c r="AI29" s="180">
        <v>1862.88</v>
      </c>
      <c r="AJ29" s="178">
        <v>111</v>
      </c>
      <c r="AK29" s="180">
        <v>2416.54</v>
      </c>
      <c r="AL29" s="179">
        <v>-0.13830000000000001</v>
      </c>
      <c r="AM29" s="179">
        <v>-0.1285</v>
      </c>
      <c r="AN29" s="179">
        <v>-6.1600000000000002E-2</v>
      </c>
      <c r="AO29" s="179">
        <v>-9.3600000000000003E-2</v>
      </c>
      <c r="AP29" s="179">
        <v>-0.10059999999999999</v>
      </c>
      <c r="AQ29" s="179">
        <v>-1.89E-2</v>
      </c>
      <c r="AR29" s="179">
        <v>-3.09E-2</v>
      </c>
      <c r="AS29" s="179">
        <v>-8.3199999999999996E-2</v>
      </c>
      <c r="AT29" s="179">
        <v>1.8704000000000001</v>
      </c>
      <c r="AU29" s="179">
        <v>-0.68120000000000003</v>
      </c>
      <c r="AV29" s="179">
        <v>-8.8800000000000004E-2</v>
      </c>
      <c r="AW29" s="179">
        <v>-5.21E-2</v>
      </c>
      <c r="AX29" s="179">
        <v>-4.3700000000000003E-2</v>
      </c>
      <c r="AY29" s="179">
        <v>4.58E-2</v>
      </c>
      <c r="AZ29" s="179">
        <v>-0.19850000000000001</v>
      </c>
      <c r="BA29" s="179">
        <v>-0.29730000000000001</v>
      </c>
      <c r="BB29" s="179">
        <v>1.14E-2</v>
      </c>
    </row>
    <row r="30" spans="1:54">
      <c r="A30" s="185" t="s">
        <v>543</v>
      </c>
      <c r="B30" s="185" t="s">
        <v>1969</v>
      </c>
      <c r="C30" s="184">
        <v>0.23430000000000001</v>
      </c>
      <c r="D30" s="180">
        <v>1661.39</v>
      </c>
      <c r="E30" s="180" t="s">
        <v>1970</v>
      </c>
      <c r="F30" s="178">
        <v>343</v>
      </c>
      <c r="G30" s="178">
        <v>224</v>
      </c>
      <c r="H30" s="178">
        <v>183</v>
      </c>
      <c r="I30" s="179">
        <v>0.17100000000000001</v>
      </c>
      <c r="J30" s="180">
        <v>9.08</v>
      </c>
      <c r="K30" s="181">
        <v>1070</v>
      </c>
      <c r="L30" s="179">
        <v>1.03E-2</v>
      </c>
      <c r="M30" s="181">
        <v>104317</v>
      </c>
      <c r="N30" s="180">
        <v>5441.23</v>
      </c>
      <c r="O30" s="180">
        <v>1.55</v>
      </c>
      <c r="P30" s="184">
        <v>0.30530000000000002</v>
      </c>
      <c r="Q30" s="178">
        <v>3.28</v>
      </c>
      <c r="R30" s="180">
        <v>2993.65</v>
      </c>
      <c r="S30" s="178">
        <v>124</v>
      </c>
      <c r="T30" s="180">
        <v>7090.04</v>
      </c>
      <c r="U30" s="179">
        <v>0.3427</v>
      </c>
      <c r="V30" s="180">
        <v>1299.49</v>
      </c>
      <c r="W30" s="178">
        <v>181</v>
      </c>
      <c r="X30" s="178">
        <v>147</v>
      </c>
      <c r="Y30" s="178">
        <v>138</v>
      </c>
      <c r="Z30" s="179">
        <v>0.12909999999999999</v>
      </c>
      <c r="AA30" s="180">
        <v>9.42</v>
      </c>
      <c r="AB30" s="181">
        <v>1069</v>
      </c>
      <c r="AC30" s="179">
        <v>1.2999999999999999E-3</v>
      </c>
      <c r="AD30" s="181">
        <v>815799</v>
      </c>
      <c r="AE30" s="180">
        <v>3211.39</v>
      </c>
      <c r="AF30" s="180">
        <v>1.22</v>
      </c>
      <c r="AG30" s="179">
        <v>0.4047</v>
      </c>
      <c r="AH30" s="178">
        <v>2.4700000000000002</v>
      </c>
      <c r="AI30" s="180">
        <v>1858.09</v>
      </c>
      <c r="AJ30" s="178">
        <v>87</v>
      </c>
      <c r="AK30" s="180">
        <v>3792.19</v>
      </c>
      <c r="AL30" s="179">
        <v>-0.31630000000000003</v>
      </c>
      <c r="AM30" s="179">
        <v>0.27850000000000003</v>
      </c>
      <c r="AN30" s="179">
        <v>0.89500000000000002</v>
      </c>
      <c r="AO30" s="179">
        <v>0.52380000000000004</v>
      </c>
      <c r="AP30" s="179">
        <v>0.3261</v>
      </c>
      <c r="AQ30" s="179">
        <v>0.3246</v>
      </c>
      <c r="AR30" s="179">
        <v>-3.61E-2</v>
      </c>
      <c r="AS30" s="179">
        <v>8.9999999999999998E-4</v>
      </c>
      <c r="AT30" s="179">
        <v>6.9230999999999998</v>
      </c>
      <c r="AU30" s="179">
        <v>-0.87209999999999999</v>
      </c>
      <c r="AV30" s="179">
        <v>0.69440000000000002</v>
      </c>
      <c r="AW30" s="179">
        <v>0.27050000000000002</v>
      </c>
      <c r="AX30" s="179">
        <v>-0.24560000000000001</v>
      </c>
      <c r="AY30" s="179">
        <v>0.32790000000000002</v>
      </c>
      <c r="AZ30" s="179">
        <v>0.61109999999999998</v>
      </c>
      <c r="BA30" s="179">
        <v>0.42530000000000001</v>
      </c>
      <c r="BB30" s="179">
        <v>0.86960000000000004</v>
      </c>
    </row>
    <row r="31" spans="1:54">
      <c r="A31" s="185" t="s">
        <v>555</v>
      </c>
      <c r="B31" s="185" t="s">
        <v>1971</v>
      </c>
      <c r="C31" s="184">
        <v>0.23649999999999999</v>
      </c>
      <c r="D31" s="180">
        <v>1648.56</v>
      </c>
      <c r="E31" s="180" t="s">
        <v>1972</v>
      </c>
      <c r="F31" s="178">
        <v>698</v>
      </c>
      <c r="G31" s="178">
        <v>469</v>
      </c>
      <c r="H31" s="178">
        <v>452</v>
      </c>
      <c r="I31" s="179">
        <v>0.3427</v>
      </c>
      <c r="J31" s="180">
        <v>3.65</v>
      </c>
      <c r="K31" s="181">
        <v>1319</v>
      </c>
      <c r="L31" s="179">
        <v>1.38E-2</v>
      </c>
      <c r="M31" s="181">
        <v>95624</v>
      </c>
      <c r="N31" s="180">
        <v>6952.27</v>
      </c>
      <c r="O31" s="180">
        <v>1.25</v>
      </c>
      <c r="P31" s="179">
        <v>0.23710000000000001</v>
      </c>
      <c r="Q31" s="178">
        <v>4.22</v>
      </c>
      <c r="R31" s="180">
        <v>3016.58</v>
      </c>
      <c r="S31" s="178">
        <v>292</v>
      </c>
      <c r="T31" s="180">
        <v>6971.82</v>
      </c>
      <c r="U31" s="179">
        <v>0.224</v>
      </c>
      <c r="V31" s="180">
        <v>1244.1099999999999</v>
      </c>
      <c r="W31" s="178">
        <v>556</v>
      </c>
      <c r="X31" s="178">
        <v>334</v>
      </c>
      <c r="Y31" s="178">
        <v>317</v>
      </c>
      <c r="Z31" s="179">
        <v>0.31830000000000003</v>
      </c>
      <c r="AA31" s="180">
        <v>3.92</v>
      </c>
      <c r="AB31" s="178">
        <v>996</v>
      </c>
      <c r="AC31" s="179">
        <v>1.44E-2</v>
      </c>
      <c r="AD31" s="181">
        <v>69049</v>
      </c>
      <c r="AE31" s="180">
        <v>4949.0200000000004</v>
      </c>
      <c r="AF31" s="180">
        <v>1.25</v>
      </c>
      <c r="AG31" s="179">
        <v>0.25140000000000001</v>
      </c>
      <c r="AH31" s="178">
        <v>3.98</v>
      </c>
      <c r="AI31" s="180">
        <v>2087.5100000000002</v>
      </c>
      <c r="AJ31" s="178">
        <v>197</v>
      </c>
      <c r="AK31" s="180">
        <v>5553.04</v>
      </c>
      <c r="AL31" s="179">
        <v>5.5800000000000002E-2</v>
      </c>
      <c r="AM31" s="179">
        <v>0.3251</v>
      </c>
      <c r="AN31" s="179">
        <v>0.25540000000000002</v>
      </c>
      <c r="AO31" s="179">
        <v>0.4042</v>
      </c>
      <c r="AP31" s="179">
        <v>0.4259</v>
      </c>
      <c r="AQ31" s="179">
        <v>7.6700000000000004E-2</v>
      </c>
      <c r="AR31" s="179">
        <v>-6.8900000000000003E-2</v>
      </c>
      <c r="AS31" s="179">
        <v>0.32429999999999998</v>
      </c>
      <c r="AT31" s="179">
        <v>-4.1700000000000001E-2</v>
      </c>
      <c r="AU31" s="179">
        <v>0.38490000000000002</v>
      </c>
      <c r="AV31" s="179">
        <v>0.40479999999999999</v>
      </c>
      <c r="AW31" s="179">
        <v>0</v>
      </c>
      <c r="AX31" s="179">
        <v>-5.6899999999999999E-2</v>
      </c>
      <c r="AY31" s="179">
        <v>6.0299999999999999E-2</v>
      </c>
      <c r="AZ31" s="179">
        <v>0.4451</v>
      </c>
      <c r="BA31" s="179">
        <v>0.48220000000000002</v>
      </c>
      <c r="BB31" s="179">
        <v>0.2555</v>
      </c>
    </row>
    <row r="32" spans="1:54">
      <c r="A32" s="185" t="s">
        <v>1414</v>
      </c>
      <c r="B32" s="185" t="s">
        <v>1973</v>
      </c>
      <c r="C32" s="184">
        <v>0.5151</v>
      </c>
      <c r="D32" s="180">
        <v>1639.44</v>
      </c>
      <c r="E32" s="180" t="s">
        <v>1974</v>
      </c>
      <c r="F32" s="178">
        <v>168</v>
      </c>
      <c r="G32" s="178">
        <v>198</v>
      </c>
      <c r="H32" s="178">
        <v>190</v>
      </c>
      <c r="I32" s="179">
        <v>0.12520000000000001</v>
      </c>
      <c r="J32" s="180">
        <v>8.6300000000000008</v>
      </c>
      <c r="K32" s="181">
        <v>1518</v>
      </c>
      <c r="L32" s="179">
        <v>2.2000000000000001E-3</v>
      </c>
      <c r="M32" s="181">
        <v>687523</v>
      </c>
      <c r="N32" s="180">
        <v>3929.99</v>
      </c>
      <c r="O32" s="180">
        <v>1.08</v>
      </c>
      <c r="P32" s="184">
        <v>0.41720000000000002</v>
      </c>
      <c r="Q32" s="178">
        <v>2.4</v>
      </c>
      <c r="R32" s="180">
        <v>2254.81</v>
      </c>
      <c r="S32" s="178">
        <v>113</v>
      </c>
      <c r="T32" s="180">
        <v>3182.88</v>
      </c>
      <c r="U32" s="179">
        <v>0.15049999999999999</v>
      </c>
      <c r="V32" s="180">
        <v>119.15</v>
      </c>
      <c r="W32" s="178">
        <v>33</v>
      </c>
      <c r="X32" s="178">
        <v>15</v>
      </c>
      <c r="Y32" s="178">
        <v>13</v>
      </c>
      <c r="Z32" s="179">
        <v>0.1313</v>
      </c>
      <c r="AA32" s="180">
        <v>9.17</v>
      </c>
      <c r="AB32" s="178">
        <v>99</v>
      </c>
      <c r="AC32" s="179">
        <v>6.3E-3</v>
      </c>
      <c r="AD32" s="181">
        <v>15682</v>
      </c>
      <c r="AE32" s="180">
        <v>352.65</v>
      </c>
      <c r="AF32" s="180">
        <v>1.2</v>
      </c>
      <c r="AG32" s="179">
        <v>0.33789999999999998</v>
      </c>
      <c r="AH32" s="178">
        <v>2.96</v>
      </c>
      <c r="AI32" s="180">
        <v>95.96</v>
      </c>
      <c r="AJ32" s="178">
        <v>3</v>
      </c>
      <c r="AK32" s="180">
        <v>791.67</v>
      </c>
      <c r="AL32" s="179">
        <v>2.4226000000000001</v>
      </c>
      <c r="AM32" s="179">
        <v>12.759499999999999</v>
      </c>
      <c r="AN32" s="179">
        <v>4.0909000000000004</v>
      </c>
      <c r="AO32" s="179">
        <v>12.2</v>
      </c>
      <c r="AP32" s="179">
        <v>13.615399999999999</v>
      </c>
      <c r="AQ32" s="179">
        <v>-4.65E-2</v>
      </c>
      <c r="AR32" s="179">
        <v>-5.8900000000000001E-2</v>
      </c>
      <c r="AS32" s="179">
        <v>14.333299999999999</v>
      </c>
      <c r="AT32" s="179">
        <v>-0.65080000000000005</v>
      </c>
      <c r="AU32" s="179">
        <v>42.841500000000003</v>
      </c>
      <c r="AV32" s="179">
        <v>10.1442</v>
      </c>
      <c r="AW32" s="179">
        <v>-0.1</v>
      </c>
      <c r="AX32" s="179">
        <v>0.23469999999999999</v>
      </c>
      <c r="AY32" s="179">
        <v>-0.18920000000000001</v>
      </c>
      <c r="AZ32" s="179">
        <v>22.497399999999999</v>
      </c>
      <c r="BA32" s="179">
        <v>36.666699999999999</v>
      </c>
      <c r="BB32" s="179">
        <v>3.0205000000000002</v>
      </c>
    </row>
    <row r="33" spans="1:54">
      <c r="A33" s="185" t="s">
        <v>206</v>
      </c>
      <c r="B33" s="185" t="s">
        <v>1975</v>
      </c>
      <c r="C33" s="184">
        <v>0.2223</v>
      </c>
      <c r="D33" s="180">
        <v>1558.98</v>
      </c>
      <c r="E33" s="180"/>
      <c r="F33" s="178">
        <v>389</v>
      </c>
      <c r="G33" s="178">
        <v>404</v>
      </c>
      <c r="H33" s="178">
        <v>381</v>
      </c>
      <c r="I33" s="179">
        <v>0.30170000000000002</v>
      </c>
      <c r="J33" s="180">
        <v>4.09</v>
      </c>
      <c r="K33" s="181">
        <v>1263</v>
      </c>
      <c r="L33" s="179">
        <v>3.7000000000000002E-3</v>
      </c>
      <c r="M33" s="181">
        <v>342373</v>
      </c>
      <c r="N33" s="180">
        <v>9656.76</v>
      </c>
      <c r="O33" s="180">
        <v>1.23</v>
      </c>
      <c r="P33" s="179">
        <v>0.16139999999999999</v>
      </c>
      <c r="Q33" s="178">
        <v>6.19</v>
      </c>
      <c r="R33" s="180">
        <v>2137.96</v>
      </c>
      <c r="S33" s="178">
        <v>119</v>
      </c>
      <c r="T33" s="180">
        <v>7012.91</v>
      </c>
      <c r="U33" s="179">
        <v>0.15179999999999999</v>
      </c>
      <c r="V33" s="180">
        <v>1409</v>
      </c>
      <c r="W33" s="178">
        <v>492</v>
      </c>
      <c r="X33" s="178">
        <v>298</v>
      </c>
      <c r="Y33" s="178">
        <v>288</v>
      </c>
      <c r="Z33" s="179">
        <v>0.25219999999999998</v>
      </c>
      <c r="AA33" s="180">
        <v>4.8899999999999997</v>
      </c>
      <c r="AB33" s="181">
        <v>1142</v>
      </c>
      <c r="AC33" s="179">
        <v>3.8E-3</v>
      </c>
      <c r="AD33" s="181">
        <v>301767</v>
      </c>
      <c r="AE33" s="180">
        <v>7162.62</v>
      </c>
      <c r="AF33" s="180">
        <v>1.23</v>
      </c>
      <c r="AG33" s="179">
        <v>0.19670000000000001</v>
      </c>
      <c r="AH33" s="178">
        <v>5.08</v>
      </c>
      <c r="AI33" s="180">
        <v>2283.39</v>
      </c>
      <c r="AJ33" s="178">
        <v>119</v>
      </c>
      <c r="AK33" s="180">
        <v>9284.68</v>
      </c>
      <c r="AL33" s="179">
        <v>0.46439999999999998</v>
      </c>
      <c r="AM33" s="179">
        <v>0.10639999999999999</v>
      </c>
      <c r="AN33" s="179">
        <v>-0.20930000000000001</v>
      </c>
      <c r="AO33" s="179">
        <v>0.35570000000000002</v>
      </c>
      <c r="AP33" s="179">
        <v>0.32290000000000002</v>
      </c>
      <c r="AQ33" s="179">
        <v>0.1963</v>
      </c>
      <c r="AR33" s="179">
        <v>-0.1636</v>
      </c>
      <c r="AS33" s="179">
        <v>0.106</v>
      </c>
      <c r="AT33" s="179">
        <v>-2.63E-2</v>
      </c>
      <c r="AU33" s="179">
        <v>0.1346</v>
      </c>
      <c r="AV33" s="179">
        <v>0.34820000000000001</v>
      </c>
      <c r="AW33" s="179">
        <v>0</v>
      </c>
      <c r="AX33" s="179">
        <v>-0.17949999999999999</v>
      </c>
      <c r="AY33" s="179">
        <v>0.2185</v>
      </c>
      <c r="AZ33" s="179">
        <v>-6.3700000000000007E-2</v>
      </c>
      <c r="BA33" s="179">
        <v>0</v>
      </c>
      <c r="BB33" s="179">
        <v>-0.2447</v>
      </c>
    </row>
    <row r="34" spans="1:54">
      <c r="A34" s="178" t="s">
        <v>612</v>
      </c>
      <c r="B34" s="178" t="s">
        <v>1976</v>
      </c>
      <c r="C34" s="184">
        <v>0.22689999999999999</v>
      </c>
      <c r="D34" s="180">
        <v>1497.18</v>
      </c>
      <c r="E34" s="180"/>
      <c r="F34" s="178">
        <v>374</v>
      </c>
      <c r="G34" s="178">
        <v>544</v>
      </c>
      <c r="H34" s="178">
        <v>325</v>
      </c>
      <c r="I34" s="179">
        <v>0.35439999999999999</v>
      </c>
      <c r="J34" s="180">
        <v>4.6100000000000003</v>
      </c>
      <c r="K34" s="178">
        <v>917</v>
      </c>
      <c r="L34" s="179">
        <v>9.4000000000000004E-3</v>
      </c>
      <c r="M34" s="181">
        <v>98010</v>
      </c>
      <c r="N34" s="180">
        <v>13457.46</v>
      </c>
      <c r="O34" s="180">
        <v>1.63</v>
      </c>
      <c r="P34" s="179">
        <v>0.1113</v>
      </c>
      <c r="Q34" s="178">
        <v>8.99</v>
      </c>
      <c r="R34" s="180">
        <v>2837.6</v>
      </c>
      <c r="S34" s="178">
        <v>151</v>
      </c>
      <c r="T34" s="180">
        <v>6599.26</v>
      </c>
      <c r="U34" s="179">
        <v>8.2799999999999999E-2</v>
      </c>
      <c r="V34" s="180">
        <v>244.89</v>
      </c>
      <c r="W34" s="178">
        <v>148</v>
      </c>
      <c r="X34" s="178">
        <v>78</v>
      </c>
      <c r="Y34" s="178">
        <v>65</v>
      </c>
      <c r="Z34" s="179">
        <v>0.29549999999999998</v>
      </c>
      <c r="AA34" s="180">
        <v>3.77</v>
      </c>
      <c r="AB34" s="178">
        <v>220</v>
      </c>
      <c r="AC34" s="179">
        <v>1.2800000000000001E-2</v>
      </c>
      <c r="AD34" s="181">
        <v>17177</v>
      </c>
      <c r="AE34" s="180">
        <v>1744.3</v>
      </c>
      <c r="AF34" s="180">
        <v>1.1100000000000001</v>
      </c>
      <c r="AG34" s="179">
        <v>0.1404</v>
      </c>
      <c r="AH34" s="178">
        <v>7.12</v>
      </c>
      <c r="AI34" s="180">
        <v>697.65</v>
      </c>
      <c r="AJ34" s="178">
        <v>26</v>
      </c>
      <c r="AK34" s="180">
        <v>2956.12</v>
      </c>
      <c r="AL34" s="179">
        <v>1.7403</v>
      </c>
      <c r="AM34" s="179">
        <v>5.1136999999999997</v>
      </c>
      <c r="AN34" s="179">
        <v>1.5269999999999999</v>
      </c>
      <c r="AO34" s="179">
        <v>5.9744000000000002</v>
      </c>
      <c r="AP34" s="179">
        <v>4</v>
      </c>
      <c r="AQ34" s="179">
        <v>0.1993</v>
      </c>
      <c r="AR34" s="179">
        <v>0.2228</v>
      </c>
      <c r="AS34" s="179">
        <v>3.1682000000000001</v>
      </c>
      <c r="AT34" s="179">
        <v>-0.2656</v>
      </c>
      <c r="AU34" s="179">
        <v>4.7058999999999997</v>
      </c>
      <c r="AV34" s="179">
        <v>6.7150999999999996</v>
      </c>
      <c r="AW34" s="179">
        <v>0.46850000000000003</v>
      </c>
      <c r="AX34" s="179">
        <v>-0.20730000000000001</v>
      </c>
      <c r="AY34" s="179">
        <v>0.2626</v>
      </c>
      <c r="AZ34" s="179">
        <v>3.0674000000000001</v>
      </c>
      <c r="BA34" s="179">
        <v>4.8076999999999996</v>
      </c>
      <c r="BB34" s="179">
        <v>1.2323999999999999</v>
      </c>
    </row>
    <row r="35" spans="1:54">
      <c r="A35" s="178" t="s">
        <v>291</v>
      </c>
      <c r="B35" s="178" t="s">
        <v>1977</v>
      </c>
      <c r="C35" s="184">
        <v>0.17180000000000001</v>
      </c>
      <c r="D35" s="180">
        <v>1484.86</v>
      </c>
      <c r="E35" s="180"/>
      <c r="F35" s="178">
        <v>508</v>
      </c>
      <c r="G35" s="178">
        <v>283</v>
      </c>
      <c r="H35" s="178">
        <v>241</v>
      </c>
      <c r="I35" s="179">
        <v>0.25669999999999998</v>
      </c>
      <c r="J35" s="180">
        <v>6.16</v>
      </c>
      <c r="K35" s="178">
        <v>939</v>
      </c>
      <c r="L35" s="179">
        <v>1.17E-2</v>
      </c>
      <c r="M35" s="181">
        <v>79994</v>
      </c>
      <c r="N35" s="180">
        <v>5288.46</v>
      </c>
      <c r="O35" s="180">
        <v>1.58</v>
      </c>
      <c r="P35" s="179">
        <v>0.28079999999999999</v>
      </c>
      <c r="Q35" s="178">
        <v>3.56</v>
      </c>
      <c r="R35" s="180">
        <v>3688.8</v>
      </c>
      <c r="S35" s="178">
        <v>189</v>
      </c>
      <c r="T35" s="180">
        <v>8643.26</v>
      </c>
      <c r="U35" s="179">
        <v>0.1409</v>
      </c>
      <c r="V35" s="180">
        <v>1146.53</v>
      </c>
      <c r="W35" s="178">
        <v>529</v>
      </c>
      <c r="X35" s="178">
        <v>212</v>
      </c>
      <c r="Y35" s="178">
        <v>197</v>
      </c>
      <c r="Z35" s="179">
        <v>0.2666</v>
      </c>
      <c r="AA35" s="180">
        <v>5.82</v>
      </c>
      <c r="AB35" s="178">
        <v>739</v>
      </c>
      <c r="AC35" s="179">
        <v>5.0000000000000001E-3</v>
      </c>
      <c r="AD35" s="181">
        <v>146869</v>
      </c>
      <c r="AE35" s="180">
        <v>3439.25</v>
      </c>
      <c r="AF35" s="180">
        <v>1.55</v>
      </c>
      <c r="AG35" s="179">
        <v>0.33339999999999997</v>
      </c>
      <c r="AH35" s="178">
        <v>3</v>
      </c>
      <c r="AI35" s="180">
        <v>2686.2</v>
      </c>
      <c r="AJ35" s="178">
        <v>166</v>
      </c>
      <c r="AK35" s="180">
        <v>8139.17</v>
      </c>
      <c r="AL35" s="179">
        <v>0.21929999999999999</v>
      </c>
      <c r="AM35" s="179">
        <v>0.29509999999999997</v>
      </c>
      <c r="AN35" s="179">
        <v>-3.9699999999999999E-2</v>
      </c>
      <c r="AO35" s="179">
        <v>0.33489999999999998</v>
      </c>
      <c r="AP35" s="179">
        <v>0.22339999999999999</v>
      </c>
      <c r="AQ35" s="179">
        <v>-3.7100000000000001E-2</v>
      </c>
      <c r="AR35" s="179">
        <v>5.8400000000000001E-2</v>
      </c>
      <c r="AS35" s="179">
        <v>0.27060000000000001</v>
      </c>
      <c r="AT35" s="179">
        <v>1.34</v>
      </c>
      <c r="AU35" s="179">
        <v>-0.45529999999999998</v>
      </c>
      <c r="AV35" s="179">
        <v>0.53769999999999996</v>
      </c>
      <c r="AW35" s="179">
        <v>1.9400000000000001E-2</v>
      </c>
      <c r="AX35" s="179">
        <v>-0.1578</v>
      </c>
      <c r="AY35" s="179">
        <v>0.1867</v>
      </c>
      <c r="AZ35" s="179">
        <v>0.37319999999999998</v>
      </c>
      <c r="BA35" s="179">
        <v>0.1386</v>
      </c>
      <c r="BB35" s="179">
        <v>6.1899999999999997E-2</v>
      </c>
    </row>
    <row r="36" spans="1:54">
      <c r="A36" s="178" t="s">
        <v>485</v>
      </c>
      <c r="B36" s="178" t="s">
        <v>1978</v>
      </c>
      <c r="C36" s="184">
        <v>0.23430000000000001</v>
      </c>
      <c r="D36" s="180">
        <v>1479.93</v>
      </c>
      <c r="E36" s="180"/>
      <c r="F36" s="178">
        <v>278</v>
      </c>
      <c r="G36" s="178">
        <v>309</v>
      </c>
      <c r="H36" s="178">
        <v>300</v>
      </c>
      <c r="I36" s="179">
        <v>0.19289999999999999</v>
      </c>
      <c r="J36" s="180">
        <v>4.93</v>
      </c>
      <c r="K36" s="181">
        <v>1555</v>
      </c>
      <c r="L36" s="179">
        <v>8.2000000000000007E-3</v>
      </c>
      <c r="M36" s="181">
        <v>188585</v>
      </c>
      <c r="N36" s="180">
        <v>7832</v>
      </c>
      <c r="O36" s="180">
        <v>0.95</v>
      </c>
      <c r="P36" s="179">
        <v>0.189</v>
      </c>
      <c r="Q36" s="178">
        <v>5.29</v>
      </c>
      <c r="R36" s="180">
        <v>2766.79</v>
      </c>
      <c r="S36" s="178">
        <v>117</v>
      </c>
      <c r="T36" s="180">
        <v>6316.22</v>
      </c>
      <c r="U36" s="179">
        <v>0.31850000000000001</v>
      </c>
      <c r="V36" s="180">
        <v>1095.78</v>
      </c>
      <c r="W36" s="178">
        <v>170</v>
      </c>
      <c r="X36" s="178">
        <v>256</v>
      </c>
      <c r="Y36" s="178">
        <v>243</v>
      </c>
      <c r="Z36" s="179">
        <v>0.20469999999999999</v>
      </c>
      <c r="AA36" s="180">
        <v>4.51</v>
      </c>
      <c r="AB36" s="181">
        <v>1187</v>
      </c>
      <c r="AC36" s="179">
        <v>1.1999999999999999E-3</v>
      </c>
      <c r="AD36" s="181">
        <v>954303</v>
      </c>
      <c r="AE36" s="180">
        <v>6202.78</v>
      </c>
      <c r="AF36" s="180">
        <v>0.92</v>
      </c>
      <c r="AG36" s="179">
        <v>0.1767</v>
      </c>
      <c r="AH36" s="178">
        <v>5.66</v>
      </c>
      <c r="AI36" s="180">
        <v>1619.38</v>
      </c>
      <c r="AJ36" s="178">
        <v>79</v>
      </c>
      <c r="AK36" s="180">
        <v>3440.24</v>
      </c>
      <c r="AL36" s="179">
        <v>-0.26440000000000002</v>
      </c>
      <c r="AM36" s="179">
        <v>0.35060000000000002</v>
      </c>
      <c r="AN36" s="179">
        <v>0.63529999999999998</v>
      </c>
      <c r="AO36" s="179">
        <v>0.20699999999999999</v>
      </c>
      <c r="AP36" s="179">
        <v>0.2346</v>
      </c>
      <c r="AQ36" s="179">
        <v>-5.7599999999999998E-2</v>
      </c>
      <c r="AR36" s="179">
        <v>9.3100000000000002E-2</v>
      </c>
      <c r="AS36" s="179">
        <v>0.31</v>
      </c>
      <c r="AT36" s="179">
        <v>5.8333000000000004</v>
      </c>
      <c r="AU36" s="179">
        <v>-0.8024</v>
      </c>
      <c r="AV36" s="179">
        <v>0.26269999999999999</v>
      </c>
      <c r="AW36" s="179">
        <v>3.2599999999999997E-2</v>
      </c>
      <c r="AX36" s="179">
        <v>6.9599999999999995E-2</v>
      </c>
      <c r="AY36" s="179">
        <v>-6.54E-2</v>
      </c>
      <c r="AZ36" s="179">
        <v>0.70850000000000002</v>
      </c>
      <c r="BA36" s="179">
        <v>0.48099999999999998</v>
      </c>
      <c r="BB36" s="179">
        <v>0.83599999999999997</v>
      </c>
    </row>
    <row r="37" spans="1:54">
      <c r="A37" s="178" t="s">
        <v>261</v>
      </c>
      <c r="B37" s="178" t="s">
        <v>1979</v>
      </c>
      <c r="C37" s="184">
        <v>0.18509999999999999</v>
      </c>
      <c r="D37" s="180">
        <v>1464.91</v>
      </c>
      <c r="E37" s="180"/>
      <c r="F37" s="178">
        <v>396</v>
      </c>
      <c r="G37" s="178">
        <v>271</v>
      </c>
      <c r="H37" s="178">
        <v>269</v>
      </c>
      <c r="I37" s="179">
        <v>0.2331</v>
      </c>
      <c r="J37" s="180">
        <v>5.45</v>
      </c>
      <c r="K37" s="181">
        <v>1154</v>
      </c>
      <c r="L37" s="179">
        <v>8.8000000000000005E-3</v>
      </c>
      <c r="M37" s="181">
        <v>131326</v>
      </c>
      <c r="N37" s="180">
        <v>6261.85</v>
      </c>
      <c r="O37" s="180">
        <v>1.27</v>
      </c>
      <c r="P37" s="179">
        <v>0.2339</v>
      </c>
      <c r="Q37" s="178">
        <v>4.2699999999999996</v>
      </c>
      <c r="R37" s="180">
        <v>2498.75</v>
      </c>
      <c r="S37" s="178">
        <v>124</v>
      </c>
      <c r="T37" s="180">
        <v>7914.4</v>
      </c>
      <c r="U37" s="179">
        <v>0.1729</v>
      </c>
      <c r="V37" s="180">
        <v>1538.02</v>
      </c>
      <c r="W37" s="178">
        <v>445</v>
      </c>
      <c r="X37" s="178">
        <v>409</v>
      </c>
      <c r="Y37" s="178">
        <v>398</v>
      </c>
      <c r="Z37" s="179">
        <v>0.30170000000000002</v>
      </c>
      <c r="AA37" s="180">
        <v>3.86</v>
      </c>
      <c r="AB37" s="181">
        <v>1319</v>
      </c>
      <c r="AC37" s="179">
        <v>1.09E-2</v>
      </c>
      <c r="AD37" s="181">
        <v>120563</v>
      </c>
      <c r="AE37" s="180">
        <v>9369.2800000000007</v>
      </c>
      <c r="AF37" s="180">
        <v>1.17</v>
      </c>
      <c r="AG37" s="179">
        <v>0.16420000000000001</v>
      </c>
      <c r="AH37" s="178">
        <v>6.09</v>
      </c>
      <c r="AI37" s="180">
        <v>3337.51</v>
      </c>
      <c r="AJ37" s="178">
        <v>163</v>
      </c>
      <c r="AK37" s="180">
        <v>8893.5</v>
      </c>
      <c r="AL37" s="179">
        <v>7.0599999999999996E-2</v>
      </c>
      <c r="AM37" s="179">
        <v>-4.7500000000000001E-2</v>
      </c>
      <c r="AN37" s="179">
        <v>-0.1101</v>
      </c>
      <c r="AO37" s="179">
        <v>-0.33739999999999998</v>
      </c>
      <c r="AP37" s="179">
        <v>-0.3241</v>
      </c>
      <c r="AQ37" s="179">
        <v>-0.22739999999999999</v>
      </c>
      <c r="AR37" s="179">
        <v>0.41189999999999999</v>
      </c>
      <c r="AS37" s="179">
        <v>-0.12509999999999999</v>
      </c>
      <c r="AT37" s="179">
        <v>-0.19270000000000001</v>
      </c>
      <c r="AU37" s="179">
        <v>8.9300000000000004E-2</v>
      </c>
      <c r="AV37" s="179">
        <v>-0.33169999999999999</v>
      </c>
      <c r="AW37" s="179">
        <v>8.5500000000000007E-2</v>
      </c>
      <c r="AX37" s="179">
        <v>0.42449999999999999</v>
      </c>
      <c r="AY37" s="179">
        <v>-0.2989</v>
      </c>
      <c r="AZ37" s="179">
        <v>-0.25130000000000002</v>
      </c>
      <c r="BA37" s="179">
        <v>-0.23930000000000001</v>
      </c>
      <c r="BB37" s="179">
        <v>-0.1101</v>
      </c>
    </row>
    <row r="38" spans="1:54">
      <c r="A38" s="178" t="s">
        <v>1410</v>
      </c>
      <c r="B38" s="178" t="s">
        <v>1980</v>
      </c>
      <c r="C38" s="184">
        <v>0.33460000000000001</v>
      </c>
      <c r="D38" s="180">
        <v>1458.15</v>
      </c>
      <c r="E38" s="180"/>
      <c r="F38" s="178">
        <v>219</v>
      </c>
      <c r="G38" s="178">
        <v>225</v>
      </c>
      <c r="H38" s="178">
        <v>220</v>
      </c>
      <c r="I38" s="179">
        <v>0.17530000000000001</v>
      </c>
      <c r="J38" s="180">
        <v>6.63</v>
      </c>
      <c r="K38" s="181">
        <v>1255</v>
      </c>
      <c r="L38" s="179">
        <v>1.23E-2</v>
      </c>
      <c r="M38" s="181">
        <v>101681</v>
      </c>
      <c r="N38" s="180">
        <v>5038.22</v>
      </c>
      <c r="O38" s="180">
        <v>1.1599999999999999</v>
      </c>
      <c r="P38" s="179">
        <v>0.28939999999999999</v>
      </c>
      <c r="Q38" s="178">
        <v>3.46</v>
      </c>
      <c r="R38" s="180">
        <v>2216.5100000000002</v>
      </c>
      <c r="S38" s="178">
        <v>109</v>
      </c>
      <c r="T38" s="180">
        <v>4358.21</v>
      </c>
      <c r="U38" s="179">
        <v>0.43130000000000002</v>
      </c>
      <c r="V38" s="180">
        <v>1223.26</v>
      </c>
      <c r="W38" s="178">
        <v>129</v>
      </c>
      <c r="X38" s="178">
        <v>175</v>
      </c>
      <c r="Y38" s="178">
        <v>172</v>
      </c>
      <c r="Z38" s="179">
        <v>0.15179999999999999</v>
      </c>
      <c r="AA38" s="180">
        <v>7.11</v>
      </c>
      <c r="AB38" s="181">
        <v>1133</v>
      </c>
      <c r="AC38" s="179">
        <v>8.6999999999999994E-3</v>
      </c>
      <c r="AD38" s="181">
        <v>130438</v>
      </c>
      <c r="AE38" s="180">
        <v>4023.66</v>
      </c>
      <c r="AF38" s="180">
        <v>1.08</v>
      </c>
      <c r="AG38" s="179">
        <v>0.30399999999999999</v>
      </c>
      <c r="AH38" s="178">
        <v>3.29</v>
      </c>
      <c r="AI38" s="180">
        <v>1693.23</v>
      </c>
      <c r="AJ38" s="178">
        <v>74</v>
      </c>
      <c r="AK38" s="180">
        <v>2836.27</v>
      </c>
      <c r="AL38" s="179">
        <v>-0.22420000000000001</v>
      </c>
      <c r="AM38" s="179">
        <v>0.192</v>
      </c>
      <c r="AN38" s="179">
        <v>0.69769999999999999</v>
      </c>
      <c r="AO38" s="179">
        <v>0.28570000000000001</v>
      </c>
      <c r="AP38" s="179">
        <v>0.27910000000000001</v>
      </c>
      <c r="AQ38" s="179">
        <v>0.15479999999999999</v>
      </c>
      <c r="AR38" s="179">
        <v>-6.7500000000000004E-2</v>
      </c>
      <c r="AS38" s="179">
        <v>0.1077</v>
      </c>
      <c r="AT38" s="179">
        <v>0.4138</v>
      </c>
      <c r="AU38" s="179">
        <v>-0.2205</v>
      </c>
      <c r="AV38" s="179">
        <v>0.25209999999999999</v>
      </c>
      <c r="AW38" s="179">
        <v>7.4099999999999999E-2</v>
      </c>
      <c r="AX38" s="179">
        <v>-4.8000000000000001E-2</v>
      </c>
      <c r="AY38" s="179">
        <v>5.1700000000000003E-2</v>
      </c>
      <c r="AZ38" s="179">
        <v>0.309</v>
      </c>
      <c r="BA38" s="179">
        <v>0.47299999999999998</v>
      </c>
      <c r="BB38" s="179">
        <v>0.53659999999999997</v>
      </c>
    </row>
    <row r="39" spans="1:54">
      <c r="A39" s="178" t="s">
        <v>1486</v>
      </c>
      <c r="B39" s="178" t="s">
        <v>1981</v>
      </c>
      <c r="C39" s="184">
        <v>0.1648</v>
      </c>
      <c r="D39" s="180">
        <v>1437.74</v>
      </c>
      <c r="E39" s="180"/>
      <c r="F39" s="178">
        <v>495</v>
      </c>
      <c r="G39" s="178">
        <v>362</v>
      </c>
      <c r="H39" s="178">
        <v>339</v>
      </c>
      <c r="I39" s="179">
        <v>0.21590000000000001</v>
      </c>
      <c r="J39" s="180">
        <v>4.24</v>
      </c>
      <c r="K39" s="181">
        <v>1570</v>
      </c>
      <c r="L39" s="179">
        <v>1.9E-3</v>
      </c>
      <c r="M39" s="181">
        <v>810547</v>
      </c>
      <c r="N39" s="180">
        <v>7158.94</v>
      </c>
      <c r="O39" s="180">
        <v>0.92</v>
      </c>
      <c r="P39" s="179">
        <v>0.20080000000000001</v>
      </c>
      <c r="Q39" s="178">
        <v>4.9800000000000004</v>
      </c>
      <c r="R39" s="180">
        <v>3581.96</v>
      </c>
      <c r="S39" s="178">
        <v>189</v>
      </c>
      <c r="T39" s="180">
        <v>8723.23</v>
      </c>
      <c r="U39" s="179">
        <v>0.15390000000000001</v>
      </c>
      <c r="V39" s="180">
        <v>152.27000000000001</v>
      </c>
      <c r="W39" s="178">
        <v>45</v>
      </c>
      <c r="X39" s="178">
        <v>35</v>
      </c>
      <c r="Y39" s="178">
        <v>33</v>
      </c>
      <c r="Z39" s="179">
        <v>0.21290000000000001</v>
      </c>
      <c r="AA39" s="180">
        <v>4.6100000000000003</v>
      </c>
      <c r="AB39" s="178">
        <v>155</v>
      </c>
      <c r="AC39" s="179">
        <v>1.9699999999999999E-2</v>
      </c>
      <c r="AD39" s="181">
        <v>7856</v>
      </c>
      <c r="AE39" s="180">
        <v>825.47</v>
      </c>
      <c r="AF39" s="180">
        <v>0.98</v>
      </c>
      <c r="AG39" s="179">
        <v>0.1845</v>
      </c>
      <c r="AH39" s="178">
        <v>5.42</v>
      </c>
      <c r="AI39" s="180">
        <v>263.88</v>
      </c>
      <c r="AJ39" s="178">
        <v>11</v>
      </c>
      <c r="AK39" s="180">
        <v>989.55</v>
      </c>
      <c r="AL39" s="179">
        <v>7.0800000000000002E-2</v>
      </c>
      <c r="AM39" s="179">
        <v>8.4420000000000002</v>
      </c>
      <c r="AN39" s="179">
        <v>10</v>
      </c>
      <c r="AO39" s="179">
        <v>9.3429000000000002</v>
      </c>
      <c r="AP39" s="179">
        <v>9.2727000000000004</v>
      </c>
      <c r="AQ39" s="179">
        <v>1.41E-2</v>
      </c>
      <c r="AR39" s="179">
        <v>-8.0299999999999996E-2</v>
      </c>
      <c r="AS39" s="179">
        <v>9.1289999999999996</v>
      </c>
      <c r="AT39" s="179">
        <v>-0.90359999999999996</v>
      </c>
      <c r="AU39" s="179">
        <v>102.1755</v>
      </c>
      <c r="AV39" s="179">
        <v>7.6726000000000001</v>
      </c>
      <c r="AW39" s="179">
        <v>-6.1199999999999997E-2</v>
      </c>
      <c r="AX39" s="179">
        <v>8.8300000000000003E-2</v>
      </c>
      <c r="AY39" s="179">
        <v>-8.1199999999999994E-2</v>
      </c>
      <c r="AZ39" s="179">
        <v>12.574199999999999</v>
      </c>
      <c r="BA39" s="179">
        <v>16.181799999999999</v>
      </c>
      <c r="BB39" s="179">
        <v>7.8154000000000003</v>
      </c>
    </row>
    <row r="40" spans="1:54">
      <c r="A40" s="178" t="s">
        <v>650</v>
      </c>
      <c r="B40" s="178" t="s">
        <v>1982</v>
      </c>
      <c r="C40" s="184">
        <v>0.22470000000000001</v>
      </c>
      <c r="D40" s="180">
        <v>1424.07</v>
      </c>
      <c r="E40" s="180"/>
      <c r="F40" s="178">
        <v>304</v>
      </c>
      <c r="G40" s="178">
        <v>382</v>
      </c>
      <c r="H40" s="178">
        <v>359</v>
      </c>
      <c r="I40" s="179">
        <v>0.27739999999999998</v>
      </c>
      <c r="J40" s="180">
        <v>3.97</v>
      </c>
      <c r="K40" s="181">
        <v>1294</v>
      </c>
      <c r="L40" s="179">
        <v>9.1999999999999998E-3</v>
      </c>
      <c r="M40" s="181">
        <v>140398</v>
      </c>
      <c r="N40" s="180">
        <v>10367.58</v>
      </c>
      <c r="O40" s="180">
        <v>1.1000000000000001</v>
      </c>
      <c r="P40" s="179">
        <v>0.13739999999999999</v>
      </c>
      <c r="Q40" s="178">
        <v>7.28</v>
      </c>
      <c r="R40" s="180">
        <v>2718.69</v>
      </c>
      <c r="S40" s="178">
        <v>122</v>
      </c>
      <c r="T40" s="180">
        <v>6336.96</v>
      </c>
      <c r="U40" s="182" t="s">
        <v>1947</v>
      </c>
      <c r="V40" s="180">
        <v>0</v>
      </c>
      <c r="W40" s="182" t="s">
        <v>1947</v>
      </c>
      <c r="X40" s="182" t="s">
        <v>1947</v>
      </c>
      <c r="Y40" s="182" t="s">
        <v>1947</v>
      </c>
      <c r="Z40" s="182" t="s">
        <v>1947</v>
      </c>
      <c r="AA40" s="180">
        <v>0</v>
      </c>
      <c r="AB40" s="182" t="s">
        <v>1947</v>
      </c>
      <c r="AC40" s="182" t="s">
        <v>1947</v>
      </c>
      <c r="AD40" s="182" t="s">
        <v>1947</v>
      </c>
      <c r="AE40" s="180">
        <v>0</v>
      </c>
      <c r="AF40" s="180">
        <v>0</v>
      </c>
      <c r="AG40" s="182" t="s">
        <v>1947</v>
      </c>
      <c r="AH40" s="182" t="s">
        <v>1947</v>
      </c>
      <c r="AI40" s="180">
        <v>0</v>
      </c>
      <c r="AJ40" s="182" t="s">
        <v>1947</v>
      </c>
      <c r="AK40" s="180">
        <v>0</v>
      </c>
      <c r="AL40" s="179">
        <v>22.47</v>
      </c>
      <c r="AM40" s="179">
        <v>1424.07</v>
      </c>
      <c r="AN40" s="179">
        <v>304</v>
      </c>
      <c r="AO40" s="179">
        <v>382</v>
      </c>
      <c r="AP40" s="179">
        <v>359</v>
      </c>
      <c r="AQ40" s="179">
        <v>27.74</v>
      </c>
      <c r="AR40" s="179">
        <v>3.97</v>
      </c>
      <c r="AS40" s="179">
        <v>1294</v>
      </c>
      <c r="AT40" s="179">
        <v>0.92</v>
      </c>
      <c r="AU40" s="179">
        <v>140398</v>
      </c>
      <c r="AV40" s="179">
        <v>10367.58</v>
      </c>
      <c r="AW40" s="179">
        <v>1.1000000000000001</v>
      </c>
      <c r="AX40" s="179">
        <v>13.74</v>
      </c>
      <c r="AY40" s="179">
        <v>7.28</v>
      </c>
      <c r="AZ40" s="179">
        <v>2718.69</v>
      </c>
      <c r="BA40" s="179">
        <v>122</v>
      </c>
      <c r="BB40" s="179">
        <v>6336.96</v>
      </c>
    </row>
    <row r="41" spans="1:54">
      <c r="A41" s="178" t="s">
        <v>495</v>
      </c>
      <c r="B41" s="178" t="s">
        <v>1983</v>
      </c>
      <c r="C41" s="184">
        <v>0.3397</v>
      </c>
      <c r="D41" s="180">
        <v>1379.06</v>
      </c>
      <c r="E41" s="180"/>
      <c r="F41" s="178">
        <v>170</v>
      </c>
      <c r="G41" s="178">
        <v>120</v>
      </c>
      <c r="H41" s="178">
        <v>112</v>
      </c>
      <c r="I41" s="179">
        <v>0.16370000000000001</v>
      </c>
      <c r="J41" s="180">
        <v>12.31</v>
      </c>
      <c r="K41" s="178">
        <v>684</v>
      </c>
      <c r="L41" s="179">
        <v>1.6000000000000001E-3</v>
      </c>
      <c r="M41" s="181">
        <v>419522</v>
      </c>
      <c r="N41" s="180">
        <v>2970.48</v>
      </c>
      <c r="O41" s="180">
        <v>2.02</v>
      </c>
      <c r="P41" s="184">
        <v>0.46429999999999999</v>
      </c>
      <c r="Q41" s="178">
        <v>2.15</v>
      </c>
      <c r="R41" s="180">
        <v>1973.61</v>
      </c>
      <c r="S41" s="178">
        <v>73</v>
      </c>
      <c r="T41" s="180">
        <v>4059.7</v>
      </c>
      <c r="U41" s="179">
        <v>8.8200000000000001E-2</v>
      </c>
      <c r="V41" s="180">
        <v>116.34</v>
      </c>
      <c r="W41" s="178">
        <v>44</v>
      </c>
      <c r="X41" s="178">
        <v>14</v>
      </c>
      <c r="Y41" s="178">
        <v>10</v>
      </c>
      <c r="Z41" s="179">
        <v>0.1724</v>
      </c>
      <c r="AA41" s="180">
        <v>11.63</v>
      </c>
      <c r="AB41" s="178">
        <v>58</v>
      </c>
      <c r="AC41" s="179">
        <v>1.0200000000000001E-2</v>
      </c>
      <c r="AD41" s="181">
        <v>5661</v>
      </c>
      <c r="AE41" s="180">
        <v>418.62</v>
      </c>
      <c r="AF41" s="180">
        <v>2.0099999999999998</v>
      </c>
      <c r="AG41" s="179">
        <v>0.27789999999999998</v>
      </c>
      <c r="AH41" s="178">
        <v>3.6</v>
      </c>
      <c r="AI41" s="180">
        <v>119.96</v>
      </c>
      <c r="AJ41" s="178">
        <v>4</v>
      </c>
      <c r="AK41" s="180">
        <v>1319.56</v>
      </c>
      <c r="AL41" s="179">
        <v>2.8515000000000001</v>
      </c>
      <c r="AM41" s="179">
        <v>10.8537</v>
      </c>
      <c r="AN41" s="179">
        <v>2.8635999999999999</v>
      </c>
      <c r="AO41" s="179">
        <v>7.5713999999999997</v>
      </c>
      <c r="AP41" s="179">
        <v>10.199999999999999</v>
      </c>
      <c r="AQ41" s="179">
        <v>-5.0500000000000003E-2</v>
      </c>
      <c r="AR41" s="179">
        <v>5.8500000000000003E-2</v>
      </c>
      <c r="AS41" s="179">
        <v>10.793100000000001</v>
      </c>
      <c r="AT41" s="179">
        <v>-0.84309999999999996</v>
      </c>
      <c r="AU41" s="179">
        <v>73.107399999999998</v>
      </c>
      <c r="AV41" s="179">
        <v>6.0959000000000003</v>
      </c>
      <c r="AW41" s="179">
        <v>5.0000000000000001E-3</v>
      </c>
      <c r="AX41" s="179">
        <v>0.67069999999999996</v>
      </c>
      <c r="AY41" s="179">
        <v>-0.40279999999999999</v>
      </c>
      <c r="AZ41" s="179">
        <v>15.452199999999999</v>
      </c>
      <c r="BA41" s="179">
        <v>17.25</v>
      </c>
      <c r="BB41" s="179">
        <v>2.0766</v>
      </c>
    </row>
    <row r="42" spans="1:54">
      <c r="A42" s="178" t="s">
        <v>1331</v>
      </c>
      <c r="B42" s="178" t="s">
        <v>1984</v>
      </c>
      <c r="C42" s="184">
        <v>0.27410000000000001</v>
      </c>
      <c r="D42" s="180">
        <v>1353.31</v>
      </c>
      <c r="E42" s="180"/>
      <c r="F42" s="178">
        <v>247</v>
      </c>
      <c r="G42" s="178">
        <v>138</v>
      </c>
      <c r="H42" s="178">
        <v>132</v>
      </c>
      <c r="I42" s="179">
        <v>0.1343</v>
      </c>
      <c r="J42" s="180">
        <v>10.25</v>
      </c>
      <c r="K42" s="178">
        <v>983</v>
      </c>
      <c r="L42" s="179">
        <v>7.7999999999999996E-3</v>
      </c>
      <c r="M42" s="181">
        <v>126413</v>
      </c>
      <c r="N42" s="180">
        <v>3356.34</v>
      </c>
      <c r="O42" s="180">
        <v>1.38</v>
      </c>
      <c r="P42" s="184">
        <v>0.4032</v>
      </c>
      <c r="Q42" s="178">
        <v>2.48</v>
      </c>
      <c r="R42" s="180">
        <v>1599.2</v>
      </c>
      <c r="S42" s="178">
        <v>77</v>
      </c>
      <c r="T42" s="180">
        <v>4937.33</v>
      </c>
      <c r="U42" s="179">
        <v>0.224</v>
      </c>
      <c r="V42" s="180">
        <v>1457.42</v>
      </c>
      <c r="W42" s="178">
        <v>430</v>
      </c>
      <c r="X42" s="178">
        <v>214</v>
      </c>
      <c r="Y42" s="178">
        <v>184</v>
      </c>
      <c r="Z42" s="179">
        <v>0.17860000000000001</v>
      </c>
      <c r="AA42" s="180">
        <v>7.92</v>
      </c>
      <c r="AB42" s="181">
        <v>1030</v>
      </c>
      <c r="AC42" s="179">
        <v>1.0500000000000001E-2</v>
      </c>
      <c r="AD42" s="181">
        <v>97881</v>
      </c>
      <c r="AE42" s="180">
        <v>4040.87</v>
      </c>
      <c r="AF42" s="180">
        <v>1.41</v>
      </c>
      <c r="AG42" s="179">
        <v>0.36070000000000002</v>
      </c>
      <c r="AH42" s="178">
        <v>2.77</v>
      </c>
      <c r="AI42" s="180">
        <v>2298.4899999999998</v>
      </c>
      <c r="AJ42" s="178">
        <v>131</v>
      </c>
      <c r="AK42" s="180">
        <v>6505.71</v>
      </c>
      <c r="AL42" s="179">
        <v>0.22370000000000001</v>
      </c>
      <c r="AM42" s="179">
        <v>-7.1400000000000005E-2</v>
      </c>
      <c r="AN42" s="179">
        <v>-0.42559999999999998</v>
      </c>
      <c r="AO42" s="179">
        <v>-0.35510000000000003</v>
      </c>
      <c r="AP42" s="179">
        <v>-0.28260000000000002</v>
      </c>
      <c r="AQ42" s="179">
        <v>-0.248</v>
      </c>
      <c r="AR42" s="179">
        <v>0.29420000000000002</v>
      </c>
      <c r="AS42" s="179">
        <v>-4.5600000000000002E-2</v>
      </c>
      <c r="AT42" s="179">
        <v>-0.2571</v>
      </c>
      <c r="AU42" s="179">
        <v>0.29149999999999998</v>
      </c>
      <c r="AV42" s="179">
        <v>-0.1694</v>
      </c>
      <c r="AW42" s="179">
        <v>-2.1299999999999999E-2</v>
      </c>
      <c r="AX42" s="179">
        <v>0.1178</v>
      </c>
      <c r="AY42" s="179">
        <v>-0.1047</v>
      </c>
      <c r="AZ42" s="179">
        <v>-0.30420000000000003</v>
      </c>
      <c r="BA42" s="179">
        <v>-0.41220000000000001</v>
      </c>
      <c r="BB42" s="179">
        <v>-0.24110000000000001</v>
      </c>
    </row>
    <row r="43" spans="1:54">
      <c r="A43" s="178" t="s">
        <v>592</v>
      </c>
      <c r="B43" s="178" t="s">
        <v>1985</v>
      </c>
      <c r="C43" s="184">
        <v>0.35849999999999999</v>
      </c>
      <c r="D43" s="180">
        <v>1335.57</v>
      </c>
      <c r="E43" s="180"/>
      <c r="F43" s="178">
        <v>206</v>
      </c>
      <c r="G43" s="178">
        <v>211</v>
      </c>
      <c r="H43" s="178">
        <v>196</v>
      </c>
      <c r="I43" s="179">
        <v>0.16070000000000001</v>
      </c>
      <c r="J43" s="180">
        <v>6.81</v>
      </c>
      <c r="K43" s="181">
        <v>1220</v>
      </c>
      <c r="L43" s="179">
        <v>1.24E-2</v>
      </c>
      <c r="M43" s="181">
        <v>98101</v>
      </c>
      <c r="N43" s="180">
        <v>4701.74</v>
      </c>
      <c r="O43" s="180">
        <v>1.0900000000000001</v>
      </c>
      <c r="P43" s="179">
        <v>0.28410000000000002</v>
      </c>
      <c r="Q43" s="178">
        <v>3.52</v>
      </c>
      <c r="R43" s="180">
        <v>1702.85</v>
      </c>
      <c r="S43" s="178">
        <v>91</v>
      </c>
      <c r="T43" s="180">
        <v>3725.34</v>
      </c>
      <c r="U43" s="179">
        <v>0</v>
      </c>
      <c r="V43" s="180">
        <v>0</v>
      </c>
      <c r="W43" s="178">
        <v>1</v>
      </c>
      <c r="X43" s="178">
        <v>0</v>
      </c>
      <c r="Y43" s="178">
        <v>0</v>
      </c>
      <c r="Z43" s="182" t="s">
        <v>1947</v>
      </c>
      <c r="AA43" s="180">
        <v>0</v>
      </c>
      <c r="AB43" s="178">
        <v>0</v>
      </c>
      <c r="AC43" s="179">
        <v>0</v>
      </c>
      <c r="AD43" s="178">
        <v>116</v>
      </c>
      <c r="AE43" s="180">
        <v>0</v>
      </c>
      <c r="AF43" s="180">
        <v>0</v>
      </c>
      <c r="AG43" s="182" t="s">
        <v>1947</v>
      </c>
      <c r="AH43" s="182" t="s">
        <v>1947</v>
      </c>
      <c r="AI43" s="180">
        <v>0</v>
      </c>
      <c r="AJ43" s="178">
        <v>0</v>
      </c>
      <c r="AK43" s="180">
        <v>19.989999999999998</v>
      </c>
      <c r="AL43" s="179">
        <v>35.85</v>
      </c>
      <c r="AM43" s="179">
        <v>1335.57</v>
      </c>
      <c r="AN43" s="179">
        <v>205</v>
      </c>
      <c r="AO43" s="179">
        <v>211</v>
      </c>
      <c r="AP43" s="179">
        <v>196</v>
      </c>
      <c r="AQ43" s="179">
        <v>16.07</v>
      </c>
      <c r="AR43" s="179">
        <v>6.81</v>
      </c>
      <c r="AS43" s="179">
        <v>1220</v>
      </c>
      <c r="AT43" s="179">
        <v>1.24</v>
      </c>
      <c r="AU43" s="179">
        <v>844.69830000000002</v>
      </c>
      <c r="AV43" s="179">
        <v>4701.74</v>
      </c>
      <c r="AW43" s="179">
        <v>1.0900000000000001</v>
      </c>
      <c r="AX43" s="179">
        <v>28.41</v>
      </c>
      <c r="AY43" s="179">
        <v>3.52</v>
      </c>
      <c r="AZ43" s="179">
        <v>1702.85</v>
      </c>
      <c r="BA43" s="179">
        <v>91</v>
      </c>
      <c r="BB43" s="179">
        <v>185.36019999999999</v>
      </c>
    </row>
    <row r="44" spans="1:54">
      <c r="A44" s="178" t="s">
        <v>463</v>
      </c>
      <c r="B44" s="178" t="s">
        <v>1986</v>
      </c>
      <c r="C44" s="184">
        <v>0.1726</v>
      </c>
      <c r="D44" s="180">
        <v>1335.4</v>
      </c>
      <c r="E44" s="180"/>
      <c r="F44" s="178">
        <v>422</v>
      </c>
      <c r="G44" s="178">
        <v>293</v>
      </c>
      <c r="H44" s="178">
        <v>277</v>
      </c>
      <c r="I44" s="179">
        <v>0.22839999999999999</v>
      </c>
      <c r="J44" s="180">
        <v>4.82</v>
      </c>
      <c r="K44" s="181">
        <v>1213</v>
      </c>
      <c r="L44" s="179">
        <v>1.55E-2</v>
      </c>
      <c r="M44" s="181">
        <v>78470</v>
      </c>
      <c r="N44" s="180">
        <v>6038.42</v>
      </c>
      <c r="O44" s="180">
        <v>1.1000000000000001</v>
      </c>
      <c r="P44" s="179">
        <v>0.22120000000000001</v>
      </c>
      <c r="Q44" s="178">
        <v>4.5199999999999996</v>
      </c>
      <c r="R44" s="180">
        <v>3110.27</v>
      </c>
      <c r="S44" s="178">
        <v>164</v>
      </c>
      <c r="T44" s="180">
        <v>7735.18</v>
      </c>
      <c r="U44" s="179">
        <v>0.13039999999999999</v>
      </c>
      <c r="V44" s="180">
        <v>948.67</v>
      </c>
      <c r="W44" s="178">
        <v>364</v>
      </c>
      <c r="X44" s="178">
        <v>243</v>
      </c>
      <c r="Y44" s="178">
        <v>220</v>
      </c>
      <c r="Z44" s="179">
        <v>0.2591</v>
      </c>
      <c r="AA44" s="180">
        <v>4.3099999999999996</v>
      </c>
      <c r="AB44" s="178">
        <v>849</v>
      </c>
      <c r="AC44" s="179">
        <v>1.5299999999999999E-2</v>
      </c>
      <c r="AD44" s="181">
        <v>55483</v>
      </c>
      <c r="AE44" s="180">
        <v>5346.01</v>
      </c>
      <c r="AF44" s="180">
        <v>1.1200000000000001</v>
      </c>
      <c r="AG44" s="179">
        <v>0.17749999999999999</v>
      </c>
      <c r="AH44" s="178">
        <v>5.64</v>
      </c>
      <c r="AI44" s="180">
        <v>2538.33</v>
      </c>
      <c r="AJ44" s="178">
        <v>116</v>
      </c>
      <c r="AK44" s="180">
        <v>7273.56</v>
      </c>
      <c r="AL44" s="179">
        <v>0.3236</v>
      </c>
      <c r="AM44" s="179">
        <v>0.40770000000000001</v>
      </c>
      <c r="AN44" s="179">
        <v>0.1593</v>
      </c>
      <c r="AO44" s="179">
        <v>0.20580000000000001</v>
      </c>
      <c r="AP44" s="179">
        <v>0.2591</v>
      </c>
      <c r="AQ44" s="179">
        <v>-0.11849999999999999</v>
      </c>
      <c r="AR44" s="179">
        <v>0.1183</v>
      </c>
      <c r="AS44" s="179">
        <v>0.42870000000000003</v>
      </c>
      <c r="AT44" s="179">
        <v>1.3100000000000001E-2</v>
      </c>
      <c r="AU44" s="179">
        <v>0.4143</v>
      </c>
      <c r="AV44" s="179">
        <v>0.1295</v>
      </c>
      <c r="AW44" s="179">
        <v>-1.7899999999999999E-2</v>
      </c>
      <c r="AX44" s="179">
        <v>0.2462</v>
      </c>
      <c r="AY44" s="179">
        <v>-0.1986</v>
      </c>
      <c r="AZ44" s="179">
        <v>0.2253</v>
      </c>
      <c r="BA44" s="179">
        <v>0.4138</v>
      </c>
      <c r="BB44" s="179">
        <v>6.3500000000000001E-2</v>
      </c>
    </row>
    <row r="45" spans="1:54">
      <c r="A45" s="178" t="s">
        <v>1202</v>
      </c>
      <c r="B45" s="178" t="s">
        <v>1987</v>
      </c>
      <c r="C45" s="184">
        <v>0.1545</v>
      </c>
      <c r="D45" s="180">
        <v>1330.38</v>
      </c>
      <c r="E45" s="180"/>
      <c r="F45" s="178">
        <v>319</v>
      </c>
      <c r="G45" s="178">
        <v>249</v>
      </c>
      <c r="H45" s="178">
        <v>243</v>
      </c>
      <c r="I45" s="179">
        <v>0.16339999999999999</v>
      </c>
      <c r="J45" s="180">
        <v>5.47</v>
      </c>
      <c r="K45" s="181">
        <v>1487</v>
      </c>
      <c r="L45" s="179">
        <v>1.0200000000000001E-2</v>
      </c>
      <c r="M45" s="181">
        <v>145111</v>
      </c>
      <c r="N45" s="180">
        <v>6680.15</v>
      </c>
      <c r="O45" s="180">
        <v>0.89</v>
      </c>
      <c r="P45" s="179">
        <v>0.19919999999999999</v>
      </c>
      <c r="Q45" s="178">
        <v>5.0199999999999996</v>
      </c>
      <c r="R45" s="180">
        <v>5748.6</v>
      </c>
      <c r="S45" s="178">
        <v>209</v>
      </c>
      <c r="T45" s="180">
        <v>8609.27</v>
      </c>
      <c r="U45" s="182" t="s">
        <v>1947</v>
      </c>
      <c r="V45" s="180">
        <v>0</v>
      </c>
      <c r="W45" s="182" t="s">
        <v>1947</v>
      </c>
      <c r="X45" s="182" t="s">
        <v>1947</v>
      </c>
      <c r="Y45" s="182" t="s">
        <v>1947</v>
      </c>
      <c r="Z45" s="182" t="s">
        <v>1947</v>
      </c>
      <c r="AA45" s="180">
        <v>0</v>
      </c>
      <c r="AB45" s="182" t="s">
        <v>1947</v>
      </c>
      <c r="AC45" s="182" t="s">
        <v>1947</v>
      </c>
      <c r="AD45" s="182" t="s">
        <v>1947</v>
      </c>
      <c r="AE45" s="180">
        <v>0</v>
      </c>
      <c r="AF45" s="180">
        <v>0</v>
      </c>
      <c r="AG45" s="182" t="s">
        <v>1947</v>
      </c>
      <c r="AH45" s="182" t="s">
        <v>1947</v>
      </c>
      <c r="AI45" s="180">
        <v>0</v>
      </c>
      <c r="AJ45" s="182" t="s">
        <v>1947</v>
      </c>
      <c r="AK45" s="180">
        <v>0</v>
      </c>
      <c r="AL45" s="179">
        <v>15.45</v>
      </c>
      <c r="AM45" s="179">
        <v>1330.38</v>
      </c>
      <c r="AN45" s="179">
        <v>319</v>
      </c>
      <c r="AO45" s="179">
        <v>249</v>
      </c>
      <c r="AP45" s="179">
        <v>243</v>
      </c>
      <c r="AQ45" s="179">
        <v>16.34</v>
      </c>
      <c r="AR45" s="179">
        <v>5.47</v>
      </c>
      <c r="AS45" s="179">
        <v>1487</v>
      </c>
      <c r="AT45" s="179">
        <v>1.02</v>
      </c>
      <c r="AU45" s="179">
        <v>145111</v>
      </c>
      <c r="AV45" s="179">
        <v>6680.15</v>
      </c>
      <c r="AW45" s="179">
        <v>0.89</v>
      </c>
      <c r="AX45" s="179">
        <v>19.920000000000002</v>
      </c>
      <c r="AY45" s="179">
        <v>5.0199999999999996</v>
      </c>
      <c r="AZ45" s="179">
        <v>5748.6</v>
      </c>
      <c r="BA45" s="179">
        <v>209</v>
      </c>
      <c r="BB45" s="179">
        <v>8609.27</v>
      </c>
    </row>
    <row r="46" spans="1:54">
      <c r="A46" s="178" t="s">
        <v>383</v>
      </c>
      <c r="B46" s="178" t="s">
        <v>1988</v>
      </c>
      <c r="C46" s="184">
        <v>0.2487</v>
      </c>
      <c r="D46" s="180">
        <v>1321.42</v>
      </c>
      <c r="E46" s="180"/>
      <c r="F46" s="178">
        <v>318</v>
      </c>
      <c r="G46" s="178">
        <v>251</v>
      </c>
      <c r="H46" s="178">
        <v>232</v>
      </c>
      <c r="I46" s="179">
        <v>0.2283</v>
      </c>
      <c r="J46" s="180">
        <v>5.7</v>
      </c>
      <c r="K46" s="181">
        <v>1016</v>
      </c>
      <c r="L46" s="179">
        <v>1.37E-2</v>
      </c>
      <c r="M46" s="181">
        <v>74319</v>
      </c>
      <c r="N46" s="180">
        <v>4811.32</v>
      </c>
      <c r="O46" s="180">
        <v>1.3</v>
      </c>
      <c r="P46" s="179">
        <v>0.27460000000000001</v>
      </c>
      <c r="Q46" s="178">
        <v>3.64</v>
      </c>
      <c r="R46" s="180">
        <v>2284.42</v>
      </c>
      <c r="S46" s="178">
        <v>128</v>
      </c>
      <c r="T46" s="180">
        <v>5312.42</v>
      </c>
      <c r="U46" s="179">
        <v>0.2117</v>
      </c>
      <c r="V46" s="180">
        <v>919.85</v>
      </c>
      <c r="W46" s="178">
        <v>267</v>
      </c>
      <c r="X46" s="178">
        <v>184</v>
      </c>
      <c r="Y46" s="178">
        <v>171</v>
      </c>
      <c r="Z46" s="179">
        <v>0.21759999999999999</v>
      </c>
      <c r="AA46" s="180">
        <v>5.38</v>
      </c>
      <c r="AB46" s="178">
        <v>786</v>
      </c>
      <c r="AC46" s="179">
        <v>3.3999999999999998E-3</v>
      </c>
      <c r="AD46" s="181">
        <v>233290</v>
      </c>
      <c r="AE46" s="180">
        <v>3717.77</v>
      </c>
      <c r="AF46" s="180">
        <v>1.17</v>
      </c>
      <c r="AG46" s="179">
        <v>0.24740000000000001</v>
      </c>
      <c r="AH46" s="178">
        <v>4.04</v>
      </c>
      <c r="AI46" s="180">
        <v>1584.81</v>
      </c>
      <c r="AJ46" s="178">
        <v>89</v>
      </c>
      <c r="AK46" s="180">
        <v>4345.13</v>
      </c>
      <c r="AL46" s="179">
        <v>0.17480000000000001</v>
      </c>
      <c r="AM46" s="179">
        <v>0.43659999999999999</v>
      </c>
      <c r="AN46" s="179">
        <v>0.191</v>
      </c>
      <c r="AO46" s="179">
        <v>0.36409999999999998</v>
      </c>
      <c r="AP46" s="179">
        <v>0.35670000000000002</v>
      </c>
      <c r="AQ46" s="179">
        <v>4.9200000000000001E-2</v>
      </c>
      <c r="AR46" s="179">
        <v>5.9499999999999997E-2</v>
      </c>
      <c r="AS46" s="179">
        <v>0.29260000000000003</v>
      </c>
      <c r="AT46" s="179">
        <v>3.0293999999999999</v>
      </c>
      <c r="AU46" s="179">
        <v>-0.68140000000000001</v>
      </c>
      <c r="AV46" s="179">
        <v>0.29409999999999997</v>
      </c>
      <c r="AW46" s="179">
        <v>0.1111</v>
      </c>
      <c r="AX46" s="179">
        <v>0.1099</v>
      </c>
      <c r="AY46" s="179">
        <v>-9.9000000000000005E-2</v>
      </c>
      <c r="AZ46" s="179">
        <v>0.44140000000000001</v>
      </c>
      <c r="BA46" s="179">
        <v>0.43819999999999998</v>
      </c>
      <c r="BB46" s="179">
        <v>0.22259999999999999</v>
      </c>
    </row>
    <row r="47" spans="1:54">
      <c r="A47" s="178" t="s">
        <v>1045</v>
      </c>
      <c r="B47" s="178" t="s">
        <v>1989</v>
      </c>
      <c r="C47" s="184">
        <v>0.36409999999999998</v>
      </c>
      <c r="D47" s="180">
        <v>1215.1400000000001</v>
      </c>
      <c r="E47" s="180"/>
      <c r="F47" s="178">
        <v>148</v>
      </c>
      <c r="G47" s="178">
        <v>177</v>
      </c>
      <c r="H47" s="178">
        <v>170</v>
      </c>
      <c r="I47" s="179">
        <v>0.1457</v>
      </c>
      <c r="J47" s="180">
        <v>7.15</v>
      </c>
      <c r="K47" s="181">
        <v>1167</v>
      </c>
      <c r="L47" s="179">
        <v>1.24E-2</v>
      </c>
      <c r="M47" s="181">
        <v>94143</v>
      </c>
      <c r="N47" s="180">
        <v>4104.92</v>
      </c>
      <c r="O47" s="180">
        <v>1.04</v>
      </c>
      <c r="P47" s="179">
        <v>0.29599999999999999</v>
      </c>
      <c r="Q47" s="178">
        <v>3.38</v>
      </c>
      <c r="R47" s="180">
        <v>2718.3</v>
      </c>
      <c r="S47" s="178">
        <v>114</v>
      </c>
      <c r="T47" s="180">
        <v>3337.77</v>
      </c>
      <c r="U47" s="179">
        <v>0.20219999999999999</v>
      </c>
      <c r="V47" s="180">
        <v>181.94</v>
      </c>
      <c r="W47" s="178">
        <v>36</v>
      </c>
      <c r="X47" s="178">
        <v>25</v>
      </c>
      <c r="Y47" s="178">
        <v>23</v>
      </c>
      <c r="Z47" s="179">
        <v>0.14560000000000001</v>
      </c>
      <c r="AA47" s="180">
        <v>7.91</v>
      </c>
      <c r="AB47" s="178">
        <v>158</v>
      </c>
      <c r="AC47" s="179">
        <v>1.54E-2</v>
      </c>
      <c r="AD47" s="181">
        <v>10253</v>
      </c>
      <c r="AE47" s="180">
        <v>601.62</v>
      </c>
      <c r="AF47" s="180">
        <v>1.1499999999999999</v>
      </c>
      <c r="AG47" s="179">
        <v>0.3024</v>
      </c>
      <c r="AH47" s="178">
        <v>3.31</v>
      </c>
      <c r="AI47" s="180">
        <v>174.93</v>
      </c>
      <c r="AJ47" s="178">
        <v>6</v>
      </c>
      <c r="AK47" s="180">
        <v>899.64</v>
      </c>
      <c r="AL47" s="179">
        <v>0.80069999999999997</v>
      </c>
      <c r="AM47" s="179">
        <v>5.6787999999999998</v>
      </c>
      <c r="AN47" s="179">
        <v>3.1111</v>
      </c>
      <c r="AO47" s="179">
        <v>6.08</v>
      </c>
      <c r="AP47" s="179">
        <v>6.3913000000000002</v>
      </c>
      <c r="AQ47" s="179">
        <v>6.9999999999999999E-4</v>
      </c>
      <c r="AR47" s="179">
        <v>-9.6100000000000005E-2</v>
      </c>
      <c r="AS47" s="179">
        <v>6.3860999999999999</v>
      </c>
      <c r="AT47" s="179">
        <v>-0.1948</v>
      </c>
      <c r="AU47" s="179">
        <v>8.1820000000000004</v>
      </c>
      <c r="AV47" s="179">
        <v>5.8231000000000002</v>
      </c>
      <c r="AW47" s="179">
        <v>-9.5699999999999993E-2</v>
      </c>
      <c r="AX47" s="179">
        <v>-2.12E-2</v>
      </c>
      <c r="AY47" s="179">
        <v>2.1100000000000001E-2</v>
      </c>
      <c r="AZ47" s="179">
        <v>14.539400000000001</v>
      </c>
      <c r="BA47" s="179">
        <v>18</v>
      </c>
      <c r="BB47" s="179">
        <v>2.7101000000000002</v>
      </c>
    </row>
    <row r="48" spans="1:54">
      <c r="A48" s="178" t="s">
        <v>652</v>
      </c>
      <c r="B48" s="178" t="s">
        <v>1990</v>
      </c>
      <c r="C48" s="184">
        <v>0.18129999999999999</v>
      </c>
      <c r="D48" s="180">
        <v>1194.3</v>
      </c>
      <c r="E48" s="180"/>
      <c r="F48" s="178">
        <v>314</v>
      </c>
      <c r="G48" s="178">
        <v>494</v>
      </c>
      <c r="H48" s="178">
        <v>372</v>
      </c>
      <c r="I48" s="179">
        <v>0.27839999999999998</v>
      </c>
      <c r="J48" s="180">
        <v>3.21</v>
      </c>
      <c r="K48" s="181">
        <v>1336</v>
      </c>
      <c r="L48" s="179">
        <v>1.4800000000000001E-2</v>
      </c>
      <c r="M48" s="181">
        <v>90520</v>
      </c>
      <c r="N48" s="180">
        <v>12121.76</v>
      </c>
      <c r="O48" s="180">
        <v>0.89</v>
      </c>
      <c r="P48" s="179">
        <v>9.8500000000000004E-2</v>
      </c>
      <c r="Q48" s="178">
        <v>10.15</v>
      </c>
      <c r="R48" s="180">
        <v>3448.37</v>
      </c>
      <c r="S48" s="178">
        <v>151</v>
      </c>
      <c r="T48" s="180">
        <v>6586.61</v>
      </c>
      <c r="U48" s="182" t="s">
        <v>1947</v>
      </c>
      <c r="V48" s="180">
        <v>0</v>
      </c>
      <c r="W48" s="182" t="s">
        <v>1947</v>
      </c>
      <c r="X48" s="182" t="s">
        <v>1947</v>
      </c>
      <c r="Y48" s="182" t="s">
        <v>1947</v>
      </c>
      <c r="Z48" s="182" t="s">
        <v>1947</v>
      </c>
      <c r="AA48" s="180">
        <v>0</v>
      </c>
      <c r="AB48" s="182" t="s">
        <v>1947</v>
      </c>
      <c r="AC48" s="182" t="s">
        <v>1947</v>
      </c>
      <c r="AD48" s="182" t="s">
        <v>1947</v>
      </c>
      <c r="AE48" s="180">
        <v>0</v>
      </c>
      <c r="AF48" s="180">
        <v>0</v>
      </c>
      <c r="AG48" s="182" t="s">
        <v>1947</v>
      </c>
      <c r="AH48" s="182" t="s">
        <v>1947</v>
      </c>
      <c r="AI48" s="180">
        <v>0</v>
      </c>
      <c r="AJ48" s="182" t="s">
        <v>1947</v>
      </c>
      <c r="AK48" s="180">
        <v>0</v>
      </c>
      <c r="AL48" s="179">
        <v>18.13</v>
      </c>
      <c r="AM48" s="179">
        <v>1194.3</v>
      </c>
      <c r="AN48" s="179">
        <v>314</v>
      </c>
      <c r="AO48" s="179">
        <v>494</v>
      </c>
      <c r="AP48" s="179">
        <v>372</v>
      </c>
      <c r="AQ48" s="179">
        <v>27.84</v>
      </c>
      <c r="AR48" s="179">
        <v>3.21</v>
      </c>
      <c r="AS48" s="179">
        <v>1336</v>
      </c>
      <c r="AT48" s="179">
        <v>1.48</v>
      </c>
      <c r="AU48" s="179">
        <v>90520</v>
      </c>
      <c r="AV48" s="179">
        <v>12121.76</v>
      </c>
      <c r="AW48" s="179">
        <v>0.89</v>
      </c>
      <c r="AX48" s="179">
        <v>9.85</v>
      </c>
      <c r="AY48" s="179">
        <v>10.15</v>
      </c>
      <c r="AZ48" s="179">
        <v>3448.37</v>
      </c>
      <c r="BA48" s="179">
        <v>151</v>
      </c>
      <c r="BB48" s="179">
        <v>6586.61</v>
      </c>
    </row>
    <row r="49" spans="1:54">
      <c r="A49" s="178" t="s">
        <v>561</v>
      </c>
      <c r="B49" s="178" t="s">
        <v>1991</v>
      </c>
      <c r="C49" s="184">
        <v>0.3039</v>
      </c>
      <c r="D49" s="180">
        <v>1191.1099999999999</v>
      </c>
      <c r="E49" s="180"/>
      <c r="F49" s="178">
        <v>247</v>
      </c>
      <c r="G49" s="178">
        <v>287</v>
      </c>
      <c r="H49" s="178">
        <v>264</v>
      </c>
      <c r="I49" s="179">
        <v>0.22170000000000001</v>
      </c>
      <c r="J49" s="180">
        <v>4.51</v>
      </c>
      <c r="K49" s="181">
        <v>1191</v>
      </c>
      <c r="L49" s="179">
        <v>1.84E-2</v>
      </c>
      <c r="M49" s="181">
        <v>64795</v>
      </c>
      <c r="N49" s="180">
        <v>6056.5</v>
      </c>
      <c r="O49" s="180">
        <v>1</v>
      </c>
      <c r="P49" s="179">
        <v>0.19670000000000001</v>
      </c>
      <c r="Q49" s="178">
        <v>5.08</v>
      </c>
      <c r="R49" s="180">
        <v>1696.94</v>
      </c>
      <c r="S49" s="178">
        <v>90</v>
      </c>
      <c r="T49" s="180">
        <v>3919.53</v>
      </c>
      <c r="U49" s="179">
        <v>0.3569</v>
      </c>
      <c r="V49" s="180">
        <v>470.83</v>
      </c>
      <c r="W49" s="178">
        <v>66</v>
      </c>
      <c r="X49" s="178">
        <v>105</v>
      </c>
      <c r="Y49" s="178">
        <v>91</v>
      </c>
      <c r="Z49" s="179">
        <v>0.20449999999999999</v>
      </c>
      <c r="AA49" s="180">
        <v>5.17</v>
      </c>
      <c r="AB49" s="178">
        <v>445</v>
      </c>
      <c r="AC49" s="179">
        <v>1.2500000000000001E-2</v>
      </c>
      <c r="AD49" s="181">
        <v>35459</v>
      </c>
      <c r="AE49" s="180">
        <v>2385.69</v>
      </c>
      <c r="AF49" s="180">
        <v>1.06</v>
      </c>
      <c r="AG49" s="179">
        <v>0.19739999999999999</v>
      </c>
      <c r="AH49" s="178">
        <v>5.07</v>
      </c>
      <c r="AI49" s="180">
        <v>539.53</v>
      </c>
      <c r="AJ49" s="178">
        <v>21</v>
      </c>
      <c r="AK49" s="180">
        <v>1319.14</v>
      </c>
      <c r="AL49" s="179">
        <v>-0.14849999999999999</v>
      </c>
      <c r="AM49" s="179">
        <v>1.5298</v>
      </c>
      <c r="AN49" s="179">
        <v>2.7423999999999999</v>
      </c>
      <c r="AO49" s="179">
        <v>1.7333000000000001</v>
      </c>
      <c r="AP49" s="179">
        <v>1.9011</v>
      </c>
      <c r="AQ49" s="179">
        <v>8.4099999999999994E-2</v>
      </c>
      <c r="AR49" s="179">
        <v>-0.12770000000000001</v>
      </c>
      <c r="AS49" s="179">
        <v>1.6763999999999999</v>
      </c>
      <c r="AT49" s="179">
        <v>0.47199999999999998</v>
      </c>
      <c r="AU49" s="179">
        <v>0.82730000000000004</v>
      </c>
      <c r="AV49" s="179">
        <v>1.5387</v>
      </c>
      <c r="AW49" s="179">
        <v>-5.6599999999999998E-2</v>
      </c>
      <c r="AX49" s="179">
        <v>-3.5000000000000001E-3</v>
      </c>
      <c r="AY49" s="179">
        <v>2E-3</v>
      </c>
      <c r="AZ49" s="179">
        <v>2.1452</v>
      </c>
      <c r="BA49" s="179">
        <v>3.2856999999999998</v>
      </c>
      <c r="BB49" s="179">
        <v>1.9713000000000001</v>
      </c>
    </row>
    <row r="50" spans="1:54">
      <c r="A50" s="178" t="s">
        <v>419</v>
      </c>
      <c r="B50" s="178" t="s">
        <v>1992</v>
      </c>
      <c r="C50" s="184">
        <v>0.40629999999999999</v>
      </c>
      <c r="D50" s="180">
        <v>1063.18</v>
      </c>
      <c r="E50" s="180"/>
      <c r="F50" s="178">
        <v>114</v>
      </c>
      <c r="G50" s="178">
        <v>124</v>
      </c>
      <c r="H50" s="178">
        <v>120</v>
      </c>
      <c r="I50" s="179">
        <v>0.21429999999999999</v>
      </c>
      <c r="J50" s="180">
        <v>8.86</v>
      </c>
      <c r="K50" s="178">
        <v>560</v>
      </c>
      <c r="L50" s="179">
        <v>3.3999999999999998E-3</v>
      </c>
      <c r="M50" s="181">
        <v>166218</v>
      </c>
      <c r="N50" s="180">
        <v>2989.01</v>
      </c>
      <c r="O50" s="180">
        <v>1.9</v>
      </c>
      <c r="P50" s="184">
        <v>0.35570000000000002</v>
      </c>
      <c r="Q50" s="178">
        <v>2.81</v>
      </c>
      <c r="R50" s="180">
        <v>1423.35</v>
      </c>
      <c r="S50" s="178">
        <v>62</v>
      </c>
      <c r="T50" s="180">
        <v>2616.56</v>
      </c>
      <c r="U50" s="179">
        <v>4.0599999999999997E-2</v>
      </c>
      <c r="V50" s="180">
        <v>43.88</v>
      </c>
      <c r="W50" s="178">
        <v>36</v>
      </c>
      <c r="X50" s="178">
        <v>3</v>
      </c>
      <c r="Y50" s="178">
        <v>3</v>
      </c>
      <c r="Z50" s="179">
        <v>0.13039999999999999</v>
      </c>
      <c r="AA50" s="180">
        <v>14.63</v>
      </c>
      <c r="AB50" s="178">
        <v>23</v>
      </c>
      <c r="AC50" s="179">
        <v>6.6E-3</v>
      </c>
      <c r="AD50" s="181">
        <v>3468</v>
      </c>
      <c r="AE50" s="180">
        <v>89.97</v>
      </c>
      <c r="AF50" s="180">
        <v>1.91</v>
      </c>
      <c r="AG50" s="179">
        <v>0.48770000000000002</v>
      </c>
      <c r="AH50" s="178">
        <v>2.0499999999999998</v>
      </c>
      <c r="AI50" s="180">
        <v>59.98</v>
      </c>
      <c r="AJ50" s="178">
        <v>2</v>
      </c>
      <c r="AK50" s="180">
        <v>1079.6400000000001</v>
      </c>
      <c r="AL50" s="179">
        <v>9.0074000000000005</v>
      </c>
      <c r="AM50" s="179">
        <v>23.229299999999999</v>
      </c>
      <c r="AN50" s="179">
        <v>2.1667000000000001</v>
      </c>
      <c r="AO50" s="179">
        <v>40.333300000000001</v>
      </c>
      <c r="AP50" s="179">
        <v>39</v>
      </c>
      <c r="AQ50" s="179">
        <v>0.64339999999999997</v>
      </c>
      <c r="AR50" s="179">
        <v>-0.39439999999999997</v>
      </c>
      <c r="AS50" s="179">
        <v>23.347799999999999</v>
      </c>
      <c r="AT50" s="179">
        <v>-0.48480000000000001</v>
      </c>
      <c r="AU50" s="179">
        <v>46.929099999999998</v>
      </c>
      <c r="AV50" s="179">
        <v>32.222299999999997</v>
      </c>
      <c r="AW50" s="179">
        <v>-5.1999999999999998E-3</v>
      </c>
      <c r="AX50" s="179">
        <v>-0.2707</v>
      </c>
      <c r="AY50" s="179">
        <v>0.37069999999999997</v>
      </c>
      <c r="AZ50" s="179">
        <v>22.730399999999999</v>
      </c>
      <c r="BA50" s="179">
        <v>30</v>
      </c>
      <c r="BB50" s="179">
        <v>1.4235</v>
      </c>
    </row>
    <row r="51" spans="1:54">
      <c r="A51" s="178" t="s">
        <v>1059</v>
      </c>
      <c r="B51" s="178" t="s">
        <v>1993</v>
      </c>
      <c r="C51" s="184">
        <v>0.23880000000000001</v>
      </c>
      <c r="D51" s="180">
        <v>1036.72</v>
      </c>
      <c r="E51" s="180"/>
      <c r="F51" s="178">
        <v>251</v>
      </c>
      <c r="G51" s="178">
        <v>188</v>
      </c>
      <c r="H51" s="178">
        <v>175</v>
      </c>
      <c r="I51" s="179">
        <v>0.16750000000000001</v>
      </c>
      <c r="J51" s="180">
        <v>5.92</v>
      </c>
      <c r="K51" s="181">
        <v>1045</v>
      </c>
      <c r="L51" s="179">
        <v>8.0999999999999996E-3</v>
      </c>
      <c r="M51" s="181">
        <v>128715</v>
      </c>
      <c r="N51" s="180">
        <v>3399.58</v>
      </c>
      <c r="O51" s="180">
        <v>0.99</v>
      </c>
      <c r="P51" s="184">
        <v>0.30499999999999999</v>
      </c>
      <c r="Q51" s="178">
        <v>3.28</v>
      </c>
      <c r="R51" s="180">
        <v>2482.13</v>
      </c>
      <c r="S51" s="178">
        <v>137</v>
      </c>
      <c r="T51" s="180">
        <v>4341.09</v>
      </c>
      <c r="U51" s="182" t="s">
        <v>1947</v>
      </c>
      <c r="V51" s="180">
        <v>0</v>
      </c>
      <c r="W51" s="182" t="s">
        <v>1947</v>
      </c>
      <c r="X51" s="182" t="s">
        <v>1947</v>
      </c>
      <c r="Y51" s="182" t="s">
        <v>1947</v>
      </c>
      <c r="Z51" s="182" t="s">
        <v>1947</v>
      </c>
      <c r="AA51" s="180">
        <v>0</v>
      </c>
      <c r="AB51" s="182" t="s">
        <v>1947</v>
      </c>
      <c r="AC51" s="182" t="s">
        <v>1947</v>
      </c>
      <c r="AD51" s="182" t="s">
        <v>1947</v>
      </c>
      <c r="AE51" s="180">
        <v>0</v>
      </c>
      <c r="AF51" s="180">
        <v>0</v>
      </c>
      <c r="AG51" s="182" t="s">
        <v>1947</v>
      </c>
      <c r="AH51" s="182" t="s">
        <v>1947</v>
      </c>
      <c r="AI51" s="180">
        <v>0</v>
      </c>
      <c r="AJ51" s="182" t="s">
        <v>1947</v>
      </c>
      <c r="AK51" s="180">
        <v>0</v>
      </c>
      <c r="AL51" s="179">
        <v>23.88</v>
      </c>
      <c r="AM51" s="179">
        <v>1036.72</v>
      </c>
      <c r="AN51" s="179">
        <v>251</v>
      </c>
      <c r="AO51" s="179">
        <v>188</v>
      </c>
      <c r="AP51" s="179">
        <v>175</v>
      </c>
      <c r="AQ51" s="179">
        <v>16.75</v>
      </c>
      <c r="AR51" s="179">
        <v>5.92</v>
      </c>
      <c r="AS51" s="179">
        <v>1045</v>
      </c>
      <c r="AT51" s="179">
        <v>0.81</v>
      </c>
      <c r="AU51" s="179">
        <v>128715</v>
      </c>
      <c r="AV51" s="179">
        <v>3399.58</v>
      </c>
      <c r="AW51" s="179">
        <v>0.99</v>
      </c>
      <c r="AX51" s="179">
        <v>30.5</v>
      </c>
      <c r="AY51" s="179">
        <v>3.28</v>
      </c>
      <c r="AZ51" s="179">
        <v>2482.13</v>
      </c>
      <c r="BA51" s="179">
        <v>137</v>
      </c>
      <c r="BB51" s="179">
        <v>4341.09</v>
      </c>
    </row>
    <row r="52" spans="1:54">
      <c r="A52" s="178" t="s">
        <v>557</v>
      </c>
      <c r="B52" s="178" t="s">
        <v>1994</v>
      </c>
      <c r="C52" s="184">
        <v>0.2646</v>
      </c>
      <c r="D52" s="180">
        <v>1025.54</v>
      </c>
      <c r="E52" s="180"/>
      <c r="F52" s="178">
        <v>217</v>
      </c>
      <c r="G52" s="178">
        <v>186</v>
      </c>
      <c r="H52" s="178">
        <v>174</v>
      </c>
      <c r="I52" s="179">
        <v>0.25109999999999999</v>
      </c>
      <c r="J52" s="180">
        <v>5.89</v>
      </c>
      <c r="K52" s="178">
        <v>693</v>
      </c>
      <c r="L52" s="179">
        <v>3.5999999999999999E-3</v>
      </c>
      <c r="M52" s="181">
        <v>191101</v>
      </c>
      <c r="N52" s="180">
        <v>3530.56</v>
      </c>
      <c r="O52" s="180">
        <v>1.48</v>
      </c>
      <c r="P52" s="179">
        <v>0.29049999999999998</v>
      </c>
      <c r="Q52" s="178">
        <v>3.44</v>
      </c>
      <c r="R52" s="180">
        <v>2433</v>
      </c>
      <c r="S52" s="178">
        <v>131</v>
      </c>
      <c r="T52" s="180">
        <v>3875.99</v>
      </c>
      <c r="U52" s="179">
        <v>2.8199999999999999E-2</v>
      </c>
      <c r="V52" s="180">
        <v>25.74</v>
      </c>
      <c r="W52" s="178">
        <v>38</v>
      </c>
      <c r="X52" s="178">
        <v>1</v>
      </c>
      <c r="Y52" s="178">
        <v>1</v>
      </c>
      <c r="Z52" s="179">
        <v>4.5499999999999999E-2</v>
      </c>
      <c r="AA52" s="180">
        <v>25.74</v>
      </c>
      <c r="AB52" s="178">
        <v>22</v>
      </c>
      <c r="AC52" s="179">
        <v>4.1999999999999997E-3</v>
      </c>
      <c r="AD52" s="181">
        <v>5253</v>
      </c>
      <c r="AE52" s="180">
        <v>23.99</v>
      </c>
      <c r="AF52" s="180">
        <v>1.17</v>
      </c>
      <c r="AG52" s="179">
        <v>1.0729</v>
      </c>
      <c r="AH52" s="178">
        <v>0.93</v>
      </c>
      <c r="AI52" s="180">
        <v>23.99</v>
      </c>
      <c r="AJ52" s="178">
        <v>1</v>
      </c>
      <c r="AK52" s="180">
        <v>911.62</v>
      </c>
      <c r="AL52" s="179">
        <v>8.3829999999999991</v>
      </c>
      <c r="AM52" s="179">
        <v>38.842300000000002</v>
      </c>
      <c r="AN52" s="179">
        <v>4.7104999999999997</v>
      </c>
      <c r="AO52" s="179">
        <v>185</v>
      </c>
      <c r="AP52" s="179">
        <v>173</v>
      </c>
      <c r="AQ52" s="179">
        <v>4.5186999999999999</v>
      </c>
      <c r="AR52" s="179">
        <v>-0.7712</v>
      </c>
      <c r="AS52" s="179">
        <v>30.5</v>
      </c>
      <c r="AT52" s="179">
        <v>-0.1429</v>
      </c>
      <c r="AU52" s="179">
        <v>35.379399999999997</v>
      </c>
      <c r="AV52" s="179">
        <v>146.16800000000001</v>
      </c>
      <c r="AW52" s="179">
        <v>0.26500000000000001</v>
      </c>
      <c r="AX52" s="179">
        <v>-0.72919999999999996</v>
      </c>
      <c r="AY52" s="179">
        <v>2.6989000000000001</v>
      </c>
      <c r="AZ52" s="179">
        <v>100.4173</v>
      </c>
      <c r="BA52" s="179">
        <v>130</v>
      </c>
      <c r="BB52" s="179">
        <v>3.2517999999999998</v>
      </c>
    </row>
    <row r="53" spans="1:54">
      <c r="A53" s="178" t="s">
        <v>182</v>
      </c>
      <c r="B53" s="178" t="s">
        <v>1995</v>
      </c>
      <c r="C53" s="184">
        <v>0.214</v>
      </c>
      <c r="D53" s="180">
        <v>1000.72</v>
      </c>
      <c r="E53" s="180"/>
      <c r="F53" s="178">
        <v>234</v>
      </c>
      <c r="G53" s="178">
        <v>152</v>
      </c>
      <c r="H53" s="178">
        <v>147</v>
      </c>
      <c r="I53" s="179">
        <v>0.19289999999999999</v>
      </c>
      <c r="J53" s="180">
        <v>6.81</v>
      </c>
      <c r="K53" s="178">
        <v>762</v>
      </c>
      <c r="L53" s="179">
        <v>1.1599999999999999E-2</v>
      </c>
      <c r="M53" s="181">
        <v>65887</v>
      </c>
      <c r="N53" s="180">
        <v>3270.01</v>
      </c>
      <c r="O53" s="180">
        <v>1.31</v>
      </c>
      <c r="P53" s="184">
        <v>0.30599999999999999</v>
      </c>
      <c r="Q53" s="178">
        <v>3.27</v>
      </c>
      <c r="R53" s="180">
        <v>1778.91</v>
      </c>
      <c r="S53" s="178">
        <v>87</v>
      </c>
      <c r="T53" s="180">
        <v>4676.46</v>
      </c>
      <c r="U53" s="179">
        <v>0.24110000000000001</v>
      </c>
      <c r="V53" s="180">
        <v>1427.89</v>
      </c>
      <c r="W53" s="178">
        <v>357</v>
      </c>
      <c r="X53" s="178">
        <v>270</v>
      </c>
      <c r="Y53" s="178">
        <v>243</v>
      </c>
      <c r="Z53" s="179">
        <v>0.20399999999999999</v>
      </c>
      <c r="AA53" s="180">
        <v>5.88</v>
      </c>
      <c r="AB53" s="181">
        <v>1191</v>
      </c>
      <c r="AC53" s="179">
        <v>7.6E-3</v>
      </c>
      <c r="AD53" s="181">
        <v>156416</v>
      </c>
      <c r="AE53" s="180">
        <v>5323.05</v>
      </c>
      <c r="AF53" s="180">
        <v>1.2</v>
      </c>
      <c r="AG53" s="179">
        <v>0.26819999999999999</v>
      </c>
      <c r="AH53" s="178">
        <v>3.73</v>
      </c>
      <c r="AI53" s="180">
        <v>2852.69</v>
      </c>
      <c r="AJ53" s="178">
        <v>152</v>
      </c>
      <c r="AK53" s="180">
        <v>5921.63</v>
      </c>
      <c r="AL53" s="179">
        <v>-0.1124</v>
      </c>
      <c r="AM53" s="179">
        <v>-0.29920000000000002</v>
      </c>
      <c r="AN53" s="179">
        <v>-0.34449999999999997</v>
      </c>
      <c r="AO53" s="179">
        <v>-0.437</v>
      </c>
      <c r="AP53" s="179">
        <v>-0.39510000000000001</v>
      </c>
      <c r="AQ53" s="179">
        <v>-5.4399999999999997E-2</v>
      </c>
      <c r="AR53" s="179">
        <v>0.15820000000000001</v>
      </c>
      <c r="AS53" s="179">
        <v>-0.36020000000000002</v>
      </c>
      <c r="AT53" s="179">
        <v>0.52629999999999999</v>
      </c>
      <c r="AU53" s="179">
        <v>-0.57879999999999998</v>
      </c>
      <c r="AV53" s="179">
        <v>-0.38569999999999999</v>
      </c>
      <c r="AW53" s="179">
        <v>9.1700000000000004E-2</v>
      </c>
      <c r="AX53" s="179">
        <v>0.1409</v>
      </c>
      <c r="AY53" s="179">
        <v>-0.12330000000000001</v>
      </c>
      <c r="AZ53" s="179">
        <v>-0.37640000000000001</v>
      </c>
      <c r="BA53" s="179">
        <v>-0.42759999999999998</v>
      </c>
      <c r="BB53" s="179">
        <v>-0.21029999999999999</v>
      </c>
    </row>
    <row r="54" spans="1:54">
      <c r="A54" s="178" t="s">
        <v>628</v>
      </c>
      <c r="B54" s="178" t="s">
        <v>1996</v>
      </c>
      <c r="C54" s="184">
        <v>0.18679999999999999</v>
      </c>
      <c r="D54" s="180">
        <v>999.6</v>
      </c>
      <c r="E54" s="180"/>
      <c r="F54" s="178">
        <v>283</v>
      </c>
      <c r="G54" s="178">
        <v>178</v>
      </c>
      <c r="H54" s="178">
        <v>172</v>
      </c>
      <c r="I54" s="179">
        <v>0.1822</v>
      </c>
      <c r="J54" s="180">
        <v>5.81</v>
      </c>
      <c r="K54" s="178">
        <v>944</v>
      </c>
      <c r="L54" s="179">
        <v>4.3E-3</v>
      </c>
      <c r="M54" s="181">
        <v>221940</v>
      </c>
      <c r="N54" s="180">
        <v>3495.41</v>
      </c>
      <c r="O54" s="180">
        <v>1.06</v>
      </c>
      <c r="P54" s="179">
        <v>0.28599999999999998</v>
      </c>
      <c r="Q54" s="178">
        <v>3.5</v>
      </c>
      <c r="R54" s="180">
        <v>2893.2</v>
      </c>
      <c r="S54" s="178">
        <v>151</v>
      </c>
      <c r="T54" s="180">
        <v>5350.18</v>
      </c>
      <c r="U54" s="179">
        <v>7.85E-2</v>
      </c>
      <c r="V54" s="180">
        <v>66.73</v>
      </c>
      <c r="W54" s="178">
        <v>34</v>
      </c>
      <c r="X54" s="178">
        <v>6</v>
      </c>
      <c r="Y54" s="178">
        <v>6</v>
      </c>
      <c r="Z54" s="179">
        <v>0.10340000000000001</v>
      </c>
      <c r="AA54" s="180">
        <v>11.12</v>
      </c>
      <c r="AB54" s="178">
        <v>58</v>
      </c>
      <c r="AC54" s="179">
        <v>2.2000000000000001E-3</v>
      </c>
      <c r="AD54" s="181">
        <v>26441</v>
      </c>
      <c r="AE54" s="180">
        <v>149.9</v>
      </c>
      <c r="AF54" s="180">
        <v>1.1499999999999999</v>
      </c>
      <c r="AG54" s="179">
        <v>0.44519999999999998</v>
      </c>
      <c r="AH54" s="178">
        <v>2.25</v>
      </c>
      <c r="AI54" s="180">
        <v>124.95</v>
      </c>
      <c r="AJ54" s="178">
        <v>5</v>
      </c>
      <c r="AK54" s="180">
        <v>849.66</v>
      </c>
      <c r="AL54" s="179">
        <v>1.3795999999999999</v>
      </c>
      <c r="AM54" s="179">
        <v>13.979799999999999</v>
      </c>
      <c r="AN54" s="179">
        <v>7.3235000000000001</v>
      </c>
      <c r="AO54" s="179">
        <v>28.666699999999999</v>
      </c>
      <c r="AP54" s="179">
        <v>27.666699999999999</v>
      </c>
      <c r="AQ54" s="179">
        <v>0.7621</v>
      </c>
      <c r="AR54" s="179">
        <v>-0.47749999999999998</v>
      </c>
      <c r="AS54" s="179">
        <v>15.2759</v>
      </c>
      <c r="AT54" s="179">
        <v>0.95450000000000002</v>
      </c>
      <c r="AU54" s="179">
        <v>7.3937999999999997</v>
      </c>
      <c r="AV54" s="179">
        <v>22.318300000000001</v>
      </c>
      <c r="AW54" s="179">
        <v>-7.8299999999999995E-2</v>
      </c>
      <c r="AX54" s="179">
        <v>-0.35759999999999997</v>
      </c>
      <c r="AY54" s="179">
        <v>0.55559999999999998</v>
      </c>
      <c r="AZ54" s="179">
        <v>22.154900000000001</v>
      </c>
      <c r="BA54" s="179">
        <v>29.2</v>
      </c>
      <c r="BB54" s="179">
        <v>5.2968000000000002</v>
      </c>
    </row>
    <row r="55" spans="1:54">
      <c r="A55" s="178" t="s">
        <v>1075</v>
      </c>
      <c r="B55" s="178" t="s">
        <v>1997</v>
      </c>
      <c r="C55" s="184">
        <v>0.18870000000000001</v>
      </c>
      <c r="D55" s="180">
        <v>977.7</v>
      </c>
      <c r="E55" s="180"/>
      <c r="F55" s="178">
        <v>277</v>
      </c>
      <c r="G55" s="178">
        <v>254</v>
      </c>
      <c r="H55" s="178">
        <v>188</v>
      </c>
      <c r="I55" s="179">
        <v>0.21440000000000001</v>
      </c>
      <c r="J55" s="180">
        <v>5.2</v>
      </c>
      <c r="K55" s="178">
        <v>877</v>
      </c>
      <c r="L55" s="179">
        <v>1.0800000000000001E-2</v>
      </c>
      <c r="M55" s="181">
        <v>81259</v>
      </c>
      <c r="N55" s="180">
        <v>5942.76</v>
      </c>
      <c r="O55" s="180">
        <v>1.1100000000000001</v>
      </c>
      <c r="P55" s="179">
        <v>0.16450000000000001</v>
      </c>
      <c r="Q55" s="178">
        <v>6.08</v>
      </c>
      <c r="R55" s="180">
        <v>2454.42</v>
      </c>
      <c r="S55" s="178">
        <v>129</v>
      </c>
      <c r="T55" s="180">
        <v>5180.75</v>
      </c>
      <c r="U55" s="179">
        <v>0.21870000000000001</v>
      </c>
      <c r="V55" s="180">
        <v>1144.78</v>
      </c>
      <c r="W55" s="178">
        <v>280</v>
      </c>
      <c r="X55" s="178">
        <v>200</v>
      </c>
      <c r="Y55" s="178">
        <v>176</v>
      </c>
      <c r="Z55" s="179">
        <v>0.16669999999999999</v>
      </c>
      <c r="AA55" s="180">
        <v>6.5</v>
      </c>
      <c r="AB55" s="181">
        <v>1056</v>
      </c>
      <c r="AC55" s="179">
        <v>4.4000000000000003E-3</v>
      </c>
      <c r="AD55" s="181">
        <v>241625</v>
      </c>
      <c r="AE55" s="180">
        <v>3811.92</v>
      </c>
      <c r="AF55" s="180">
        <v>1.08</v>
      </c>
      <c r="AG55" s="179">
        <v>0.30030000000000001</v>
      </c>
      <c r="AH55" s="178">
        <v>3.33</v>
      </c>
      <c r="AI55" s="180">
        <v>3033.55</v>
      </c>
      <c r="AJ55" s="178">
        <v>148</v>
      </c>
      <c r="AK55" s="180">
        <v>5235.6000000000004</v>
      </c>
      <c r="AL55" s="179">
        <v>-0.13719999999999999</v>
      </c>
      <c r="AM55" s="179">
        <v>-0.1459</v>
      </c>
      <c r="AN55" s="179">
        <v>-1.0699999999999999E-2</v>
      </c>
      <c r="AO55" s="179">
        <v>0.27</v>
      </c>
      <c r="AP55" s="179">
        <v>6.8199999999999997E-2</v>
      </c>
      <c r="AQ55" s="179">
        <v>0.28610000000000002</v>
      </c>
      <c r="AR55" s="179">
        <v>-0.2</v>
      </c>
      <c r="AS55" s="179">
        <v>-0.16950000000000001</v>
      </c>
      <c r="AT55" s="179">
        <v>1.4544999999999999</v>
      </c>
      <c r="AU55" s="179">
        <v>-0.66369999999999996</v>
      </c>
      <c r="AV55" s="179">
        <v>0.55900000000000005</v>
      </c>
      <c r="AW55" s="179">
        <v>2.7799999999999998E-2</v>
      </c>
      <c r="AX55" s="179">
        <v>-0.45219999999999999</v>
      </c>
      <c r="AY55" s="179">
        <v>0.82579999999999998</v>
      </c>
      <c r="AZ55" s="179">
        <v>-0.19089999999999999</v>
      </c>
      <c r="BA55" s="179">
        <v>-0.12839999999999999</v>
      </c>
      <c r="BB55" s="179">
        <v>-1.0500000000000001E-2</v>
      </c>
    </row>
    <row r="56" spans="1:54">
      <c r="A56" s="178" t="s">
        <v>1658</v>
      </c>
      <c r="B56" s="178" t="s">
        <v>1998</v>
      </c>
      <c r="C56" s="184">
        <v>0.21429999999999999</v>
      </c>
      <c r="D56" s="180">
        <v>969.89</v>
      </c>
      <c r="E56" s="180"/>
      <c r="F56" s="178">
        <v>151</v>
      </c>
      <c r="G56" s="178">
        <v>129</v>
      </c>
      <c r="H56" s="178">
        <v>120</v>
      </c>
      <c r="I56" s="179">
        <v>0.2273</v>
      </c>
      <c r="J56" s="180">
        <v>8.08</v>
      </c>
      <c r="K56" s="178">
        <v>528</v>
      </c>
      <c r="L56" s="179">
        <v>1.0699999999999999E-2</v>
      </c>
      <c r="M56" s="181">
        <v>49518</v>
      </c>
      <c r="N56" s="180">
        <v>3705.45</v>
      </c>
      <c r="O56" s="180">
        <v>1.84</v>
      </c>
      <c r="P56" s="179">
        <v>0.26169999999999999</v>
      </c>
      <c r="Q56" s="178">
        <v>3.82</v>
      </c>
      <c r="R56" s="180">
        <v>2008.13</v>
      </c>
      <c r="S56" s="178">
        <v>64</v>
      </c>
      <c r="T56" s="180">
        <v>4526.09</v>
      </c>
      <c r="U56" s="179">
        <v>0.54300000000000004</v>
      </c>
      <c r="V56" s="180">
        <v>32.57</v>
      </c>
      <c r="W56" s="178">
        <v>2</v>
      </c>
      <c r="X56" s="178">
        <v>5</v>
      </c>
      <c r="Y56" s="178">
        <v>5</v>
      </c>
      <c r="Z56" s="179">
        <v>0.27779999999999999</v>
      </c>
      <c r="AA56" s="180">
        <v>6.51</v>
      </c>
      <c r="AB56" s="178">
        <v>18</v>
      </c>
      <c r="AC56" s="179">
        <v>1.3100000000000001E-2</v>
      </c>
      <c r="AD56" s="181">
        <v>1373</v>
      </c>
      <c r="AE56" s="180">
        <v>121.65</v>
      </c>
      <c r="AF56" s="180">
        <v>1.81</v>
      </c>
      <c r="AG56" s="179">
        <v>0.26769999999999999</v>
      </c>
      <c r="AH56" s="178">
        <v>3.74</v>
      </c>
      <c r="AI56" s="180">
        <v>29.99</v>
      </c>
      <c r="AJ56" s="178">
        <v>1</v>
      </c>
      <c r="AK56" s="180">
        <v>59.98</v>
      </c>
      <c r="AL56" s="179">
        <v>-0.60529999999999995</v>
      </c>
      <c r="AM56" s="179">
        <v>28.778600000000001</v>
      </c>
      <c r="AN56" s="179">
        <v>74.5</v>
      </c>
      <c r="AO56" s="179">
        <v>24.8</v>
      </c>
      <c r="AP56" s="179">
        <v>23</v>
      </c>
      <c r="AQ56" s="179">
        <v>-0.18179999999999999</v>
      </c>
      <c r="AR56" s="179">
        <v>0.2412</v>
      </c>
      <c r="AS56" s="179">
        <v>28.333300000000001</v>
      </c>
      <c r="AT56" s="179">
        <v>-0.1832</v>
      </c>
      <c r="AU56" s="179">
        <v>35.0655</v>
      </c>
      <c r="AV56" s="179">
        <v>29.459900000000001</v>
      </c>
      <c r="AW56" s="179">
        <v>1.66E-2</v>
      </c>
      <c r="AX56" s="179">
        <v>-2.24E-2</v>
      </c>
      <c r="AY56" s="179">
        <v>2.1399999999999999E-2</v>
      </c>
      <c r="AZ56" s="179">
        <v>65.959999999999994</v>
      </c>
      <c r="BA56" s="179">
        <v>63</v>
      </c>
      <c r="BB56" s="179">
        <v>74.459999999999994</v>
      </c>
    </row>
    <row r="57" spans="1:54">
      <c r="A57" s="178" t="s">
        <v>596</v>
      </c>
      <c r="B57" s="178" t="s">
        <v>1999</v>
      </c>
      <c r="C57" s="184">
        <v>0.2072</v>
      </c>
      <c r="D57" s="180">
        <v>946.57</v>
      </c>
      <c r="E57" s="180"/>
      <c r="F57" s="178">
        <v>280</v>
      </c>
      <c r="G57" s="178">
        <v>193</v>
      </c>
      <c r="H57" s="178">
        <v>183</v>
      </c>
      <c r="I57" s="179">
        <v>0.28420000000000001</v>
      </c>
      <c r="J57" s="180">
        <v>5.17</v>
      </c>
      <c r="K57" s="178">
        <v>644</v>
      </c>
      <c r="L57" s="179">
        <v>8.3000000000000001E-3</v>
      </c>
      <c r="M57" s="181">
        <v>77960</v>
      </c>
      <c r="N57" s="180">
        <v>3807.94</v>
      </c>
      <c r="O57" s="180">
        <v>1.47</v>
      </c>
      <c r="P57" s="179">
        <v>0.24859999999999999</v>
      </c>
      <c r="Q57" s="178">
        <v>4.0199999999999996</v>
      </c>
      <c r="R57" s="180">
        <v>1774.68</v>
      </c>
      <c r="S57" s="178">
        <v>108</v>
      </c>
      <c r="T57" s="180">
        <v>4569</v>
      </c>
      <c r="U57" s="179">
        <v>7.8799999999999995E-2</v>
      </c>
      <c r="V57" s="180">
        <v>110.17</v>
      </c>
      <c r="W57" s="178">
        <v>70</v>
      </c>
      <c r="X57" s="178">
        <v>28</v>
      </c>
      <c r="Y57" s="178">
        <v>28</v>
      </c>
      <c r="Z57" s="179">
        <v>0.24560000000000001</v>
      </c>
      <c r="AA57" s="180">
        <v>3.93</v>
      </c>
      <c r="AB57" s="178">
        <v>114</v>
      </c>
      <c r="AC57" s="179">
        <v>1.15E-2</v>
      </c>
      <c r="AD57" s="181">
        <v>9913</v>
      </c>
      <c r="AE57" s="180">
        <v>656.61</v>
      </c>
      <c r="AF57" s="180">
        <v>0.97</v>
      </c>
      <c r="AG57" s="179">
        <v>0.1678</v>
      </c>
      <c r="AH57" s="178">
        <v>5.96</v>
      </c>
      <c r="AI57" s="180">
        <v>239.88</v>
      </c>
      <c r="AJ57" s="178">
        <v>12</v>
      </c>
      <c r="AK57" s="180">
        <v>1398.3</v>
      </c>
      <c r="AL57" s="179">
        <v>1.6294</v>
      </c>
      <c r="AM57" s="179">
        <v>7.5918999999999999</v>
      </c>
      <c r="AN57" s="179">
        <v>3</v>
      </c>
      <c r="AO57" s="179">
        <v>5.8929</v>
      </c>
      <c r="AP57" s="179">
        <v>5.5357000000000003</v>
      </c>
      <c r="AQ57" s="179">
        <v>0.15720000000000001</v>
      </c>
      <c r="AR57" s="179">
        <v>0.3155</v>
      </c>
      <c r="AS57" s="179">
        <v>4.6490999999999998</v>
      </c>
      <c r="AT57" s="179">
        <v>-0.27829999999999999</v>
      </c>
      <c r="AU57" s="179">
        <v>6.8643999999999998</v>
      </c>
      <c r="AV57" s="179">
        <v>4.7994000000000003</v>
      </c>
      <c r="AW57" s="179">
        <v>0.51549999999999996</v>
      </c>
      <c r="AX57" s="179">
        <v>0.48149999999999998</v>
      </c>
      <c r="AY57" s="179">
        <v>-0.32550000000000001</v>
      </c>
      <c r="AZ57" s="179">
        <v>6.3982000000000001</v>
      </c>
      <c r="BA57" s="179">
        <v>8</v>
      </c>
      <c r="BB57" s="179">
        <v>2.2675000000000001</v>
      </c>
    </row>
    <row r="58" spans="1:54">
      <c r="A58" s="178" t="s">
        <v>553</v>
      </c>
      <c r="B58" s="178" t="s">
        <v>2000</v>
      </c>
      <c r="C58" s="184">
        <v>0.27910000000000001</v>
      </c>
      <c r="D58" s="180">
        <v>903.5</v>
      </c>
      <c r="E58" s="180"/>
      <c r="F58" s="178">
        <v>210</v>
      </c>
      <c r="G58" s="178">
        <v>229</v>
      </c>
      <c r="H58" s="178">
        <v>221</v>
      </c>
      <c r="I58" s="179">
        <v>0.32890000000000003</v>
      </c>
      <c r="J58" s="180">
        <v>4.09</v>
      </c>
      <c r="K58" s="178">
        <v>672</v>
      </c>
      <c r="L58" s="179">
        <v>1.17E-2</v>
      </c>
      <c r="M58" s="181">
        <v>57681</v>
      </c>
      <c r="N58" s="180">
        <v>4252.37</v>
      </c>
      <c r="O58" s="180">
        <v>1.34</v>
      </c>
      <c r="P58" s="179">
        <v>0.21249999999999999</v>
      </c>
      <c r="Q58" s="178">
        <v>4.71</v>
      </c>
      <c r="R58" s="180">
        <v>2164.1999999999998</v>
      </c>
      <c r="S58" s="178">
        <v>137</v>
      </c>
      <c r="T58" s="180">
        <v>3237.76</v>
      </c>
      <c r="U58" s="179">
        <v>0.2079</v>
      </c>
      <c r="V58" s="180">
        <v>120.05</v>
      </c>
      <c r="W58" s="178">
        <v>34</v>
      </c>
      <c r="X58" s="178">
        <v>26</v>
      </c>
      <c r="Y58" s="178">
        <v>26</v>
      </c>
      <c r="Z58" s="179">
        <v>0.2261</v>
      </c>
      <c r="AA58" s="180">
        <v>4.62</v>
      </c>
      <c r="AB58" s="178">
        <v>115</v>
      </c>
      <c r="AC58" s="179">
        <v>1.3899999999999999E-2</v>
      </c>
      <c r="AD58" s="181">
        <v>8246</v>
      </c>
      <c r="AE58" s="180">
        <v>633.97</v>
      </c>
      <c r="AF58" s="180">
        <v>1.04</v>
      </c>
      <c r="AG58" s="179">
        <v>0.18940000000000001</v>
      </c>
      <c r="AH58" s="178">
        <v>5.28</v>
      </c>
      <c r="AI58" s="180">
        <v>101.77</v>
      </c>
      <c r="AJ58" s="178">
        <v>6</v>
      </c>
      <c r="AK58" s="180">
        <v>577.32000000000005</v>
      </c>
      <c r="AL58" s="179">
        <v>0.34250000000000003</v>
      </c>
      <c r="AM58" s="179">
        <v>6.5259999999999998</v>
      </c>
      <c r="AN58" s="179">
        <v>5.1764999999999999</v>
      </c>
      <c r="AO58" s="179">
        <v>7.8076999999999996</v>
      </c>
      <c r="AP58" s="179">
        <v>7.5</v>
      </c>
      <c r="AQ58" s="179">
        <v>0.45469999999999999</v>
      </c>
      <c r="AR58" s="179">
        <v>-0.1147</v>
      </c>
      <c r="AS58" s="179">
        <v>4.8434999999999997</v>
      </c>
      <c r="AT58" s="179">
        <v>-0.1583</v>
      </c>
      <c r="AU58" s="179">
        <v>5.9950000000000001</v>
      </c>
      <c r="AV58" s="179">
        <v>5.7074999999999996</v>
      </c>
      <c r="AW58" s="179">
        <v>0.28849999999999998</v>
      </c>
      <c r="AX58" s="179">
        <v>0.122</v>
      </c>
      <c r="AY58" s="179">
        <v>-0.108</v>
      </c>
      <c r="AZ58" s="179">
        <v>20.265599999999999</v>
      </c>
      <c r="BA58" s="179">
        <v>21.833300000000001</v>
      </c>
      <c r="BB58" s="179">
        <v>4.6082999999999998</v>
      </c>
    </row>
    <row r="59" spans="1:54">
      <c r="A59" s="178" t="s">
        <v>293</v>
      </c>
      <c r="B59" s="178" t="s">
        <v>2001</v>
      </c>
      <c r="C59" s="184">
        <v>0.38300000000000001</v>
      </c>
      <c r="D59" s="180">
        <v>899.19</v>
      </c>
      <c r="E59" s="180"/>
      <c r="F59" s="178">
        <v>157</v>
      </c>
      <c r="G59" s="178">
        <v>142</v>
      </c>
      <c r="H59" s="178">
        <v>137</v>
      </c>
      <c r="I59" s="179">
        <v>0.1968</v>
      </c>
      <c r="J59" s="180">
        <v>6.56</v>
      </c>
      <c r="K59" s="178">
        <v>696</v>
      </c>
      <c r="L59" s="179">
        <v>7.3000000000000001E-3</v>
      </c>
      <c r="M59" s="181">
        <v>94850</v>
      </c>
      <c r="N59" s="180">
        <v>2648.17</v>
      </c>
      <c r="O59" s="180">
        <v>1.29</v>
      </c>
      <c r="P59" s="184">
        <v>0.33960000000000001</v>
      </c>
      <c r="Q59" s="178">
        <v>2.95</v>
      </c>
      <c r="R59" s="180">
        <v>1292.71</v>
      </c>
      <c r="S59" s="178">
        <v>80</v>
      </c>
      <c r="T59" s="180">
        <v>2347.9899999999998</v>
      </c>
      <c r="U59" s="179">
        <v>0.24440000000000001</v>
      </c>
      <c r="V59" s="180">
        <v>543.94000000000005</v>
      </c>
      <c r="W59" s="178">
        <v>158</v>
      </c>
      <c r="X59" s="178">
        <v>161</v>
      </c>
      <c r="Y59" s="178">
        <v>157</v>
      </c>
      <c r="Z59" s="179">
        <v>0.33550000000000002</v>
      </c>
      <c r="AA59" s="180">
        <v>3.46</v>
      </c>
      <c r="AB59" s="178">
        <v>468</v>
      </c>
      <c r="AC59" s="179">
        <v>2.8E-3</v>
      </c>
      <c r="AD59" s="181">
        <v>170083</v>
      </c>
      <c r="AE59" s="180">
        <v>3319.46</v>
      </c>
      <c r="AF59" s="180">
        <v>1.1599999999999999</v>
      </c>
      <c r="AG59" s="179">
        <v>0.16389999999999999</v>
      </c>
      <c r="AH59" s="178">
        <v>6.1</v>
      </c>
      <c r="AI59" s="180">
        <v>883.38</v>
      </c>
      <c r="AJ59" s="178">
        <v>59</v>
      </c>
      <c r="AK59" s="180">
        <v>2225.62</v>
      </c>
      <c r="AL59" s="179">
        <v>0.56710000000000005</v>
      </c>
      <c r="AM59" s="179">
        <v>0.65310000000000001</v>
      </c>
      <c r="AN59" s="179">
        <v>-6.3E-3</v>
      </c>
      <c r="AO59" s="179">
        <v>-0.11799999999999999</v>
      </c>
      <c r="AP59" s="179">
        <v>-0.12740000000000001</v>
      </c>
      <c r="AQ59" s="179">
        <v>-0.41339999999999999</v>
      </c>
      <c r="AR59" s="179">
        <v>0.89600000000000002</v>
      </c>
      <c r="AS59" s="179">
        <v>0.48720000000000002</v>
      </c>
      <c r="AT59" s="179">
        <v>1.6071</v>
      </c>
      <c r="AU59" s="179">
        <v>-0.44230000000000003</v>
      </c>
      <c r="AV59" s="179">
        <v>-0.20219999999999999</v>
      </c>
      <c r="AW59" s="179">
        <v>0.11210000000000001</v>
      </c>
      <c r="AX59" s="179">
        <v>1.0720000000000001</v>
      </c>
      <c r="AY59" s="179">
        <v>-0.51639999999999997</v>
      </c>
      <c r="AZ59" s="179">
        <v>0.46339999999999998</v>
      </c>
      <c r="BA59" s="179">
        <v>0.35589999999999999</v>
      </c>
      <c r="BB59" s="179">
        <v>5.5E-2</v>
      </c>
    </row>
    <row r="60" spans="1:54">
      <c r="A60" s="178" t="s">
        <v>1039</v>
      </c>
      <c r="B60" s="178" t="s">
        <v>2002</v>
      </c>
      <c r="C60" s="184">
        <v>0.31280000000000002</v>
      </c>
      <c r="D60" s="180">
        <v>885.42</v>
      </c>
      <c r="E60" s="180"/>
      <c r="F60" s="178">
        <v>118</v>
      </c>
      <c r="G60" s="178">
        <v>94</v>
      </c>
      <c r="H60" s="178">
        <v>90</v>
      </c>
      <c r="I60" s="179">
        <v>0.13239999999999999</v>
      </c>
      <c r="J60" s="180">
        <v>9.84</v>
      </c>
      <c r="K60" s="178">
        <v>680</v>
      </c>
      <c r="L60" s="179">
        <v>6.0000000000000001E-3</v>
      </c>
      <c r="M60" s="181">
        <v>113750</v>
      </c>
      <c r="N60" s="180">
        <v>2158.7600000000002</v>
      </c>
      <c r="O60" s="180">
        <v>1.3</v>
      </c>
      <c r="P60" s="184">
        <v>0.41020000000000001</v>
      </c>
      <c r="Q60" s="178">
        <v>2.44</v>
      </c>
      <c r="R60" s="180">
        <v>1319.45</v>
      </c>
      <c r="S60" s="178">
        <v>52</v>
      </c>
      <c r="T60" s="180">
        <v>2830.34</v>
      </c>
      <c r="U60" s="179">
        <v>0.28039999999999998</v>
      </c>
      <c r="V60" s="180">
        <v>585.24</v>
      </c>
      <c r="W60" s="178">
        <v>87</v>
      </c>
      <c r="X60" s="178">
        <v>63</v>
      </c>
      <c r="Y60" s="178">
        <v>62</v>
      </c>
      <c r="Z60" s="179">
        <v>0.14219999999999999</v>
      </c>
      <c r="AA60" s="180">
        <v>9.44</v>
      </c>
      <c r="AB60" s="178">
        <v>436</v>
      </c>
      <c r="AC60" s="179">
        <v>5.5999999999999999E-3</v>
      </c>
      <c r="AD60" s="181">
        <v>77369</v>
      </c>
      <c r="AE60" s="180">
        <v>1467.13</v>
      </c>
      <c r="AF60" s="180">
        <v>1.34</v>
      </c>
      <c r="AG60" s="179">
        <v>0.39889999999999998</v>
      </c>
      <c r="AH60" s="178">
        <v>2.5099999999999998</v>
      </c>
      <c r="AI60" s="180">
        <v>647.73</v>
      </c>
      <c r="AJ60" s="178">
        <v>27</v>
      </c>
      <c r="AK60" s="180">
        <v>2087.13</v>
      </c>
      <c r="AL60" s="179">
        <v>0.11550000000000001</v>
      </c>
      <c r="AM60" s="179">
        <v>0.51290000000000002</v>
      </c>
      <c r="AN60" s="179">
        <v>0.35630000000000001</v>
      </c>
      <c r="AO60" s="179">
        <v>0.49209999999999998</v>
      </c>
      <c r="AP60" s="179">
        <v>0.4516</v>
      </c>
      <c r="AQ60" s="179">
        <v>-6.8900000000000003E-2</v>
      </c>
      <c r="AR60" s="179">
        <v>4.24E-2</v>
      </c>
      <c r="AS60" s="179">
        <v>0.55959999999999999</v>
      </c>
      <c r="AT60" s="179">
        <v>7.1400000000000005E-2</v>
      </c>
      <c r="AU60" s="179">
        <v>0.47020000000000001</v>
      </c>
      <c r="AV60" s="179">
        <v>0.47139999999999999</v>
      </c>
      <c r="AW60" s="179">
        <v>-2.9899999999999999E-2</v>
      </c>
      <c r="AX60" s="179">
        <v>2.8299999999999999E-2</v>
      </c>
      <c r="AY60" s="179">
        <v>-2.7900000000000001E-2</v>
      </c>
      <c r="AZ60" s="179">
        <v>1.0369999999999999</v>
      </c>
      <c r="BA60" s="179">
        <v>0.92589999999999995</v>
      </c>
      <c r="BB60" s="179">
        <v>0.35610000000000003</v>
      </c>
    </row>
    <row r="61" spans="1:54">
      <c r="A61" s="178" t="s">
        <v>535</v>
      </c>
      <c r="B61" s="178" t="s">
        <v>2003</v>
      </c>
      <c r="C61" s="184">
        <v>0.25119999999999998</v>
      </c>
      <c r="D61" s="180">
        <v>874.4</v>
      </c>
      <c r="E61" s="180"/>
      <c r="F61" s="178">
        <v>360</v>
      </c>
      <c r="G61" s="178">
        <v>298</v>
      </c>
      <c r="H61" s="178">
        <v>284</v>
      </c>
      <c r="I61" s="179">
        <v>0.31</v>
      </c>
      <c r="J61" s="180">
        <v>3.08</v>
      </c>
      <c r="K61" s="178">
        <v>916</v>
      </c>
      <c r="L61" s="179">
        <v>8.0000000000000002E-3</v>
      </c>
      <c r="M61" s="181">
        <v>114710</v>
      </c>
      <c r="N61" s="180">
        <v>2965.45</v>
      </c>
      <c r="O61" s="180">
        <v>0.95</v>
      </c>
      <c r="P61" s="179">
        <v>0.2949</v>
      </c>
      <c r="Q61" s="178">
        <v>3.39</v>
      </c>
      <c r="R61" s="180">
        <v>2561.31</v>
      </c>
      <c r="S61" s="178">
        <v>258</v>
      </c>
      <c r="T61" s="180">
        <v>3480.41</v>
      </c>
      <c r="U61" s="179">
        <v>0.44940000000000002</v>
      </c>
      <c r="V61" s="180">
        <v>1177.48</v>
      </c>
      <c r="W61" s="178">
        <v>193</v>
      </c>
      <c r="X61" s="178">
        <v>165</v>
      </c>
      <c r="Y61" s="178">
        <v>155</v>
      </c>
      <c r="Z61" s="179">
        <v>0.1928</v>
      </c>
      <c r="AA61" s="180">
        <v>7.6</v>
      </c>
      <c r="AB61" s="178">
        <v>804</v>
      </c>
      <c r="AC61" s="179">
        <v>1.5E-3</v>
      </c>
      <c r="AD61" s="181">
        <v>545353</v>
      </c>
      <c r="AE61" s="180">
        <v>2431.3000000000002</v>
      </c>
      <c r="AF61" s="180">
        <v>1.46</v>
      </c>
      <c r="AG61" s="179">
        <v>0.48430000000000001</v>
      </c>
      <c r="AH61" s="178">
        <v>2.06</v>
      </c>
      <c r="AI61" s="180">
        <v>1995.56</v>
      </c>
      <c r="AJ61" s="178">
        <v>136</v>
      </c>
      <c r="AK61" s="180">
        <v>2620.29</v>
      </c>
      <c r="AL61" s="179">
        <v>-0.441</v>
      </c>
      <c r="AM61" s="179">
        <v>-0.25740000000000002</v>
      </c>
      <c r="AN61" s="179">
        <v>0.86529999999999996</v>
      </c>
      <c r="AO61" s="179">
        <v>0.80610000000000004</v>
      </c>
      <c r="AP61" s="179">
        <v>0.83230000000000004</v>
      </c>
      <c r="AQ61" s="179">
        <v>0.6079</v>
      </c>
      <c r="AR61" s="179">
        <v>-0.59470000000000001</v>
      </c>
      <c r="AS61" s="179">
        <v>0.13930000000000001</v>
      </c>
      <c r="AT61" s="179">
        <v>4.3333000000000004</v>
      </c>
      <c r="AU61" s="179">
        <v>-0.78969999999999996</v>
      </c>
      <c r="AV61" s="179">
        <v>0.21970000000000001</v>
      </c>
      <c r="AW61" s="179">
        <v>-0.3493</v>
      </c>
      <c r="AX61" s="179">
        <v>-0.3911</v>
      </c>
      <c r="AY61" s="179">
        <v>0.64559999999999995</v>
      </c>
      <c r="AZ61" s="179">
        <v>0.28349999999999997</v>
      </c>
      <c r="BA61" s="179">
        <v>0.89710000000000001</v>
      </c>
      <c r="BB61" s="179">
        <v>0.32829999999999998</v>
      </c>
    </row>
    <row r="62" spans="1:54">
      <c r="A62" s="178" t="s">
        <v>1005</v>
      </c>
      <c r="B62" s="178" t="s">
        <v>1004</v>
      </c>
      <c r="C62" s="184">
        <v>0.1719</v>
      </c>
      <c r="D62" s="180">
        <v>872.91</v>
      </c>
      <c r="E62" s="180"/>
      <c r="F62" s="178">
        <v>299</v>
      </c>
      <c r="G62" s="178">
        <v>151</v>
      </c>
      <c r="H62" s="178">
        <v>144</v>
      </c>
      <c r="I62" s="179">
        <v>0.23530000000000001</v>
      </c>
      <c r="J62" s="180">
        <v>6.06</v>
      </c>
      <c r="K62" s="178">
        <v>612</v>
      </c>
      <c r="L62" s="179">
        <v>8.2000000000000007E-3</v>
      </c>
      <c r="M62" s="181">
        <v>74257</v>
      </c>
      <c r="N62" s="180">
        <v>2753.66</v>
      </c>
      <c r="O62" s="180">
        <v>1.43</v>
      </c>
      <c r="P62" s="184">
        <v>0.317</v>
      </c>
      <c r="Q62" s="178">
        <v>3.15</v>
      </c>
      <c r="R62" s="180">
        <v>2055.62</v>
      </c>
      <c r="S62" s="178">
        <v>114</v>
      </c>
      <c r="T62" s="180">
        <v>5078.99</v>
      </c>
      <c r="U62" s="179">
        <v>0.12670000000000001</v>
      </c>
      <c r="V62" s="180">
        <v>790.23</v>
      </c>
      <c r="W62" s="178">
        <v>367</v>
      </c>
      <c r="X62" s="178">
        <v>148</v>
      </c>
      <c r="Y62" s="178">
        <v>143</v>
      </c>
      <c r="Z62" s="179">
        <v>0.24909999999999999</v>
      </c>
      <c r="AA62" s="180">
        <v>5.53</v>
      </c>
      <c r="AB62" s="178">
        <v>574</v>
      </c>
      <c r="AC62" s="179">
        <v>8.8000000000000005E-3</v>
      </c>
      <c r="AD62" s="181">
        <v>65150</v>
      </c>
      <c r="AE62" s="180">
        <v>2725.44</v>
      </c>
      <c r="AF62" s="180">
        <v>1.38</v>
      </c>
      <c r="AG62" s="179">
        <v>0.28989999999999999</v>
      </c>
      <c r="AH62" s="178">
        <v>3.45</v>
      </c>
      <c r="AI62" s="180">
        <v>1970.67</v>
      </c>
      <c r="AJ62" s="178">
        <v>111</v>
      </c>
      <c r="AK62" s="180">
        <v>6234.65</v>
      </c>
      <c r="AL62" s="179">
        <v>0.35670000000000002</v>
      </c>
      <c r="AM62" s="179">
        <v>0.1046</v>
      </c>
      <c r="AN62" s="179">
        <v>-0.18529999999999999</v>
      </c>
      <c r="AO62" s="179">
        <v>2.0299999999999999E-2</v>
      </c>
      <c r="AP62" s="179">
        <v>7.0000000000000001E-3</v>
      </c>
      <c r="AQ62" s="179">
        <v>-5.5399999999999998E-2</v>
      </c>
      <c r="AR62" s="179">
        <v>9.5799999999999996E-2</v>
      </c>
      <c r="AS62" s="179">
        <v>6.6199999999999995E-2</v>
      </c>
      <c r="AT62" s="179">
        <v>-6.8199999999999997E-2</v>
      </c>
      <c r="AU62" s="179">
        <v>0.13980000000000001</v>
      </c>
      <c r="AV62" s="179">
        <v>1.04E-2</v>
      </c>
      <c r="AW62" s="179">
        <v>3.6200000000000003E-2</v>
      </c>
      <c r="AX62" s="179">
        <v>9.35E-2</v>
      </c>
      <c r="AY62" s="179">
        <v>-8.6999999999999994E-2</v>
      </c>
      <c r="AZ62" s="179">
        <v>4.3099999999999999E-2</v>
      </c>
      <c r="BA62" s="179">
        <v>2.7E-2</v>
      </c>
      <c r="BB62" s="179">
        <v>-0.18540000000000001</v>
      </c>
    </row>
    <row r="63" spans="1:54">
      <c r="A63" s="178" t="s">
        <v>350</v>
      </c>
      <c r="B63" s="178" t="s">
        <v>2004</v>
      </c>
      <c r="C63" s="184">
        <v>0.40279999999999999</v>
      </c>
      <c r="D63" s="180">
        <v>864.65</v>
      </c>
      <c r="E63" s="180"/>
      <c r="F63" s="178">
        <v>132</v>
      </c>
      <c r="G63" s="178">
        <v>128</v>
      </c>
      <c r="H63" s="178">
        <v>121</v>
      </c>
      <c r="I63" s="179">
        <v>0.14560000000000001</v>
      </c>
      <c r="J63" s="180">
        <v>7.15</v>
      </c>
      <c r="K63" s="178">
        <v>831</v>
      </c>
      <c r="L63" s="179">
        <v>6.0000000000000001E-3</v>
      </c>
      <c r="M63" s="181">
        <v>138707</v>
      </c>
      <c r="N63" s="180">
        <v>2364.23</v>
      </c>
      <c r="O63" s="180">
        <v>1.04</v>
      </c>
      <c r="P63" s="184">
        <v>0.36570000000000003</v>
      </c>
      <c r="Q63" s="178">
        <v>2.73</v>
      </c>
      <c r="R63" s="180">
        <v>1243.21</v>
      </c>
      <c r="S63" s="178">
        <v>75</v>
      </c>
      <c r="T63" s="180">
        <v>2146.6799999999998</v>
      </c>
      <c r="U63" s="179">
        <v>0.39050000000000001</v>
      </c>
      <c r="V63" s="180">
        <v>611.83000000000004</v>
      </c>
      <c r="W63" s="178">
        <v>95</v>
      </c>
      <c r="X63" s="178">
        <v>80</v>
      </c>
      <c r="Y63" s="178">
        <v>76</v>
      </c>
      <c r="Z63" s="179">
        <v>0.129</v>
      </c>
      <c r="AA63" s="180">
        <v>8.0500000000000007</v>
      </c>
      <c r="AB63" s="178">
        <v>589</v>
      </c>
      <c r="AC63" s="179">
        <v>8.9999999999999998E-4</v>
      </c>
      <c r="AD63" s="181">
        <v>635849</v>
      </c>
      <c r="AE63" s="180">
        <v>1549.33</v>
      </c>
      <c r="AF63" s="180">
        <v>1.04</v>
      </c>
      <c r="AG63" s="179">
        <v>0.39489999999999997</v>
      </c>
      <c r="AH63" s="178">
        <v>2.5299999999999998</v>
      </c>
      <c r="AI63" s="180">
        <v>737.55</v>
      </c>
      <c r="AJ63" s="178">
        <v>42</v>
      </c>
      <c r="AK63" s="180">
        <v>1566.85</v>
      </c>
      <c r="AL63" s="179">
        <v>3.15E-2</v>
      </c>
      <c r="AM63" s="179">
        <v>0.41320000000000001</v>
      </c>
      <c r="AN63" s="179">
        <v>0.38950000000000001</v>
      </c>
      <c r="AO63" s="179">
        <v>0.6</v>
      </c>
      <c r="AP63" s="179">
        <v>0.59209999999999996</v>
      </c>
      <c r="AQ63" s="179">
        <v>0.12870000000000001</v>
      </c>
      <c r="AR63" s="179">
        <v>-0.1118</v>
      </c>
      <c r="AS63" s="179">
        <v>0.41089999999999999</v>
      </c>
      <c r="AT63" s="179">
        <v>5.6666999999999996</v>
      </c>
      <c r="AU63" s="179">
        <v>-0.78190000000000004</v>
      </c>
      <c r="AV63" s="179">
        <v>0.52600000000000002</v>
      </c>
      <c r="AW63" s="179">
        <v>0</v>
      </c>
      <c r="AX63" s="179">
        <v>-7.3899999999999993E-2</v>
      </c>
      <c r="AY63" s="179">
        <v>7.9100000000000004E-2</v>
      </c>
      <c r="AZ63" s="179">
        <v>0.68559999999999999</v>
      </c>
      <c r="BA63" s="179">
        <v>0.78569999999999995</v>
      </c>
      <c r="BB63" s="179">
        <v>0.37009999999999998</v>
      </c>
    </row>
    <row r="64" spans="1:54">
      <c r="A64" s="178" t="s">
        <v>250</v>
      </c>
      <c r="B64" s="178" t="s">
        <v>2005</v>
      </c>
      <c r="C64" s="184">
        <v>0.28029999999999999</v>
      </c>
      <c r="D64" s="180">
        <v>807.25</v>
      </c>
      <c r="E64" s="180"/>
      <c r="F64" s="178">
        <v>131</v>
      </c>
      <c r="G64" s="178">
        <v>123</v>
      </c>
      <c r="H64" s="178">
        <v>118</v>
      </c>
      <c r="I64" s="179">
        <v>0.21340000000000001</v>
      </c>
      <c r="J64" s="180">
        <v>6.84</v>
      </c>
      <c r="K64" s="178">
        <v>553</v>
      </c>
      <c r="L64" s="179">
        <v>3.8E-3</v>
      </c>
      <c r="M64" s="181">
        <v>145858</v>
      </c>
      <c r="N64" s="180">
        <v>2667.43</v>
      </c>
      <c r="O64" s="180">
        <v>1.46</v>
      </c>
      <c r="P64" s="184">
        <v>0.30259999999999998</v>
      </c>
      <c r="Q64" s="178">
        <v>3.3</v>
      </c>
      <c r="R64" s="180">
        <v>1868.93</v>
      </c>
      <c r="S64" s="178">
        <v>83</v>
      </c>
      <c r="T64" s="180">
        <v>2880.25</v>
      </c>
      <c r="U64" s="179">
        <v>0.24410000000000001</v>
      </c>
      <c r="V64" s="180">
        <v>751.8</v>
      </c>
      <c r="W64" s="178">
        <v>182</v>
      </c>
      <c r="X64" s="178">
        <v>189</v>
      </c>
      <c r="Y64" s="178">
        <v>154</v>
      </c>
      <c r="Z64" s="179">
        <v>0.26100000000000001</v>
      </c>
      <c r="AA64" s="180">
        <v>4.88</v>
      </c>
      <c r="AB64" s="178">
        <v>590</v>
      </c>
      <c r="AC64" s="179">
        <v>3.3999999999999998E-3</v>
      </c>
      <c r="AD64" s="181">
        <v>173750</v>
      </c>
      <c r="AE64" s="180">
        <v>3535.41</v>
      </c>
      <c r="AF64" s="180">
        <v>1.27</v>
      </c>
      <c r="AG64" s="179">
        <v>0.21260000000000001</v>
      </c>
      <c r="AH64" s="178">
        <v>4.7</v>
      </c>
      <c r="AI64" s="180">
        <v>1792.53</v>
      </c>
      <c r="AJ64" s="178">
        <v>100</v>
      </c>
      <c r="AK64" s="180">
        <v>3080.38</v>
      </c>
      <c r="AL64" s="179">
        <v>0.14829999999999999</v>
      </c>
      <c r="AM64" s="179">
        <v>7.3800000000000004E-2</v>
      </c>
      <c r="AN64" s="179">
        <v>-0.2802</v>
      </c>
      <c r="AO64" s="179">
        <v>-0.34920000000000001</v>
      </c>
      <c r="AP64" s="179">
        <v>-0.23380000000000001</v>
      </c>
      <c r="AQ64" s="179">
        <v>-0.18240000000000001</v>
      </c>
      <c r="AR64" s="179">
        <v>0.40160000000000001</v>
      </c>
      <c r="AS64" s="179">
        <v>-6.2700000000000006E-2</v>
      </c>
      <c r="AT64" s="179">
        <v>0.1176</v>
      </c>
      <c r="AU64" s="179">
        <v>-0.1605</v>
      </c>
      <c r="AV64" s="179">
        <v>-0.2455</v>
      </c>
      <c r="AW64" s="179">
        <v>0.14960000000000001</v>
      </c>
      <c r="AX64" s="179">
        <v>0.42330000000000001</v>
      </c>
      <c r="AY64" s="179">
        <v>-0.2979</v>
      </c>
      <c r="AZ64" s="179">
        <v>4.2599999999999999E-2</v>
      </c>
      <c r="BA64" s="179">
        <v>-0.17</v>
      </c>
      <c r="BB64" s="179">
        <v>-6.5000000000000002E-2</v>
      </c>
    </row>
    <row r="65" spans="1:54">
      <c r="A65" s="178" t="s">
        <v>242</v>
      </c>
      <c r="B65" s="178" t="s">
        <v>2006</v>
      </c>
      <c r="C65" s="184">
        <v>0.3165</v>
      </c>
      <c r="D65" s="180">
        <v>804.61</v>
      </c>
      <c r="E65" s="180"/>
      <c r="F65" s="178">
        <v>147</v>
      </c>
      <c r="G65" s="178">
        <v>95</v>
      </c>
      <c r="H65" s="178">
        <v>69</v>
      </c>
      <c r="I65" s="179">
        <v>0.1099</v>
      </c>
      <c r="J65" s="180">
        <v>11.66</v>
      </c>
      <c r="K65" s="178">
        <v>628</v>
      </c>
      <c r="L65" s="179">
        <v>1.3100000000000001E-2</v>
      </c>
      <c r="M65" s="181">
        <v>47834</v>
      </c>
      <c r="N65" s="180">
        <v>1911.72</v>
      </c>
      <c r="O65" s="180">
        <v>1.28</v>
      </c>
      <c r="P65" s="184">
        <v>0.4209</v>
      </c>
      <c r="Q65" s="178">
        <v>2.38</v>
      </c>
      <c r="R65" s="180">
        <v>733.54</v>
      </c>
      <c r="S65" s="178">
        <v>44</v>
      </c>
      <c r="T65" s="180">
        <v>2542.5300000000002</v>
      </c>
      <c r="U65" s="179">
        <v>0.20780000000000001</v>
      </c>
      <c r="V65" s="180">
        <v>629.62</v>
      </c>
      <c r="W65" s="178">
        <v>194</v>
      </c>
      <c r="X65" s="178">
        <v>61</v>
      </c>
      <c r="Y65" s="178">
        <v>58</v>
      </c>
      <c r="Z65" s="179">
        <v>0.10489999999999999</v>
      </c>
      <c r="AA65" s="180">
        <v>10.86</v>
      </c>
      <c r="AB65" s="178">
        <v>553</v>
      </c>
      <c r="AC65" s="179">
        <v>5.9999999999999995E-4</v>
      </c>
      <c r="AD65" s="181">
        <v>940163</v>
      </c>
      <c r="AE65" s="180">
        <v>1115.3900000000001</v>
      </c>
      <c r="AF65" s="180">
        <v>1.1399999999999999</v>
      </c>
      <c r="AG65" s="179">
        <v>0.5645</v>
      </c>
      <c r="AH65" s="178">
        <v>1.77</v>
      </c>
      <c r="AI65" s="180">
        <v>667.57</v>
      </c>
      <c r="AJ65" s="178">
        <v>41</v>
      </c>
      <c r="AK65" s="180">
        <v>3030.06</v>
      </c>
      <c r="AL65" s="179">
        <v>0.52310000000000001</v>
      </c>
      <c r="AM65" s="179">
        <v>0.27789999999999998</v>
      </c>
      <c r="AN65" s="179">
        <v>-0.24229999999999999</v>
      </c>
      <c r="AO65" s="179">
        <v>0.55740000000000001</v>
      </c>
      <c r="AP65" s="179">
        <v>0.18970000000000001</v>
      </c>
      <c r="AQ65" s="179">
        <v>4.7699999999999999E-2</v>
      </c>
      <c r="AR65" s="179">
        <v>7.3700000000000002E-2</v>
      </c>
      <c r="AS65" s="179">
        <v>0.1356</v>
      </c>
      <c r="AT65" s="179">
        <v>20.833300000000001</v>
      </c>
      <c r="AU65" s="179">
        <v>-0.94910000000000005</v>
      </c>
      <c r="AV65" s="179">
        <v>0.71389999999999998</v>
      </c>
      <c r="AW65" s="179">
        <v>0.12280000000000001</v>
      </c>
      <c r="AX65" s="179">
        <v>-0.25440000000000002</v>
      </c>
      <c r="AY65" s="179">
        <v>0.34460000000000002</v>
      </c>
      <c r="AZ65" s="179">
        <v>9.8799999999999999E-2</v>
      </c>
      <c r="BA65" s="179">
        <v>7.3200000000000001E-2</v>
      </c>
      <c r="BB65" s="179">
        <v>-0.16089999999999999</v>
      </c>
    </row>
    <row r="66" spans="1:54">
      <c r="A66" s="178" t="s">
        <v>377</v>
      </c>
      <c r="B66" s="178" t="s">
        <v>2007</v>
      </c>
      <c r="C66" s="184">
        <v>0.31380000000000002</v>
      </c>
      <c r="D66" s="180">
        <v>782.29</v>
      </c>
      <c r="E66" s="180"/>
      <c r="F66" s="178">
        <v>127</v>
      </c>
      <c r="G66" s="178">
        <v>149</v>
      </c>
      <c r="H66" s="178">
        <v>140</v>
      </c>
      <c r="I66" s="179">
        <v>0.3211</v>
      </c>
      <c r="J66" s="180">
        <v>5.59</v>
      </c>
      <c r="K66" s="178">
        <v>436</v>
      </c>
      <c r="L66" s="179">
        <v>8.6999999999999994E-3</v>
      </c>
      <c r="M66" s="181">
        <v>50326</v>
      </c>
      <c r="N66" s="180">
        <v>3261.47</v>
      </c>
      <c r="O66" s="180">
        <v>1.79</v>
      </c>
      <c r="P66" s="179">
        <v>0.2399</v>
      </c>
      <c r="Q66" s="178">
        <v>4.17</v>
      </c>
      <c r="R66" s="180">
        <v>1367.69</v>
      </c>
      <c r="S66" s="178">
        <v>69</v>
      </c>
      <c r="T66" s="180">
        <v>2493.31</v>
      </c>
      <c r="U66" s="179">
        <v>7.8899999999999998E-2</v>
      </c>
      <c r="V66" s="180">
        <v>116.93</v>
      </c>
      <c r="W66" s="178">
        <v>71</v>
      </c>
      <c r="X66" s="178">
        <v>35</v>
      </c>
      <c r="Y66" s="178">
        <v>35</v>
      </c>
      <c r="Z66" s="179">
        <v>0.34310000000000002</v>
      </c>
      <c r="AA66" s="180">
        <v>3.34</v>
      </c>
      <c r="AB66" s="178">
        <v>102</v>
      </c>
      <c r="AC66" s="179">
        <v>6.7000000000000002E-3</v>
      </c>
      <c r="AD66" s="181">
        <v>15124</v>
      </c>
      <c r="AE66" s="180">
        <v>754.77</v>
      </c>
      <c r="AF66" s="180">
        <v>1.1499999999999999</v>
      </c>
      <c r="AG66" s="179">
        <v>0.15490000000000001</v>
      </c>
      <c r="AH66" s="178">
        <v>6.45</v>
      </c>
      <c r="AI66" s="180">
        <v>250.68</v>
      </c>
      <c r="AJ66" s="178">
        <v>12</v>
      </c>
      <c r="AK66" s="180">
        <v>1482.09</v>
      </c>
      <c r="AL66" s="179">
        <v>2.9771999999999998</v>
      </c>
      <c r="AM66" s="179">
        <v>5.6901999999999999</v>
      </c>
      <c r="AN66" s="179">
        <v>0.78869999999999996</v>
      </c>
      <c r="AO66" s="179">
        <v>3.2570999999999999</v>
      </c>
      <c r="AP66" s="179">
        <v>3</v>
      </c>
      <c r="AQ66" s="179">
        <v>-6.4100000000000004E-2</v>
      </c>
      <c r="AR66" s="179">
        <v>0.67369999999999997</v>
      </c>
      <c r="AS66" s="179">
        <v>3.2745000000000002</v>
      </c>
      <c r="AT66" s="179">
        <v>0.29849999999999999</v>
      </c>
      <c r="AU66" s="179">
        <v>2.3275999999999999</v>
      </c>
      <c r="AV66" s="179">
        <v>3.3210999999999999</v>
      </c>
      <c r="AW66" s="179">
        <v>0.55649999999999999</v>
      </c>
      <c r="AX66" s="179">
        <v>0.54869999999999997</v>
      </c>
      <c r="AY66" s="179">
        <v>-0.35349999999999998</v>
      </c>
      <c r="AZ66" s="179">
        <v>4.4558999999999997</v>
      </c>
      <c r="BA66" s="179">
        <v>4.75</v>
      </c>
      <c r="BB66" s="179">
        <v>0.68230000000000002</v>
      </c>
    </row>
    <row r="67" spans="1:54">
      <c r="A67" s="178" t="s">
        <v>431</v>
      </c>
      <c r="B67" s="178" t="s">
        <v>2008</v>
      </c>
      <c r="C67" s="184">
        <v>0.30730000000000002</v>
      </c>
      <c r="D67" s="180">
        <v>774.92</v>
      </c>
      <c r="E67" s="180"/>
      <c r="F67" s="178">
        <v>131</v>
      </c>
      <c r="G67" s="178">
        <v>134</v>
      </c>
      <c r="H67" s="178">
        <v>117</v>
      </c>
      <c r="I67" s="179">
        <v>0.19900000000000001</v>
      </c>
      <c r="J67" s="180">
        <v>6.62</v>
      </c>
      <c r="K67" s="178">
        <v>588</v>
      </c>
      <c r="L67" s="179">
        <v>7.3000000000000001E-3</v>
      </c>
      <c r="M67" s="181">
        <v>80055</v>
      </c>
      <c r="N67" s="180">
        <v>2820.96</v>
      </c>
      <c r="O67" s="180">
        <v>1.32</v>
      </c>
      <c r="P67" s="179">
        <v>0.2747</v>
      </c>
      <c r="Q67" s="178">
        <v>3.64</v>
      </c>
      <c r="R67" s="180">
        <v>1501.22</v>
      </c>
      <c r="S67" s="178">
        <v>62</v>
      </c>
      <c r="T67" s="180">
        <v>2521.69</v>
      </c>
      <c r="U67" s="179">
        <v>0.31159999999999999</v>
      </c>
      <c r="V67" s="180">
        <v>340.03</v>
      </c>
      <c r="W67" s="178">
        <v>52</v>
      </c>
      <c r="X67" s="178">
        <v>62</v>
      </c>
      <c r="Y67" s="178">
        <v>60</v>
      </c>
      <c r="Z67" s="179">
        <v>0.1714</v>
      </c>
      <c r="AA67" s="180">
        <v>5.67</v>
      </c>
      <c r="AB67" s="178">
        <v>350</v>
      </c>
      <c r="AC67" s="179">
        <v>2.3E-3</v>
      </c>
      <c r="AD67" s="181">
        <v>154897</v>
      </c>
      <c r="AE67" s="180">
        <v>1367.96</v>
      </c>
      <c r="AF67" s="180">
        <v>0.97</v>
      </c>
      <c r="AG67" s="179">
        <v>0.24859999999999999</v>
      </c>
      <c r="AH67" s="178">
        <v>4.0199999999999996</v>
      </c>
      <c r="AI67" s="180">
        <v>425.78</v>
      </c>
      <c r="AJ67" s="178">
        <v>21</v>
      </c>
      <c r="AK67" s="180">
        <v>1091.23</v>
      </c>
      <c r="AL67" s="179">
        <v>-1.38E-2</v>
      </c>
      <c r="AM67" s="179">
        <v>1.2789999999999999</v>
      </c>
      <c r="AN67" s="179">
        <v>1.5192000000000001</v>
      </c>
      <c r="AO67" s="179">
        <v>1.1613</v>
      </c>
      <c r="AP67" s="179">
        <v>0.95</v>
      </c>
      <c r="AQ67" s="179">
        <v>0.161</v>
      </c>
      <c r="AR67" s="179">
        <v>0.16750000000000001</v>
      </c>
      <c r="AS67" s="179">
        <v>0.68</v>
      </c>
      <c r="AT67" s="179">
        <v>2.1739000000000002</v>
      </c>
      <c r="AU67" s="179">
        <v>-0.48320000000000002</v>
      </c>
      <c r="AV67" s="179">
        <v>1.0622</v>
      </c>
      <c r="AW67" s="179">
        <v>0.36080000000000001</v>
      </c>
      <c r="AX67" s="179">
        <v>0.105</v>
      </c>
      <c r="AY67" s="179">
        <v>-9.4500000000000001E-2</v>
      </c>
      <c r="AZ67" s="179">
        <v>2.5257999999999998</v>
      </c>
      <c r="BA67" s="179">
        <v>1.9523999999999999</v>
      </c>
      <c r="BB67" s="179">
        <v>1.3109</v>
      </c>
    </row>
    <row r="68" spans="1:54">
      <c r="A68" s="178" t="s">
        <v>277</v>
      </c>
      <c r="B68" s="178" t="s">
        <v>2009</v>
      </c>
      <c r="C68" s="184">
        <v>0.53680000000000005</v>
      </c>
      <c r="D68" s="180">
        <v>765.11</v>
      </c>
      <c r="E68" s="180"/>
      <c r="F68" s="178">
        <v>78</v>
      </c>
      <c r="G68" s="178">
        <v>58</v>
      </c>
      <c r="H68" s="178">
        <v>55</v>
      </c>
      <c r="I68" s="179">
        <v>0.18579999999999999</v>
      </c>
      <c r="J68" s="180">
        <v>13.91</v>
      </c>
      <c r="K68" s="178">
        <v>296</v>
      </c>
      <c r="L68" s="179">
        <v>5.8999999999999999E-3</v>
      </c>
      <c r="M68" s="181">
        <v>50234</v>
      </c>
      <c r="N68" s="180">
        <v>1058.3900000000001</v>
      </c>
      <c r="O68" s="180">
        <v>2.58</v>
      </c>
      <c r="P68" s="184">
        <v>0.72289999999999999</v>
      </c>
      <c r="Q68" s="178">
        <v>1.38</v>
      </c>
      <c r="R68" s="180">
        <v>916.49</v>
      </c>
      <c r="S68" s="178">
        <v>51</v>
      </c>
      <c r="T68" s="180">
        <v>1425.22</v>
      </c>
      <c r="U68" s="179">
        <v>0.1192</v>
      </c>
      <c r="V68" s="180">
        <v>234.42</v>
      </c>
      <c r="W68" s="178">
        <v>83</v>
      </c>
      <c r="X68" s="178">
        <v>17</v>
      </c>
      <c r="Y68" s="178">
        <v>16</v>
      </c>
      <c r="Z68" s="179">
        <v>0.1212</v>
      </c>
      <c r="AA68" s="180">
        <v>14.65</v>
      </c>
      <c r="AB68" s="178">
        <v>132</v>
      </c>
      <c r="AC68" s="179">
        <v>2.9999999999999997E-4</v>
      </c>
      <c r="AD68" s="181">
        <v>435250</v>
      </c>
      <c r="AE68" s="180">
        <v>402.99</v>
      </c>
      <c r="AF68" s="180">
        <v>1.78</v>
      </c>
      <c r="AG68" s="179">
        <v>0.58169999999999999</v>
      </c>
      <c r="AH68" s="178">
        <v>1.72</v>
      </c>
      <c r="AI68" s="180">
        <v>199.1</v>
      </c>
      <c r="AJ68" s="178">
        <v>9</v>
      </c>
      <c r="AK68" s="180">
        <v>1966.5</v>
      </c>
      <c r="AL68" s="179">
        <v>3.5034000000000001</v>
      </c>
      <c r="AM68" s="179">
        <v>2.2637999999999998</v>
      </c>
      <c r="AN68" s="179">
        <v>-6.0199999999999997E-2</v>
      </c>
      <c r="AO68" s="179">
        <v>2.4117999999999999</v>
      </c>
      <c r="AP68" s="179">
        <v>2.4375</v>
      </c>
      <c r="AQ68" s="179">
        <v>0.53300000000000003</v>
      </c>
      <c r="AR68" s="179">
        <v>-5.0500000000000003E-2</v>
      </c>
      <c r="AS68" s="179">
        <v>1.2423999999999999</v>
      </c>
      <c r="AT68" s="179">
        <v>18.666699999999999</v>
      </c>
      <c r="AU68" s="179">
        <v>-0.88460000000000005</v>
      </c>
      <c r="AV68" s="179">
        <v>1.6263000000000001</v>
      </c>
      <c r="AW68" s="179">
        <v>0.44940000000000002</v>
      </c>
      <c r="AX68" s="179">
        <v>0.2427</v>
      </c>
      <c r="AY68" s="179">
        <v>-0.19769999999999999</v>
      </c>
      <c r="AZ68" s="179">
        <v>3.6032000000000002</v>
      </c>
      <c r="BA68" s="179">
        <v>4.6666999999999996</v>
      </c>
      <c r="BB68" s="179">
        <v>-0.27529999999999999</v>
      </c>
    </row>
    <row r="69" spans="1:54">
      <c r="A69" s="178" t="s">
        <v>360</v>
      </c>
      <c r="B69" s="178" t="s">
        <v>2010</v>
      </c>
      <c r="C69" s="184">
        <v>0.39200000000000002</v>
      </c>
      <c r="D69" s="180">
        <v>723.75</v>
      </c>
      <c r="E69" s="180"/>
      <c r="F69" s="178">
        <v>108</v>
      </c>
      <c r="G69" s="178">
        <v>109</v>
      </c>
      <c r="H69" s="178">
        <v>105</v>
      </c>
      <c r="I69" s="179">
        <v>0.25740000000000002</v>
      </c>
      <c r="J69" s="180">
        <v>6.89</v>
      </c>
      <c r="K69" s="178">
        <v>408</v>
      </c>
      <c r="L69" s="179">
        <v>7.1000000000000004E-3</v>
      </c>
      <c r="M69" s="181">
        <v>57670</v>
      </c>
      <c r="N69" s="180">
        <v>2148.77</v>
      </c>
      <c r="O69" s="180">
        <v>1.77</v>
      </c>
      <c r="P69" s="184">
        <v>0.33679999999999999</v>
      </c>
      <c r="Q69" s="178">
        <v>2.97</v>
      </c>
      <c r="R69" s="180">
        <v>1253.27</v>
      </c>
      <c r="S69" s="178">
        <v>69</v>
      </c>
      <c r="T69" s="180">
        <v>1846.48</v>
      </c>
      <c r="U69" s="179">
        <v>0.1076</v>
      </c>
      <c r="V69" s="180">
        <v>137.76</v>
      </c>
      <c r="W69" s="178">
        <v>66</v>
      </c>
      <c r="X69" s="178">
        <v>26</v>
      </c>
      <c r="Y69" s="178">
        <v>25</v>
      </c>
      <c r="Z69" s="179">
        <v>0.20830000000000001</v>
      </c>
      <c r="AA69" s="180">
        <v>5.51</v>
      </c>
      <c r="AB69" s="178">
        <v>120</v>
      </c>
      <c r="AC69" s="179">
        <v>2.5999999999999999E-3</v>
      </c>
      <c r="AD69" s="181">
        <v>45632</v>
      </c>
      <c r="AE69" s="180">
        <v>474.1</v>
      </c>
      <c r="AF69" s="180">
        <v>1.1499999999999999</v>
      </c>
      <c r="AG69" s="179">
        <v>0.29060000000000002</v>
      </c>
      <c r="AH69" s="178">
        <v>3.44</v>
      </c>
      <c r="AI69" s="180">
        <v>280.63</v>
      </c>
      <c r="AJ69" s="178">
        <v>16</v>
      </c>
      <c r="AK69" s="180">
        <v>1280.54</v>
      </c>
      <c r="AL69" s="179">
        <v>2.6431</v>
      </c>
      <c r="AM69" s="179">
        <v>4.2537000000000003</v>
      </c>
      <c r="AN69" s="179">
        <v>0.63639999999999997</v>
      </c>
      <c r="AO69" s="179">
        <v>3.1922999999999999</v>
      </c>
      <c r="AP69" s="179">
        <v>3.2</v>
      </c>
      <c r="AQ69" s="179">
        <v>0.23569999999999999</v>
      </c>
      <c r="AR69" s="179">
        <v>0.2505</v>
      </c>
      <c r="AS69" s="179">
        <v>2.4</v>
      </c>
      <c r="AT69" s="179">
        <v>1.7307999999999999</v>
      </c>
      <c r="AU69" s="179">
        <v>0.26379999999999998</v>
      </c>
      <c r="AV69" s="179">
        <v>3.5323000000000002</v>
      </c>
      <c r="AW69" s="179">
        <v>0.53910000000000002</v>
      </c>
      <c r="AX69" s="179">
        <v>0.159</v>
      </c>
      <c r="AY69" s="179">
        <v>-0.1366</v>
      </c>
      <c r="AZ69" s="179">
        <v>3.4659</v>
      </c>
      <c r="BA69" s="179">
        <v>3.3125</v>
      </c>
      <c r="BB69" s="179">
        <v>0.442</v>
      </c>
    </row>
    <row r="70" spans="1:54">
      <c r="A70" s="178" t="s">
        <v>265</v>
      </c>
      <c r="B70" s="178" t="s">
        <v>2011</v>
      </c>
      <c r="C70" s="184">
        <v>0.1898</v>
      </c>
      <c r="D70" s="180">
        <v>719.02</v>
      </c>
      <c r="E70" s="180"/>
      <c r="F70" s="178">
        <v>409</v>
      </c>
      <c r="G70" s="178">
        <v>212</v>
      </c>
      <c r="H70" s="178">
        <v>198</v>
      </c>
      <c r="I70" s="179">
        <v>0.30049999999999999</v>
      </c>
      <c r="J70" s="180">
        <v>3.63</v>
      </c>
      <c r="K70" s="178">
        <v>659</v>
      </c>
      <c r="L70" s="179">
        <v>4.7999999999999996E-3</v>
      </c>
      <c r="M70" s="181">
        <v>137297</v>
      </c>
      <c r="N70" s="180">
        <v>2160.67</v>
      </c>
      <c r="O70" s="180">
        <v>1.0900000000000001</v>
      </c>
      <c r="P70" s="184">
        <v>0.33279999999999998</v>
      </c>
      <c r="Q70" s="178">
        <v>3.01</v>
      </c>
      <c r="R70" s="180">
        <v>1821.04</v>
      </c>
      <c r="S70" s="178">
        <v>178</v>
      </c>
      <c r="T70" s="180">
        <v>3788.36</v>
      </c>
      <c r="U70" s="179">
        <v>0.3004</v>
      </c>
      <c r="V70" s="180">
        <v>1254.01</v>
      </c>
      <c r="W70" s="178">
        <v>423</v>
      </c>
      <c r="X70" s="178">
        <v>294</v>
      </c>
      <c r="Y70" s="178">
        <v>279</v>
      </c>
      <c r="Z70" s="179">
        <v>0.30159999999999998</v>
      </c>
      <c r="AA70" s="180">
        <v>4.49</v>
      </c>
      <c r="AB70" s="178">
        <v>925</v>
      </c>
      <c r="AC70" s="179">
        <v>2E-3</v>
      </c>
      <c r="AD70" s="181">
        <v>464959</v>
      </c>
      <c r="AE70" s="180">
        <v>3151.82</v>
      </c>
      <c r="AF70" s="180">
        <v>1.36</v>
      </c>
      <c r="AG70" s="179">
        <v>0.39789999999999998</v>
      </c>
      <c r="AH70" s="178">
        <v>2.5099999999999998</v>
      </c>
      <c r="AI70" s="180">
        <v>2593.83</v>
      </c>
      <c r="AJ70" s="178">
        <v>252</v>
      </c>
      <c r="AK70" s="180">
        <v>4173.8999999999996</v>
      </c>
      <c r="AL70" s="179">
        <v>-0.36820000000000003</v>
      </c>
      <c r="AM70" s="179">
        <v>-0.42659999999999998</v>
      </c>
      <c r="AN70" s="179">
        <v>-3.3099999999999997E-2</v>
      </c>
      <c r="AO70" s="179">
        <v>-0.27889999999999998</v>
      </c>
      <c r="AP70" s="179">
        <v>-0.2903</v>
      </c>
      <c r="AQ70" s="179">
        <v>-3.5999999999999999E-3</v>
      </c>
      <c r="AR70" s="179">
        <v>-0.1915</v>
      </c>
      <c r="AS70" s="179">
        <v>-0.28760000000000002</v>
      </c>
      <c r="AT70" s="179">
        <v>1.4</v>
      </c>
      <c r="AU70" s="179">
        <v>-0.70469999999999999</v>
      </c>
      <c r="AV70" s="179">
        <v>-0.3145</v>
      </c>
      <c r="AW70" s="179">
        <v>-0.19850000000000001</v>
      </c>
      <c r="AX70" s="179">
        <v>-0.1636</v>
      </c>
      <c r="AY70" s="179">
        <v>0.19919999999999999</v>
      </c>
      <c r="AZ70" s="179">
        <v>-0.2979</v>
      </c>
      <c r="BA70" s="179">
        <v>-0.29370000000000002</v>
      </c>
      <c r="BB70" s="179">
        <v>-9.2399999999999996E-2</v>
      </c>
    </row>
    <row r="71" spans="1:54">
      <c r="A71" s="178" t="s">
        <v>347</v>
      </c>
      <c r="B71" s="178" t="s">
        <v>2012</v>
      </c>
      <c r="C71" s="184">
        <v>0.57089999999999996</v>
      </c>
      <c r="D71" s="180">
        <v>718.95</v>
      </c>
      <c r="E71" s="180"/>
      <c r="F71" s="178">
        <v>77</v>
      </c>
      <c r="G71" s="178">
        <v>109</v>
      </c>
      <c r="H71" s="178">
        <v>94</v>
      </c>
      <c r="I71" s="179">
        <v>0.27489999999999998</v>
      </c>
      <c r="J71" s="180">
        <v>7.65</v>
      </c>
      <c r="K71" s="178">
        <v>342</v>
      </c>
      <c r="L71" s="179">
        <v>3.2000000000000002E-3</v>
      </c>
      <c r="M71" s="181">
        <v>105290</v>
      </c>
      <c r="N71" s="180">
        <v>2254.41</v>
      </c>
      <c r="O71" s="180">
        <v>2.1</v>
      </c>
      <c r="P71" s="184">
        <v>0.31890000000000002</v>
      </c>
      <c r="Q71" s="178">
        <v>3.14</v>
      </c>
      <c r="R71" s="180">
        <v>713.56</v>
      </c>
      <c r="S71" s="178">
        <v>34</v>
      </c>
      <c r="T71" s="180">
        <v>1259.23</v>
      </c>
      <c r="U71" s="179">
        <v>0.20580000000000001</v>
      </c>
      <c r="V71" s="180">
        <v>156.30000000000001</v>
      </c>
      <c r="W71" s="178">
        <v>38</v>
      </c>
      <c r="X71" s="178">
        <v>11</v>
      </c>
      <c r="Y71" s="178">
        <v>11</v>
      </c>
      <c r="Z71" s="179">
        <v>0.18640000000000001</v>
      </c>
      <c r="AA71" s="180">
        <v>14.21</v>
      </c>
      <c r="AB71" s="178">
        <v>59</v>
      </c>
      <c r="AC71" s="179">
        <v>4.4999999999999997E-3</v>
      </c>
      <c r="AD71" s="181">
        <v>13236</v>
      </c>
      <c r="AE71" s="180">
        <v>231.38</v>
      </c>
      <c r="AF71" s="180">
        <v>2.65</v>
      </c>
      <c r="AG71" s="179">
        <v>0.67549999999999999</v>
      </c>
      <c r="AH71" s="178">
        <v>1.48</v>
      </c>
      <c r="AI71" s="180">
        <v>159.91999999999999</v>
      </c>
      <c r="AJ71" s="178">
        <v>8</v>
      </c>
      <c r="AK71" s="180">
        <v>759.62</v>
      </c>
      <c r="AL71" s="179">
        <v>1.7741</v>
      </c>
      <c r="AM71" s="179">
        <v>3.5998000000000001</v>
      </c>
      <c r="AN71" s="179">
        <v>1.0263</v>
      </c>
      <c r="AO71" s="179">
        <v>8.9091000000000005</v>
      </c>
      <c r="AP71" s="179">
        <v>7.5454999999999997</v>
      </c>
      <c r="AQ71" s="179">
        <v>0.4748</v>
      </c>
      <c r="AR71" s="179">
        <v>-0.46160000000000001</v>
      </c>
      <c r="AS71" s="179">
        <v>4.7965999999999998</v>
      </c>
      <c r="AT71" s="179">
        <v>-0.28889999999999999</v>
      </c>
      <c r="AU71" s="179">
        <v>6.9547999999999996</v>
      </c>
      <c r="AV71" s="179">
        <v>8.7432999999999996</v>
      </c>
      <c r="AW71" s="179">
        <v>-0.20749999999999999</v>
      </c>
      <c r="AX71" s="179">
        <v>-0.52790000000000004</v>
      </c>
      <c r="AY71" s="179">
        <v>1.1215999999999999</v>
      </c>
      <c r="AZ71" s="179">
        <v>3.4620000000000002</v>
      </c>
      <c r="BA71" s="179">
        <v>3.25</v>
      </c>
      <c r="BB71" s="179">
        <v>0.65769999999999995</v>
      </c>
    </row>
    <row r="72" spans="1:54">
      <c r="A72" s="178" t="s">
        <v>212</v>
      </c>
      <c r="B72" s="178" t="s">
        <v>2013</v>
      </c>
      <c r="C72" s="184">
        <v>0.1948</v>
      </c>
      <c r="D72" s="180">
        <v>702.48</v>
      </c>
      <c r="E72" s="180"/>
      <c r="F72" s="178">
        <v>361</v>
      </c>
      <c r="G72" s="178">
        <v>205</v>
      </c>
      <c r="H72" s="178">
        <v>196</v>
      </c>
      <c r="I72" s="179">
        <v>0.30819999999999997</v>
      </c>
      <c r="J72" s="180">
        <v>3.58</v>
      </c>
      <c r="K72" s="178">
        <v>636</v>
      </c>
      <c r="L72" s="179">
        <v>9.1000000000000004E-3</v>
      </c>
      <c r="M72" s="181">
        <v>69514</v>
      </c>
      <c r="N72" s="180">
        <v>2929.5</v>
      </c>
      <c r="O72" s="180">
        <v>1.1000000000000001</v>
      </c>
      <c r="P72" s="179">
        <v>0.23980000000000001</v>
      </c>
      <c r="Q72" s="178">
        <v>4.17</v>
      </c>
      <c r="R72" s="180">
        <v>1308.5899999999999</v>
      </c>
      <c r="S72" s="178">
        <v>128</v>
      </c>
      <c r="T72" s="180">
        <v>3606.19</v>
      </c>
      <c r="U72" s="179">
        <v>0.1661</v>
      </c>
      <c r="V72" s="180">
        <v>773.23</v>
      </c>
      <c r="W72" s="178">
        <v>466</v>
      </c>
      <c r="X72" s="178">
        <v>286</v>
      </c>
      <c r="Y72" s="178">
        <v>277</v>
      </c>
      <c r="Z72" s="179">
        <v>0.37380000000000002</v>
      </c>
      <c r="AA72" s="180">
        <v>2.79</v>
      </c>
      <c r="AB72" s="178">
        <v>741</v>
      </c>
      <c r="AC72" s="179">
        <v>1.0500000000000001E-2</v>
      </c>
      <c r="AD72" s="181">
        <v>70827</v>
      </c>
      <c r="AE72" s="180">
        <v>4708.3999999999996</v>
      </c>
      <c r="AF72" s="180">
        <v>1.04</v>
      </c>
      <c r="AG72" s="179">
        <v>0.16420000000000001</v>
      </c>
      <c r="AH72" s="178">
        <v>6.09</v>
      </c>
      <c r="AI72" s="180">
        <v>1618.28</v>
      </c>
      <c r="AJ72" s="178">
        <v>157</v>
      </c>
      <c r="AK72" s="180">
        <v>4655.1400000000003</v>
      </c>
      <c r="AL72" s="179">
        <v>0.17280000000000001</v>
      </c>
      <c r="AM72" s="179">
        <v>-9.1499999999999998E-2</v>
      </c>
      <c r="AN72" s="179">
        <v>-0.2253</v>
      </c>
      <c r="AO72" s="179">
        <v>-0.28320000000000001</v>
      </c>
      <c r="AP72" s="179">
        <v>-0.29239999999999999</v>
      </c>
      <c r="AQ72" s="179">
        <v>-0.17549999999999999</v>
      </c>
      <c r="AR72" s="179">
        <v>0.28320000000000001</v>
      </c>
      <c r="AS72" s="179">
        <v>-0.14169999999999999</v>
      </c>
      <c r="AT72" s="179">
        <v>-0.1333</v>
      </c>
      <c r="AU72" s="179">
        <v>-1.8499999999999999E-2</v>
      </c>
      <c r="AV72" s="179">
        <v>-0.37780000000000002</v>
      </c>
      <c r="AW72" s="179">
        <v>5.7700000000000001E-2</v>
      </c>
      <c r="AX72" s="179">
        <v>0.46039999999999998</v>
      </c>
      <c r="AY72" s="179">
        <v>-0.31530000000000002</v>
      </c>
      <c r="AZ72" s="179">
        <v>-0.19139999999999999</v>
      </c>
      <c r="BA72" s="179">
        <v>-0.1847</v>
      </c>
      <c r="BB72" s="179">
        <v>-0.2253</v>
      </c>
    </row>
    <row r="73" spans="1:54">
      <c r="A73" s="178" t="s">
        <v>457</v>
      </c>
      <c r="B73" s="178" t="s">
        <v>2014</v>
      </c>
      <c r="C73" s="184">
        <v>0.37880000000000003</v>
      </c>
      <c r="D73" s="180">
        <v>669.33</v>
      </c>
      <c r="E73" s="180"/>
      <c r="F73" s="178">
        <v>94</v>
      </c>
      <c r="G73" s="178">
        <v>95</v>
      </c>
      <c r="H73" s="178">
        <v>94</v>
      </c>
      <c r="I73" s="179">
        <v>0.16489999999999999</v>
      </c>
      <c r="J73" s="180">
        <v>7.12</v>
      </c>
      <c r="K73" s="178">
        <v>570</v>
      </c>
      <c r="L73" s="179">
        <v>9.4000000000000004E-3</v>
      </c>
      <c r="M73" s="181">
        <v>60663</v>
      </c>
      <c r="N73" s="180">
        <v>2156.77</v>
      </c>
      <c r="O73" s="180">
        <v>1.17</v>
      </c>
      <c r="P73" s="184">
        <v>0.31030000000000002</v>
      </c>
      <c r="Q73" s="178">
        <v>3.22</v>
      </c>
      <c r="R73" s="180">
        <v>835.34</v>
      </c>
      <c r="S73" s="178">
        <v>46</v>
      </c>
      <c r="T73" s="180">
        <v>1766.86</v>
      </c>
      <c r="U73" s="179">
        <v>3.2000000000000001E-2</v>
      </c>
      <c r="V73" s="180">
        <v>0.96</v>
      </c>
      <c r="W73" s="178">
        <v>1</v>
      </c>
      <c r="X73" s="178">
        <v>0</v>
      </c>
      <c r="Y73" s="178">
        <v>0</v>
      </c>
      <c r="Z73" s="179">
        <v>0</v>
      </c>
      <c r="AA73" s="180">
        <v>0</v>
      </c>
      <c r="AB73" s="178">
        <v>1</v>
      </c>
      <c r="AC73" s="179">
        <v>1.9E-3</v>
      </c>
      <c r="AD73" s="178">
        <v>528</v>
      </c>
      <c r="AE73" s="180">
        <v>0</v>
      </c>
      <c r="AF73" s="180">
        <v>0.96</v>
      </c>
      <c r="AG73" s="182" t="s">
        <v>1947</v>
      </c>
      <c r="AH73" s="178">
        <v>0</v>
      </c>
      <c r="AI73" s="180">
        <v>0</v>
      </c>
      <c r="AJ73" s="178">
        <v>0</v>
      </c>
      <c r="AK73" s="180">
        <v>29.99</v>
      </c>
      <c r="AL73" s="179">
        <v>10.8375</v>
      </c>
      <c r="AM73" s="179">
        <v>696.21879999999999</v>
      </c>
      <c r="AN73" s="179">
        <v>93</v>
      </c>
      <c r="AO73" s="179">
        <v>95</v>
      </c>
      <c r="AP73" s="179">
        <v>94</v>
      </c>
      <c r="AQ73" s="179">
        <v>16.489999999999998</v>
      </c>
      <c r="AR73" s="179">
        <v>7.12</v>
      </c>
      <c r="AS73" s="179">
        <v>569</v>
      </c>
      <c r="AT73" s="179">
        <v>3.9474</v>
      </c>
      <c r="AU73" s="179">
        <v>113.892</v>
      </c>
      <c r="AV73" s="179">
        <v>2156.77</v>
      </c>
      <c r="AW73" s="179">
        <v>0.21870000000000001</v>
      </c>
      <c r="AX73" s="179">
        <v>31.03</v>
      </c>
      <c r="AY73" s="179">
        <v>3.22</v>
      </c>
      <c r="AZ73" s="179">
        <v>835.34</v>
      </c>
      <c r="BA73" s="179">
        <v>46</v>
      </c>
      <c r="BB73" s="179">
        <v>57.914999999999999</v>
      </c>
    </row>
    <row r="74" spans="1:54">
      <c r="A74" s="178" t="s">
        <v>537</v>
      </c>
      <c r="B74" s="178" t="s">
        <v>2015</v>
      </c>
      <c r="C74" s="184">
        <v>0.1925</v>
      </c>
      <c r="D74" s="180">
        <v>638.62</v>
      </c>
      <c r="E74" s="180"/>
      <c r="F74" s="178">
        <v>166</v>
      </c>
      <c r="G74" s="178">
        <v>170</v>
      </c>
      <c r="H74" s="178">
        <v>163</v>
      </c>
      <c r="I74" s="179">
        <v>0.30070000000000002</v>
      </c>
      <c r="J74" s="180">
        <v>3.92</v>
      </c>
      <c r="K74" s="178">
        <v>542</v>
      </c>
      <c r="L74" s="179">
        <v>2.3400000000000001E-2</v>
      </c>
      <c r="M74" s="181">
        <v>23180</v>
      </c>
      <c r="N74" s="180">
        <v>3667.2</v>
      </c>
      <c r="O74" s="180">
        <v>1.18</v>
      </c>
      <c r="P74" s="179">
        <v>0.1741</v>
      </c>
      <c r="Q74" s="178">
        <v>5.74</v>
      </c>
      <c r="R74" s="180">
        <v>1857.87</v>
      </c>
      <c r="S74" s="178">
        <v>89</v>
      </c>
      <c r="T74" s="180">
        <v>3317.14</v>
      </c>
      <c r="U74" s="182" t="s">
        <v>1947</v>
      </c>
      <c r="V74" s="180">
        <v>0</v>
      </c>
      <c r="W74" s="182" t="s">
        <v>1947</v>
      </c>
      <c r="X74" s="182" t="s">
        <v>1947</v>
      </c>
      <c r="Y74" s="182" t="s">
        <v>1947</v>
      </c>
      <c r="Z74" s="182" t="s">
        <v>1947</v>
      </c>
      <c r="AA74" s="180">
        <v>0</v>
      </c>
      <c r="AB74" s="182" t="s">
        <v>1947</v>
      </c>
      <c r="AC74" s="182" t="s">
        <v>1947</v>
      </c>
      <c r="AD74" s="182" t="s">
        <v>1947</v>
      </c>
      <c r="AE74" s="180">
        <v>0</v>
      </c>
      <c r="AF74" s="180">
        <v>0</v>
      </c>
      <c r="AG74" s="182" t="s">
        <v>1947</v>
      </c>
      <c r="AH74" s="182" t="s">
        <v>1947</v>
      </c>
      <c r="AI74" s="180">
        <v>0</v>
      </c>
      <c r="AJ74" s="182" t="s">
        <v>1947</v>
      </c>
      <c r="AK74" s="180">
        <v>0</v>
      </c>
      <c r="AL74" s="179">
        <v>19.25</v>
      </c>
      <c r="AM74" s="179">
        <v>638.62</v>
      </c>
      <c r="AN74" s="179">
        <v>166</v>
      </c>
      <c r="AO74" s="179">
        <v>170</v>
      </c>
      <c r="AP74" s="179">
        <v>163</v>
      </c>
      <c r="AQ74" s="179">
        <v>30.07</v>
      </c>
      <c r="AR74" s="179">
        <v>3.92</v>
      </c>
      <c r="AS74" s="179">
        <v>542</v>
      </c>
      <c r="AT74" s="179">
        <v>2.34</v>
      </c>
      <c r="AU74" s="179">
        <v>23180</v>
      </c>
      <c r="AV74" s="179">
        <v>3667.2</v>
      </c>
      <c r="AW74" s="179">
        <v>1.18</v>
      </c>
      <c r="AX74" s="179">
        <v>17.41</v>
      </c>
      <c r="AY74" s="179">
        <v>5.74</v>
      </c>
      <c r="AZ74" s="179">
        <v>1857.87</v>
      </c>
      <c r="BA74" s="179">
        <v>89</v>
      </c>
      <c r="BB74" s="179">
        <v>3317.14</v>
      </c>
    </row>
    <row r="75" spans="1:54">
      <c r="A75" s="178" t="s">
        <v>1406</v>
      </c>
      <c r="B75" s="178" t="s">
        <v>2016</v>
      </c>
      <c r="C75" s="184">
        <v>0.1875</v>
      </c>
      <c r="D75" s="180">
        <v>594.44000000000005</v>
      </c>
      <c r="E75" s="180"/>
      <c r="F75" s="178">
        <v>197</v>
      </c>
      <c r="G75" s="178">
        <v>169</v>
      </c>
      <c r="H75" s="178">
        <v>156</v>
      </c>
      <c r="I75" s="179">
        <v>0.35370000000000001</v>
      </c>
      <c r="J75" s="180">
        <v>3.81</v>
      </c>
      <c r="K75" s="178">
        <v>441</v>
      </c>
      <c r="L75" s="179">
        <v>1.17E-2</v>
      </c>
      <c r="M75" s="181">
        <v>37829</v>
      </c>
      <c r="N75" s="180">
        <v>2987.03</v>
      </c>
      <c r="O75" s="180">
        <v>1.35</v>
      </c>
      <c r="P75" s="179">
        <v>0.19900000000000001</v>
      </c>
      <c r="Q75" s="178">
        <v>5.0199999999999996</v>
      </c>
      <c r="R75" s="180">
        <v>1944.56</v>
      </c>
      <c r="S75" s="178">
        <v>111</v>
      </c>
      <c r="T75" s="180">
        <v>3169.83</v>
      </c>
      <c r="U75" s="179">
        <v>0.17630000000000001</v>
      </c>
      <c r="V75" s="180">
        <v>301.93</v>
      </c>
      <c r="W75" s="178">
        <v>104</v>
      </c>
      <c r="X75" s="178">
        <v>81</v>
      </c>
      <c r="Y75" s="178">
        <v>75</v>
      </c>
      <c r="Z75" s="179">
        <v>0.31780000000000003</v>
      </c>
      <c r="AA75" s="180">
        <v>4.03</v>
      </c>
      <c r="AB75" s="178">
        <v>236</v>
      </c>
      <c r="AC75" s="179">
        <v>7.0000000000000001E-3</v>
      </c>
      <c r="AD75" s="181">
        <v>33881</v>
      </c>
      <c r="AE75" s="180">
        <v>1419.7</v>
      </c>
      <c r="AF75" s="180">
        <v>1.28</v>
      </c>
      <c r="AG75" s="179">
        <v>0.2127</v>
      </c>
      <c r="AH75" s="178">
        <v>4.7</v>
      </c>
      <c r="AI75" s="180">
        <v>981.4</v>
      </c>
      <c r="AJ75" s="178">
        <v>55</v>
      </c>
      <c r="AK75" s="180">
        <v>1712.96</v>
      </c>
      <c r="AL75" s="179">
        <v>6.3500000000000001E-2</v>
      </c>
      <c r="AM75" s="179">
        <v>0.96879999999999999</v>
      </c>
      <c r="AN75" s="179">
        <v>0.89419999999999999</v>
      </c>
      <c r="AO75" s="179">
        <v>1.0864</v>
      </c>
      <c r="AP75" s="179">
        <v>1.08</v>
      </c>
      <c r="AQ75" s="179">
        <v>0.113</v>
      </c>
      <c r="AR75" s="179">
        <v>-5.4600000000000003E-2</v>
      </c>
      <c r="AS75" s="179">
        <v>0.86860000000000004</v>
      </c>
      <c r="AT75" s="179">
        <v>0.6714</v>
      </c>
      <c r="AU75" s="179">
        <v>0.11650000000000001</v>
      </c>
      <c r="AV75" s="179">
        <v>1.1040000000000001</v>
      </c>
      <c r="AW75" s="179">
        <v>5.4699999999999999E-2</v>
      </c>
      <c r="AX75" s="179">
        <v>-6.4399999999999999E-2</v>
      </c>
      <c r="AY75" s="179">
        <v>6.8099999999999994E-2</v>
      </c>
      <c r="AZ75" s="179">
        <v>0.98140000000000005</v>
      </c>
      <c r="BA75" s="179">
        <v>1.0182</v>
      </c>
      <c r="BB75" s="179">
        <v>0.85050000000000003</v>
      </c>
    </row>
    <row r="76" spans="1:54">
      <c r="A76" s="178" t="s">
        <v>256</v>
      </c>
      <c r="B76" s="178" t="s">
        <v>2017</v>
      </c>
      <c r="C76" s="184">
        <v>0.49180000000000001</v>
      </c>
      <c r="D76" s="180">
        <v>580.35</v>
      </c>
      <c r="E76" s="180"/>
      <c r="F76" s="178">
        <v>60</v>
      </c>
      <c r="G76" s="178">
        <v>19</v>
      </c>
      <c r="H76" s="178">
        <v>19</v>
      </c>
      <c r="I76" s="179">
        <v>8.7999999999999995E-2</v>
      </c>
      <c r="J76" s="180">
        <v>30.54</v>
      </c>
      <c r="K76" s="178">
        <v>216</v>
      </c>
      <c r="L76" s="179">
        <v>3.3999999999999998E-3</v>
      </c>
      <c r="M76" s="181">
        <v>62617</v>
      </c>
      <c r="N76" s="180">
        <v>366.52</v>
      </c>
      <c r="O76" s="180">
        <v>2.69</v>
      </c>
      <c r="P76" s="184">
        <v>1.5833999999999999</v>
      </c>
      <c r="Q76" s="178">
        <v>0.63</v>
      </c>
      <c r="R76" s="180">
        <v>314.58</v>
      </c>
      <c r="S76" s="178">
        <v>17</v>
      </c>
      <c r="T76" s="180">
        <v>1180.1500000000001</v>
      </c>
      <c r="U76" s="179">
        <v>0.50509999999999999</v>
      </c>
      <c r="V76" s="180">
        <v>844.98</v>
      </c>
      <c r="W76" s="178">
        <v>98</v>
      </c>
      <c r="X76" s="178">
        <v>43</v>
      </c>
      <c r="Y76" s="178">
        <v>41</v>
      </c>
      <c r="Z76" s="179">
        <v>0.1076</v>
      </c>
      <c r="AA76" s="180">
        <v>20.61</v>
      </c>
      <c r="AB76" s="178">
        <v>381</v>
      </c>
      <c r="AC76" s="179">
        <v>1.8E-3</v>
      </c>
      <c r="AD76" s="181">
        <v>208424</v>
      </c>
      <c r="AE76" s="180">
        <v>830.33</v>
      </c>
      <c r="AF76" s="180">
        <v>2.2200000000000002</v>
      </c>
      <c r="AG76" s="179">
        <v>1.0176000000000001</v>
      </c>
      <c r="AH76" s="178">
        <v>0.98</v>
      </c>
      <c r="AI76" s="180">
        <v>596.65</v>
      </c>
      <c r="AJ76" s="178">
        <v>33</v>
      </c>
      <c r="AK76" s="180">
        <v>1673.02</v>
      </c>
      <c r="AL76" s="179">
        <v>-2.63E-2</v>
      </c>
      <c r="AM76" s="179">
        <v>-0.31319999999999998</v>
      </c>
      <c r="AN76" s="179">
        <v>-0.38779999999999998</v>
      </c>
      <c r="AO76" s="179">
        <v>-0.55810000000000004</v>
      </c>
      <c r="AP76" s="179">
        <v>-0.53659999999999997</v>
      </c>
      <c r="AQ76" s="179">
        <v>-0.1822</v>
      </c>
      <c r="AR76" s="179">
        <v>0.48180000000000001</v>
      </c>
      <c r="AS76" s="179">
        <v>-0.43309999999999998</v>
      </c>
      <c r="AT76" s="179">
        <v>0.88890000000000002</v>
      </c>
      <c r="AU76" s="179">
        <v>-0.6996</v>
      </c>
      <c r="AV76" s="179">
        <v>-0.55859999999999999</v>
      </c>
      <c r="AW76" s="179">
        <v>0.2117</v>
      </c>
      <c r="AX76" s="179">
        <v>0.55600000000000005</v>
      </c>
      <c r="AY76" s="179">
        <v>-0.35709999999999997</v>
      </c>
      <c r="AZ76" s="179">
        <v>-0.4728</v>
      </c>
      <c r="BA76" s="179">
        <v>-0.48480000000000001</v>
      </c>
      <c r="BB76" s="179">
        <v>-0.29459999999999997</v>
      </c>
    </row>
    <row r="77" spans="1:54">
      <c r="A77" s="178" t="s">
        <v>1370</v>
      </c>
      <c r="B77" s="178" t="s">
        <v>2018</v>
      </c>
      <c r="C77" s="184">
        <v>0.38269999999999998</v>
      </c>
      <c r="D77" s="180">
        <v>553.54999999999995</v>
      </c>
      <c r="E77" s="180"/>
      <c r="F77" s="178">
        <v>60</v>
      </c>
      <c r="G77" s="178">
        <v>92</v>
      </c>
      <c r="H77" s="178">
        <v>90</v>
      </c>
      <c r="I77" s="179">
        <v>0.17680000000000001</v>
      </c>
      <c r="J77" s="180">
        <v>6.15</v>
      </c>
      <c r="K77" s="178">
        <v>509</v>
      </c>
      <c r="L77" s="179">
        <v>5.7999999999999996E-3</v>
      </c>
      <c r="M77" s="181">
        <v>88076</v>
      </c>
      <c r="N77" s="180">
        <v>2106.54</v>
      </c>
      <c r="O77" s="180">
        <v>1.0900000000000001</v>
      </c>
      <c r="P77" s="179">
        <v>0.26279999999999998</v>
      </c>
      <c r="Q77" s="178">
        <v>3.81</v>
      </c>
      <c r="R77" s="180">
        <v>599.15</v>
      </c>
      <c r="S77" s="178">
        <v>25</v>
      </c>
      <c r="T77" s="180">
        <v>1446.6</v>
      </c>
      <c r="U77" s="179">
        <v>0.35460000000000003</v>
      </c>
      <c r="V77" s="180">
        <v>409.55</v>
      </c>
      <c r="W77" s="178">
        <v>51</v>
      </c>
      <c r="X77" s="178">
        <v>56</v>
      </c>
      <c r="Y77" s="178">
        <v>55</v>
      </c>
      <c r="Z77" s="179">
        <v>0.1173</v>
      </c>
      <c r="AA77" s="180">
        <v>7.45</v>
      </c>
      <c r="AB77" s="178">
        <v>469</v>
      </c>
      <c r="AC77" s="179">
        <v>5.0000000000000001E-4</v>
      </c>
      <c r="AD77" s="181">
        <v>945924</v>
      </c>
      <c r="AE77" s="180">
        <v>1191.02</v>
      </c>
      <c r="AF77" s="180">
        <v>0.87</v>
      </c>
      <c r="AG77" s="179">
        <v>0.34389999999999998</v>
      </c>
      <c r="AH77" s="178">
        <v>2.91</v>
      </c>
      <c r="AI77" s="180">
        <v>307.66000000000003</v>
      </c>
      <c r="AJ77" s="178">
        <v>14</v>
      </c>
      <c r="AK77" s="180">
        <v>1155.0899999999999</v>
      </c>
      <c r="AL77" s="179">
        <v>7.9200000000000007E-2</v>
      </c>
      <c r="AM77" s="179">
        <v>0.35160000000000002</v>
      </c>
      <c r="AN77" s="179">
        <v>0.17649999999999999</v>
      </c>
      <c r="AO77" s="179">
        <v>0.64290000000000003</v>
      </c>
      <c r="AP77" s="179">
        <v>0.63639999999999997</v>
      </c>
      <c r="AQ77" s="179">
        <v>0.50719999999999998</v>
      </c>
      <c r="AR77" s="179">
        <v>-0.17449999999999999</v>
      </c>
      <c r="AS77" s="179">
        <v>8.5300000000000001E-2</v>
      </c>
      <c r="AT77" s="179">
        <v>10.6</v>
      </c>
      <c r="AU77" s="179">
        <v>-0.90690000000000004</v>
      </c>
      <c r="AV77" s="179">
        <v>0.76870000000000005</v>
      </c>
      <c r="AW77" s="179">
        <v>0.25290000000000001</v>
      </c>
      <c r="AX77" s="179">
        <v>-0.23580000000000001</v>
      </c>
      <c r="AY77" s="179">
        <v>0.30930000000000002</v>
      </c>
      <c r="AZ77" s="179">
        <v>0.94740000000000002</v>
      </c>
      <c r="BA77" s="179">
        <v>0.78569999999999995</v>
      </c>
      <c r="BB77" s="179">
        <v>0.25240000000000001</v>
      </c>
    </row>
    <row r="78" spans="1:54">
      <c r="A78" s="178" t="s">
        <v>435</v>
      </c>
      <c r="B78" s="178" t="s">
        <v>2019</v>
      </c>
      <c r="C78" s="184">
        <v>0.29620000000000002</v>
      </c>
      <c r="D78" s="180">
        <v>503.21</v>
      </c>
      <c r="E78" s="180"/>
      <c r="F78" s="178">
        <v>85</v>
      </c>
      <c r="G78" s="178">
        <v>77</v>
      </c>
      <c r="H78" s="178">
        <v>72</v>
      </c>
      <c r="I78" s="179">
        <v>0.14230000000000001</v>
      </c>
      <c r="J78" s="180">
        <v>6.99</v>
      </c>
      <c r="K78" s="178">
        <v>506</v>
      </c>
      <c r="L78" s="179">
        <v>1.6899999999999998E-2</v>
      </c>
      <c r="M78" s="181">
        <v>29961</v>
      </c>
      <c r="N78" s="180">
        <v>1685.49</v>
      </c>
      <c r="O78" s="180">
        <v>0.99</v>
      </c>
      <c r="P78" s="179">
        <v>0.29859999999999998</v>
      </c>
      <c r="Q78" s="178">
        <v>3.35</v>
      </c>
      <c r="R78" s="180">
        <v>799.6</v>
      </c>
      <c r="S78" s="178">
        <v>39</v>
      </c>
      <c r="T78" s="180">
        <v>1699.15</v>
      </c>
      <c r="U78" s="182" t="s">
        <v>1947</v>
      </c>
      <c r="V78" s="180">
        <v>0</v>
      </c>
      <c r="W78" s="182" t="s">
        <v>1947</v>
      </c>
      <c r="X78" s="182" t="s">
        <v>1947</v>
      </c>
      <c r="Y78" s="182" t="s">
        <v>1947</v>
      </c>
      <c r="Z78" s="182" t="s">
        <v>1947</v>
      </c>
      <c r="AA78" s="180">
        <v>0</v>
      </c>
      <c r="AB78" s="182" t="s">
        <v>1947</v>
      </c>
      <c r="AC78" s="182" t="s">
        <v>1947</v>
      </c>
      <c r="AD78" s="182" t="s">
        <v>1947</v>
      </c>
      <c r="AE78" s="180">
        <v>0</v>
      </c>
      <c r="AF78" s="180">
        <v>0</v>
      </c>
      <c r="AG78" s="182" t="s">
        <v>1947</v>
      </c>
      <c r="AH78" s="182" t="s">
        <v>1947</v>
      </c>
      <c r="AI78" s="180">
        <v>0</v>
      </c>
      <c r="AJ78" s="182" t="s">
        <v>1947</v>
      </c>
      <c r="AK78" s="180">
        <v>0</v>
      </c>
      <c r="AL78" s="179">
        <v>29.62</v>
      </c>
      <c r="AM78" s="179">
        <v>503.21</v>
      </c>
      <c r="AN78" s="179">
        <v>85</v>
      </c>
      <c r="AO78" s="179">
        <v>77</v>
      </c>
      <c r="AP78" s="179">
        <v>72</v>
      </c>
      <c r="AQ78" s="179">
        <v>14.23</v>
      </c>
      <c r="AR78" s="179">
        <v>6.99</v>
      </c>
      <c r="AS78" s="179">
        <v>506</v>
      </c>
      <c r="AT78" s="179">
        <v>1.69</v>
      </c>
      <c r="AU78" s="179">
        <v>29961</v>
      </c>
      <c r="AV78" s="179">
        <v>1685.49</v>
      </c>
      <c r="AW78" s="179">
        <v>0.99</v>
      </c>
      <c r="AX78" s="179">
        <v>29.86</v>
      </c>
      <c r="AY78" s="179">
        <v>3.35</v>
      </c>
      <c r="AZ78" s="179">
        <v>799.6</v>
      </c>
      <c r="BA78" s="179">
        <v>39</v>
      </c>
      <c r="BB78" s="179">
        <v>1699.15</v>
      </c>
    </row>
    <row r="79" spans="1:54">
      <c r="A79" s="178" t="s">
        <v>369</v>
      </c>
      <c r="B79" s="178" t="s">
        <v>368</v>
      </c>
      <c r="C79" s="184">
        <v>0.46189999999999998</v>
      </c>
      <c r="D79" s="180">
        <v>498.52</v>
      </c>
      <c r="E79" s="180"/>
      <c r="F79" s="178">
        <v>54</v>
      </c>
      <c r="G79" s="178">
        <v>135</v>
      </c>
      <c r="H79" s="178">
        <v>121</v>
      </c>
      <c r="I79" s="179">
        <v>0.24149999999999999</v>
      </c>
      <c r="J79" s="180">
        <v>4.12</v>
      </c>
      <c r="K79" s="178">
        <v>501</v>
      </c>
      <c r="L79" s="179">
        <v>1.4800000000000001E-2</v>
      </c>
      <c r="M79" s="181">
        <v>33943</v>
      </c>
      <c r="N79" s="180">
        <v>3506.04</v>
      </c>
      <c r="O79" s="180">
        <v>1</v>
      </c>
      <c r="P79" s="179">
        <v>0.14219999999999999</v>
      </c>
      <c r="Q79" s="178">
        <v>7.03</v>
      </c>
      <c r="R79" s="180">
        <v>299.64999999999998</v>
      </c>
      <c r="S79" s="178">
        <v>12</v>
      </c>
      <c r="T79" s="180">
        <v>1079.26</v>
      </c>
      <c r="U79" s="182" t="s">
        <v>1947</v>
      </c>
      <c r="V79" s="180">
        <v>0</v>
      </c>
      <c r="W79" s="182" t="s">
        <v>1947</v>
      </c>
      <c r="X79" s="182" t="s">
        <v>1947</v>
      </c>
      <c r="Y79" s="182" t="s">
        <v>1947</v>
      </c>
      <c r="Z79" s="182" t="s">
        <v>1947</v>
      </c>
      <c r="AA79" s="180">
        <v>0</v>
      </c>
      <c r="AB79" s="182" t="s">
        <v>1947</v>
      </c>
      <c r="AC79" s="182" t="s">
        <v>1947</v>
      </c>
      <c r="AD79" s="182" t="s">
        <v>1947</v>
      </c>
      <c r="AE79" s="180">
        <v>0</v>
      </c>
      <c r="AF79" s="180">
        <v>0</v>
      </c>
      <c r="AG79" s="182" t="s">
        <v>1947</v>
      </c>
      <c r="AH79" s="182" t="s">
        <v>1947</v>
      </c>
      <c r="AI79" s="180">
        <v>0</v>
      </c>
      <c r="AJ79" s="182" t="s">
        <v>1947</v>
      </c>
      <c r="AK79" s="180">
        <v>0</v>
      </c>
      <c r="AL79" s="179">
        <v>46.19</v>
      </c>
      <c r="AM79" s="179">
        <v>498.52</v>
      </c>
      <c r="AN79" s="179">
        <v>54</v>
      </c>
      <c r="AO79" s="179">
        <v>135</v>
      </c>
      <c r="AP79" s="179">
        <v>121</v>
      </c>
      <c r="AQ79" s="179">
        <v>24.15</v>
      </c>
      <c r="AR79" s="179">
        <v>4.12</v>
      </c>
      <c r="AS79" s="179">
        <v>501</v>
      </c>
      <c r="AT79" s="179">
        <v>1.48</v>
      </c>
      <c r="AU79" s="179">
        <v>33943</v>
      </c>
      <c r="AV79" s="179">
        <v>3506.04</v>
      </c>
      <c r="AW79" s="179">
        <v>1</v>
      </c>
      <c r="AX79" s="179">
        <v>14.22</v>
      </c>
      <c r="AY79" s="179">
        <v>7.03</v>
      </c>
      <c r="AZ79" s="179">
        <v>299.64999999999998</v>
      </c>
      <c r="BA79" s="179">
        <v>12</v>
      </c>
      <c r="BB79" s="179">
        <v>1079.26</v>
      </c>
    </row>
    <row r="80" spans="1:54">
      <c r="A80" s="178" t="s">
        <v>111</v>
      </c>
      <c r="B80" s="178" t="s">
        <v>2020</v>
      </c>
      <c r="C80" s="184">
        <v>0.39689999999999998</v>
      </c>
      <c r="D80" s="180">
        <v>491.96</v>
      </c>
      <c r="E80" s="180"/>
      <c r="F80" s="178">
        <v>62</v>
      </c>
      <c r="G80" s="178">
        <v>86</v>
      </c>
      <c r="H80" s="178">
        <v>79</v>
      </c>
      <c r="I80" s="179">
        <v>0.18629999999999999</v>
      </c>
      <c r="J80" s="180">
        <v>6.23</v>
      </c>
      <c r="K80" s="178">
        <v>424</v>
      </c>
      <c r="L80" s="179">
        <v>1.17E-2</v>
      </c>
      <c r="M80" s="181">
        <v>36262</v>
      </c>
      <c r="N80" s="180">
        <v>2062.9</v>
      </c>
      <c r="O80" s="180">
        <v>1.1599999999999999</v>
      </c>
      <c r="P80" s="179">
        <v>0.23849999999999999</v>
      </c>
      <c r="Q80" s="178">
        <v>4.1900000000000004</v>
      </c>
      <c r="R80" s="180">
        <v>299.85000000000002</v>
      </c>
      <c r="S80" s="178">
        <v>14</v>
      </c>
      <c r="T80" s="180">
        <v>1239.3800000000001</v>
      </c>
      <c r="U80" s="179">
        <v>0.218</v>
      </c>
      <c r="V80" s="180">
        <v>1746.99</v>
      </c>
      <c r="W80" s="178">
        <v>401</v>
      </c>
      <c r="X80" s="178">
        <v>337</v>
      </c>
      <c r="Y80" s="178">
        <v>321</v>
      </c>
      <c r="Z80" s="179">
        <v>0.20499999999999999</v>
      </c>
      <c r="AA80" s="180">
        <v>5.44</v>
      </c>
      <c r="AB80" s="181">
        <v>1566</v>
      </c>
      <c r="AC80" s="179">
        <v>1.0800000000000001E-2</v>
      </c>
      <c r="AD80" s="181">
        <v>144577</v>
      </c>
      <c r="AE80" s="180">
        <v>7795.53</v>
      </c>
      <c r="AF80" s="180">
        <v>1.1200000000000001</v>
      </c>
      <c r="AG80" s="179">
        <v>0.22409999999999999</v>
      </c>
      <c r="AH80" s="178">
        <v>4.46</v>
      </c>
      <c r="AI80" s="180">
        <v>2278.46</v>
      </c>
      <c r="AJ80" s="178">
        <v>110</v>
      </c>
      <c r="AK80" s="180">
        <v>8014.79</v>
      </c>
      <c r="AL80" s="179">
        <v>0.8206</v>
      </c>
      <c r="AM80" s="179">
        <v>-0.71840000000000004</v>
      </c>
      <c r="AN80" s="179">
        <v>-0.84540000000000004</v>
      </c>
      <c r="AO80" s="179">
        <v>-0.74480000000000002</v>
      </c>
      <c r="AP80" s="179">
        <v>-0.75390000000000001</v>
      </c>
      <c r="AQ80" s="179">
        <v>-9.1200000000000003E-2</v>
      </c>
      <c r="AR80" s="179">
        <v>0.1452</v>
      </c>
      <c r="AS80" s="179">
        <v>-0.72919999999999996</v>
      </c>
      <c r="AT80" s="179">
        <v>8.3299999999999999E-2</v>
      </c>
      <c r="AU80" s="179">
        <v>-0.74919999999999998</v>
      </c>
      <c r="AV80" s="179">
        <v>-0.73540000000000005</v>
      </c>
      <c r="AW80" s="179">
        <v>3.5700000000000003E-2</v>
      </c>
      <c r="AX80" s="179">
        <v>6.4299999999999996E-2</v>
      </c>
      <c r="AY80" s="179">
        <v>-6.0499999999999998E-2</v>
      </c>
      <c r="AZ80" s="179">
        <v>-0.86839999999999995</v>
      </c>
      <c r="BA80" s="179">
        <v>-0.87270000000000003</v>
      </c>
      <c r="BB80" s="179">
        <v>-0.84540000000000004</v>
      </c>
    </row>
    <row r="81" spans="1:54">
      <c r="A81" s="178" t="s">
        <v>423</v>
      </c>
      <c r="B81" s="178" t="s">
        <v>422</v>
      </c>
      <c r="C81" s="184">
        <v>0.21379999999999999</v>
      </c>
      <c r="D81" s="180">
        <v>421.96</v>
      </c>
      <c r="E81" s="180"/>
      <c r="F81" s="178">
        <v>79</v>
      </c>
      <c r="G81" s="178">
        <v>112</v>
      </c>
      <c r="H81" s="178">
        <v>107</v>
      </c>
      <c r="I81" s="179">
        <v>0.23780000000000001</v>
      </c>
      <c r="J81" s="180">
        <v>3.94</v>
      </c>
      <c r="K81" s="178">
        <v>450</v>
      </c>
      <c r="L81" s="179">
        <v>9.4000000000000004E-3</v>
      </c>
      <c r="M81" s="181">
        <v>47695</v>
      </c>
      <c r="N81" s="180">
        <v>3276.45</v>
      </c>
      <c r="O81" s="180">
        <v>0.94</v>
      </c>
      <c r="P81" s="179">
        <v>0.1288</v>
      </c>
      <c r="Q81" s="178">
        <v>7.76</v>
      </c>
      <c r="R81" s="180">
        <v>674.48</v>
      </c>
      <c r="S81" s="178">
        <v>27</v>
      </c>
      <c r="T81" s="180">
        <v>1973.96</v>
      </c>
      <c r="U81" s="182" t="s">
        <v>1947</v>
      </c>
      <c r="V81" s="180">
        <v>0</v>
      </c>
      <c r="W81" s="182" t="s">
        <v>1947</v>
      </c>
      <c r="X81" s="182" t="s">
        <v>1947</v>
      </c>
      <c r="Y81" s="182" t="s">
        <v>1947</v>
      </c>
      <c r="Z81" s="182" t="s">
        <v>1947</v>
      </c>
      <c r="AA81" s="180">
        <v>0</v>
      </c>
      <c r="AB81" s="182" t="s">
        <v>1947</v>
      </c>
      <c r="AC81" s="182" t="s">
        <v>1947</v>
      </c>
      <c r="AD81" s="182" t="s">
        <v>1947</v>
      </c>
      <c r="AE81" s="180">
        <v>0</v>
      </c>
      <c r="AF81" s="180">
        <v>0</v>
      </c>
      <c r="AG81" s="182" t="s">
        <v>1947</v>
      </c>
      <c r="AH81" s="182" t="s">
        <v>1947</v>
      </c>
      <c r="AI81" s="180">
        <v>0</v>
      </c>
      <c r="AJ81" s="182" t="s">
        <v>1947</v>
      </c>
      <c r="AK81" s="180">
        <v>0</v>
      </c>
      <c r="AL81" s="179">
        <v>21.38</v>
      </c>
      <c r="AM81" s="179">
        <v>421.96</v>
      </c>
      <c r="AN81" s="179">
        <v>79</v>
      </c>
      <c r="AO81" s="179">
        <v>112</v>
      </c>
      <c r="AP81" s="179">
        <v>107</v>
      </c>
      <c r="AQ81" s="179">
        <v>23.78</v>
      </c>
      <c r="AR81" s="179">
        <v>3.94</v>
      </c>
      <c r="AS81" s="179">
        <v>450</v>
      </c>
      <c r="AT81" s="179">
        <v>0.94</v>
      </c>
      <c r="AU81" s="179">
        <v>47695</v>
      </c>
      <c r="AV81" s="179">
        <v>3276.45</v>
      </c>
      <c r="AW81" s="179">
        <v>0.94</v>
      </c>
      <c r="AX81" s="179">
        <v>12.88</v>
      </c>
      <c r="AY81" s="179">
        <v>7.76</v>
      </c>
      <c r="AZ81" s="179">
        <v>674.48</v>
      </c>
      <c r="BA81" s="179">
        <v>27</v>
      </c>
      <c r="BB81" s="179">
        <v>1973.96</v>
      </c>
    </row>
    <row r="82" spans="1:54">
      <c r="A82" s="178" t="s">
        <v>1344</v>
      </c>
      <c r="B82" s="178" t="s">
        <v>2021</v>
      </c>
      <c r="C82" s="184">
        <v>0.2863</v>
      </c>
      <c r="D82" s="180">
        <v>413.53</v>
      </c>
      <c r="E82" s="180"/>
      <c r="F82" s="178">
        <v>70</v>
      </c>
      <c r="G82" s="178">
        <v>91</v>
      </c>
      <c r="H82" s="178">
        <v>85</v>
      </c>
      <c r="I82" s="179">
        <v>0.25069999999999998</v>
      </c>
      <c r="J82" s="180">
        <v>4.87</v>
      </c>
      <c r="K82" s="178">
        <v>339</v>
      </c>
      <c r="L82" s="179">
        <v>6.7999999999999996E-3</v>
      </c>
      <c r="M82" s="181">
        <v>49780</v>
      </c>
      <c r="N82" s="180">
        <v>1837.96</v>
      </c>
      <c r="O82" s="180">
        <v>1.22</v>
      </c>
      <c r="P82" s="179">
        <v>0.22500000000000001</v>
      </c>
      <c r="Q82" s="178">
        <v>4.4400000000000004</v>
      </c>
      <c r="R82" s="180">
        <v>590.44000000000005</v>
      </c>
      <c r="S82" s="178">
        <v>29</v>
      </c>
      <c r="T82" s="180">
        <v>1444.55</v>
      </c>
      <c r="U82" s="179">
        <v>0.24790000000000001</v>
      </c>
      <c r="V82" s="180">
        <v>482.47</v>
      </c>
      <c r="W82" s="178">
        <v>90</v>
      </c>
      <c r="X82" s="178">
        <v>68</v>
      </c>
      <c r="Y82" s="178">
        <v>66</v>
      </c>
      <c r="Z82" s="179">
        <v>0.16969999999999999</v>
      </c>
      <c r="AA82" s="180">
        <v>7.31</v>
      </c>
      <c r="AB82" s="178">
        <v>389</v>
      </c>
      <c r="AC82" s="179">
        <v>8.6999999999999994E-3</v>
      </c>
      <c r="AD82" s="181">
        <v>44710</v>
      </c>
      <c r="AE82" s="180">
        <v>1368.3</v>
      </c>
      <c r="AF82" s="180">
        <v>1.24</v>
      </c>
      <c r="AG82" s="179">
        <v>0.35260000000000002</v>
      </c>
      <c r="AH82" s="178">
        <v>2.84</v>
      </c>
      <c r="AI82" s="180">
        <v>547.72</v>
      </c>
      <c r="AJ82" s="178">
        <v>27</v>
      </c>
      <c r="AK82" s="180">
        <v>1946.1</v>
      </c>
      <c r="AL82" s="179">
        <v>0.15490000000000001</v>
      </c>
      <c r="AM82" s="179">
        <v>-0.1429</v>
      </c>
      <c r="AN82" s="179">
        <v>-0.22220000000000001</v>
      </c>
      <c r="AO82" s="179">
        <v>0.3382</v>
      </c>
      <c r="AP82" s="179">
        <v>0.28789999999999999</v>
      </c>
      <c r="AQ82" s="179">
        <v>0.4773</v>
      </c>
      <c r="AR82" s="179">
        <v>-0.33379999999999999</v>
      </c>
      <c r="AS82" s="179">
        <v>-0.1285</v>
      </c>
      <c r="AT82" s="179">
        <v>-0.21840000000000001</v>
      </c>
      <c r="AU82" s="179">
        <v>0.1134</v>
      </c>
      <c r="AV82" s="179">
        <v>0.34320000000000001</v>
      </c>
      <c r="AW82" s="179">
        <v>-1.61E-2</v>
      </c>
      <c r="AX82" s="179">
        <v>-0.3619</v>
      </c>
      <c r="AY82" s="179">
        <v>0.56340000000000001</v>
      </c>
      <c r="AZ82" s="179">
        <v>7.8E-2</v>
      </c>
      <c r="BA82" s="179">
        <v>7.4099999999999999E-2</v>
      </c>
      <c r="BB82" s="179">
        <v>-0.25769999999999998</v>
      </c>
    </row>
    <row r="83" spans="1:54">
      <c r="A83" s="178" t="s">
        <v>192</v>
      </c>
      <c r="B83" s="178" t="s">
        <v>2022</v>
      </c>
      <c r="C83" s="184">
        <v>0.16850000000000001</v>
      </c>
      <c r="D83" s="180">
        <v>412.18</v>
      </c>
      <c r="E83" s="180"/>
      <c r="F83" s="178">
        <v>190</v>
      </c>
      <c r="G83" s="178">
        <v>59</v>
      </c>
      <c r="H83" s="178">
        <v>55</v>
      </c>
      <c r="I83" s="179">
        <v>0.21149999999999999</v>
      </c>
      <c r="J83" s="180">
        <v>7.49</v>
      </c>
      <c r="K83" s="178">
        <v>260</v>
      </c>
      <c r="L83" s="179">
        <v>7.4000000000000003E-3</v>
      </c>
      <c r="M83" s="181">
        <v>35144</v>
      </c>
      <c r="N83" s="180">
        <v>930.79</v>
      </c>
      <c r="O83" s="180">
        <v>1.59</v>
      </c>
      <c r="P83" s="184">
        <v>0.44280000000000003</v>
      </c>
      <c r="Q83" s="178">
        <v>2.2599999999999998</v>
      </c>
      <c r="R83" s="180">
        <v>538.95000000000005</v>
      </c>
      <c r="S83" s="178">
        <v>40</v>
      </c>
      <c r="T83" s="180">
        <v>2446.39</v>
      </c>
      <c r="U83" s="179">
        <v>0.2228</v>
      </c>
      <c r="V83" s="180">
        <v>703.3</v>
      </c>
      <c r="W83" s="178">
        <v>316</v>
      </c>
      <c r="X83" s="178">
        <v>94</v>
      </c>
      <c r="Y83" s="178">
        <v>84</v>
      </c>
      <c r="Z83" s="179">
        <v>0.18140000000000001</v>
      </c>
      <c r="AA83" s="180">
        <v>8.3699999999999992</v>
      </c>
      <c r="AB83" s="178">
        <v>463</v>
      </c>
      <c r="AC83" s="179">
        <v>8.9999999999999993E-3</v>
      </c>
      <c r="AD83" s="181">
        <v>51291</v>
      </c>
      <c r="AE83" s="180">
        <v>1254.4100000000001</v>
      </c>
      <c r="AF83" s="180">
        <v>1.52</v>
      </c>
      <c r="AG83" s="179">
        <v>0.56069999999999998</v>
      </c>
      <c r="AH83" s="178">
        <v>1.78</v>
      </c>
      <c r="AI83" s="180">
        <v>649.25</v>
      </c>
      <c r="AJ83" s="178">
        <v>59</v>
      </c>
      <c r="AK83" s="180">
        <v>3156.44</v>
      </c>
      <c r="AL83" s="179">
        <v>-0.2437</v>
      </c>
      <c r="AM83" s="179">
        <v>-0.41389999999999999</v>
      </c>
      <c r="AN83" s="179">
        <v>-0.3987</v>
      </c>
      <c r="AO83" s="179">
        <v>-0.37230000000000002</v>
      </c>
      <c r="AP83" s="179">
        <v>-0.34520000000000001</v>
      </c>
      <c r="AQ83" s="179">
        <v>0.16589999999999999</v>
      </c>
      <c r="AR83" s="179">
        <v>-0.1051</v>
      </c>
      <c r="AS83" s="179">
        <v>-0.43840000000000001</v>
      </c>
      <c r="AT83" s="179">
        <v>-0.17780000000000001</v>
      </c>
      <c r="AU83" s="179">
        <v>-0.31480000000000002</v>
      </c>
      <c r="AV83" s="179">
        <v>-0.25800000000000001</v>
      </c>
      <c r="AW83" s="179">
        <v>4.6100000000000002E-2</v>
      </c>
      <c r="AX83" s="179">
        <v>-0.21029999999999999</v>
      </c>
      <c r="AY83" s="179">
        <v>0.2697</v>
      </c>
      <c r="AZ83" s="179">
        <v>-0.1699</v>
      </c>
      <c r="BA83" s="179">
        <v>-0.32200000000000001</v>
      </c>
      <c r="BB83" s="179">
        <v>-0.22500000000000001</v>
      </c>
    </row>
    <row r="84" spans="1:54">
      <c r="A84" s="178" t="s">
        <v>1047</v>
      </c>
      <c r="B84" s="178" t="s">
        <v>2023</v>
      </c>
      <c r="C84" s="184">
        <v>0.38040000000000002</v>
      </c>
      <c r="D84" s="180">
        <v>410.59</v>
      </c>
      <c r="E84" s="180"/>
      <c r="F84" s="178">
        <v>54</v>
      </c>
      <c r="G84" s="178">
        <v>52</v>
      </c>
      <c r="H84" s="178">
        <v>49</v>
      </c>
      <c r="I84" s="179">
        <v>0.1361</v>
      </c>
      <c r="J84" s="180">
        <v>8.3800000000000008</v>
      </c>
      <c r="K84" s="178">
        <v>360</v>
      </c>
      <c r="L84" s="179">
        <v>1.29E-2</v>
      </c>
      <c r="M84" s="181">
        <v>27898</v>
      </c>
      <c r="N84" s="180">
        <v>1097.0899999999999</v>
      </c>
      <c r="O84" s="180">
        <v>1.1399999999999999</v>
      </c>
      <c r="P84" s="184">
        <v>0.37430000000000002</v>
      </c>
      <c r="Q84" s="178">
        <v>2.67</v>
      </c>
      <c r="R84" s="180">
        <v>439.78</v>
      </c>
      <c r="S84" s="178">
        <v>20</v>
      </c>
      <c r="T84" s="180">
        <v>1079.46</v>
      </c>
      <c r="U84" s="179">
        <v>1.1540999999999999</v>
      </c>
      <c r="V84" s="180">
        <v>46.14</v>
      </c>
      <c r="W84" s="178">
        <v>2</v>
      </c>
      <c r="X84" s="178">
        <v>2</v>
      </c>
      <c r="Y84" s="178">
        <v>2</v>
      </c>
      <c r="Z84" s="179">
        <v>4.8800000000000003E-2</v>
      </c>
      <c r="AA84" s="180">
        <v>23.07</v>
      </c>
      <c r="AB84" s="178">
        <v>41</v>
      </c>
      <c r="AC84" s="179">
        <v>9.9000000000000008E-3</v>
      </c>
      <c r="AD84" s="181">
        <v>4156</v>
      </c>
      <c r="AE84" s="180">
        <v>46.98</v>
      </c>
      <c r="AF84" s="180">
        <v>1.1299999999999999</v>
      </c>
      <c r="AG84" s="179">
        <v>0.98209999999999997</v>
      </c>
      <c r="AH84" s="178">
        <v>1.02</v>
      </c>
      <c r="AI84" s="180">
        <v>19.989999999999998</v>
      </c>
      <c r="AJ84" s="178">
        <v>1</v>
      </c>
      <c r="AK84" s="180">
        <v>39.979999999999997</v>
      </c>
      <c r="AL84" s="179">
        <v>-0.6704</v>
      </c>
      <c r="AM84" s="179">
        <v>7.8987999999999996</v>
      </c>
      <c r="AN84" s="179">
        <v>26</v>
      </c>
      <c r="AO84" s="179">
        <v>25</v>
      </c>
      <c r="AP84" s="179">
        <v>23.5</v>
      </c>
      <c r="AQ84" s="179">
        <v>1.7888999999999999</v>
      </c>
      <c r="AR84" s="179">
        <v>-0.63680000000000003</v>
      </c>
      <c r="AS84" s="179">
        <v>7.7805</v>
      </c>
      <c r="AT84" s="179">
        <v>0.30299999999999999</v>
      </c>
      <c r="AU84" s="179">
        <v>5.7126999999999999</v>
      </c>
      <c r="AV84" s="179">
        <v>22.3523</v>
      </c>
      <c r="AW84" s="179">
        <v>8.8000000000000005E-3</v>
      </c>
      <c r="AX84" s="179">
        <v>-0.61890000000000001</v>
      </c>
      <c r="AY84" s="179">
        <v>1.6175999999999999</v>
      </c>
      <c r="AZ84" s="179">
        <v>21</v>
      </c>
      <c r="BA84" s="179">
        <v>19</v>
      </c>
      <c r="BB84" s="179">
        <v>26</v>
      </c>
    </row>
    <row r="85" spans="1:54">
      <c r="A85" s="178" t="s">
        <v>1382</v>
      </c>
      <c r="B85" s="178" t="s">
        <v>2024</v>
      </c>
      <c r="C85" s="184">
        <v>0.153</v>
      </c>
      <c r="D85" s="180">
        <v>243.26</v>
      </c>
      <c r="E85" s="180"/>
      <c r="F85" s="178">
        <v>36</v>
      </c>
      <c r="G85" s="178">
        <v>11</v>
      </c>
      <c r="H85" s="178">
        <v>11</v>
      </c>
      <c r="I85" s="179">
        <v>0.1236</v>
      </c>
      <c r="J85" s="180">
        <v>22.11</v>
      </c>
      <c r="K85" s="178">
        <v>89</v>
      </c>
      <c r="L85" s="179">
        <v>4.1999999999999997E-3</v>
      </c>
      <c r="M85" s="181">
        <v>21123</v>
      </c>
      <c r="N85" s="180">
        <v>274.20999999999998</v>
      </c>
      <c r="O85" s="180">
        <v>2.73</v>
      </c>
      <c r="P85" s="184">
        <v>0.8871</v>
      </c>
      <c r="Q85" s="178">
        <v>1.1299999999999999</v>
      </c>
      <c r="R85" s="180">
        <v>139.93</v>
      </c>
      <c r="S85" s="178">
        <v>7</v>
      </c>
      <c r="T85" s="180">
        <v>1589.64</v>
      </c>
      <c r="U85" s="182" t="s">
        <v>1947</v>
      </c>
      <c r="V85" s="180">
        <v>0</v>
      </c>
      <c r="W85" s="182" t="s">
        <v>1947</v>
      </c>
      <c r="X85" s="182" t="s">
        <v>1947</v>
      </c>
      <c r="Y85" s="182" t="s">
        <v>1947</v>
      </c>
      <c r="Z85" s="182" t="s">
        <v>1947</v>
      </c>
      <c r="AA85" s="180">
        <v>0</v>
      </c>
      <c r="AB85" s="182" t="s">
        <v>1947</v>
      </c>
      <c r="AC85" s="182" t="s">
        <v>1947</v>
      </c>
      <c r="AD85" s="182" t="s">
        <v>1947</v>
      </c>
      <c r="AE85" s="180">
        <v>0</v>
      </c>
      <c r="AF85" s="180">
        <v>0</v>
      </c>
      <c r="AG85" s="182" t="s">
        <v>1947</v>
      </c>
      <c r="AH85" s="182" t="s">
        <v>1947</v>
      </c>
      <c r="AI85" s="180">
        <v>0</v>
      </c>
      <c r="AJ85" s="182" t="s">
        <v>1947</v>
      </c>
      <c r="AK85" s="180">
        <v>0</v>
      </c>
      <c r="AL85" s="179">
        <v>15.3</v>
      </c>
      <c r="AM85" s="179">
        <v>243.26</v>
      </c>
      <c r="AN85" s="179">
        <v>36</v>
      </c>
      <c r="AO85" s="179">
        <v>11</v>
      </c>
      <c r="AP85" s="179">
        <v>11</v>
      </c>
      <c r="AQ85" s="179">
        <v>12.36</v>
      </c>
      <c r="AR85" s="179">
        <v>22.11</v>
      </c>
      <c r="AS85" s="179">
        <v>89</v>
      </c>
      <c r="AT85" s="179">
        <v>0.42</v>
      </c>
      <c r="AU85" s="179">
        <v>21123</v>
      </c>
      <c r="AV85" s="179">
        <v>274.20999999999998</v>
      </c>
      <c r="AW85" s="179">
        <v>2.73</v>
      </c>
      <c r="AX85" s="179">
        <v>88.71</v>
      </c>
      <c r="AY85" s="179">
        <v>1.1299999999999999</v>
      </c>
      <c r="AZ85" s="179">
        <v>139.93</v>
      </c>
      <c r="BA85" s="179">
        <v>7</v>
      </c>
      <c r="BB85" s="179">
        <v>1589.64</v>
      </c>
    </row>
    <row r="86" spans="1:54">
      <c r="A86" s="178" t="s">
        <v>105</v>
      </c>
      <c r="B86" s="178" t="s">
        <v>2025</v>
      </c>
      <c r="C86" s="184">
        <v>0.15579999999999999</v>
      </c>
      <c r="D86" s="180">
        <v>103.59</v>
      </c>
      <c r="E86" s="180"/>
      <c r="F86" s="178">
        <v>19</v>
      </c>
      <c r="G86" s="178">
        <v>25</v>
      </c>
      <c r="H86" s="178">
        <v>24</v>
      </c>
      <c r="I86" s="179">
        <v>0.2051</v>
      </c>
      <c r="J86" s="180">
        <v>4.32</v>
      </c>
      <c r="K86" s="178">
        <v>117</v>
      </c>
      <c r="L86" s="179">
        <v>1.21E-2</v>
      </c>
      <c r="M86" s="181">
        <v>9653</v>
      </c>
      <c r="N86" s="180">
        <v>722.24</v>
      </c>
      <c r="O86" s="180">
        <v>0.89</v>
      </c>
      <c r="P86" s="179">
        <v>0.1434</v>
      </c>
      <c r="Q86" s="178">
        <v>6.97</v>
      </c>
      <c r="R86" s="180">
        <v>34.99</v>
      </c>
      <c r="S86" s="178">
        <v>1</v>
      </c>
      <c r="T86" s="180">
        <v>664.81</v>
      </c>
      <c r="U86" s="179">
        <v>0.122</v>
      </c>
      <c r="V86" s="180">
        <v>1750.15</v>
      </c>
      <c r="W86" s="178">
        <v>410</v>
      </c>
      <c r="X86" s="178">
        <v>449</v>
      </c>
      <c r="Y86" s="178">
        <v>445</v>
      </c>
      <c r="Z86" s="179">
        <v>0.22009999999999999</v>
      </c>
      <c r="AA86" s="180">
        <v>3.93</v>
      </c>
      <c r="AB86" s="181">
        <v>2022</v>
      </c>
      <c r="AC86" s="179">
        <v>1.0699999999999999E-2</v>
      </c>
      <c r="AD86" s="181">
        <v>188108</v>
      </c>
      <c r="AE86" s="180">
        <v>13846.73</v>
      </c>
      <c r="AF86" s="180">
        <v>0.87</v>
      </c>
      <c r="AG86" s="179">
        <v>0.12640000000000001</v>
      </c>
      <c r="AH86" s="178">
        <v>7.91</v>
      </c>
      <c r="AI86" s="180">
        <v>1994.08</v>
      </c>
      <c r="AJ86" s="178">
        <v>57</v>
      </c>
      <c r="AK86" s="180">
        <v>14344.15</v>
      </c>
      <c r="AL86" s="179">
        <v>0.27700000000000002</v>
      </c>
      <c r="AM86" s="179">
        <v>-0.94079999999999997</v>
      </c>
      <c r="AN86" s="179">
        <v>-0.95369999999999999</v>
      </c>
      <c r="AO86" s="179">
        <v>-0.94430000000000003</v>
      </c>
      <c r="AP86" s="179">
        <v>-0.94610000000000005</v>
      </c>
      <c r="AQ86" s="179">
        <v>-6.8199999999999997E-2</v>
      </c>
      <c r="AR86" s="179">
        <v>9.9199999999999997E-2</v>
      </c>
      <c r="AS86" s="179">
        <v>-0.94210000000000005</v>
      </c>
      <c r="AT86" s="179">
        <v>0.1308</v>
      </c>
      <c r="AU86" s="179">
        <v>-0.94869999999999999</v>
      </c>
      <c r="AV86" s="179">
        <v>-0.94779999999999998</v>
      </c>
      <c r="AW86" s="179">
        <v>2.3E-2</v>
      </c>
      <c r="AX86" s="179">
        <v>0.13450000000000001</v>
      </c>
      <c r="AY86" s="179">
        <v>-0.1188</v>
      </c>
      <c r="AZ86" s="179">
        <v>-0.98250000000000004</v>
      </c>
      <c r="BA86" s="179">
        <v>-0.98250000000000004</v>
      </c>
      <c r="BB86" s="179">
        <v>-0.95369999999999999</v>
      </c>
    </row>
  </sheetData>
  <autoFilter ref="A1:BB86" xr:uid="{4B3386F3-679C-4DA8-84F4-A16904FA35D6}">
    <sortState xmlns:xlrd2="http://schemas.microsoft.com/office/spreadsheetml/2017/richdata2" ref="A2:BB86">
      <sortCondition descending="1" ref="D1"/>
    </sortState>
  </autoFilter>
  <dataValidations count="1">
    <dataValidation allowBlank="1" showInputMessage="1" showErrorMessage="1" sqref="E2" xr:uid="{68C25461-2909-4CA5-B240-AC79B9223C63}"/>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8D393-121C-43C9-AAA6-0441A3A5F821}">
  <dimension ref="A1:BD55"/>
  <sheetViews>
    <sheetView workbookViewId="0">
      <selection activeCell="B10" sqref="B10"/>
    </sheetView>
  </sheetViews>
  <sheetFormatPr defaultRowHeight="15"/>
  <cols>
    <col min="1" max="1" width="14.42578125" bestFit="1" customWidth="1"/>
    <col min="2" max="2" width="76.85546875" customWidth="1"/>
    <col min="3" max="3" width="8.7109375" bestFit="1" customWidth="1"/>
    <col min="4" max="4" width="8.7109375" customWidth="1"/>
    <col min="6" max="6" width="11.42578125" bestFit="1" customWidth="1"/>
    <col min="8" max="8" width="11.42578125" bestFit="1" customWidth="1"/>
  </cols>
  <sheetData>
    <row r="1" spans="1:56" ht="66.75">
      <c r="A1" s="177" t="s">
        <v>1869</v>
      </c>
      <c r="B1" s="177" t="s">
        <v>6</v>
      </c>
      <c r="C1" s="177" t="s">
        <v>942</v>
      </c>
      <c r="D1" s="177" t="s">
        <v>1872</v>
      </c>
      <c r="E1" s="177" t="s">
        <v>1870</v>
      </c>
      <c r="F1" s="177" t="s">
        <v>1871</v>
      </c>
      <c r="G1" s="177" t="s">
        <v>1873</v>
      </c>
      <c r="H1" s="177" t="s">
        <v>1874</v>
      </c>
      <c r="I1" s="177" t="s">
        <v>1875</v>
      </c>
      <c r="J1" s="177" t="s">
        <v>1876</v>
      </c>
      <c r="K1" s="177" t="s">
        <v>1877</v>
      </c>
      <c r="L1" s="177" t="s">
        <v>1878</v>
      </c>
      <c r="M1" s="177" t="s">
        <v>1879</v>
      </c>
      <c r="N1" s="177" t="s">
        <v>1880</v>
      </c>
      <c r="O1" s="177" t="s">
        <v>1881</v>
      </c>
      <c r="P1" s="177" t="s">
        <v>1882</v>
      </c>
      <c r="Q1" s="177" t="s">
        <v>1883</v>
      </c>
      <c r="R1" s="177" t="s">
        <v>1884</v>
      </c>
      <c r="S1" s="177" t="s">
        <v>1885</v>
      </c>
      <c r="T1" s="177" t="s">
        <v>1886</v>
      </c>
      <c r="U1" s="177" t="s">
        <v>1899</v>
      </c>
      <c r="V1" s="177" t="s">
        <v>1887</v>
      </c>
      <c r="W1" s="177" t="s">
        <v>1888</v>
      </c>
      <c r="X1" s="177" t="s">
        <v>1889</v>
      </c>
      <c r="Y1" s="177" t="s">
        <v>1890</v>
      </c>
      <c r="Z1" s="177" t="s">
        <v>1891</v>
      </c>
      <c r="AA1" s="177" t="s">
        <v>1892</v>
      </c>
      <c r="AB1" s="177" t="s">
        <v>1893</v>
      </c>
      <c r="AC1" s="177" t="s">
        <v>1894</v>
      </c>
      <c r="AD1" s="177" t="s">
        <v>1895</v>
      </c>
      <c r="AE1" s="177" t="s">
        <v>1896</v>
      </c>
      <c r="AF1" s="177" t="s">
        <v>1897</v>
      </c>
      <c r="AG1" s="177" t="s">
        <v>1898</v>
      </c>
      <c r="AH1" s="177" t="s">
        <v>1900</v>
      </c>
      <c r="AI1" s="177" t="s">
        <v>1901</v>
      </c>
      <c r="AJ1" s="177" t="s">
        <v>1902</v>
      </c>
      <c r="AK1" s="177" t="s">
        <v>1903</v>
      </c>
      <c r="AL1" s="177" t="s">
        <v>1916</v>
      </c>
      <c r="AM1" s="177" t="s">
        <v>1904</v>
      </c>
      <c r="AN1" s="177" t="s">
        <v>1905</v>
      </c>
      <c r="AO1" s="177" t="s">
        <v>1906</v>
      </c>
      <c r="AP1" s="177" t="s">
        <v>1907</v>
      </c>
      <c r="AQ1" s="177" t="s">
        <v>1908</v>
      </c>
      <c r="AR1" s="177" t="s">
        <v>1909</v>
      </c>
      <c r="AS1" s="177" t="s">
        <v>1910</v>
      </c>
      <c r="AT1" s="177" t="s">
        <v>1911</v>
      </c>
      <c r="AU1" s="177" t="s">
        <v>1912</v>
      </c>
      <c r="AV1" s="177" t="s">
        <v>1913</v>
      </c>
      <c r="AW1" s="177" t="s">
        <v>1914</v>
      </c>
      <c r="AX1" s="177" t="s">
        <v>1915</v>
      </c>
      <c r="AY1" s="177" t="s">
        <v>1917</v>
      </c>
      <c r="AZ1" s="177" t="s">
        <v>1918</v>
      </c>
      <c r="BA1" s="177" t="s">
        <v>1919</v>
      </c>
      <c r="BB1" s="177" t="s">
        <v>1920</v>
      </c>
      <c r="BC1" s="177"/>
      <c r="BD1" s="177"/>
    </row>
    <row r="2" spans="1:56">
      <c r="A2" s="186" t="s">
        <v>1309</v>
      </c>
      <c r="B2" s="186" t="s">
        <v>2026</v>
      </c>
      <c r="C2" s="179">
        <v>0.30609999999999998</v>
      </c>
      <c r="D2" s="179"/>
      <c r="E2" s="179">
        <v>6.3500000000000001E-2</v>
      </c>
      <c r="F2" s="180">
        <v>95567.78</v>
      </c>
      <c r="G2" s="181">
        <v>80909</v>
      </c>
      <c r="H2" s="181">
        <v>15938</v>
      </c>
      <c r="I2" s="181">
        <v>15062</v>
      </c>
      <c r="J2" s="179">
        <v>0.40129999999999999</v>
      </c>
      <c r="K2" s="180">
        <v>6.34</v>
      </c>
      <c r="L2" s="181">
        <v>37530</v>
      </c>
      <c r="M2" s="179">
        <v>1.5800000000000002E-2</v>
      </c>
      <c r="N2" s="181">
        <v>2380116</v>
      </c>
      <c r="O2" s="180">
        <v>312249</v>
      </c>
      <c r="P2" s="180">
        <v>2.5499999999999998</v>
      </c>
      <c r="Q2" s="178">
        <v>3.27</v>
      </c>
      <c r="R2" s="180">
        <v>248537.25</v>
      </c>
      <c r="S2" s="181">
        <v>13170</v>
      </c>
      <c r="T2" s="180">
        <v>1504287.32</v>
      </c>
      <c r="U2" s="179">
        <v>0.29199999999999998</v>
      </c>
      <c r="V2" s="179">
        <v>5.8500000000000003E-2</v>
      </c>
      <c r="W2" s="180">
        <v>81448.509999999995</v>
      </c>
      <c r="X2" s="181">
        <v>79089</v>
      </c>
      <c r="Y2" s="181">
        <v>14589</v>
      </c>
      <c r="Z2" s="181">
        <v>13797</v>
      </c>
      <c r="AA2" s="179">
        <v>0.4</v>
      </c>
      <c r="AB2" s="180">
        <v>5.9</v>
      </c>
      <c r="AC2" s="181">
        <v>34492</v>
      </c>
      <c r="AD2" s="179">
        <v>1.2800000000000001E-2</v>
      </c>
      <c r="AE2" s="181">
        <v>2692286</v>
      </c>
      <c r="AF2" s="180">
        <v>278910.03999999998</v>
      </c>
      <c r="AG2" s="180">
        <v>2.36</v>
      </c>
      <c r="AH2" s="178">
        <v>3.42</v>
      </c>
      <c r="AI2" s="180">
        <v>214626.46</v>
      </c>
      <c r="AJ2" s="181">
        <v>11768</v>
      </c>
      <c r="AK2" s="180">
        <v>1393070.6</v>
      </c>
      <c r="AL2" s="179">
        <v>4.8300000000000003E-2</v>
      </c>
      <c r="AM2" s="179">
        <v>8.5500000000000007E-2</v>
      </c>
      <c r="AN2" s="179">
        <v>0.1734</v>
      </c>
      <c r="AO2" s="179">
        <v>2.3E-2</v>
      </c>
      <c r="AP2" s="179">
        <v>9.2499999999999999E-2</v>
      </c>
      <c r="AQ2" s="179">
        <v>9.1700000000000004E-2</v>
      </c>
      <c r="AR2" s="179">
        <v>3.3E-3</v>
      </c>
      <c r="AS2" s="179">
        <v>7.46E-2</v>
      </c>
      <c r="AT2" s="179">
        <v>8.8099999999999998E-2</v>
      </c>
      <c r="AU2" s="179">
        <v>0.2344</v>
      </c>
      <c r="AV2" s="179">
        <v>-0.1159</v>
      </c>
      <c r="AW2" s="179">
        <v>0.1195</v>
      </c>
      <c r="AX2" s="179">
        <v>8.0500000000000002E-2</v>
      </c>
      <c r="AY2" s="179">
        <v>-4.3900000000000002E-2</v>
      </c>
      <c r="AZ2" s="179">
        <v>0.158</v>
      </c>
      <c r="BA2" s="179">
        <v>0.1191</v>
      </c>
      <c r="BB2" s="179">
        <v>7.9799999999999996E-2</v>
      </c>
      <c r="BC2" s="179"/>
      <c r="BD2" s="179"/>
    </row>
    <row r="3" spans="1:56">
      <c r="A3" s="186" t="s">
        <v>953</v>
      </c>
      <c r="B3" s="186" t="s">
        <v>2027</v>
      </c>
      <c r="C3" s="179">
        <v>0.38519999999999999</v>
      </c>
      <c r="D3" s="179"/>
      <c r="E3" s="179">
        <v>0.13869999999999999</v>
      </c>
      <c r="F3" s="180">
        <v>4427.54</v>
      </c>
      <c r="G3" s="181">
        <v>1333</v>
      </c>
      <c r="H3" s="178">
        <v>466</v>
      </c>
      <c r="I3" s="178">
        <v>444</v>
      </c>
      <c r="J3" s="179">
        <v>0.14360000000000001</v>
      </c>
      <c r="K3" s="180">
        <v>9.9700000000000006</v>
      </c>
      <c r="L3" s="181">
        <v>3092</v>
      </c>
      <c r="M3" s="179">
        <v>5.3E-3</v>
      </c>
      <c r="N3" s="181">
        <v>586704</v>
      </c>
      <c r="O3" s="180">
        <v>11493.28</v>
      </c>
      <c r="P3" s="180">
        <v>1.43</v>
      </c>
      <c r="Q3" s="178">
        <v>2.6</v>
      </c>
      <c r="R3" s="180">
        <v>7973.91</v>
      </c>
      <c r="S3" s="178">
        <v>320</v>
      </c>
      <c r="T3" s="180">
        <v>31920.55</v>
      </c>
      <c r="U3" s="179">
        <v>0.27139999999999997</v>
      </c>
      <c r="V3" s="179">
        <v>6.8000000000000005E-2</v>
      </c>
      <c r="W3" s="180">
        <v>3439.01</v>
      </c>
      <c r="X3" s="181">
        <v>2801</v>
      </c>
      <c r="Y3" s="178">
        <v>627</v>
      </c>
      <c r="Z3" s="178">
        <v>541</v>
      </c>
      <c r="AA3" s="179">
        <v>0.22420000000000001</v>
      </c>
      <c r="AB3" s="180">
        <v>6.36</v>
      </c>
      <c r="AC3" s="181">
        <v>2413</v>
      </c>
      <c r="AD3" s="179">
        <v>2.0999999999999999E-3</v>
      </c>
      <c r="AE3" s="181">
        <v>1168797</v>
      </c>
      <c r="AF3" s="180">
        <v>12671.15</v>
      </c>
      <c r="AG3" s="180">
        <v>1.43</v>
      </c>
      <c r="AH3" s="178">
        <v>3.68</v>
      </c>
      <c r="AI3" s="180">
        <v>8668.69</v>
      </c>
      <c r="AJ3" s="178">
        <v>407</v>
      </c>
      <c r="AK3" s="180">
        <v>50603.86</v>
      </c>
      <c r="AL3" s="179">
        <v>0.41930000000000001</v>
      </c>
      <c r="AM3" s="179">
        <v>1.0397000000000001</v>
      </c>
      <c r="AN3" s="179">
        <v>0.28739999999999999</v>
      </c>
      <c r="AO3" s="179">
        <v>-0.52410000000000001</v>
      </c>
      <c r="AP3" s="179">
        <v>-0.25679999999999997</v>
      </c>
      <c r="AQ3" s="179">
        <v>-0.17929999999999999</v>
      </c>
      <c r="AR3" s="179">
        <v>-0.35949999999999999</v>
      </c>
      <c r="AS3" s="179">
        <v>0.56759999999999999</v>
      </c>
      <c r="AT3" s="179">
        <v>0.28139999999999998</v>
      </c>
      <c r="AU3" s="179">
        <v>1.5238</v>
      </c>
      <c r="AV3" s="179">
        <v>-0.498</v>
      </c>
      <c r="AW3" s="179">
        <v>-9.2999999999999999E-2</v>
      </c>
      <c r="AX3" s="179">
        <v>0</v>
      </c>
      <c r="AY3" s="179">
        <v>-0.29349999999999998</v>
      </c>
      <c r="AZ3" s="179">
        <v>-8.0100000000000005E-2</v>
      </c>
      <c r="BA3" s="179">
        <v>-0.21379999999999999</v>
      </c>
      <c r="BB3" s="179">
        <v>-0.36919999999999997</v>
      </c>
      <c r="BC3" s="179"/>
      <c r="BD3" s="179"/>
    </row>
    <row r="4" spans="1:56">
      <c r="A4" s="186" t="s">
        <v>1404</v>
      </c>
      <c r="B4" s="186" t="s">
        <v>2028</v>
      </c>
      <c r="C4" s="179">
        <v>0.37930000000000003</v>
      </c>
      <c r="D4" s="179"/>
      <c r="E4" s="179">
        <v>0.121</v>
      </c>
      <c r="F4" s="180">
        <v>3025.22</v>
      </c>
      <c r="G4" s="181">
        <v>1251</v>
      </c>
      <c r="H4" s="178">
        <v>381</v>
      </c>
      <c r="I4" s="178">
        <v>364</v>
      </c>
      <c r="J4" s="179">
        <v>0.1583</v>
      </c>
      <c r="K4" s="180">
        <v>8.31</v>
      </c>
      <c r="L4" s="181">
        <v>2300</v>
      </c>
      <c r="M4" s="179">
        <v>5.7999999999999996E-3</v>
      </c>
      <c r="N4" s="181">
        <v>394005</v>
      </c>
      <c r="O4" s="180">
        <v>7975.6</v>
      </c>
      <c r="P4" s="180">
        <v>1.32</v>
      </c>
      <c r="Q4" s="178">
        <v>2.64</v>
      </c>
      <c r="R4" s="180">
        <v>6576.11</v>
      </c>
      <c r="S4" s="178">
        <v>313</v>
      </c>
      <c r="T4" s="180">
        <v>25003.09</v>
      </c>
      <c r="U4" s="179">
        <v>0.38550000000000001</v>
      </c>
      <c r="V4" s="179">
        <v>0.15129999999999999</v>
      </c>
      <c r="W4" s="180">
        <v>3859.71</v>
      </c>
      <c r="X4" s="181">
        <v>1276</v>
      </c>
      <c r="Y4" s="178">
        <v>476</v>
      </c>
      <c r="Z4" s="178">
        <v>465</v>
      </c>
      <c r="AA4" s="179">
        <v>0.15490000000000001</v>
      </c>
      <c r="AB4" s="180">
        <v>8.3000000000000007</v>
      </c>
      <c r="AC4" s="181">
        <v>3001</v>
      </c>
      <c r="AD4" s="179">
        <v>5.8999999999999999E-3</v>
      </c>
      <c r="AE4" s="181">
        <v>511529</v>
      </c>
      <c r="AF4" s="180">
        <v>10011.68</v>
      </c>
      <c r="AG4" s="180">
        <v>1.29</v>
      </c>
      <c r="AH4" s="178">
        <v>2.59</v>
      </c>
      <c r="AI4" s="180">
        <v>7615.19</v>
      </c>
      <c r="AJ4" s="178">
        <v>371</v>
      </c>
      <c r="AK4" s="180">
        <v>25504.240000000002</v>
      </c>
      <c r="AL4" s="179">
        <v>-1.61E-2</v>
      </c>
      <c r="AM4" s="179">
        <v>-0.20030000000000001</v>
      </c>
      <c r="AN4" s="179">
        <v>-0.2162</v>
      </c>
      <c r="AO4" s="179">
        <v>-1.9599999999999999E-2</v>
      </c>
      <c r="AP4" s="179">
        <v>-0.1996</v>
      </c>
      <c r="AQ4" s="179">
        <v>-0.2172</v>
      </c>
      <c r="AR4" s="179">
        <v>2.1899999999999999E-2</v>
      </c>
      <c r="AS4" s="179">
        <v>1.1999999999999999E-3</v>
      </c>
      <c r="AT4" s="179">
        <v>-0.2336</v>
      </c>
      <c r="AU4" s="179">
        <v>-1.6899999999999998E-2</v>
      </c>
      <c r="AV4" s="179">
        <v>-0.2298</v>
      </c>
      <c r="AW4" s="179">
        <v>-0.2034</v>
      </c>
      <c r="AX4" s="179">
        <v>2.3300000000000001E-2</v>
      </c>
      <c r="AY4" s="179">
        <v>1.9300000000000001E-2</v>
      </c>
      <c r="AZ4" s="179">
        <v>-0.13639999999999999</v>
      </c>
      <c r="BA4" s="179">
        <v>-0.15629999999999999</v>
      </c>
      <c r="BB4" s="179">
        <v>-1.9599999999999999E-2</v>
      </c>
      <c r="BC4" s="179"/>
      <c r="BD4" s="179"/>
    </row>
    <row r="5" spans="1:56">
      <c r="A5" s="186" t="s">
        <v>1474</v>
      </c>
      <c r="B5" s="186" t="s">
        <v>2029</v>
      </c>
      <c r="C5" s="179">
        <v>0.34799999999999998</v>
      </c>
      <c r="D5" s="179"/>
      <c r="E5" s="179">
        <v>0.1196</v>
      </c>
      <c r="F5" s="180">
        <v>2889.78</v>
      </c>
      <c r="G5" s="181">
        <v>1386</v>
      </c>
      <c r="H5" s="178">
        <v>462</v>
      </c>
      <c r="I5" s="178">
        <v>430</v>
      </c>
      <c r="J5" s="179">
        <v>0.25340000000000001</v>
      </c>
      <c r="K5" s="180">
        <v>6.72</v>
      </c>
      <c r="L5" s="181">
        <v>1697</v>
      </c>
      <c r="M5" s="179">
        <v>5.5999999999999999E-3</v>
      </c>
      <c r="N5" s="181">
        <v>303669</v>
      </c>
      <c r="O5" s="180">
        <v>8304.4699999999993</v>
      </c>
      <c r="P5" s="180">
        <v>1.7</v>
      </c>
      <c r="Q5" s="178">
        <v>2.87</v>
      </c>
      <c r="R5" s="180">
        <v>5880.33</v>
      </c>
      <c r="S5" s="178">
        <v>318</v>
      </c>
      <c r="T5" s="180">
        <v>24168.54</v>
      </c>
      <c r="U5" s="179">
        <v>0.27039999999999997</v>
      </c>
      <c r="V5" s="179">
        <v>7.1499999999999994E-2</v>
      </c>
      <c r="W5" s="180">
        <v>1505.44</v>
      </c>
      <c r="X5" s="181">
        <v>1054</v>
      </c>
      <c r="Y5" s="178">
        <v>255</v>
      </c>
      <c r="Z5" s="178">
        <v>225</v>
      </c>
      <c r="AA5" s="179">
        <v>0.24809999999999999</v>
      </c>
      <c r="AB5" s="180">
        <v>6.69</v>
      </c>
      <c r="AC5" s="178">
        <v>907</v>
      </c>
      <c r="AD5" s="179">
        <v>1.6199999999999999E-2</v>
      </c>
      <c r="AE5" s="181">
        <v>55848</v>
      </c>
      <c r="AF5" s="180">
        <v>5567.86</v>
      </c>
      <c r="AG5" s="180">
        <v>1.66</v>
      </c>
      <c r="AH5" s="178">
        <v>3.7</v>
      </c>
      <c r="AI5" s="180">
        <v>3298.15</v>
      </c>
      <c r="AJ5" s="178">
        <v>157</v>
      </c>
      <c r="AK5" s="180">
        <v>21066.86</v>
      </c>
      <c r="AL5" s="179">
        <v>0.28699999999999998</v>
      </c>
      <c r="AM5" s="179">
        <v>0.67269999999999996</v>
      </c>
      <c r="AN5" s="179">
        <v>0.91959999999999997</v>
      </c>
      <c r="AO5" s="179">
        <v>0.315</v>
      </c>
      <c r="AP5" s="179">
        <v>0.81179999999999997</v>
      </c>
      <c r="AQ5" s="179">
        <v>0.91110000000000002</v>
      </c>
      <c r="AR5" s="179">
        <v>2.1399999999999999E-2</v>
      </c>
      <c r="AS5" s="179">
        <v>4.4999999999999997E-3</v>
      </c>
      <c r="AT5" s="179">
        <v>0.871</v>
      </c>
      <c r="AU5" s="179">
        <v>-0.65429999999999999</v>
      </c>
      <c r="AV5" s="179">
        <v>4.4374000000000002</v>
      </c>
      <c r="AW5" s="179">
        <v>0.49149999999999999</v>
      </c>
      <c r="AX5" s="179">
        <v>2.41E-2</v>
      </c>
      <c r="AY5" s="179">
        <v>-0.2243</v>
      </c>
      <c r="AZ5" s="179">
        <v>0.78290000000000004</v>
      </c>
      <c r="BA5" s="179">
        <v>1.0255000000000001</v>
      </c>
      <c r="BB5" s="179">
        <v>0.1472</v>
      </c>
      <c r="BC5" s="179"/>
      <c r="BD5" s="179"/>
    </row>
    <row r="6" spans="1:56">
      <c r="A6" s="186" t="s">
        <v>1557</v>
      </c>
      <c r="B6" s="186" t="s">
        <v>2030</v>
      </c>
      <c r="C6" s="179">
        <v>0.31730000000000003</v>
      </c>
      <c r="D6" s="179"/>
      <c r="E6" s="179">
        <v>8.8800000000000004E-2</v>
      </c>
      <c r="F6" s="180">
        <v>2883.67</v>
      </c>
      <c r="G6" s="181">
        <v>1736</v>
      </c>
      <c r="H6" s="178">
        <v>452</v>
      </c>
      <c r="I6" s="178">
        <v>416</v>
      </c>
      <c r="J6" s="179">
        <v>0.15340000000000001</v>
      </c>
      <c r="K6" s="180">
        <v>6.93</v>
      </c>
      <c r="L6" s="181">
        <v>2712</v>
      </c>
      <c r="M6" s="179">
        <v>8.0000000000000002E-3</v>
      </c>
      <c r="N6" s="181">
        <v>339094</v>
      </c>
      <c r="O6" s="180">
        <v>9087.9599999999991</v>
      </c>
      <c r="P6" s="180">
        <v>1.06</v>
      </c>
      <c r="Q6" s="178">
        <v>3.15</v>
      </c>
      <c r="R6" s="180">
        <v>6165.86</v>
      </c>
      <c r="S6" s="178">
        <v>308</v>
      </c>
      <c r="T6" s="180">
        <v>32468.240000000002</v>
      </c>
      <c r="U6" s="179">
        <v>0.25729999999999997</v>
      </c>
      <c r="V6" s="179">
        <v>9.9000000000000005E-2</v>
      </c>
      <c r="W6" s="180">
        <v>1663.64</v>
      </c>
      <c r="X6" s="178">
        <v>841</v>
      </c>
      <c r="Y6" s="178">
        <v>299</v>
      </c>
      <c r="Z6" s="178">
        <v>251</v>
      </c>
      <c r="AA6" s="179">
        <v>0.21529999999999999</v>
      </c>
      <c r="AB6" s="180">
        <v>6.63</v>
      </c>
      <c r="AC6" s="181">
        <v>1166</v>
      </c>
      <c r="AD6" s="179">
        <v>1.0999999999999999E-2</v>
      </c>
      <c r="AE6" s="181">
        <v>105903</v>
      </c>
      <c r="AF6" s="180">
        <v>6464.7</v>
      </c>
      <c r="AG6" s="180">
        <v>1.43</v>
      </c>
      <c r="AH6" s="178">
        <v>3.89</v>
      </c>
      <c r="AI6" s="180">
        <v>3216.79</v>
      </c>
      <c r="AJ6" s="178">
        <v>145</v>
      </c>
      <c r="AK6" s="180">
        <v>16807.150000000001</v>
      </c>
      <c r="AL6" s="179">
        <v>0.23319999999999999</v>
      </c>
      <c r="AM6" s="179">
        <v>-0.10299999999999999</v>
      </c>
      <c r="AN6" s="179">
        <v>0.73329999999999995</v>
      </c>
      <c r="AO6" s="179">
        <v>1.0642</v>
      </c>
      <c r="AP6" s="179">
        <v>0.51170000000000004</v>
      </c>
      <c r="AQ6" s="179">
        <v>0.65739999999999998</v>
      </c>
      <c r="AR6" s="179">
        <v>-0.28749999999999998</v>
      </c>
      <c r="AS6" s="179">
        <v>4.5199999999999997E-2</v>
      </c>
      <c r="AT6" s="179">
        <v>1.3259000000000001</v>
      </c>
      <c r="AU6" s="179">
        <v>-0.2727</v>
      </c>
      <c r="AV6" s="179">
        <v>2.2019000000000002</v>
      </c>
      <c r="AW6" s="179">
        <v>0.40579999999999999</v>
      </c>
      <c r="AX6" s="179">
        <v>-0.25869999999999999</v>
      </c>
      <c r="AY6" s="179">
        <v>-0.19020000000000001</v>
      </c>
      <c r="AZ6" s="179">
        <v>0.91679999999999995</v>
      </c>
      <c r="BA6" s="179">
        <v>1.1241000000000001</v>
      </c>
      <c r="BB6" s="179">
        <v>0.93179999999999996</v>
      </c>
      <c r="BC6" s="179"/>
      <c r="BD6" s="179"/>
    </row>
    <row r="7" spans="1:56">
      <c r="A7" s="186" t="s">
        <v>1041</v>
      </c>
      <c r="B7" s="186" t="s">
        <v>1925</v>
      </c>
      <c r="C7" s="179">
        <v>0.42759999999999998</v>
      </c>
      <c r="D7" s="179"/>
      <c r="E7" s="179">
        <v>0.2646</v>
      </c>
      <c r="F7" s="180">
        <v>2653.1</v>
      </c>
      <c r="G7" s="178">
        <v>486</v>
      </c>
      <c r="H7" s="178">
        <v>272</v>
      </c>
      <c r="I7" s="178">
        <v>257</v>
      </c>
      <c r="J7" s="179">
        <v>0.17749999999999999</v>
      </c>
      <c r="K7" s="180">
        <v>10.32</v>
      </c>
      <c r="L7" s="181">
        <v>1448</v>
      </c>
      <c r="M7" s="179">
        <v>9.4999999999999998E-3</v>
      </c>
      <c r="N7" s="181">
        <v>152454</v>
      </c>
      <c r="O7" s="180">
        <v>6204.65</v>
      </c>
      <c r="P7" s="180">
        <v>1.83</v>
      </c>
      <c r="Q7" s="178">
        <v>2.34</v>
      </c>
      <c r="R7" s="180">
        <v>3676.29</v>
      </c>
      <c r="S7" s="178">
        <v>162</v>
      </c>
      <c r="T7" s="180">
        <v>10027.14</v>
      </c>
      <c r="U7" s="179">
        <v>0.39389999999999997</v>
      </c>
      <c r="V7" s="179">
        <v>0.16719999999999999</v>
      </c>
      <c r="W7" s="180">
        <v>1643.45</v>
      </c>
      <c r="X7" s="178">
        <v>501</v>
      </c>
      <c r="Y7" s="178">
        <v>207</v>
      </c>
      <c r="Z7" s="178">
        <v>202</v>
      </c>
      <c r="AA7" s="179">
        <v>0.1986</v>
      </c>
      <c r="AB7" s="180">
        <v>8.14</v>
      </c>
      <c r="AC7" s="181">
        <v>1017</v>
      </c>
      <c r="AD7" s="179">
        <v>8.9999999999999998E-4</v>
      </c>
      <c r="AE7" s="181">
        <v>1096306</v>
      </c>
      <c r="AF7" s="180">
        <v>4172.1099999999997</v>
      </c>
      <c r="AG7" s="180">
        <v>1.62</v>
      </c>
      <c r="AH7" s="178">
        <v>2.54</v>
      </c>
      <c r="AI7" s="180">
        <v>2451.54</v>
      </c>
      <c r="AJ7" s="178">
        <v>123</v>
      </c>
      <c r="AK7" s="180">
        <v>9827.31</v>
      </c>
      <c r="AL7" s="179">
        <v>8.5599999999999996E-2</v>
      </c>
      <c r="AM7" s="179">
        <v>0.58250000000000002</v>
      </c>
      <c r="AN7" s="179">
        <v>0.61429999999999996</v>
      </c>
      <c r="AO7" s="179">
        <v>-2.9899999999999999E-2</v>
      </c>
      <c r="AP7" s="179">
        <v>0.314</v>
      </c>
      <c r="AQ7" s="179">
        <v>0.27229999999999999</v>
      </c>
      <c r="AR7" s="179">
        <v>-0.1062</v>
      </c>
      <c r="AS7" s="179">
        <v>0.26779999999999998</v>
      </c>
      <c r="AT7" s="179">
        <v>0.42380000000000001</v>
      </c>
      <c r="AU7" s="179">
        <v>9.5556000000000001</v>
      </c>
      <c r="AV7" s="179">
        <v>-0.8609</v>
      </c>
      <c r="AW7" s="179">
        <v>0.48720000000000002</v>
      </c>
      <c r="AX7" s="179">
        <v>0.12959999999999999</v>
      </c>
      <c r="AY7" s="179">
        <v>-7.8700000000000006E-2</v>
      </c>
      <c r="AZ7" s="179">
        <v>0.49959999999999999</v>
      </c>
      <c r="BA7" s="179">
        <v>0.31709999999999999</v>
      </c>
      <c r="BB7" s="179">
        <v>2.0299999999999999E-2</v>
      </c>
      <c r="BC7" s="179"/>
      <c r="BD7" s="179"/>
    </row>
    <row r="8" spans="1:56">
      <c r="A8" s="186" t="s">
        <v>662</v>
      </c>
      <c r="B8" s="186" t="s">
        <v>1931</v>
      </c>
      <c r="C8" s="179">
        <v>0.46760000000000002</v>
      </c>
      <c r="D8" s="179"/>
      <c r="E8" s="179">
        <v>0.18</v>
      </c>
      <c r="F8" s="180">
        <v>2485.34</v>
      </c>
      <c r="G8" s="181">
        <v>1382</v>
      </c>
      <c r="H8" s="178">
        <v>492</v>
      </c>
      <c r="I8" s="178">
        <v>461</v>
      </c>
      <c r="J8" s="179">
        <v>0.19159999999999999</v>
      </c>
      <c r="K8" s="180">
        <v>5.39</v>
      </c>
      <c r="L8" s="181">
        <v>2406</v>
      </c>
      <c r="M8" s="179">
        <v>1.47E-2</v>
      </c>
      <c r="N8" s="181">
        <v>164141</v>
      </c>
      <c r="O8" s="180">
        <v>5315.45</v>
      </c>
      <c r="P8" s="180">
        <v>1.03</v>
      </c>
      <c r="Q8" s="178">
        <v>2.14</v>
      </c>
      <c r="R8" s="180">
        <v>4605.29</v>
      </c>
      <c r="S8" s="178">
        <v>431</v>
      </c>
      <c r="T8" s="180">
        <v>13805.38</v>
      </c>
      <c r="U8" s="179">
        <v>0.31269999999999998</v>
      </c>
      <c r="V8" s="179">
        <v>0.1074</v>
      </c>
      <c r="W8" s="180">
        <v>1208.97</v>
      </c>
      <c r="X8" s="181">
        <v>1127</v>
      </c>
      <c r="Y8" s="178">
        <v>322</v>
      </c>
      <c r="Z8" s="178">
        <v>284</v>
      </c>
      <c r="AA8" s="179">
        <v>0.217</v>
      </c>
      <c r="AB8" s="180">
        <v>4.26</v>
      </c>
      <c r="AC8" s="181">
        <v>1309</v>
      </c>
      <c r="AD8" s="179">
        <v>2.3699999999999999E-2</v>
      </c>
      <c r="AE8" s="181">
        <v>55212</v>
      </c>
      <c r="AF8" s="180">
        <v>3866.08</v>
      </c>
      <c r="AG8" s="180">
        <v>0.92</v>
      </c>
      <c r="AH8" s="178">
        <v>3.2</v>
      </c>
      <c r="AI8" s="180">
        <v>2737.16</v>
      </c>
      <c r="AJ8" s="178">
        <v>244</v>
      </c>
      <c r="AK8" s="180">
        <v>11257.93</v>
      </c>
      <c r="AL8" s="179">
        <v>0.49540000000000001</v>
      </c>
      <c r="AM8" s="179">
        <v>0.67600000000000005</v>
      </c>
      <c r="AN8" s="179">
        <v>1.0557000000000001</v>
      </c>
      <c r="AO8" s="179">
        <v>0.2263</v>
      </c>
      <c r="AP8" s="179">
        <v>0.52800000000000002</v>
      </c>
      <c r="AQ8" s="179">
        <v>0.62319999999999998</v>
      </c>
      <c r="AR8" s="179">
        <v>-0.1171</v>
      </c>
      <c r="AS8" s="179">
        <v>0.26529999999999998</v>
      </c>
      <c r="AT8" s="179">
        <v>0.83799999999999997</v>
      </c>
      <c r="AU8" s="179">
        <v>-0.37969999999999998</v>
      </c>
      <c r="AV8" s="179">
        <v>1.9729000000000001</v>
      </c>
      <c r="AW8" s="179">
        <v>0.37490000000000001</v>
      </c>
      <c r="AX8" s="179">
        <v>0.1196</v>
      </c>
      <c r="AY8" s="179">
        <v>-0.33119999999999999</v>
      </c>
      <c r="AZ8" s="179">
        <v>0.6825</v>
      </c>
      <c r="BA8" s="179">
        <v>0.76639999999999997</v>
      </c>
      <c r="BB8" s="179">
        <v>0.2263</v>
      </c>
      <c r="BC8" s="179"/>
      <c r="BD8" s="179"/>
    </row>
    <row r="9" spans="1:56">
      <c r="A9" s="186" t="s">
        <v>1143</v>
      </c>
      <c r="B9" s="186" t="s">
        <v>1935</v>
      </c>
      <c r="C9" s="179">
        <v>0.33119999999999999</v>
      </c>
      <c r="D9" s="179"/>
      <c r="E9" s="179">
        <v>0.15390000000000001</v>
      </c>
      <c r="F9" s="180">
        <v>2110.04</v>
      </c>
      <c r="G9" s="178">
        <v>980</v>
      </c>
      <c r="H9" s="178">
        <v>412</v>
      </c>
      <c r="I9" s="178">
        <v>383</v>
      </c>
      <c r="J9" s="179">
        <v>0.25929999999999997</v>
      </c>
      <c r="K9" s="180">
        <v>5.51</v>
      </c>
      <c r="L9" s="181">
        <v>1477</v>
      </c>
      <c r="M9" s="179">
        <v>1.67E-2</v>
      </c>
      <c r="N9" s="181">
        <v>88640</v>
      </c>
      <c r="O9" s="180">
        <v>6371.03</v>
      </c>
      <c r="P9" s="180">
        <v>1.43</v>
      </c>
      <c r="Q9" s="178">
        <v>3.02</v>
      </c>
      <c r="R9" s="180">
        <v>4672.24</v>
      </c>
      <c r="S9" s="178">
        <v>308</v>
      </c>
      <c r="T9" s="180">
        <v>13708.66</v>
      </c>
      <c r="U9" s="179">
        <v>0.22770000000000001</v>
      </c>
      <c r="V9" s="179">
        <v>0.1515</v>
      </c>
      <c r="W9" s="180">
        <v>2021.8</v>
      </c>
      <c r="X9" s="178">
        <v>954</v>
      </c>
      <c r="Y9" s="178">
        <v>505</v>
      </c>
      <c r="Z9" s="178">
        <v>408</v>
      </c>
      <c r="AA9" s="179">
        <v>0.26550000000000001</v>
      </c>
      <c r="AB9" s="180">
        <v>4.96</v>
      </c>
      <c r="AC9" s="181">
        <v>1537</v>
      </c>
      <c r="AD9" s="179">
        <v>1.67E-2</v>
      </c>
      <c r="AE9" s="181">
        <v>92002</v>
      </c>
      <c r="AF9" s="180">
        <v>8878.77</v>
      </c>
      <c r="AG9" s="180">
        <v>1.32</v>
      </c>
      <c r="AH9" s="178">
        <v>4.3899999999999997</v>
      </c>
      <c r="AI9" s="180">
        <v>4685.95</v>
      </c>
      <c r="AJ9" s="178">
        <v>306</v>
      </c>
      <c r="AK9" s="180">
        <v>13344.92</v>
      </c>
      <c r="AL9" s="179">
        <v>0.45450000000000002</v>
      </c>
      <c r="AM9" s="179">
        <v>1.5800000000000002E-2</v>
      </c>
      <c r="AN9" s="179">
        <v>4.36E-2</v>
      </c>
      <c r="AO9" s="179">
        <v>2.7300000000000001E-2</v>
      </c>
      <c r="AP9" s="179">
        <v>-0.1842</v>
      </c>
      <c r="AQ9" s="179">
        <v>-6.13E-2</v>
      </c>
      <c r="AR9" s="179">
        <v>-2.3400000000000001E-2</v>
      </c>
      <c r="AS9" s="179">
        <v>0.1109</v>
      </c>
      <c r="AT9" s="179">
        <v>-3.9E-2</v>
      </c>
      <c r="AU9" s="179">
        <v>0</v>
      </c>
      <c r="AV9" s="179">
        <v>-3.6499999999999998E-2</v>
      </c>
      <c r="AW9" s="179">
        <v>-0.28239999999999998</v>
      </c>
      <c r="AX9" s="179">
        <v>8.3299999999999999E-2</v>
      </c>
      <c r="AY9" s="179">
        <v>-0.31209999999999999</v>
      </c>
      <c r="AZ9" s="179">
        <v>-2.8999999999999998E-3</v>
      </c>
      <c r="BA9" s="179">
        <v>6.4999999999999997E-3</v>
      </c>
      <c r="BB9" s="179">
        <v>2.7300000000000001E-2</v>
      </c>
      <c r="BC9" s="179"/>
      <c r="BD9" s="179"/>
    </row>
    <row r="10" spans="1:56">
      <c r="A10" s="186" t="s">
        <v>618</v>
      </c>
      <c r="B10" s="186" t="s">
        <v>1948</v>
      </c>
      <c r="C10" s="179">
        <v>0.30919999999999997</v>
      </c>
      <c r="D10" s="179"/>
      <c r="E10" s="179">
        <v>0.22459999999999999</v>
      </c>
      <c r="F10" s="180">
        <v>1879.27</v>
      </c>
      <c r="G10" s="178">
        <v>630</v>
      </c>
      <c r="H10" s="178">
        <v>390</v>
      </c>
      <c r="I10" s="178">
        <v>374</v>
      </c>
      <c r="J10" s="179">
        <v>0.29110000000000003</v>
      </c>
      <c r="K10" s="180">
        <v>5.0199999999999996</v>
      </c>
      <c r="L10" s="181">
        <v>1285</v>
      </c>
      <c r="M10" s="179">
        <v>1.06E-2</v>
      </c>
      <c r="N10" s="181">
        <v>121638</v>
      </c>
      <c r="O10" s="180">
        <v>6077.97</v>
      </c>
      <c r="P10" s="180">
        <v>1.46</v>
      </c>
      <c r="Q10" s="178">
        <v>3.23</v>
      </c>
      <c r="R10" s="180">
        <v>4890.1400000000003</v>
      </c>
      <c r="S10" s="178">
        <v>326</v>
      </c>
      <c r="T10" s="180">
        <v>8365.9699999999993</v>
      </c>
      <c r="U10" s="179">
        <v>0.37509999999999999</v>
      </c>
      <c r="V10" s="179">
        <v>0.25440000000000002</v>
      </c>
      <c r="W10" s="180">
        <v>1507.62</v>
      </c>
      <c r="X10" s="178">
        <v>413</v>
      </c>
      <c r="Y10" s="178">
        <v>264</v>
      </c>
      <c r="Z10" s="178">
        <v>256</v>
      </c>
      <c r="AA10" s="179">
        <v>0.2626</v>
      </c>
      <c r="AB10" s="180">
        <v>5.89</v>
      </c>
      <c r="AC10" s="178">
        <v>975</v>
      </c>
      <c r="AD10" s="179">
        <v>1.0800000000000001E-2</v>
      </c>
      <c r="AE10" s="181">
        <v>90534</v>
      </c>
      <c r="AF10" s="180">
        <v>4019.7</v>
      </c>
      <c r="AG10" s="180">
        <v>1.55</v>
      </c>
      <c r="AH10" s="178">
        <v>2.67</v>
      </c>
      <c r="AI10" s="180">
        <v>3434.81</v>
      </c>
      <c r="AJ10" s="178">
        <v>233</v>
      </c>
      <c r="AK10" s="180">
        <v>5925.49</v>
      </c>
      <c r="AL10" s="179">
        <v>-0.1757</v>
      </c>
      <c r="AM10" s="179">
        <v>-0.1171</v>
      </c>
      <c r="AN10" s="179">
        <v>0.2465</v>
      </c>
      <c r="AO10" s="179">
        <v>0.52539999999999998</v>
      </c>
      <c r="AP10" s="179">
        <v>0.4773</v>
      </c>
      <c r="AQ10" s="179">
        <v>0.46089999999999998</v>
      </c>
      <c r="AR10" s="179">
        <v>0.1085</v>
      </c>
      <c r="AS10" s="179">
        <v>-0.1477</v>
      </c>
      <c r="AT10" s="179">
        <v>0.31790000000000002</v>
      </c>
      <c r="AU10" s="179">
        <v>-1.8499999999999999E-2</v>
      </c>
      <c r="AV10" s="179">
        <v>0.34360000000000002</v>
      </c>
      <c r="AW10" s="179">
        <v>0.51200000000000001</v>
      </c>
      <c r="AX10" s="179">
        <v>-5.8099999999999999E-2</v>
      </c>
      <c r="AY10" s="179">
        <v>0.2097</v>
      </c>
      <c r="AZ10" s="179">
        <v>0.42370000000000002</v>
      </c>
      <c r="BA10" s="179">
        <v>0.39910000000000001</v>
      </c>
      <c r="BB10" s="179">
        <v>0.41189999999999999</v>
      </c>
      <c r="BC10" s="179"/>
      <c r="BD10" s="179"/>
    </row>
    <row r="11" spans="1:56">
      <c r="A11" s="186" t="s">
        <v>1222</v>
      </c>
      <c r="B11" s="186" t="s">
        <v>2031</v>
      </c>
      <c r="C11" s="179">
        <v>0.32500000000000001</v>
      </c>
      <c r="D11" s="179"/>
      <c r="E11" s="179">
        <v>0.12429999999999999</v>
      </c>
      <c r="F11" s="180">
        <v>1801.91</v>
      </c>
      <c r="G11" s="178">
        <v>857</v>
      </c>
      <c r="H11" s="178">
        <v>313</v>
      </c>
      <c r="I11" s="178">
        <v>297</v>
      </c>
      <c r="J11" s="179">
        <v>0.27839999999999998</v>
      </c>
      <c r="K11" s="180">
        <v>6.07</v>
      </c>
      <c r="L11" s="181">
        <v>1067</v>
      </c>
      <c r="M11" s="179">
        <v>5.0000000000000001E-3</v>
      </c>
      <c r="N11" s="181">
        <v>215374</v>
      </c>
      <c r="O11" s="180">
        <v>5543.55</v>
      </c>
      <c r="P11" s="180">
        <v>1.69</v>
      </c>
      <c r="Q11" s="178">
        <v>3.08</v>
      </c>
      <c r="R11" s="180">
        <v>4069.16</v>
      </c>
      <c r="S11" s="178">
        <v>233</v>
      </c>
      <c r="T11" s="180">
        <v>14498.03</v>
      </c>
      <c r="U11" s="179">
        <v>0.28010000000000002</v>
      </c>
      <c r="V11" s="179">
        <v>7.7700000000000005E-2</v>
      </c>
      <c r="W11" s="180">
        <v>1917.95</v>
      </c>
      <c r="X11" s="181">
        <v>1235</v>
      </c>
      <c r="Y11" s="178">
        <v>336</v>
      </c>
      <c r="Z11" s="178">
        <v>321</v>
      </c>
      <c r="AA11" s="179">
        <v>0.29339999999999999</v>
      </c>
      <c r="AB11" s="180">
        <v>5.97</v>
      </c>
      <c r="AC11" s="181">
        <v>1094</v>
      </c>
      <c r="AD11" s="179">
        <v>1.3100000000000001E-2</v>
      </c>
      <c r="AE11" s="181">
        <v>83257</v>
      </c>
      <c r="AF11" s="180">
        <v>6847.35</v>
      </c>
      <c r="AG11" s="180">
        <v>1.75</v>
      </c>
      <c r="AH11" s="178">
        <v>3.57</v>
      </c>
      <c r="AI11" s="180">
        <v>4713.04</v>
      </c>
      <c r="AJ11" s="178">
        <v>228</v>
      </c>
      <c r="AK11" s="180">
        <v>24684.45</v>
      </c>
      <c r="AL11" s="179">
        <v>0.1603</v>
      </c>
      <c r="AM11" s="179">
        <v>0.59970000000000001</v>
      </c>
      <c r="AN11" s="179">
        <v>-6.0499999999999998E-2</v>
      </c>
      <c r="AO11" s="179">
        <v>-0.30609999999999998</v>
      </c>
      <c r="AP11" s="179">
        <v>-6.8500000000000005E-2</v>
      </c>
      <c r="AQ11" s="179">
        <v>-7.4800000000000005E-2</v>
      </c>
      <c r="AR11" s="179">
        <v>-5.11E-2</v>
      </c>
      <c r="AS11" s="179">
        <v>1.6799999999999999E-2</v>
      </c>
      <c r="AT11" s="179">
        <v>-2.47E-2</v>
      </c>
      <c r="AU11" s="179">
        <v>-0.61829999999999996</v>
      </c>
      <c r="AV11" s="179">
        <v>1.5869</v>
      </c>
      <c r="AW11" s="179">
        <v>-0.19040000000000001</v>
      </c>
      <c r="AX11" s="179">
        <v>-3.4299999999999997E-2</v>
      </c>
      <c r="AY11" s="179">
        <v>-0.13730000000000001</v>
      </c>
      <c r="AZ11" s="179">
        <v>-0.1366</v>
      </c>
      <c r="BA11" s="179">
        <v>2.1899999999999999E-2</v>
      </c>
      <c r="BB11" s="179">
        <v>-0.41270000000000001</v>
      </c>
      <c r="BC11" s="179"/>
      <c r="BD11" s="179"/>
    </row>
    <row r="12" spans="1:56">
      <c r="A12" s="186" t="s">
        <v>1204</v>
      </c>
      <c r="B12" s="186" t="s">
        <v>2032</v>
      </c>
      <c r="C12" s="179">
        <v>0.31840000000000002</v>
      </c>
      <c r="D12" s="179"/>
      <c r="E12" s="179">
        <v>8.0799999999999997E-2</v>
      </c>
      <c r="F12" s="180">
        <v>1720.45</v>
      </c>
      <c r="G12" s="181">
        <v>1115</v>
      </c>
      <c r="H12" s="178">
        <v>267</v>
      </c>
      <c r="I12" s="178">
        <v>241</v>
      </c>
      <c r="J12" s="179">
        <v>0.17960000000000001</v>
      </c>
      <c r="K12" s="180">
        <v>7.14</v>
      </c>
      <c r="L12" s="181">
        <v>1342</v>
      </c>
      <c r="M12" s="179">
        <v>7.9000000000000008E-3</v>
      </c>
      <c r="N12" s="181">
        <v>170612</v>
      </c>
      <c r="O12" s="180">
        <v>5402.73</v>
      </c>
      <c r="P12" s="180">
        <v>1.28</v>
      </c>
      <c r="Q12" s="178">
        <v>3.14</v>
      </c>
      <c r="R12" s="180">
        <v>3293.63</v>
      </c>
      <c r="S12" s="178">
        <v>155</v>
      </c>
      <c r="T12" s="180">
        <v>21288.81</v>
      </c>
      <c r="U12" s="179">
        <v>0.19700000000000001</v>
      </c>
      <c r="V12" s="179">
        <v>2.7900000000000001E-2</v>
      </c>
      <c r="W12" s="180">
        <v>514.09</v>
      </c>
      <c r="X12" s="178">
        <v>839</v>
      </c>
      <c r="Y12" s="178">
        <v>114</v>
      </c>
      <c r="Z12" s="178">
        <v>91</v>
      </c>
      <c r="AA12" s="179">
        <v>0.248</v>
      </c>
      <c r="AB12" s="180">
        <v>5.65</v>
      </c>
      <c r="AC12" s="178">
        <v>367</v>
      </c>
      <c r="AD12" s="179">
        <v>7.7000000000000002E-3</v>
      </c>
      <c r="AE12" s="181">
        <v>47598</v>
      </c>
      <c r="AF12" s="180">
        <v>2609.8200000000002</v>
      </c>
      <c r="AG12" s="180">
        <v>1.4</v>
      </c>
      <c r="AH12" s="178">
        <v>5.08</v>
      </c>
      <c r="AI12" s="180">
        <v>1077.51</v>
      </c>
      <c r="AJ12" s="178">
        <v>46</v>
      </c>
      <c r="AK12" s="180">
        <v>18440.59</v>
      </c>
      <c r="AL12" s="179">
        <v>0.61619999999999997</v>
      </c>
      <c r="AM12" s="179">
        <v>1.8960999999999999</v>
      </c>
      <c r="AN12" s="179">
        <v>2.3466</v>
      </c>
      <c r="AO12" s="179">
        <v>0.32900000000000001</v>
      </c>
      <c r="AP12" s="179">
        <v>1.3421000000000001</v>
      </c>
      <c r="AQ12" s="179">
        <v>1.6484000000000001</v>
      </c>
      <c r="AR12" s="179">
        <v>-0.27579999999999999</v>
      </c>
      <c r="AS12" s="179">
        <v>0.26369999999999999</v>
      </c>
      <c r="AT12" s="179">
        <v>2.6566999999999998</v>
      </c>
      <c r="AU12" s="179">
        <v>2.5999999999999999E-2</v>
      </c>
      <c r="AV12" s="179">
        <v>2.5844</v>
      </c>
      <c r="AW12" s="179">
        <v>1.0702</v>
      </c>
      <c r="AX12" s="179">
        <v>-8.5699999999999998E-2</v>
      </c>
      <c r="AY12" s="179">
        <v>-0.38190000000000002</v>
      </c>
      <c r="AZ12" s="179">
        <v>2.0567000000000002</v>
      </c>
      <c r="BA12" s="179">
        <v>2.3696000000000002</v>
      </c>
      <c r="BB12" s="179">
        <v>0.1545</v>
      </c>
      <c r="BC12" s="179"/>
      <c r="BD12" s="179"/>
    </row>
    <row r="13" spans="1:56">
      <c r="A13" s="186" t="s">
        <v>543</v>
      </c>
      <c r="B13" s="186" t="s">
        <v>1969</v>
      </c>
      <c r="C13" s="179">
        <v>0.30530000000000002</v>
      </c>
      <c r="D13" s="179"/>
      <c r="E13" s="179">
        <v>0.23430000000000001</v>
      </c>
      <c r="F13" s="180">
        <v>1661.39</v>
      </c>
      <c r="G13" s="178">
        <v>343</v>
      </c>
      <c r="H13" s="178">
        <v>224</v>
      </c>
      <c r="I13" s="178">
        <v>183</v>
      </c>
      <c r="J13" s="179">
        <v>0.17100000000000001</v>
      </c>
      <c r="K13" s="180">
        <v>9.08</v>
      </c>
      <c r="L13" s="181">
        <v>1070</v>
      </c>
      <c r="M13" s="179">
        <v>1.03E-2</v>
      </c>
      <c r="N13" s="181">
        <v>104315</v>
      </c>
      <c r="O13" s="180">
        <v>5441.23</v>
      </c>
      <c r="P13" s="180">
        <v>1.55</v>
      </c>
      <c r="Q13" s="178">
        <v>3.28</v>
      </c>
      <c r="R13" s="180">
        <v>2993.65</v>
      </c>
      <c r="S13" s="178">
        <v>124</v>
      </c>
      <c r="T13" s="180">
        <v>7090.04</v>
      </c>
      <c r="U13" s="179">
        <v>0.4047</v>
      </c>
      <c r="V13" s="179">
        <v>0.3427</v>
      </c>
      <c r="W13" s="180">
        <v>1299.49</v>
      </c>
      <c r="X13" s="178">
        <v>181</v>
      </c>
      <c r="Y13" s="178">
        <v>147</v>
      </c>
      <c r="Z13" s="178">
        <v>138</v>
      </c>
      <c r="AA13" s="179">
        <v>0.12909999999999999</v>
      </c>
      <c r="AB13" s="180">
        <v>9.42</v>
      </c>
      <c r="AC13" s="181">
        <v>1069</v>
      </c>
      <c r="AD13" s="179">
        <v>1.2999999999999999E-3</v>
      </c>
      <c r="AE13" s="181">
        <v>815799</v>
      </c>
      <c r="AF13" s="180">
        <v>3211.39</v>
      </c>
      <c r="AG13" s="180">
        <v>1.22</v>
      </c>
      <c r="AH13" s="178">
        <v>2.4700000000000002</v>
      </c>
      <c r="AI13" s="180">
        <v>1858.09</v>
      </c>
      <c r="AJ13" s="178">
        <v>87</v>
      </c>
      <c r="AK13" s="180">
        <v>3792.19</v>
      </c>
      <c r="AL13" s="179">
        <v>-0.24560000000000001</v>
      </c>
      <c r="AM13" s="179">
        <v>-0.31630000000000003</v>
      </c>
      <c r="AN13" s="179">
        <v>0.27850000000000003</v>
      </c>
      <c r="AO13" s="179">
        <v>0.89500000000000002</v>
      </c>
      <c r="AP13" s="179">
        <v>0.52380000000000004</v>
      </c>
      <c r="AQ13" s="179">
        <v>0.3261</v>
      </c>
      <c r="AR13" s="179">
        <v>0.3246</v>
      </c>
      <c r="AS13" s="179">
        <v>-3.61E-2</v>
      </c>
      <c r="AT13" s="179">
        <v>8.9999999999999998E-4</v>
      </c>
      <c r="AU13" s="179">
        <v>6.9230999999999998</v>
      </c>
      <c r="AV13" s="179">
        <v>-0.87209999999999999</v>
      </c>
      <c r="AW13" s="179">
        <v>0.69440000000000002</v>
      </c>
      <c r="AX13" s="179">
        <v>0.27050000000000002</v>
      </c>
      <c r="AY13" s="179">
        <v>0.32790000000000002</v>
      </c>
      <c r="AZ13" s="179">
        <v>0.61109999999999998</v>
      </c>
      <c r="BA13" s="179">
        <v>0.42530000000000001</v>
      </c>
      <c r="BB13" s="179">
        <v>0.86960000000000004</v>
      </c>
      <c r="BC13" s="179"/>
      <c r="BD13" s="179"/>
    </row>
    <row r="14" spans="1:56">
      <c r="A14" s="186" t="s">
        <v>1414</v>
      </c>
      <c r="B14" s="186" t="s">
        <v>1973</v>
      </c>
      <c r="C14" s="179">
        <v>0.41720000000000002</v>
      </c>
      <c r="D14" s="179"/>
      <c r="E14" s="179">
        <v>0.5151</v>
      </c>
      <c r="F14" s="180">
        <v>1639.44</v>
      </c>
      <c r="G14" s="178">
        <v>168</v>
      </c>
      <c r="H14" s="178">
        <v>198</v>
      </c>
      <c r="I14" s="178">
        <v>190</v>
      </c>
      <c r="J14" s="179">
        <v>0.12520000000000001</v>
      </c>
      <c r="K14" s="180">
        <v>8.6300000000000008</v>
      </c>
      <c r="L14" s="181">
        <v>1518</v>
      </c>
      <c r="M14" s="179">
        <v>2.2000000000000001E-3</v>
      </c>
      <c r="N14" s="181">
        <v>687522</v>
      </c>
      <c r="O14" s="180">
        <v>3929.99</v>
      </c>
      <c r="P14" s="180">
        <v>1.08</v>
      </c>
      <c r="Q14" s="178">
        <v>2.4</v>
      </c>
      <c r="R14" s="180">
        <v>2254.81</v>
      </c>
      <c r="S14" s="178">
        <v>113</v>
      </c>
      <c r="T14" s="180">
        <v>3182.88</v>
      </c>
      <c r="U14" s="179">
        <v>0.33789999999999998</v>
      </c>
      <c r="V14" s="179">
        <v>0.15049999999999999</v>
      </c>
      <c r="W14" s="180">
        <v>119.15</v>
      </c>
      <c r="X14" s="178">
        <v>33</v>
      </c>
      <c r="Y14" s="178">
        <v>15</v>
      </c>
      <c r="Z14" s="178">
        <v>13</v>
      </c>
      <c r="AA14" s="179">
        <v>0.1313</v>
      </c>
      <c r="AB14" s="180">
        <v>9.17</v>
      </c>
      <c r="AC14" s="178">
        <v>99</v>
      </c>
      <c r="AD14" s="179">
        <v>6.3E-3</v>
      </c>
      <c r="AE14" s="181">
        <v>15682</v>
      </c>
      <c r="AF14" s="180">
        <v>352.65</v>
      </c>
      <c r="AG14" s="180">
        <v>1.2</v>
      </c>
      <c r="AH14" s="178">
        <v>2.96</v>
      </c>
      <c r="AI14" s="180">
        <v>95.96</v>
      </c>
      <c r="AJ14" s="178">
        <v>3</v>
      </c>
      <c r="AK14" s="180">
        <v>791.67</v>
      </c>
      <c r="AL14" s="179">
        <v>0.23469999999999999</v>
      </c>
      <c r="AM14" s="179">
        <v>2.4226000000000001</v>
      </c>
      <c r="AN14" s="179">
        <v>12.759499999999999</v>
      </c>
      <c r="AO14" s="179">
        <v>4.0909000000000004</v>
      </c>
      <c r="AP14" s="179">
        <v>12.2</v>
      </c>
      <c r="AQ14" s="179">
        <v>13.615399999999999</v>
      </c>
      <c r="AR14" s="179">
        <v>-4.65E-2</v>
      </c>
      <c r="AS14" s="179">
        <v>-5.8900000000000001E-2</v>
      </c>
      <c r="AT14" s="179">
        <v>14.333299999999999</v>
      </c>
      <c r="AU14" s="179">
        <v>-0.65080000000000005</v>
      </c>
      <c r="AV14" s="179">
        <v>42.841500000000003</v>
      </c>
      <c r="AW14" s="179">
        <v>10.1442</v>
      </c>
      <c r="AX14" s="179">
        <v>-0.1</v>
      </c>
      <c r="AY14" s="179">
        <v>-0.18920000000000001</v>
      </c>
      <c r="AZ14" s="179">
        <v>22.497399999999999</v>
      </c>
      <c r="BA14" s="179">
        <v>36.666699999999999</v>
      </c>
      <c r="BB14" s="179">
        <v>3.0205000000000002</v>
      </c>
      <c r="BC14" s="179"/>
      <c r="BD14" s="179"/>
    </row>
    <row r="15" spans="1:56">
      <c r="A15" s="186" t="s">
        <v>1175</v>
      </c>
      <c r="B15" s="186" t="s">
        <v>2033</v>
      </c>
      <c r="C15" s="179">
        <v>0.33989999999999998</v>
      </c>
      <c r="D15" s="179"/>
      <c r="E15" s="179">
        <v>9.11E-2</v>
      </c>
      <c r="F15" s="180">
        <v>1403.93</v>
      </c>
      <c r="G15" s="178">
        <v>966</v>
      </c>
      <c r="H15" s="178">
        <v>240</v>
      </c>
      <c r="I15" s="178">
        <v>222</v>
      </c>
      <c r="J15" s="179">
        <v>0.2286</v>
      </c>
      <c r="K15" s="180">
        <v>6.32</v>
      </c>
      <c r="L15" s="178">
        <v>971</v>
      </c>
      <c r="M15" s="179">
        <v>1.61E-2</v>
      </c>
      <c r="N15" s="181">
        <v>60196</v>
      </c>
      <c r="O15" s="180">
        <v>4131.01</v>
      </c>
      <c r="P15" s="180">
        <v>1.45</v>
      </c>
      <c r="Q15" s="178">
        <v>2.94</v>
      </c>
      <c r="R15" s="180">
        <v>2610.5100000000002</v>
      </c>
      <c r="S15" s="178">
        <v>156</v>
      </c>
      <c r="T15" s="180">
        <v>15411.24</v>
      </c>
      <c r="U15" s="179">
        <v>0.2414</v>
      </c>
      <c r="V15" s="179">
        <v>4.6399999999999997E-2</v>
      </c>
      <c r="W15" s="180">
        <v>748.98</v>
      </c>
      <c r="X15" s="178">
        <v>850</v>
      </c>
      <c r="Y15" s="178">
        <v>153</v>
      </c>
      <c r="Z15" s="178">
        <v>145</v>
      </c>
      <c r="AA15" s="179">
        <v>0.32729999999999998</v>
      </c>
      <c r="AB15" s="180">
        <v>5.17</v>
      </c>
      <c r="AC15" s="178">
        <v>443</v>
      </c>
      <c r="AD15" s="179">
        <v>1.32E-2</v>
      </c>
      <c r="AE15" s="181">
        <v>33505</v>
      </c>
      <c r="AF15" s="180">
        <v>3102.03</v>
      </c>
      <c r="AG15" s="180">
        <v>1.69</v>
      </c>
      <c r="AH15" s="178">
        <v>4.1399999999999997</v>
      </c>
      <c r="AI15" s="180">
        <v>2335.39</v>
      </c>
      <c r="AJ15" s="178">
        <v>116</v>
      </c>
      <c r="AK15" s="180">
        <v>16131.28</v>
      </c>
      <c r="AL15" s="179">
        <v>0.40799999999999997</v>
      </c>
      <c r="AM15" s="179">
        <v>0.96340000000000003</v>
      </c>
      <c r="AN15" s="179">
        <v>0.87450000000000006</v>
      </c>
      <c r="AO15" s="179">
        <v>0.13650000000000001</v>
      </c>
      <c r="AP15" s="179">
        <v>0.56859999999999999</v>
      </c>
      <c r="AQ15" s="179">
        <v>0.53100000000000003</v>
      </c>
      <c r="AR15" s="179">
        <v>-0.30159999999999998</v>
      </c>
      <c r="AS15" s="179">
        <v>0.22239999999999999</v>
      </c>
      <c r="AT15" s="179">
        <v>1.1919</v>
      </c>
      <c r="AU15" s="179">
        <v>0.21970000000000001</v>
      </c>
      <c r="AV15" s="179">
        <v>0.79659999999999997</v>
      </c>
      <c r="AW15" s="179">
        <v>0.33169999999999999</v>
      </c>
      <c r="AX15" s="179">
        <v>-0.14199999999999999</v>
      </c>
      <c r="AY15" s="179">
        <v>-0.28989999999999999</v>
      </c>
      <c r="AZ15" s="179">
        <v>0.1178</v>
      </c>
      <c r="BA15" s="179">
        <v>0.3448</v>
      </c>
      <c r="BB15" s="179">
        <v>-4.4600000000000001E-2</v>
      </c>
      <c r="BC15" s="179"/>
      <c r="BD15" s="179"/>
    </row>
    <row r="16" spans="1:56">
      <c r="A16" s="186" t="s">
        <v>495</v>
      </c>
      <c r="B16" s="186" t="s">
        <v>1983</v>
      </c>
      <c r="C16" s="179">
        <v>0.45569999999999999</v>
      </c>
      <c r="D16" s="179"/>
      <c r="E16" s="179">
        <v>0.3397</v>
      </c>
      <c r="F16" s="180">
        <v>1379.06</v>
      </c>
      <c r="G16" s="178">
        <v>170</v>
      </c>
      <c r="H16" s="178">
        <v>122</v>
      </c>
      <c r="I16" s="178">
        <v>114</v>
      </c>
      <c r="J16" s="179">
        <v>0.16669999999999999</v>
      </c>
      <c r="K16" s="180">
        <v>12.1</v>
      </c>
      <c r="L16" s="178">
        <v>684</v>
      </c>
      <c r="M16" s="179">
        <v>1.6000000000000001E-3</v>
      </c>
      <c r="N16" s="181">
        <v>419521</v>
      </c>
      <c r="O16" s="180">
        <v>3026.46</v>
      </c>
      <c r="P16" s="180">
        <v>2.02</v>
      </c>
      <c r="Q16" s="178">
        <v>2.19</v>
      </c>
      <c r="R16" s="180">
        <v>1973.61</v>
      </c>
      <c r="S16" s="178">
        <v>73</v>
      </c>
      <c r="T16" s="180">
        <v>4059.7</v>
      </c>
      <c r="U16" s="179">
        <v>0.27789999999999998</v>
      </c>
      <c r="V16" s="179">
        <v>8.8200000000000001E-2</v>
      </c>
      <c r="W16" s="180">
        <v>116.34</v>
      </c>
      <c r="X16" s="178">
        <v>44</v>
      </c>
      <c r="Y16" s="178">
        <v>14</v>
      </c>
      <c r="Z16" s="178">
        <v>10</v>
      </c>
      <c r="AA16" s="179">
        <v>0.1724</v>
      </c>
      <c r="AB16" s="180">
        <v>11.63</v>
      </c>
      <c r="AC16" s="178">
        <v>58</v>
      </c>
      <c r="AD16" s="179">
        <v>1.0200000000000001E-2</v>
      </c>
      <c r="AE16" s="181">
        <v>5661</v>
      </c>
      <c r="AF16" s="180">
        <v>418.62</v>
      </c>
      <c r="AG16" s="180">
        <v>2.0099999999999998</v>
      </c>
      <c r="AH16" s="178">
        <v>3.6</v>
      </c>
      <c r="AI16" s="180">
        <v>119.96</v>
      </c>
      <c r="AJ16" s="178">
        <v>4</v>
      </c>
      <c r="AK16" s="180">
        <v>1319.56</v>
      </c>
      <c r="AL16" s="179">
        <v>0.63980000000000004</v>
      </c>
      <c r="AM16" s="179">
        <v>2.8515000000000001</v>
      </c>
      <c r="AN16" s="179">
        <v>10.8537</v>
      </c>
      <c r="AO16" s="179">
        <v>2.8635999999999999</v>
      </c>
      <c r="AP16" s="179">
        <v>7.7142999999999997</v>
      </c>
      <c r="AQ16" s="179">
        <v>10.4</v>
      </c>
      <c r="AR16" s="179">
        <v>-3.3099999999999997E-2</v>
      </c>
      <c r="AS16" s="179">
        <v>4.0399999999999998E-2</v>
      </c>
      <c r="AT16" s="179">
        <v>10.793100000000001</v>
      </c>
      <c r="AU16" s="179">
        <v>-0.84309999999999996</v>
      </c>
      <c r="AV16" s="179">
        <v>73.107200000000006</v>
      </c>
      <c r="AW16" s="179">
        <v>6.2295999999999996</v>
      </c>
      <c r="AX16" s="179">
        <v>5.0000000000000001E-3</v>
      </c>
      <c r="AY16" s="179">
        <v>-0.39169999999999999</v>
      </c>
      <c r="AZ16" s="179">
        <v>15.452199999999999</v>
      </c>
      <c r="BA16" s="179">
        <v>17.25</v>
      </c>
      <c r="BB16" s="179">
        <v>2.0766</v>
      </c>
      <c r="BC16" s="179"/>
      <c r="BD16" s="179"/>
    </row>
    <row r="17" spans="1:56">
      <c r="A17" s="186" t="s">
        <v>1331</v>
      </c>
      <c r="B17" s="186" t="s">
        <v>1984</v>
      </c>
      <c r="C17" s="179">
        <v>0.4032</v>
      </c>
      <c r="D17" s="179"/>
      <c r="E17" s="179">
        <v>0.2752</v>
      </c>
      <c r="F17" s="180">
        <v>1353.31</v>
      </c>
      <c r="G17" s="178">
        <v>246</v>
      </c>
      <c r="H17" s="178">
        <v>138</v>
      </c>
      <c r="I17" s="178">
        <v>132</v>
      </c>
      <c r="J17" s="179">
        <v>0.1343</v>
      </c>
      <c r="K17" s="180">
        <v>10.25</v>
      </c>
      <c r="L17" s="178">
        <v>983</v>
      </c>
      <c r="M17" s="179">
        <v>7.7999999999999996E-3</v>
      </c>
      <c r="N17" s="181">
        <v>126410</v>
      </c>
      <c r="O17" s="180">
        <v>3356.34</v>
      </c>
      <c r="P17" s="180">
        <v>1.38</v>
      </c>
      <c r="Q17" s="178">
        <v>2.48</v>
      </c>
      <c r="R17" s="180">
        <v>1599.2</v>
      </c>
      <c r="S17" s="178">
        <v>77</v>
      </c>
      <c r="T17" s="180">
        <v>4917.34</v>
      </c>
      <c r="U17" s="179">
        <v>0.36070000000000002</v>
      </c>
      <c r="V17" s="179">
        <v>0.224</v>
      </c>
      <c r="W17" s="180">
        <v>1457.42</v>
      </c>
      <c r="X17" s="178">
        <v>430</v>
      </c>
      <c r="Y17" s="178">
        <v>214</v>
      </c>
      <c r="Z17" s="178">
        <v>184</v>
      </c>
      <c r="AA17" s="179">
        <v>0.17860000000000001</v>
      </c>
      <c r="AB17" s="180">
        <v>7.92</v>
      </c>
      <c r="AC17" s="181">
        <v>1030</v>
      </c>
      <c r="AD17" s="179">
        <v>1.0500000000000001E-2</v>
      </c>
      <c r="AE17" s="181">
        <v>97881</v>
      </c>
      <c r="AF17" s="180">
        <v>4040.87</v>
      </c>
      <c r="AG17" s="180">
        <v>1.41</v>
      </c>
      <c r="AH17" s="178">
        <v>2.77</v>
      </c>
      <c r="AI17" s="180">
        <v>2298.4899999999998</v>
      </c>
      <c r="AJ17" s="178">
        <v>131</v>
      </c>
      <c r="AK17" s="180">
        <v>6505.71</v>
      </c>
      <c r="AL17" s="179">
        <v>0.1178</v>
      </c>
      <c r="AM17" s="179">
        <v>0.2286</v>
      </c>
      <c r="AN17" s="179">
        <v>-7.1400000000000005E-2</v>
      </c>
      <c r="AO17" s="179">
        <v>-0.4279</v>
      </c>
      <c r="AP17" s="179">
        <v>-0.35510000000000003</v>
      </c>
      <c r="AQ17" s="179">
        <v>-0.28260000000000002</v>
      </c>
      <c r="AR17" s="179">
        <v>-0.248</v>
      </c>
      <c r="AS17" s="179">
        <v>0.29420000000000002</v>
      </c>
      <c r="AT17" s="179">
        <v>-4.5600000000000002E-2</v>
      </c>
      <c r="AU17" s="179">
        <v>-0.2571</v>
      </c>
      <c r="AV17" s="179">
        <v>0.29149999999999998</v>
      </c>
      <c r="AW17" s="179">
        <v>-0.1694</v>
      </c>
      <c r="AX17" s="179">
        <v>-2.1299999999999999E-2</v>
      </c>
      <c r="AY17" s="179">
        <v>-0.1047</v>
      </c>
      <c r="AZ17" s="179">
        <v>-0.30420000000000003</v>
      </c>
      <c r="BA17" s="179">
        <v>-0.41220000000000001</v>
      </c>
      <c r="BB17" s="179">
        <v>-0.2442</v>
      </c>
      <c r="BC17" s="179"/>
      <c r="BD17" s="179"/>
    </row>
    <row r="18" spans="1:56">
      <c r="A18" s="186" t="s">
        <v>594</v>
      </c>
      <c r="B18" s="186" t="s">
        <v>593</v>
      </c>
      <c r="C18" s="179">
        <v>0.34279999999999999</v>
      </c>
      <c r="D18" s="179"/>
      <c r="E18" s="179">
        <v>0.1016</v>
      </c>
      <c r="F18" s="180">
        <v>1318.45</v>
      </c>
      <c r="G18" s="178">
        <v>758</v>
      </c>
      <c r="H18" s="178">
        <v>209</v>
      </c>
      <c r="I18" s="178">
        <v>201</v>
      </c>
      <c r="J18" s="179">
        <v>0.19220000000000001</v>
      </c>
      <c r="K18" s="180">
        <v>6.56</v>
      </c>
      <c r="L18" s="181">
        <v>1046</v>
      </c>
      <c r="M18" s="179">
        <v>5.0000000000000001E-4</v>
      </c>
      <c r="N18" s="181">
        <v>1912977</v>
      </c>
      <c r="O18" s="180">
        <v>3846.47</v>
      </c>
      <c r="P18" s="180">
        <v>1.26</v>
      </c>
      <c r="Q18" s="178">
        <v>2.92</v>
      </c>
      <c r="R18" s="180">
        <v>2974.58</v>
      </c>
      <c r="S18" s="178">
        <v>169</v>
      </c>
      <c r="T18" s="180">
        <v>12980.46</v>
      </c>
      <c r="U18" s="179">
        <v>0.27429999999999999</v>
      </c>
      <c r="V18" s="179">
        <v>8.5400000000000004E-2</v>
      </c>
      <c r="W18" s="180">
        <v>1041.4000000000001</v>
      </c>
      <c r="X18" s="178">
        <v>617</v>
      </c>
      <c r="Y18" s="178">
        <v>176</v>
      </c>
      <c r="Z18" s="178">
        <v>168</v>
      </c>
      <c r="AA18" s="179">
        <v>0.1981</v>
      </c>
      <c r="AB18" s="180">
        <v>6.2</v>
      </c>
      <c r="AC18" s="178">
        <v>848</v>
      </c>
      <c r="AD18" s="179">
        <v>6.1000000000000004E-3</v>
      </c>
      <c r="AE18" s="181">
        <v>138403</v>
      </c>
      <c r="AF18" s="180">
        <v>3795.98</v>
      </c>
      <c r="AG18" s="180">
        <v>1.23</v>
      </c>
      <c r="AH18" s="178">
        <v>3.65</v>
      </c>
      <c r="AI18" s="180">
        <v>2649.36</v>
      </c>
      <c r="AJ18" s="178">
        <v>127</v>
      </c>
      <c r="AK18" s="180">
        <v>12201.39</v>
      </c>
      <c r="AL18" s="179">
        <v>0.24970000000000001</v>
      </c>
      <c r="AM18" s="179">
        <v>0.18970000000000001</v>
      </c>
      <c r="AN18" s="179">
        <v>0.26600000000000001</v>
      </c>
      <c r="AO18" s="179">
        <v>0.22850000000000001</v>
      </c>
      <c r="AP18" s="179">
        <v>0.1875</v>
      </c>
      <c r="AQ18" s="179">
        <v>0.19639999999999999</v>
      </c>
      <c r="AR18" s="179">
        <v>-2.98E-2</v>
      </c>
      <c r="AS18" s="179">
        <v>5.8099999999999999E-2</v>
      </c>
      <c r="AT18" s="179">
        <v>0.23350000000000001</v>
      </c>
      <c r="AU18" s="179">
        <v>-0.91800000000000004</v>
      </c>
      <c r="AV18" s="179">
        <v>12.8218</v>
      </c>
      <c r="AW18" s="179">
        <v>1.3299999999999999E-2</v>
      </c>
      <c r="AX18" s="179">
        <v>2.4400000000000002E-2</v>
      </c>
      <c r="AY18" s="179">
        <v>-0.2</v>
      </c>
      <c r="AZ18" s="179">
        <v>0.12280000000000001</v>
      </c>
      <c r="BA18" s="179">
        <v>0.33069999999999999</v>
      </c>
      <c r="BB18" s="179">
        <v>6.3899999999999998E-2</v>
      </c>
      <c r="BC18" s="179"/>
      <c r="BD18" s="179"/>
    </row>
    <row r="19" spans="1:56">
      <c r="A19" s="186" t="s">
        <v>598</v>
      </c>
      <c r="B19" s="186" t="s">
        <v>2034</v>
      </c>
      <c r="C19" s="179">
        <v>0.30470000000000003</v>
      </c>
      <c r="D19" s="179"/>
      <c r="E19" s="179">
        <v>0.1275</v>
      </c>
      <c r="F19" s="180">
        <v>1295.6500000000001</v>
      </c>
      <c r="G19" s="178">
        <v>641</v>
      </c>
      <c r="H19" s="178">
        <v>213</v>
      </c>
      <c r="I19" s="178">
        <v>200</v>
      </c>
      <c r="J19" s="179">
        <v>0.221</v>
      </c>
      <c r="K19" s="180">
        <v>6.48</v>
      </c>
      <c r="L19" s="178">
        <v>905</v>
      </c>
      <c r="M19" s="179">
        <v>9.1000000000000004E-3</v>
      </c>
      <c r="N19" s="181">
        <v>99755</v>
      </c>
      <c r="O19" s="180">
        <v>4252.5600000000004</v>
      </c>
      <c r="P19" s="180">
        <v>1.43</v>
      </c>
      <c r="Q19" s="178">
        <v>3.28</v>
      </c>
      <c r="R19" s="180">
        <v>1986.82</v>
      </c>
      <c r="S19" s="178">
        <v>117</v>
      </c>
      <c r="T19" s="180">
        <v>10161.19</v>
      </c>
      <c r="U19" s="179">
        <v>0.2427</v>
      </c>
      <c r="V19" s="179">
        <v>0.1196</v>
      </c>
      <c r="W19" s="180">
        <v>941.8</v>
      </c>
      <c r="X19" s="178">
        <v>469</v>
      </c>
      <c r="Y19" s="178">
        <v>200</v>
      </c>
      <c r="Z19" s="178">
        <v>183</v>
      </c>
      <c r="AA19" s="179">
        <v>0.26479999999999998</v>
      </c>
      <c r="AB19" s="180">
        <v>5.15</v>
      </c>
      <c r="AC19" s="178">
        <v>691</v>
      </c>
      <c r="AD19" s="179">
        <v>4.5999999999999999E-3</v>
      </c>
      <c r="AE19" s="181">
        <v>151369</v>
      </c>
      <c r="AF19" s="180">
        <v>3880.77</v>
      </c>
      <c r="AG19" s="180">
        <v>1.36</v>
      </c>
      <c r="AH19" s="178">
        <v>4.12</v>
      </c>
      <c r="AI19" s="180">
        <v>2152.5</v>
      </c>
      <c r="AJ19" s="178">
        <v>114</v>
      </c>
      <c r="AK19" s="180">
        <v>7873.11</v>
      </c>
      <c r="AL19" s="179">
        <v>0.2555</v>
      </c>
      <c r="AM19" s="179">
        <v>6.6100000000000006E-2</v>
      </c>
      <c r="AN19" s="179">
        <v>0.37569999999999998</v>
      </c>
      <c r="AO19" s="179">
        <v>0.36670000000000003</v>
      </c>
      <c r="AP19" s="179">
        <v>6.5000000000000002E-2</v>
      </c>
      <c r="AQ19" s="179">
        <v>9.2899999999999996E-2</v>
      </c>
      <c r="AR19" s="179">
        <v>-0.16539999999999999</v>
      </c>
      <c r="AS19" s="179">
        <v>0.25829999999999997</v>
      </c>
      <c r="AT19" s="179">
        <v>0.30969999999999998</v>
      </c>
      <c r="AU19" s="179">
        <v>0.97829999999999995</v>
      </c>
      <c r="AV19" s="179">
        <v>-0.34100000000000003</v>
      </c>
      <c r="AW19" s="179">
        <v>9.5799999999999996E-2</v>
      </c>
      <c r="AX19" s="179">
        <v>5.1499999999999997E-2</v>
      </c>
      <c r="AY19" s="179">
        <v>-0.2039</v>
      </c>
      <c r="AZ19" s="179">
        <v>-7.6999999999999999E-2</v>
      </c>
      <c r="BA19" s="179">
        <v>2.63E-2</v>
      </c>
      <c r="BB19" s="179">
        <v>0.29060000000000002</v>
      </c>
      <c r="BC19" s="179"/>
      <c r="BD19" s="179"/>
    </row>
    <row r="20" spans="1:56">
      <c r="A20" s="186" t="s">
        <v>461</v>
      </c>
      <c r="B20" s="186" t="s">
        <v>460</v>
      </c>
      <c r="C20" s="179">
        <v>0.31569999999999998</v>
      </c>
      <c r="D20" s="179"/>
      <c r="E20" s="179">
        <v>0.12659999999999999</v>
      </c>
      <c r="F20" s="180">
        <v>1072.18</v>
      </c>
      <c r="G20" s="178">
        <v>607</v>
      </c>
      <c r="H20" s="178">
        <v>233</v>
      </c>
      <c r="I20" s="178">
        <v>220</v>
      </c>
      <c r="J20" s="179">
        <v>0.37409999999999999</v>
      </c>
      <c r="K20" s="180">
        <v>4.87</v>
      </c>
      <c r="L20" s="178">
        <v>588</v>
      </c>
      <c r="M20" s="179">
        <v>1.4E-2</v>
      </c>
      <c r="N20" s="181">
        <v>42002</v>
      </c>
      <c r="O20" s="180">
        <v>3396.03</v>
      </c>
      <c r="P20" s="180">
        <v>1.82</v>
      </c>
      <c r="Q20" s="178">
        <v>3.17</v>
      </c>
      <c r="R20" s="180">
        <v>2965.88</v>
      </c>
      <c r="S20" s="178">
        <v>199</v>
      </c>
      <c r="T20" s="180">
        <v>8471.0400000000009</v>
      </c>
      <c r="U20" s="179">
        <v>0.31069999999999998</v>
      </c>
      <c r="V20" s="179">
        <v>0.1114</v>
      </c>
      <c r="W20" s="180">
        <v>861.08</v>
      </c>
      <c r="X20" s="178">
        <v>555</v>
      </c>
      <c r="Y20" s="178">
        <v>190</v>
      </c>
      <c r="Z20" s="178">
        <v>176</v>
      </c>
      <c r="AA20" s="179">
        <v>0.32650000000000001</v>
      </c>
      <c r="AB20" s="180">
        <v>4.8899999999999997</v>
      </c>
      <c r="AC20" s="178">
        <v>539</v>
      </c>
      <c r="AD20" s="179">
        <v>1.23E-2</v>
      </c>
      <c r="AE20" s="181">
        <v>43716</v>
      </c>
      <c r="AF20" s="180">
        <v>2771.37</v>
      </c>
      <c r="AG20" s="180">
        <v>1.6</v>
      </c>
      <c r="AH20" s="178">
        <v>3.22</v>
      </c>
      <c r="AI20" s="180">
        <v>2504.0700000000002</v>
      </c>
      <c r="AJ20" s="178">
        <v>166</v>
      </c>
      <c r="AK20" s="180">
        <v>7731.46</v>
      </c>
      <c r="AL20" s="179">
        <v>1.61E-2</v>
      </c>
      <c r="AM20" s="179">
        <v>0.13639999999999999</v>
      </c>
      <c r="AN20" s="179">
        <v>0.2452</v>
      </c>
      <c r="AO20" s="179">
        <v>9.3700000000000006E-2</v>
      </c>
      <c r="AP20" s="179">
        <v>0.2263</v>
      </c>
      <c r="AQ20" s="179">
        <v>0.25</v>
      </c>
      <c r="AR20" s="179">
        <v>0.14580000000000001</v>
      </c>
      <c r="AS20" s="179">
        <v>-4.1000000000000003E-3</v>
      </c>
      <c r="AT20" s="179">
        <v>9.0899999999999995E-2</v>
      </c>
      <c r="AU20" s="179">
        <v>0.13819999999999999</v>
      </c>
      <c r="AV20" s="179">
        <v>-3.9199999999999999E-2</v>
      </c>
      <c r="AW20" s="179">
        <v>0.22539999999999999</v>
      </c>
      <c r="AX20" s="179">
        <v>0.13750000000000001</v>
      </c>
      <c r="AY20" s="179">
        <v>-1.55E-2</v>
      </c>
      <c r="AZ20" s="179">
        <v>0.18440000000000001</v>
      </c>
      <c r="BA20" s="179">
        <v>0.1988</v>
      </c>
      <c r="BB20" s="179">
        <v>9.5699999999999993E-2</v>
      </c>
      <c r="BC20" s="179"/>
      <c r="BD20" s="179"/>
    </row>
    <row r="21" spans="1:56">
      <c r="A21" s="186" t="s">
        <v>419</v>
      </c>
      <c r="B21" s="186" t="s">
        <v>1992</v>
      </c>
      <c r="C21" s="179">
        <v>0.35570000000000002</v>
      </c>
      <c r="D21" s="179"/>
      <c r="E21" s="179">
        <v>0.40629999999999999</v>
      </c>
      <c r="F21" s="180">
        <v>1063.18</v>
      </c>
      <c r="G21" s="178">
        <v>114</v>
      </c>
      <c r="H21" s="178">
        <v>124</v>
      </c>
      <c r="I21" s="178">
        <v>120</v>
      </c>
      <c r="J21" s="179">
        <v>0.21429999999999999</v>
      </c>
      <c r="K21" s="180">
        <v>8.86</v>
      </c>
      <c r="L21" s="178">
        <v>560</v>
      </c>
      <c r="M21" s="179">
        <v>3.3999999999999998E-3</v>
      </c>
      <c r="N21" s="181">
        <v>166218</v>
      </c>
      <c r="O21" s="180">
        <v>2989.01</v>
      </c>
      <c r="P21" s="180">
        <v>1.9</v>
      </c>
      <c r="Q21" s="178">
        <v>2.81</v>
      </c>
      <c r="R21" s="180">
        <v>1423.35</v>
      </c>
      <c r="S21" s="178">
        <v>62</v>
      </c>
      <c r="T21" s="180">
        <v>2616.56</v>
      </c>
      <c r="U21" s="179">
        <v>0.48770000000000002</v>
      </c>
      <c r="V21" s="179">
        <v>4.0599999999999997E-2</v>
      </c>
      <c r="W21" s="180">
        <v>43.88</v>
      </c>
      <c r="X21" s="178">
        <v>36</v>
      </c>
      <c r="Y21" s="178">
        <v>3</v>
      </c>
      <c r="Z21" s="178">
        <v>3</v>
      </c>
      <c r="AA21" s="179">
        <v>0.13039999999999999</v>
      </c>
      <c r="AB21" s="180">
        <v>14.63</v>
      </c>
      <c r="AC21" s="178">
        <v>23</v>
      </c>
      <c r="AD21" s="179">
        <v>6.6E-3</v>
      </c>
      <c r="AE21" s="181">
        <v>3468</v>
      </c>
      <c r="AF21" s="180">
        <v>89.97</v>
      </c>
      <c r="AG21" s="180">
        <v>1.91</v>
      </c>
      <c r="AH21" s="178">
        <v>2.0499999999999998</v>
      </c>
      <c r="AI21" s="180">
        <v>59.98</v>
      </c>
      <c r="AJ21" s="178">
        <v>2</v>
      </c>
      <c r="AK21" s="180">
        <v>1079.6400000000001</v>
      </c>
      <c r="AL21" s="179">
        <v>-0.2707</v>
      </c>
      <c r="AM21" s="179">
        <v>9.0074000000000005</v>
      </c>
      <c r="AN21" s="179">
        <v>23.229299999999999</v>
      </c>
      <c r="AO21" s="179">
        <v>2.1667000000000001</v>
      </c>
      <c r="AP21" s="179">
        <v>40.333300000000001</v>
      </c>
      <c r="AQ21" s="179">
        <v>39</v>
      </c>
      <c r="AR21" s="179">
        <v>0.64339999999999997</v>
      </c>
      <c r="AS21" s="179">
        <v>-0.39439999999999997</v>
      </c>
      <c r="AT21" s="179">
        <v>23.347799999999999</v>
      </c>
      <c r="AU21" s="179">
        <v>-0.48480000000000001</v>
      </c>
      <c r="AV21" s="179">
        <v>46.929099999999998</v>
      </c>
      <c r="AW21" s="179">
        <v>32.222299999999997</v>
      </c>
      <c r="AX21" s="179">
        <v>-5.1999999999999998E-3</v>
      </c>
      <c r="AY21" s="179">
        <v>0.37069999999999997</v>
      </c>
      <c r="AZ21" s="179">
        <v>22.730399999999999</v>
      </c>
      <c r="BA21" s="179">
        <v>30</v>
      </c>
      <c r="BB21" s="179">
        <v>1.4235</v>
      </c>
      <c r="BC21" s="179"/>
      <c r="BD21" s="179"/>
    </row>
    <row r="22" spans="1:56">
      <c r="A22" s="186" t="s">
        <v>1059</v>
      </c>
      <c r="B22" s="186" t="s">
        <v>1993</v>
      </c>
      <c r="C22" s="179">
        <v>0.30499999999999999</v>
      </c>
      <c r="D22" s="179"/>
      <c r="E22" s="179">
        <v>0.23880000000000001</v>
      </c>
      <c r="F22" s="180">
        <v>1036.72</v>
      </c>
      <c r="G22" s="178">
        <v>251</v>
      </c>
      <c r="H22" s="178">
        <v>188</v>
      </c>
      <c r="I22" s="178">
        <v>175</v>
      </c>
      <c r="J22" s="179">
        <v>0.16750000000000001</v>
      </c>
      <c r="K22" s="180">
        <v>5.92</v>
      </c>
      <c r="L22" s="181">
        <v>1045</v>
      </c>
      <c r="M22" s="179">
        <v>8.0999999999999996E-3</v>
      </c>
      <c r="N22" s="181">
        <v>128714</v>
      </c>
      <c r="O22" s="180">
        <v>3399.54</v>
      </c>
      <c r="P22" s="180">
        <v>0.99</v>
      </c>
      <c r="Q22" s="178">
        <v>3.28</v>
      </c>
      <c r="R22" s="180">
        <v>2482.13</v>
      </c>
      <c r="S22" s="178">
        <v>137</v>
      </c>
      <c r="T22" s="180">
        <v>4341.09</v>
      </c>
      <c r="U22" s="182" t="s">
        <v>1947</v>
      </c>
      <c r="V22" s="182" t="s">
        <v>1947</v>
      </c>
      <c r="W22" s="180">
        <v>0</v>
      </c>
      <c r="X22" s="182" t="s">
        <v>1947</v>
      </c>
      <c r="Y22" s="182" t="s">
        <v>1947</v>
      </c>
      <c r="Z22" s="182" t="s">
        <v>1947</v>
      </c>
      <c r="AA22" s="182" t="s">
        <v>1947</v>
      </c>
      <c r="AB22" s="180">
        <v>0</v>
      </c>
      <c r="AC22" s="182" t="s">
        <v>1947</v>
      </c>
      <c r="AD22" s="182" t="s">
        <v>1947</v>
      </c>
      <c r="AE22" s="182" t="s">
        <v>1947</v>
      </c>
      <c r="AF22" s="180">
        <v>0</v>
      </c>
      <c r="AG22" s="180">
        <v>0</v>
      </c>
      <c r="AH22" s="182" t="s">
        <v>1947</v>
      </c>
      <c r="AI22" s="180">
        <v>0</v>
      </c>
      <c r="AJ22" s="182" t="s">
        <v>1947</v>
      </c>
      <c r="AK22" s="180">
        <v>0</v>
      </c>
      <c r="AL22" s="179">
        <v>30.5</v>
      </c>
      <c r="AM22" s="179">
        <v>23.88</v>
      </c>
      <c r="AN22" s="179">
        <v>1036.72</v>
      </c>
      <c r="AO22" s="179">
        <v>251</v>
      </c>
      <c r="AP22" s="179">
        <v>188</v>
      </c>
      <c r="AQ22" s="179">
        <v>175</v>
      </c>
      <c r="AR22" s="179">
        <v>16.75</v>
      </c>
      <c r="AS22" s="179">
        <v>5.92</v>
      </c>
      <c r="AT22" s="179">
        <v>1045</v>
      </c>
      <c r="AU22" s="179">
        <v>0.81</v>
      </c>
      <c r="AV22" s="179">
        <v>128714</v>
      </c>
      <c r="AW22" s="179">
        <v>3399.54</v>
      </c>
      <c r="AX22" s="179">
        <v>0.99</v>
      </c>
      <c r="AY22" s="179">
        <v>3.28</v>
      </c>
      <c r="AZ22" s="179">
        <v>2482.13</v>
      </c>
      <c r="BA22" s="179">
        <v>137</v>
      </c>
      <c r="BB22" s="179">
        <v>4341.09</v>
      </c>
      <c r="BC22" s="179"/>
      <c r="BD22" s="179"/>
    </row>
    <row r="23" spans="1:56">
      <c r="A23" s="186" t="s">
        <v>182</v>
      </c>
      <c r="B23" s="186" t="s">
        <v>1995</v>
      </c>
      <c r="C23" s="179">
        <v>0.30599999999999999</v>
      </c>
      <c r="D23" s="179"/>
      <c r="E23" s="179">
        <v>0.214</v>
      </c>
      <c r="F23" s="180">
        <v>1000.72</v>
      </c>
      <c r="G23" s="178">
        <v>234</v>
      </c>
      <c r="H23" s="178">
        <v>152</v>
      </c>
      <c r="I23" s="178">
        <v>147</v>
      </c>
      <c r="J23" s="179">
        <v>0.19289999999999999</v>
      </c>
      <c r="K23" s="180">
        <v>6.81</v>
      </c>
      <c r="L23" s="178">
        <v>762</v>
      </c>
      <c r="M23" s="179">
        <v>1.1599999999999999E-2</v>
      </c>
      <c r="N23" s="181">
        <v>65887</v>
      </c>
      <c r="O23" s="180">
        <v>3270.01</v>
      </c>
      <c r="P23" s="180">
        <v>1.31</v>
      </c>
      <c r="Q23" s="178">
        <v>3.27</v>
      </c>
      <c r="R23" s="180">
        <v>1778.91</v>
      </c>
      <c r="S23" s="178">
        <v>87</v>
      </c>
      <c r="T23" s="180">
        <v>4676.46</v>
      </c>
      <c r="U23" s="179">
        <v>0.26819999999999999</v>
      </c>
      <c r="V23" s="179">
        <v>0.24110000000000001</v>
      </c>
      <c r="W23" s="180">
        <v>1427.89</v>
      </c>
      <c r="X23" s="178">
        <v>357</v>
      </c>
      <c r="Y23" s="178">
        <v>270</v>
      </c>
      <c r="Z23" s="178">
        <v>243</v>
      </c>
      <c r="AA23" s="179">
        <v>0.20399999999999999</v>
      </c>
      <c r="AB23" s="180">
        <v>5.88</v>
      </c>
      <c r="AC23" s="181">
        <v>1191</v>
      </c>
      <c r="AD23" s="179">
        <v>7.6E-3</v>
      </c>
      <c r="AE23" s="181">
        <v>156416</v>
      </c>
      <c r="AF23" s="180">
        <v>5323.05</v>
      </c>
      <c r="AG23" s="180">
        <v>1.2</v>
      </c>
      <c r="AH23" s="178">
        <v>3.73</v>
      </c>
      <c r="AI23" s="180">
        <v>2852.69</v>
      </c>
      <c r="AJ23" s="178">
        <v>152</v>
      </c>
      <c r="AK23" s="180">
        <v>5921.63</v>
      </c>
      <c r="AL23" s="179">
        <v>0.1409</v>
      </c>
      <c r="AM23" s="179">
        <v>-0.1124</v>
      </c>
      <c r="AN23" s="179">
        <v>-0.29920000000000002</v>
      </c>
      <c r="AO23" s="179">
        <v>-0.34449999999999997</v>
      </c>
      <c r="AP23" s="179">
        <v>-0.437</v>
      </c>
      <c r="AQ23" s="179">
        <v>-0.39510000000000001</v>
      </c>
      <c r="AR23" s="179">
        <v>-5.4399999999999997E-2</v>
      </c>
      <c r="AS23" s="179">
        <v>0.15820000000000001</v>
      </c>
      <c r="AT23" s="179">
        <v>-0.36020000000000002</v>
      </c>
      <c r="AU23" s="179">
        <v>0.52629999999999999</v>
      </c>
      <c r="AV23" s="179">
        <v>-0.57879999999999998</v>
      </c>
      <c r="AW23" s="179">
        <v>-0.38569999999999999</v>
      </c>
      <c r="AX23" s="179">
        <v>9.1700000000000004E-2</v>
      </c>
      <c r="AY23" s="179">
        <v>-0.12330000000000001</v>
      </c>
      <c r="AZ23" s="179">
        <v>-0.37640000000000001</v>
      </c>
      <c r="BA23" s="179">
        <v>-0.42759999999999998</v>
      </c>
      <c r="BB23" s="179">
        <v>-0.21029999999999999</v>
      </c>
      <c r="BC23" s="179"/>
      <c r="BD23" s="179"/>
    </row>
    <row r="24" spans="1:56">
      <c r="A24" s="178" t="s">
        <v>293</v>
      </c>
      <c r="B24" s="178" t="s">
        <v>2001</v>
      </c>
      <c r="C24" s="179">
        <v>0.33960000000000001</v>
      </c>
      <c r="D24" s="179"/>
      <c r="E24" s="179">
        <v>0.38300000000000001</v>
      </c>
      <c r="F24" s="180">
        <v>899.19</v>
      </c>
      <c r="G24" s="178">
        <v>157</v>
      </c>
      <c r="H24" s="178">
        <v>142</v>
      </c>
      <c r="I24" s="178">
        <v>137</v>
      </c>
      <c r="J24" s="179">
        <v>0.1968</v>
      </c>
      <c r="K24" s="180">
        <v>6.56</v>
      </c>
      <c r="L24" s="178">
        <v>696</v>
      </c>
      <c r="M24" s="179">
        <v>7.3000000000000001E-3</v>
      </c>
      <c r="N24" s="181">
        <v>94849</v>
      </c>
      <c r="O24" s="180">
        <v>2648.17</v>
      </c>
      <c r="P24" s="180">
        <v>1.29</v>
      </c>
      <c r="Q24" s="178">
        <v>2.95</v>
      </c>
      <c r="R24" s="180">
        <v>1292.71</v>
      </c>
      <c r="S24" s="178">
        <v>80</v>
      </c>
      <c r="T24" s="180">
        <v>2347.9899999999998</v>
      </c>
      <c r="U24" s="179">
        <v>0.16389999999999999</v>
      </c>
      <c r="V24" s="179">
        <v>0.24440000000000001</v>
      </c>
      <c r="W24" s="180">
        <v>543.94000000000005</v>
      </c>
      <c r="X24" s="178">
        <v>158</v>
      </c>
      <c r="Y24" s="178">
        <v>161</v>
      </c>
      <c r="Z24" s="178">
        <v>157</v>
      </c>
      <c r="AA24" s="179">
        <v>0.33550000000000002</v>
      </c>
      <c r="AB24" s="180">
        <v>3.46</v>
      </c>
      <c r="AC24" s="178">
        <v>468</v>
      </c>
      <c r="AD24" s="179">
        <v>2.8E-3</v>
      </c>
      <c r="AE24" s="181">
        <v>170083</v>
      </c>
      <c r="AF24" s="180">
        <v>3319.46</v>
      </c>
      <c r="AG24" s="180">
        <v>1.1599999999999999</v>
      </c>
      <c r="AH24" s="178">
        <v>6.1</v>
      </c>
      <c r="AI24" s="180">
        <v>883.38</v>
      </c>
      <c r="AJ24" s="178">
        <v>59</v>
      </c>
      <c r="AK24" s="180">
        <v>2225.62</v>
      </c>
      <c r="AL24" s="179">
        <v>1.0720000000000001</v>
      </c>
      <c r="AM24" s="179">
        <v>0.56710000000000005</v>
      </c>
      <c r="AN24" s="179">
        <v>0.65310000000000001</v>
      </c>
      <c r="AO24" s="179">
        <v>-6.3E-3</v>
      </c>
      <c r="AP24" s="179">
        <v>-0.11799999999999999</v>
      </c>
      <c r="AQ24" s="179">
        <v>-0.12740000000000001</v>
      </c>
      <c r="AR24" s="179">
        <v>-0.41339999999999999</v>
      </c>
      <c r="AS24" s="179">
        <v>0.89600000000000002</v>
      </c>
      <c r="AT24" s="179">
        <v>0.48720000000000002</v>
      </c>
      <c r="AU24" s="179">
        <v>1.6071</v>
      </c>
      <c r="AV24" s="179">
        <v>-0.44230000000000003</v>
      </c>
      <c r="AW24" s="179">
        <v>-0.20219999999999999</v>
      </c>
      <c r="AX24" s="179">
        <v>0.11210000000000001</v>
      </c>
      <c r="AY24" s="179">
        <v>-0.51639999999999997</v>
      </c>
      <c r="AZ24" s="179">
        <v>0.46339999999999998</v>
      </c>
      <c r="BA24" s="179">
        <v>0.35589999999999999</v>
      </c>
      <c r="BB24" s="179">
        <v>5.5E-2</v>
      </c>
      <c r="BC24" s="179"/>
      <c r="BD24" s="179"/>
    </row>
    <row r="25" spans="1:56">
      <c r="A25" s="178" t="s">
        <v>1167</v>
      </c>
      <c r="B25" s="178" t="s">
        <v>2035</v>
      </c>
      <c r="C25" s="179">
        <v>0.39650000000000002</v>
      </c>
      <c r="D25" s="179"/>
      <c r="E25" s="179">
        <v>8.8499999999999995E-2</v>
      </c>
      <c r="F25" s="180">
        <v>892.03</v>
      </c>
      <c r="G25" s="178">
        <v>472</v>
      </c>
      <c r="H25" s="178">
        <v>112</v>
      </c>
      <c r="I25" s="178">
        <v>105</v>
      </c>
      <c r="J25" s="179">
        <v>0.23130000000000001</v>
      </c>
      <c r="K25" s="180">
        <v>8.5</v>
      </c>
      <c r="L25" s="178">
        <v>454</v>
      </c>
      <c r="M25" s="179">
        <v>6.7999999999999996E-3</v>
      </c>
      <c r="N25" s="181">
        <v>66923</v>
      </c>
      <c r="O25" s="180">
        <v>2249.92</v>
      </c>
      <c r="P25" s="180">
        <v>1.96</v>
      </c>
      <c r="Q25" s="178">
        <v>2.52</v>
      </c>
      <c r="R25" s="180">
        <v>1634.19</v>
      </c>
      <c r="S25" s="178">
        <v>76</v>
      </c>
      <c r="T25" s="180">
        <v>10074.780000000001</v>
      </c>
      <c r="U25" s="179">
        <v>0.2969</v>
      </c>
      <c r="V25" s="179">
        <v>2.8899999999999999E-2</v>
      </c>
      <c r="W25" s="180">
        <v>834.22</v>
      </c>
      <c r="X25" s="181">
        <v>1154</v>
      </c>
      <c r="Y25" s="178">
        <v>117</v>
      </c>
      <c r="Z25" s="178">
        <v>109</v>
      </c>
      <c r="AA25" s="179">
        <v>0.24829999999999999</v>
      </c>
      <c r="AB25" s="180">
        <v>7.65</v>
      </c>
      <c r="AC25" s="178">
        <v>439</v>
      </c>
      <c r="AD25" s="179">
        <v>1.01E-2</v>
      </c>
      <c r="AE25" s="181">
        <v>43448</v>
      </c>
      <c r="AF25" s="180">
        <v>2809.69</v>
      </c>
      <c r="AG25" s="180">
        <v>1.9</v>
      </c>
      <c r="AH25" s="178">
        <v>3.37</v>
      </c>
      <c r="AI25" s="180">
        <v>2198.87</v>
      </c>
      <c r="AJ25" s="178">
        <v>81</v>
      </c>
      <c r="AK25" s="180">
        <v>28825.96</v>
      </c>
      <c r="AL25" s="179">
        <v>0.33550000000000002</v>
      </c>
      <c r="AM25" s="179">
        <v>2.0623</v>
      </c>
      <c r="AN25" s="179">
        <v>6.93E-2</v>
      </c>
      <c r="AO25" s="179">
        <v>-0.59099999999999997</v>
      </c>
      <c r="AP25" s="179">
        <v>-4.2700000000000002E-2</v>
      </c>
      <c r="AQ25" s="179">
        <v>-3.6700000000000003E-2</v>
      </c>
      <c r="AR25" s="179">
        <v>-6.8500000000000005E-2</v>
      </c>
      <c r="AS25" s="179">
        <v>0.1111</v>
      </c>
      <c r="AT25" s="179">
        <v>3.4200000000000001E-2</v>
      </c>
      <c r="AU25" s="179">
        <v>-0.32669999999999999</v>
      </c>
      <c r="AV25" s="179">
        <v>0.5403</v>
      </c>
      <c r="AW25" s="179">
        <v>-0.19919999999999999</v>
      </c>
      <c r="AX25" s="179">
        <v>3.1600000000000003E-2</v>
      </c>
      <c r="AY25" s="179">
        <v>-0.25219999999999998</v>
      </c>
      <c r="AZ25" s="179">
        <v>-0.25679999999999997</v>
      </c>
      <c r="BA25" s="179">
        <v>-6.1699999999999998E-2</v>
      </c>
      <c r="BB25" s="179">
        <v>-0.65049999999999997</v>
      </c>
      <c r="BC25" s="179"/>
      <c r="BD25" s="179"/>
    </row>
    <row r="26" spans="1:56">
      <c r="A26" s="178" t="s">
        <v>1039</v>
      </c>
      <c r="B26" s="178" t="s">
        <v>2002</v>
      </c>
      <c r="C26" s="179">
        <v>0.41020000000000001</v>
      </c>
      <c r="D26" s="179"/>
      <c r="E26" s="179">
        <v>0.31280000000000002</v>
      </c>
      <c r="F26" s="180">
        <v>885.42</v>
      </c>
      <c r="G26" s="178">
        <v>118</v>
      </c>
      <c r="H26" s="178">
        <v>94</v>
      </c>
      <c r="I26" s="178">
        <v>90</v>
      </c>
      <c r="J26" s="179">
        <v>0.13239999999999999</v>
      </c>
      <c r="K26" s="180">
        <v>9.84</v>
      </c>
      <c r="L26" s="178">
        <v>680</v>
      </c>
      <c r="M26" s="179">
        <v>6.0000000000000001E-3</v>
      </c>
      <c r="N26" s="181">
        <v>113748</v>
      </c>
      <c r="O26" s="180">
        <v>2158.7600000000002</v>
      </c>
      <c r="P26" s="180">
        <v>1.3</v>
      </c>
      <c r="Q26" s="178">
        <v>2.44</v>
      </c>
      <c r="R26" s="180">
        <v>1319.45</v>
      </c>
      <c r="S26" s="178">
        <v>52</v>
      </c>
      <c r="T26" s="180">
        <v>2830.34</v>
      </c>
      <c r="U26" s="179">
        <v>0.39889999999999998</v>
      </c>
      <c r="V26" s="179">
        <v>0.28039999999999998</v>
      </c>
      <c r="W26" s="180">
        <v>585.24</v>
      </c>
      <c r="X26" s="178">
        <v>87</v>
      </c>
      <c r="Y26" s="178">
        <v>63</v>
      </c>
      <c r="Z26" s="178">
        <v>62</v>
      </c>
      <c r="AA26" s="179">
        <v>0.14219999999999999</v>
      </c>
      <c r="AB26" s="180">
        <v>9.44</v>
      </c>
      <c r="AC26" s="178">
        <v>436</v>
      </c>
      <c r="AD26" s="179">
        <v>5.5999999999999999E-3</v>
      </c>
      <c r="AE26" s="181">
        <v>77369</v>
      </c>
      <c r="AF26" s="180">
        <v>1467.13</v>
      </c>
      <c r="AG26" s="180">
        <v>1.34</v>
      </c>
      <c r="AH26" s="178">
        <v>2.5099999999999998</v>
      </c>
      <c r="AI26" s="180">
        <v>647.73</v>
      </c>
      <c r="AJ26" s="178">
        <v>27</v>
      </c>
      <c r="AK26" s="180">
        <v>2087.13</v>
      </c>
      <c r="AL26" s="179">
        <v>2.8299999999999999E-2</v>
      </c>
      <c r="AM26" s="179">
        <v>0.11550000000000001</v>
      </c>
      <c r="AN26" s="179">
        <v>0.51290000000000002</v>
      </c>
      <c r="AO26" s="179">
        <v>0.35630000000000001</v>
      </c>
      <c r="AP26" s="179">
        <v>0.49209999999999998</v>
      </c>
      <c r="AQ26" s="179">
        <v>0.4516</v>
      </c>
      <c r="AR26" s="179">
        <v>-6.8900000000000003E-2</v>
      </c>
      <c r="AS26" s="179">
        <v>4.24E-2</v>
      </c>
      <c r="AT26" s="179">
        <v>0.55959999999999999</v>
      </c>
      <c r="AU26" s="179">
        <v>7.1400000000000005E-2</v>
      </c>
      <c r="AV26" s="179">
        <v>0.47020000000000001</v>
      </c>
      <c r="AW26" s="179">
        <v>0.47139999999999999</v>
      </c>
      <c r="AX26" s="179">
        <v>-2.9899999999999999E-2</v>
      </c>
      <c r="AY26" s="179">
        <v>-2.7900000000000001E-2</v>
      </c>
      <c r="AZ26" s="179">
        <v>1.0369999999999999</v>
      </c>
      <c r="BA26" s="179">
        <v>0.92589999999999995</v>
      </c>
      <c r="BB26" s="179">
        <v>0.35610000000000003</v>
      </c>
      <c r="BC26" s="179"/>
      <c r="BD26" s="179"/>
    </row>
    <row r="27" spans="1:56">
      <c r="A27" s="178" t="s">
        <v>1005</v>
      </c>
      <c r="B27" s="178" t="s">
        <v>1004</v>
      </c>
      <c r="C27" s="179">
        <v>0.317</v>
      </c>
      <c r="D27" s="179"/>
      <c r="E27" s="179">
        <v>0.1719</v>
      </c>
      <c r="F27" s="180">
        <v>872.91</v>
      </c>
      <c r="G27" s="178">
        <v>299</v>
      </c>
      <c r="H27" s="178">
        <v>151</v>
      </c>
      <c r="I27" s="178">
        <v>144</v>
      </c>
      <c r="J27" s="179">
        <v>0.23530000000000001</v>
      </c>
      <c r="K27" s="180">
        <v>6.06</v>
      </c>
      <c r="L27" s="178">
        <v>612</v>
      </c>
      <c r="M27" s="179">
        <v>8.2000000000000007E-3</v>
      </c>
      <c r="N27" s="181">
        <v>74257</v>
      </c>
      <c r="O27" s="180">
        <v>2753.66</v>
      </c>
      <c r="P27" s="180">
        <v>1.43</v>
      </c>
      <c r="Q27" s="178">
        <v>3.15</v>
      </c>
      <c r="R27" s="180">
        <v>2055.62</v>
      </c>
      <c r="S27" s="178">
        <v>114</v>
      </c>
      <c r="T27" s="180">
        <v>5078.99</v>
      </c>
      <c r="U27" s="179">
        <v>0.28989999999999999</v>
      </c>
      <c r="V27" s="179">
        <v>0.12670000000000001</v>
      </c>
      <c r="W27" s="180">
        <v>790.23</v>
      </c>
      <c r="X27" s="178">
        <v>367</v>
      </c>
      <c r="Y27" s="178">
        <v>148</v>
      </c>
      <c r="Z27" s="178">
        <v>143</v>
      </c>
      <c r="AA27" s="179">
        <v>0.24909999999999999</v>
      </c>
      <c r="AB27" s="180">
        <v>5.53</v>
      </c>
      <c r="AC27" s="178">
        <v>574</v>
      </c>
      <c r="AD27" s="179">
        <v>8.8000000000000005E-3</v>
      </c>
      <c r="AE27" s="181">
        <v>65150</v>
      </c>
      <c r="AF27" s="180">
        <v>2725.44</v>
      </c>
      <c r="AG27" s="180">
        <v>1.38</v>
      </c>
      <c r="AH27" s="178">
        <v>3.45</v>
      </c>
      <c r="AI27" s="180">
        <v>1970.67</v>
      </c>
      <c r="AJ27" s="178">
        <v>111</v>
      </c>
      <c r="AK27" s="180">
        <v>6234.65</v>
      </c>
      <c r="AL27" s="179">
        <v>9.35E-2</v>
      </c>
      <c r="AM27" s="179">
        <v>0.35670000000000002</v>
      </c>
      <c r="AN27" s="179">
        <v>0.1046</v>
      </c>
      <c r="AO27" s="179">
        <v>-0.18529999999999999</v>
      </c>
      <c r="AP27" s="179">
        <v>2.0299999999999999E-2</v>
      </c>
      <c r="AQ27" s="179">
        <v>7.0000000000000001E-3</v>
      </c>
      <c r="AR27" s="179">
        <v>-5.5399999999999998E-2</v>
      </c>
      <c r="AS27" s="179">
        <v>9.5799999999999996E-2</v>
      </c>
      <c r="AT27" s="179">
        <v>6.6199999999999995E-2</v>
      </c>
      <c r="AU27" s="179">
        <v>-6.8199999999999997E-2</v>
      </c>
      <c r="AV27" s="179">
        <v>0.13980000000000001</v>
      </c>
      <c r="AW27" s="179">
        <v>1.04E-2</v>
      </c>
      <c r="AX27" s="179">
        <v>3.6200000000000003E-2</v>
      </c>
      <c r="AY27" s="179">
        <v>-8.6999999999999994E-2</v>
      </c>
      <c r="AZ27" s="179">
        <v>4.3099999999999999E-2</v>
      </c>
      <c r="BA27" s="179">
        <v>2.7E-2</v>
      </c>
      <c r="BB27" s="179">
        <v>-0.18540000000000001</v>
      </c>
      <c r="BC27" s="179"/>
      <c r="BD27" s="179"/>
    </row>
    <row r="28" spans="1:56">
      <c r="A28" s="178" t="s">
        <v>350</v>
      </c>
      <c r="B28" s="178" t="s">
        <v>2004</v>
      </c>
      <c r="C28" s="179">
        <v>0.36570000000000003</v>
      </c>
      <c r="D28" s="179"/>
      <c r="E28" s="179">
        <v>0.40279999999999999</v>
      </c>
      <c r="F28" s="180">
        <v>864.65</v>
      </c>
      <c r="G28" s="178">
        <v>132</v>
      </c>
      <c r="H28" s="178">
        <v>128</v>
      </c>
      <c r="I28" s="178">
        <v>121</v>
      </c>
      <c r="J28" s="179">
        <v>0.14560000000000001</v>
      </c>
      <c r="K28" s="180">
        <v>7.15</v>
      </c>
      <c r="L28" s="178">
        <v>831</v>
      </c>
      <c r="M28" s="179">
        <v>6.0000000000000001E-3</v>
      </c>
      <c r="N28" s="181">
        <v>138707</v>
      </c>
      <c r="O28" s="180">
        <v>2364.23</v>
      </c>
      <c r="P28" s="180">
        <v>1.04</v>
      </c>
      <c r="Q28" s="178">
        <v>2.73</v>
      </c>
      <c r="R28" s="180">
        <v>1243.21</v>
      </c>
      <c r="S28" s="178">
        <v>75</v>
      </c>
      <c r="T28" s="180">
        <v>2146.6799999999998</v>
      </c>
      <c r="U28" s="179">
        <v>0.39489999999999997</v>
      </c>
      <c r="V28" s="179">
        <v>0.39050000000000001</v>
      </c>
      <c r="W28" s="180">
        <v>611.83000000000004</v>
      </c>
      <c r="X28" s="178">
        <v>95</v>
      </c>
      <c r="Y28" s="178">
        <v>80</v>
      </c>
      <c r="Z28" s="178">
        <v>76</v>
      </c>
      <c r="AA28" s="179">
        <v>0.129</v>
      </c>
      <c r="AB28" s="180">
        <v>8.0500000000000007</v>
      </c>
      <c r="AC28" s="178">
        <v>589</v>
      </c>
      <c r="AD28" s="179">
        <v>8.9999999999999998E-4</v>
      </c>
      <c r="AE28" s="181">
        <v>635849</v>
      </c>
      <c r="AF28" s="180">
        <v>1549.33</v>
      </c>
      <c r="AG28" s="180">
        <v>1.04</v>
      </c>
      <c r="AH28" s="178">
        <v>2.5299999999999998</v>
      </c>
      <c r="AI28" s="180">
        <v>737.55</v>
      </c>
      <c r="AJ28" s="178">
        <v>42</v>
      </c>
      <c r="AK28" s="180">
        <v>1566.85</v>
      </c>
      <c r="AL28" s="179">
        <v>-7.3899999999999993E-2</v>
      </c>
      <c r="AM28" s="179">
        <v>3.15E-2</v>
      </c>
      <c r="AN28" s="179">
        <v>0.41320000000000001</v>
      </c>
      <c r="AO28" s="179">
        <v>0.38950000000000001</v>
      </c>
      <c r="AP28" s="179">
        <v>0.6</v>
      </c>
      <c r="AQ28" s="179">
        <v>0.59209999999999996</v>
      </c>
      <c r="AR28" s="179">
        <v>0.12870000000000001</v>
      </c>
      <c r="AS28" s="179">
        <v>-0.1118</v>
      </c>
      <c r="AT28" s="179">
        <v>0.41089999999999999</v>
      </c>
      <c r="AU28" s="179">
        <v>5.6666999999999996</v>
      </c>
      <c r="AV28" s="179">
        <v>-0.78190000000000004</v>
      </c>
      <c r="AW28" s="179">
        <v>0.52600000000000002</v>
      </c>
      <c r="AX28" s="179">
        <v>0</v>
      </c>
      <c r="AY28" s="179">
        <v>7.9100000000000004E-2</v>
      </c>
      <c r="AZ28" s="179">
        <v>0.68559999999999999</v>
      </c>
      <c r="BA28" s="179">
        <v>0.78569999999999995</v>
      </c>
      <c r="BB28" s="179">
        <v>0.37009999999999998</v>
      </c>
      <c r="BC28" s="179"/>
      <c r="BD28" s="179"/>
    </row>
    <row r="29" spans="1:56">
      <c r="A29" s="178" t="s">
        <v>1376</v>
      </c>
      <c r="B29" s="178" t="s">
        <v>2036</v>
      </c>
      <c r="C29" s="179">
        <v>0.32100000000000001</v>
      </c>
      <c r="D29" s="179"/>
      <c r="E29" s="179">
        <v>0.1028</v>
      </c>
      <c r="F29" s="180">
        <v>812.03</v>
      </c>
      <c r="G29" s="178">
        <v>465</v>
      </c>
      <c r="H29" s="178">
        <v>139</v>
      </c>
      <c r="I29" s="178">
        <v>114</v>
      </c>
      <c r="J29" s="179">
        <v>0.20469999999999999</v>
      </c>
      <c r="K29" s="180">
        <v>7.12</v>
      </c>
      <c r="L29" s="178">
        <v>557</v>
      </c>
      <c r="M29" s="179">
        <v>9.5999999999999992E-3</v>
      </c>
      <c r="N29" s="181">
        <v>58264</v>
      </c>
      <c r="O29" s="180">
        <v>2529.6799999999998</v>
      </c>
      <c r="P29" s="180">
        <v>1.46</v>
      </c>
      <c r="Q29" s="178">
        <v>3.12</v>
      </c>
      <c r="R29" s="180">
        <v>1698.83</v>
      </c>
      <c r="S29" s="178">
        <v>93</v>
      </c>
      <c r="T29" s="180">
        <v>7899.16</v>
      </c>
      <c r="U29" s="179">
        <v>0.26910000000000001</v>
      </c>
      <c r="V29" s="179">
        <v>9.0200000000000002E-2</v>
      </c>
      <c r="W29" s="180">
        <v>704.7</v>
      </c>
      <c r="X29" s="178">
        <v>460</v>
      </c>
      <c r="Y29" s="178">
        <v>140</v>
      </c>
      <c r="Z29" s="178">
        <v>127</v>
      </c>
      <c r="AA29" s="179">
        <v>0.2414</v>
      </c>
      <c r="AB29" s="180">
        <v>5.55</v>
      </c>
      <c r="AC29" s="178">
        <v>526</v>
      </c>
      <c r="AD29" s="179">
        <v>8.5000000000000006E-3</v>
      </c>
      <c r="AE29" s="181">
        <v>61759</v>
      </c>
      <c r="AF29" s="180">
        <v>2618.36</v>
      </c>
      <c r="AG29" s="180">
        <v>1.34</v>
      </c>
      <c r="AH29" s="178">
        <v>3.72</v>
      </c>
      <c r="AI29" s="180">
        <v>1681.57</v>
      </c>
      <c r="AJ29" s="178">
        <v>97</v>
      </c>
      <c r="AK29" s="180">
        <v>7812.22</v>
      </c>
      <c r="AL29" s="179">
        <v>0.19289999999999999</v>
      </c>
      <c r="AM29" s="179">
        <v>0.13969999999999999</v>
      </c>
      <c r="AN29" s="179">
        <v>0.15229999999999999</v>
      </c>
      <c r="AO29" s="179">
        <v>1.09E-2</v>
      </c>
      <c r="AP29" s="179">
        <v>-7.1000000000000004E-3</v>
      </c>
      <c r="AQ29" s="179">
        <v>-0.1024</v>
      </c>
      <c r="AR29" s="179">
        <v>-0.152</v>
      </c>
      <c r="AS29" s="179">
        <v>0.28289999999999998</v>
      </c>
      <c r="AT29" s="179">
        <v>5.8900000000000001E-2</v>
      </c>
      <c r="AU29" s="179">
        <v>0.12939999999999999</v>
      </c>
      <c r="AV29" s="179">
        <v>-5.6599999999999998E-2</v>
      </c>
      <c r="AW29" s="179">
        <v>-3.39E-2</v>
      </c>
      <c r="AX29" s="179">
        <v>8.9599999999999999E-2</v>
      </c>
      <c r="AY29" s="179">
        <v>-0.1613</v>
      </c>
      <c r="AZ29" s="179">
        <v>1.03E-2</v>
      </c>
      <c r="BA29" s="179">
        <v>-4.1200000000000001E-2</v>
      </c>
      <c r="BB29" s="179">
        <v>1.11E-2</v>
      </c>
      <c r="BC29" s="179"/>
      <c r="BD29" s="179"/>
    </row>
    <row r="30" spans="1:56">
      <c r="A30" s="178" t="s">
        <v>250</v>
      </c>
      <c r="B30" s="178" t="s">
        <v>2005</v>
      </c>
      <c r="C30" s="179">
        <v>0.30259999999999998</v>
      </c>
      <c r="D30" s="179"/>
      <c r="E30" s="179">
        <v>0.28029999999999999</v>
      </c>
      <c r="F30" s="180">
        <v>807.25</v>
      </c>
      <c r="G30" s="178">
        <v>131</v>
      </c>
      <c r="H30" s="178">
        <v>123</v>
      </c>
      <c r="I30" s="178">
        <v>118</v>
      </c>
      <c r="J30" s="179">
        <v>0.21340000000000001</v>
      </c>
      <c r="K30" s="180">
        <v>6.84</v>
      </c>
      <c r="L30" s="178">
        <v>553</v>
      </c>
      <c r="M30" s="179">
        <v>3.8E-3</v>
      </c>
      <c r="N30" s="181">
        <v>145858</v>
      </c>
      <c r="O30" s="180">
        <v>2667.43</v>
      </c>
      <c r="P30" s="180">
        <v>1.46</v>
      </c>
      <c r="Q30" s="178">
        <v>3.3</v>
      </c>
      <c r="R30" s="180">
        <v>1868.93</v>
      </c>
      <c r="S30" s="178">
        <v>83</v>
      </c>
      <c r="T30" s="180">
        <v>2880.25</v>
      </c>
      <c r="U30" s="179">
        <v>0.21260000000000001</v>
      </c>
      <c r="V30" s="179">
        <v>0.24410000000000001</v>
      </c>
      <c r="W30" s="180">
        <v>751.8</v>
      </c>
      <c r="X30" s="178">
        <v>182</v>
      </c>
      <c r="Y30" s="178">
        <v>189</v>
      </c>
      <c r="Z30" s="178">
        <v>154</v>
      </c>
      <c r="AA30" s="179">
        <v>0.26100000000000001</v>
      </c>
      <c r="AB30" s="180">
        <v>4.88</v>
      </c>
      <c r="AC30" s="178">
        <v>590</v>
      </c>
      <c r="AD30" s="179">
        <v>3.3999999999999998E-3</v>
      </c>
      <c r="AE30" s="181">
        <v>173750</v>
      </c>
      <c r="AF30" s="180">
        <v>3535.41</v>
      </c>
      <c r="AG30" s="180">
        <v>1.27</v>
      </c>
      <c r="AH30" s="178">
        <v>4.7</v>
      </c>
      <c r="AI30" s="180">
        <v>1792.53</v>
      </c>
      <c r="AJ30" s="178">
        <v>100</v>
      </c>
      <c r="AK30" s="180">
        <v>3080.38</v>
      </c>
      <c r="AL30" s="179">
        <v>0.42330000000000001</v>
      </c>
      <c r="AM30" s="179">
        <v>0.14829999999999999</v>
      </c>
      <c r="AN30" s="179">
        <v>7.3800000000000004E-2</v>
      </c>
      <c r="AO30" s="179">
        <v>-0.2802</v>
      </c>
      <c r="AP30" s="179">
        <v>-0.34920000000000001</v>
      </c>
      <c r="AQ30" s="179">
        <v>-0.23380000000000001</v>
      </c>
      <c r="AR30" s="179">
        <v>-0.18240000000000001</v>
      </c>
      <c r="AS30" s="179">
        <v>0.40160000000000001</v>
      </c>
      <c r="AT30" s="179">
        <v>-6.2700000000000006E-2</v>
      </c>
      <c r="AU30" s="179">
        <v>0.1176</v>
      </c>
      <c r="AV30" s="179">
        <v>-0.1605</v>
      </c>
      <c r="AW30" s="179">
        <v>-0.2455</v>
      </c>
      <c r="AX30" s="179">
        <v>0.14960000000000001</v>
      </c>
      <c r="AY30" s="179">
        <v>-0.2979</v>
      </c>
      <c r="AZ30" s="179">
        <v>4.2599999999999999E-2</v>
      </c>
      <c r="BA30" s="179">
        <v>-0.17</v>
      </c>
      <c r="BB30" s="179">
        <v>-6.5000000000000002E-2</v>
      </c>
      <c r="BC30" s="179"/>
      <c r="BD30" s="179"/>
    </row>
    <row r="31" spans="1:56">
      <c r="A31" s="178" t="s">
        <v>242</v>
      </c>
      <c r="B31" s="178" t="s">
        <v>2006</v>
      </c>
      <c r="C31" s="179">
        <v>0.4209</v>
      </c>
      <c r="D31" s="179"/>
      <c r="E31" s="179">
        <v>0.3165</v>
      </c>
      <c r="F31" s="180">
        <v>804.61</v>
      </c>
      <c r="G31" s="178">
        <v>147</v>
      </c>
      <c r="H31" s="178">
        <v>95</v>
      </c>
      <c r="I31" s="178">
        <v>69</v>
      </c>
      <c r="J31" s="179">
        <v>0.1099</v>
      </c>
      <c r="K31" s="180">
        <v>11.66</v>
      </c>
      <c r="L31" s="178">
        <v>628</v>
      </c>
      <c r="M31" s="179">
        <v>1.3100000000000001E-2</v>
      </c>
      <c r="N31" s="181">
        <v>47834</v>
      </c>
      <c r="O31" s="180">
        <v>1911.72</v>
      </c>
      <c r="P31" s="180">
        <v>1.28</v>
      </c>
      <c r="Q31" s="178">
        <v>2.38</v>
      </c>
      <c r="R31" s="180">
        <v>733.54</v>
      </c>
      <c r="S31" s="178">
        <v>44</v>
      </c>
      <c r="T31" s="180">
        <v>2542.5300000000002</v>
      </c>
      <c r="U31" s="179">
        <v>0.5645</v>
      </c>
      <c r="V31" s="179">
        <v>0.20780000000000001</v>
      </c>
      <c r="W31" s="180">
        <v>629.62</v>
      </c>
      <c r="X31" s="178">
        <v>194</v>
      </c>
      <c r="Y31" s="178">
        <v>61</v>
      </c>
      <c r="Z31" s="178">
        <v>58</v>
      </c>
      <c r="AA31" s="179">
        <v>0.10489999999999999</v>
      </c>
      <c r="AB31" s="180">
        <v>10.86</v>
      </c>
      <c r="AC31" s="178">
        <v>553</v>
      </c>
      <c r="AD31" s="179">
        <v>5.9999999999999995E-4</v>
      </c>
      <c r="AE31" s="181">
        <v>940163</v>
      </c>
      <c r="AF31" s="180">
        <v>1115.3900000000001</v>
      </c>
      <c r="AG31" s="180">
        <v>1.1399999999999999</v>
      </c>
      <c r="AH31" s="178">
        <v>1.77</v>
      </c>
      <c r="AI31" s="180">
        <v>667.57</v>
      </c>
      <c r="AJ31" s="178">
        <v>41</v>
      </c>
      <c r="AK31" s="180">
        <v>3030.06</v>
      </c>
      <c r="AL31" s="179">
        <v>-0.25440000000000002</v>
      </c>
      <c r="AM31" s="179">
        <v>0.52310000000000001</v>
      </c>
      <c r="AN31" s="179">
        <v>0.27789999999999998</v>
      </c>
      <c r="AO31" s="179">
        <v>-0.24229999999999999</v>
      </c>
      <c r="AP31" s="179">
        <v>0.55740000000000001</v>
      </c>
      <c r="AQ31" s="179">
        <v>0.18970000000000001</v>
      </c>
      <c r="AR31" s="179">
        <v>4.7699999999999999E-2</v>
      </c>
      <c r="AS31" s="179">
        <v>7.3700000000000002E-2</v>
      </c>
      <c r="AT31" s="179">
        <v>0.1356</v>
      </c>
      <c r="AU31" s="179">
        <v>20.833300000000001</v>
      </c>
      <c r="AV31" s="179">
        <v>-0.94910000000000005</v>
      </c>
      <c r="AW31" s="179">
        <v>0.71389999999999998</v>
      </c>
      <c r="AX31" s="179">
        <v>0.12280000000000001</v>
      </c>
      <c r="AY31" s="179">
        <v>0.34460000000000002</v>
      </c>
      <c r="AZ31" s="179">
        <v>9.8799999999999999E-2</v>
      </c>
      <c r="BA31" s="179">
        <v>7.3200000000000001E-2</v>
      </c>
      <c r="BB31" s="179">
        <v>-0.16089999999999999</v>
      </c>
      <c r="BC31" s="179"/>
      <c r="BD31" s="179"/>
    </row>
    <row r="32" spans="1:56">
      <c r="A32" s="178" t="s">
        <v>277</v>
      </c>
      <c r="B32" s="178" t="s">
        <v>2009</v>
      </c>
      <c r="C32" s="179">
        <v>0.72289999999999999</v>
      </c>
      <c r="D32" s="179"/>
      <c r="E32" s="179">
        <v>0.53680000000000005</v>
      </c>
      <c r="F32" s="180">
        <v>765.11</v>
      </c>
      <c r="G32" s="178">
        <v>78</v>
      </c>
      <c r="H32" s="178">
        <v>58</v>
      </c>
      <c r="I32" s="178">
        <v>55</v>
      </c>
      <c r="J32" s="179">
        <v>0.18579999999999999</v>
      </c>
      <c r="K32" s="180">
        <v>13.91</v>
      </c>
      <c r="L32" s="178">
        <v>296</v>
      </c>
      <c r="M32" s="179">
        <v>5.8999999999999999E-3</v>
      </c>
      <c r="N32" s="181">
        <v>50234</v>
      </c>
      <c r="O32" s="180">
        <v>1058.3900000000001</v>
      </c>
      <c r="P32" s="180">
        <v>2.58</v>
      </c>
      <c r="Q32" s="178">
        <v>1.38</v>
      </c>
      <c r="R32" s="180">
        <v>916.49</v>
      </c>
      <c r="S32" s="178">
        <v>51</v>
      </c>
      <c r="T32" s="180">
        <v>1425.22</v>
      </c>
      <c r="U32" s="179">
        <v>0.58169999999999999</v>
      </c>
      <c r="V32" s="179">
        <v>0.1192</v>
      </c>
      <c r="W32" s="180">
        <v>234.42</v>
      </c>
      <c r="X32" s="178">
        <v>83</v>
      </c>
      <c r="Y32" s="178">
        <v>17</v>
      </c>
      <c r="Z32" s="178">
        <v>16</v>
      </c>
      <c r="AA32" s="179">
        <v>0.1212</v>
      </c>
      <c r="AB32" s="180">
        <v>14.65</v>
      </c>
      <c r="AC32" s="178">
        <v>132</v>
      </c>
      <c r="AD32" s="179">
        <v>2.9999999999999997E-4</v>
      </c>
      <c r="AE32" s="181">
        <v>435250</v>
      </c>
      <c r="AF32" s="180">
        <v>402.99</v>
      </c>
      <c r="AG32" s="180">
        <v>1.78</v>
      </c>
      <c r="AH32" s="178">
        <v>1.72</v>
      </c>
      <c r="AI32" s="180">
        <v>199.1</v>
      </c>
      <c r="AJ32" s="178">
        <v>9</v>
      </c>
      <c r="AK32" s="180">
        <v>1966.5</v>
      </c>
      <c r="AL32" s="179">
        <v>0.2427</v>
      </c>
      <c r="AM32" s="179">
        <v>3.5034000000000001</v>
      </c>
      <c r="AN32" s="179">
        <v>2.2637999999999998</v>
      </c>
      <c r="AO32" s="179">
        <v>-6.0199999999999997E-2</v>
      </c>
      <c r="AP32" s="179">
        <v>2.4117999999999999</v>
      </c>
      <c r="AQ32" s="179">
        <v>2.4375</v>
      </c>
      <c r="AR32" s="179">
        <v>0.53300000000000003</v>
      </c>
      <c r="AS32" s="179">
        <v>-5.0500000000000003E-2</v>
      </c>
      <c r="AT32" s="179">
        <v>1.2423999999999999</v>
      </c>
      <c r="AU32" s="179">
        <v>18.666699999999999</v>
      </c>
      <c r="AV32" s="179">
        <v>-0.88460000000000005</v>
      </c>
      <c r="AW32" s="179">
        <v>1.6263000000000001</v>
      </c>
      <c r="AX32" s="179">
        <v>0.44940000000000002</v>
      </c>
      <c r="AY32" s="179">
        <v>-0.19769999999999999</v>
      </c>
      <c r="AZ32" s="179">
        <v>3.6032000000000002</v>
      </c>
      <c r="BA32" s="179">
        <v>4.6666999999999996</v>
      </c>
      <c r="BB32" s="179">
        <v>-0.27529999999999999</v>
      </c>
      <c r="BC32" s="179"/>
      <c r="BD32" s="179"/>
    </row>
    <row r="33" spans="1:56">
      <c r="A33" s="178" t="s">
        <v>360</v>
      </c>
      <c r="B33" s="178" t="s">
        <v>2010</v>
      </c>
      <c r="C33" s="179">
        <v>0.33679999999999999</v>
      </c>
      <c r="D33" s="179"/>
      <c r="E33" s="179">
        <v>0.39200000000000002</v>
      </c>
      <c r="F33" s="180">
        <v>723.75</v>
      </c>
      <c r="G33" s="178">
        <v>108</v>
      </c>
      <c r="H33" s="178">
        <v>109</v>
      </c>
      <c r="I33" s="178">
        <v>105</v>
      </c>
      <c r="J33" s="179">
        <v>0.25740000000000002</v>
      </c>
      <c r="K33" s="180">
        <v>6.89</v>
      </c>
      <c r="L33" s="178">
        <v>408</v>
      </c>
      <c r="M33" s="179">
        <v>7.1000000000000004E-3</v>
      </c>
      <c r="N33" s="181">
        <v>57670</v>
      </c>
      <c r="O33" s="180">
        <v>2148.77</v>
      </c>
      <c r="P33" s="180">
        <v>1.77</v>
      </c>
      <c r="Q33" s="178">
        <v>2.97</v>
      </c>
      <c r="R33" s="180">
        <v>1253.27</v>
      </c>
      <c r="S33" s="178">
        <v>69</v>
      </c>
      <c r="T33" s="180">
        <v>1846.48</v>
      </c>
      <c r="U33" s="179">
        <v>0.29060000000000002</v>
      </c>
      <c r="V33" s="179">
        <v>0.1076</v>
      </c>
      <c r="W33" s="180">
        <v>137.76</v>
      </c>
      <c r="X33" s="178">
        <v>66</v>
      </c>
      <c r="Y33" s="178">
        <v>26</v>
      </c>
      <c r="Z33" s="178">
        <v>25</v>
      </c>
      <c r="AA33" s="179">
        <v>0.20830000000000001</v>
      </c>
      <c r="AB33" s="180">
        <v>5.51</v>
      </c>
      <c r="AC33" s="178">
        <v>120</v>
      </c>
      <c r="AD33" s="179">
        <v>2.5999999999999999E-3</v>
      </c>
      <c r="AE33" s="181">
        <v>45632</v>
      </c>
      <c r="AF33" s="180">
        <v>474.1</v>
      </c>
      <c r="AG33" s="180">
        <v>1.1499999999999999</v>
      </c>
      <c r="AH33" s="178">
        <v>3.44</v>
      </c>
      <c r="AI33" s="180">
        <v>280.63</v>
      </c>
      <c r="AJ33" s="178">
        <v>16</v>
      </c>
      <c r="AK33" s="180">
        <v>1280.54</v>
      </c>
      <c r="AL33" s="179">
        <v>0.159</v>
      </c>
      <c r="AM33" s="179">
        <v>2.6431</v>
      </c>
      <c r="AN33" s="179">
        <v>4.2537000000000003</v>
      </c>
      <c r="AO33" s="179">
        <v>0.63639999999999997</v>
      </c>
      <c r="AP33" s="179">
        <v>3.1922999999999999</v>
      </c>
      <c r="AQ33" s="179">
        <v>3.2</v>
      </c>
      <c r="AR33" s="179">
        <v>0.23569999999999999</v>
      </c>
      <c r="AS33" s="179">
        <v>0.2505</v>
      </c>
      <c r="AT33" s="179">
        <v>2.4</v>
      </c>
      <c r="AU33" s="179">
        <v>1.7307999999999999</v>
      </c>
      <c r="AV33" s="179">
        <v>0.26379999999999998</v>
      </c>
      <c r="AW33" s="179">
        <v>3.5323000000000002</v>
      </c>
      <c r="AX33" s="179">
        <v>0.53910000000000002</v>
      </c>
      <c r="AY33" s="179">
        <v>-0.1366</v>
      </c>
      <c r="AZ33" s="179">
        <v>3.4659</v>
      </c>
      <c r="BA33" s="179">
        <v>3.3125</v>
      </c>
      <c r="BB33" s="179">
        <v>0.442</v>
      </c>
      <c r="BC33" s="179"/>
      <c r="BD33" s="179"/>
    </row>
    <row r="34" spans="1:56">
      <c r="A34" s="178" t="s">
        <v>265</v>
      </c>
      <c r="B34" s="178" t="s">
        <v>2011</v>
      </c>
      <c r="C34" s="179">
        <v>0.33279999999999998</v>
      </c>
      <c r="D34" s="179"/>
      <c r="E34" s="179">
        <v>0.1898</v>
      </c>
      <c r="F34" s="180">
        <v>719.02</v>
      </c>
      <c r="G34" s="178">
        <v>409</v>
      </c>
      <c r="H34" s="178">
        <v>212</v>
      </c>
      <c r="I34" s="178">
        <v>198</v>
      </c>
      <c r="J34" s="179">
        <v>0.30049999999999999</v>
      </c>
      <c r="K34" s="180">
        <v>3.63</v>
      </c>
      <c r="L34" s="178">
        <v>659</v>
      </c>
      <c r="M34" s="179">
        <v>4.7999999999999996E-3</v>
      </c>
      <c r="N34" s="181">
        <v>137295</v>
      </c>
      <c r="O34" s="180">
        <v>2160.67</v>
      </c>
      <c r="P34" s="180">
        <v>1.0900000000000001</v>
      </c>
      <c r="Q34" s="178">
        <v>3.01</v>
      </c>
      <c r="R34" s="180">
        <v>1821.04</v>
      </c>
      <c r="S34" s="178">
        <v>178</v>
      </c>
      <c r="T34" s="180">
        <v>3788.36</v>
      </c>
      <c r="U34" s="179">
        <v>0.39789999999999998</v>
      </c>
      <c r="V34" s="179">
        <v>0.3004</v>
      </c>
      <c r="W34" s="180">
        <v>1254.01</v>
      </c>
      <c r="X34" s="178">
        <v>423</v>
      </c>
      <c r="Y34" s="178">
        <v>294</v>
      </c>
      <c r="Z34" s="178">
        <v>279</v>
      </c>
      <c r="AA34" s="179">
        <v>0.30159999999999998</v>
      </c>
      <c r="AB34" s="180">
        <v>4.49</v>
      </c>
      <c r="AC34" s="178">
        <v>925</v>
      </c>
      <c r="AD34" s="179">
        <v>2E-3</v>
      </c>
      <c r="AE34" s="181">
        <v>464959</v>
      </c>
      <c r="AF34" s="180">
        <v>3151.82</v>
      </c>
      <c r="AG34" s="180">
        <v>1.36</v>
      </c>
      <c r="AH34" s="178">
        <v>2.5099999999999998</v>
      </c>
      <c r="AI34" s="180">
        <v>2593.83</v>
      </c>
      <c r="AJ34" s="178">
        <v>252</v>
      </c>
      <c r="AK34" s="180">
        <v>4173.8999999999996</v>
      </c>
      <c r="AL34" s="179">
        <v>-0.1636</v>
      </c>
      <c r="AM34" s="179">
        <v>-0.36820000000000003</v>
      </c>
      <c r="AN34" s="179">
        <v>-0.42659999999999998</v>
      </c>
      <c r="AO34" s="179">
        <v>-3.3099999999999997E-2</v>
      </c>
      <c r="AP34" s="179">
        <v>-0.27889999999999998</v>
      </c>
      <c r="AQ34" s="179">
        <v>-0.2903</v>
      </c>
      <c r="AR34" s="179">
        <v>-3.5999999999999999E-3</v>
      </c>
      <c r="AS34" s="179">
        <v>-0.1915</v>
      </c>
      <c r="AT34" s="179">
        <v>-0.28760000000000002</v>
      </c>
      <c r="AU34" s="179">
        <v>1.4</v>
      </c>
      <c r="AV34" s="179">
        <v>-0.70469999999999999</v>
      </c>
      <c r="AW34" s="179">
        <v>-0.3145</v>
      </c>
      <c r="AX34" s="179">
        <v>-0.19850000000000001</v>
      </c>
      <c r="AY34" s="179">
        <v>0.19919999999999999</v>
      </c>
      <c r="AZ34" s="179">
        <v>-0.2979</v>
      </c>
      <c r="BA34" s="179">
        <v>-0.29370000000000002</v>
      </c>
      <c r="BB34" s="179">
        <v>-9.2399999999999996E-2</v>
      </c>
      <c r="BC34" s="179"/>
      <c r="BD34" s="179"/>
    </row>
    <row r="35" spans="1:56">
      <c r="A35" s="178" t="s">
        <v>347</v>
      </c>
      <c r="B35" s="178" t="s">
        <v>2012</v>
      </c>
      <c r="C35" s="179">
        <v>0.31890000000000002</v>
      </c>
      <c r="D35" s="179"/>
      <c r="E35" s="179">
        <v>0.57089999999999996</v>
      </c>
      <c r="F35" s="180">
        <v>718.95</v>
      </c>
      <c r="G35" s="178">
        <v>77</v>
      </c>
      <c r="H35" s="178">
        <v>109</v>
      </c>
      <c r="I35" s="178">
        <v>94</v>
      </c>
      <c r="J35" s="179">
        <v>0.27489999999999998</v>
      </c>
      <c r="K35" s="180">
        <v>7.65</v>
      </c>
      <c r="L35" s="178">
        <v>342</v>
      </c>
      <c r="M35" s="179">
        <v>3.2000000000000002E-3</v>
      </c>
      <c r="N35" s="181">
        <v>105288</v>
      </c>
      <c r="O35" s="180">
        <v>2254.41</v>
      </c>
      <c r="P35" s="180">
        <v>2.1</v>
      </c>
      <c r="Q35" s="178">
        <v>3.14</v>
      </c>
      <c r="R35" s="180">
        <v>713.56</v>
      </c>
      <c r="S35" s="178">
        <v>34</v>
      </c>
      <c r="T35" s="180">
        <v>1259.23</v>
      </c>
      <c r="U35" s="179">
        <v>0.67549999999999999</v>
      </c>
      <c r="V35" s="179">
        <v>0.20580000000000001</v>
      </c>
      <c r="W35" s="180">
        <v>156.30000000000001</v>
      </c>
      <c r="X35" s="178">
        <v>38</v>
      </c>
      <c r="Y35" s="178">
        <v>11</v>
      </c>
      <c r="Z35" s="178">
        <v>11</v>
      </c>
      <c r="AA35" s="179">
        <v>0.18640000000000001</v>
      </c>
      <c r="AB35" s="180">
        <v>14.21</v>
      </c>
      <c r="AC35" s="178">
        <v>59</v>
      </c>
      <c r="AD35" s="179">
        <v>4.4999999999999997E-3</v>
      </c>
      <c r="AE35" s="181">
        <v>13236</v>
      </c>
      <c r="AF35" s="180">
        <v>231.38</v>
      </c>
      <c r="AG35" s="180">
        <v>2.65</v>
      </c>
      <c r="AH35" s="178">
        <v>1.48</v>
      </c>
      <c r="AI35" s="180">
        <v>159.91999999999999</v>
      </c>
      <c r="AJ35" s="178">
        <v>8</v>
      </c>
      <c r="AK35" s="180">
        <v>759.62</v>
      </c>
      <c r="AL35" s="179">
        <v>-0.52790000000000004</v>
      </c>
      <c r="AM35" s="179">
        <v>1.7741</v>
      </c>
      <c r="AN35" s="179">
        <v>3.5998000000000001</v>
      </c>
      <c r="AO35" s="179">
        <v>1.0263</v>
      </c>
      <c r="AP35" s="179">
        <v>8.9091000000000005</v>
      </c>
      <c r="AQ35" s="179">
        <v>7.5454999999999997</v>
      </c>
      <c r="AR35" s="179">
        <v>0.4748</v>
      </c>
      <c r="AS35" s="179">
        <v>-0.46160000000000001</v>
      </c>
      <c r="AT35" s="179">
        <v>4.7965999999999998</v>
      </c>
      <c r="AU35" s="179">
        <v>-0.28889999999999999</v>
      </c>
      <c r="AV35" s="179">
        <v>6.9546999999999999</v>
      </c>
      <c r="AW35" s="179">
        <v>8.7432999999999996</v>
      </c>
      <c r="AX35" s="179">
        <v>-0.20749999999999999</v>
      </c>
      <c r="AY35" s="179">
        <v>1.1215999999999999</v>
      </c>
      <c r="AZ35" s="179">
        <v>3.4620000000000002</v>
      </c>
      <c r="BA35" s="179">
        <v>3.25</v>
      </c>
      <c r="BB35" s="179">
        <v>0.65769999999999995</v>
      </c>
      <c r="BC35" s="179"/>
      <c r="BD35" s="179"/>
    </row>
    <row r="36" spans="1:56">
      <c r="A36" s="178" t="s">
        <v>133</v>
      </c>
      <c r="B36" s="178" t="s">
        <v>2037</v>
      </c>
      <c r="C36" s="179">
        <v>0.33040000000000003</v>
      </c>
      <c r="D36" s="179"/>
      <c r="E36" s="179">
        <v>0.10150000000000001</v>
      </c>
      <c r="F36" s="180">
        <v>697.74</v>
      </c>
      <c r="G36" s="178">
        <v>317</v>
      </c>
      <c r="H36" s="178">
        <v>100</v>
      </c>
      <c r="I36" s="178">
        <v>98</v>
      </c>
      <c r="J36" s="179">
        <v>0.1842</v>
      </c>
      <c r="K36" s="180">
        <v>7.12</v>
      </c>
      <c r="L36" s="178">
        <v>532</v>
      </c>
      <c r="M36" s="179">
        <v>4.3E-3</v>
      </c>
      <c r="N36" s="181">
        <v>122667</v>
      </c>
      <c r="O36" s="180">
        <v>2111.6799999999998</v>
      </c>
      <c r="P36" s="180">
        <v>1.31</v>
      </c>
      <c r="Q36" s="178">
        <v>3.03</v>
      </c>
      <c r="R36" s="180">
        <v>1660.06</v>
      </c>
      <c r="S36" s="178">
        <v>82</v>
      </c>
      <c r="T36" s="180">
        <v>6872.71</v>
      </c>
      <c r="U36" s="179">
        <v>0.24829999999999999</v>
      </c>
      <c r="V36" s="179">
        <v>8.7300000000000003E-2</v>
      </c>
      <c r="W36" s="180">
        <v>1152.55</v>
      </c>
      <c r="X36" s="178">
        <v>582</v>
      </c>
      <c r="Y36" s="178">
        <v>191</v>
      </c>
      <c r="Z36" s="178">
        <v>186</v>
      </c>
      <c r="AA36" s="179">
        <v>0.18060000000000001</v>
      </c>
      <c r="AB36" s="180">
        <v>6.2</v>
      </c>
      <c r="AC36" s="181">
        <v>1030</v>
      </c>
      <c r="AD36" s="179">
        <v>6.1000000000000004E-3</v>
      </c>
      <c r="AE36" s="181">
        <v>170179</v>
      </c>
      <c r="AF36" s="180">
        <v>4642.6400000000003</v>
      </c>
      <c r="AG36" s="180">
        <v>1.1200000000000001</v>
      </c>
      <c r="AH36" s="178">
        <v>4.03</v>
      </c>
      <c r="AI36" s="180">
        <v>3040.44</v>
      </c>
      <c r="AJ36" s="178">
        <v>131</v>
      </c>
      <c r="AK36" s="180">
        <v>13201.28</v>
      </c>
      <c r="AL36" s="179">
        <v>0.3306</v>
      </c>
      <c r="AM36" s="179">
        <v>0.16270000000000001</v>
      </c>
      <c r="AN36" s="179">
        <v>-0.39460000000000001</v>
      </c>
      <c r="AO36" s="179">
        <v>-0.45529999999999998</v>
      </c>
      <c r="AP36" s="179">
        <v>-0.47639999999999999</v>
      </c>
      <c r="AQ36" s="179">
        <v>-0.47310000000000002</v>
      </c>
      <c r="AR36" s="179">
        <v>1.9900000000000001E-2</v>
      </c>
      <c r="AS36" s="179">
        <v>0.1484</v>
      </c>
      <c r="AT36" s="179">
        <v>-0.48349999999999999</v>
      </c>
      <c r="AU36" s="179">
        <v>-0.29509999999999997</v>
      </c>
      <c r="AV36" s="179">
        <v>-0.2792</v>
      </c>
      <c r="AW36" s="179">
        <v>-0.54520000000000002</v>
      </c>
      <c r="AX36" s="179">
        <v>0.1696</v>
      </c>
      <c r="AY36" s="179">
        <v>-0.24809999999999999</v>
      </c>
      <c r="AZ36" s="179">
        <v>-0.45400000000000001</v>
      </c>
      <c r="BA36" s="179">
        <v>-0.374</v>
      </c>
      <c r="BB36" s="179">
        <v>-0.47939999999999999</v>
      </c>
      <c r="BC36" s="179"/>
      <c r="BD36" s="179"/>
    </row>
    <row r="37" spans="1:56">
      <c r="A37" s="178" t="s">
        <v>457</v>
      </c>
      <c r="B37" s="178" t="s">
        <v>2014</v>
      </c>
      <c r="C37" s="179">
        <v>0.30980000000000002</v>
      </c>
      <c r="D37" s="179"/>
      <c r="E37" s="179">
        <v>0.37819999999999998</v>
      </c>
      <c r="F37" s="180">
        <v>668.25</v>
      </c>
      <c r="G37" s="178">
        <v>94</v>
      </c>
      <c r="H37" s="178">
        <v>95</v>
      </c>
      <c r="I37" s="178">
        <v>94</v>
      </c>
      <c r="J37" s="179">
        <v>0.16520000000000001</v>
      </c>
      <c r="K37" s="180">
        <v>7.11</v>
      </c>
      <c r="L37" s="178">
        <v>569</v>
      </c>
      <c r="M37" s="179">
        <v>9.4000000000000004E-3</v>
      </c>
      <c r="N37" s="181">
        <v>60660</v>
      </c>
      <c r="O37" s="180">
        <v>2156.77</v>
      </c>
      <c r="P37" s="180">
        <v>1.17</v>
      </c>
      <c r="Q37" s="178">
        <v>3.23</v>
      </c>
      <c r="R37" s="180">
        <v>835.34</v>
      </c>
      <c r="S37" s="178">
        <v>46</v>
      </c>
      <c r="T37" s="180">
        <v>1766.86</v>
      </c>
      <c r="U37" s="182" t="s">
        <v>1947</v>
      </c>
      <c r="V37" s="179">
        <v>3.2000000000000001E-2</v>
      </c>
      <c r="W37" s="180">
        <v>0.96</v>
      </c>
      <c r="X37" s="178">
        <v>1</v>
      </c>
      <c r="Y37" s="178">
        <v>0</v>
      </c>
      <c r="Z37" s="178">
        <v>0</v>
      </c>
      <c r="AA37" s="179">
        <v>0</v>
      </c>
      <c r="AB37" s="180">
        <v>0</v>
      </c>
      <c r="AC37" s="178">
        <v>1</v>
      </c>
      <c r="AD37" s="179">
        <v>1.9E-3</v>
      </c>
      <c r="AE37" s="178">
        <v>528</v>
      </c>
      <c r="AF37" s="180">
        <v>0</v>
      </c>
      <c r="AG37" s="180">
        <v>0.96</v>
      </c>
      <c r="AH37" s="178">
        <v>0</v>
      </c>
      <c r="AI37" s="180">
        <v>0</v>
      </c>
      <c r="AJ37" s="178">
        <v>0</v>
      </c>
      <c r="AK37" s="180">
        <v>29.99</v>
      </c>
      <c r="AL37" s="179">
        <v>30.98</v>
      </c>
      <c r="AM37" s="179">
        <v>10.8187</v>
      </c>
      <c r="AN37" s="179">
        <v>695.09379999999999</v>
      </c>
      <c r="AO37" s="179">
        <v>93</v>
      </c>
      <c r="AP37" s="179">
        <v>95</v>
      </c>
      <c r="AQ37" s="179">
        <v>94</v>
      </c>
      <c r="AR37" s="179">
        <v>16.52</v>
      </c>
      <c r="AS37" s="179">
        <v>7.11</v>
      </c>
      <c r="AT37" s="179">
        <v>568</v>
      </c>
      <c r="AU37" s="179">
        <v>3.9474</v>
      </c>
      <c r="AV37" s="179">
        <v>113.88639999999999</v>
      </c>
      <c r="AW37" s="179">
        <v>2156.77</v>
      </c>
      <c r="AX37" s="179">
        <v>0.21870000000000001</v>
      </c>
      <c r="AY37" s="179">
        <v>3.23</v>
      </c>
      <c r="AZ37" s="179">
        <v>835.34</v>
      </c>
      <c r="BA37" s="179">
        <v>46</v>
      </c>
      <c r="BB37" s="179">
        <v>57.914999999999999</v>
      </c>
      <c r="BC37" s="179"/>
      <c r="BD37" s="179"/>
    </row>
    <row r="38" spans="1:56">
      <c r="A38" s="178" t="s">
        <v>256</v>
      </c>
      <c r="B38" s="178" t="s">
        <v>2017</v>
      </c>
      <c r="C38" s="179">
        <v>1.5769</v>
      </c>
      <c r="D38" s="179"/>
      <c r="E38" s="179">
        <v>0.48970000000000002</v>
      </c>
      <c r="F38" s="180">
        <v>577.95000000000005</v>
      </c>
      <c r="G38" s="178">
        <v>60</v>
      </c>
      <c r="H38" s="178">
        <v>19</v>
      </c>
      <c r="I38" s="178">
        <v>19</v>
      </c>
      <c r="J38" s="179">
        <v>8.8400000000000006E-2</v>
      </c>
      <c r="K38" s="180">
        <v>30.42</v>
      </c>
      <c r="L38" s="178">
        <v>215</v>
      </c>
      <c r="M38" s="179">
        <v>3.3999999999999998E-3</v>
      </c>
      <c r="N38" s="181">
        <v>62617</v>
      </c>
      <c r="O38" s="180">
        <v>366.52</v>
      </c>
      <c r="P38" s="180">
        <v>2.69</v>
      </c>
      <c r="Q38" s="178">
        <v>0.63</v>
      </c>
      <c r="R38" s="180">
        <v>314.58</v>
      </c>
      <c r="S38" s="178">
        <v>17</v>
      </c>
      <c r="T38" s="180">
        <v>1180.1500000000001</v>
      </c>
      <c r="U38" s="179">
        <v>1.0176000000000001</v>
      </c>
      <c r="V38" s="179">
        <v>0.50509999999999999</v>
      </c>
      <c r="W38" s="180">
        <v>844.98</v>
      </c>
      <c r="X38" s="178">
        <v>98</v>
      </c>
      <c r="Y38" s="178">
        <v>43</v>
      </c>
      <c r="Z38" s="178">
        <v>41</v>
      </c>
      <c r="AA38" s="179">
        <v>0.1076</v>
      </c>
      <c r="AB38" s="180">
        <v>20.61</v>
      </c>
      <c r="AC38" s="178">
        <v>381</v>
      </c>
      <c r="AD38" s="179">
        <v>1.8E-3</v>
      </c>
      <c r="AE38" s="181">
        <v>208424</v>
      </c>
      <c r="AF38" s="180">
        <v>830.33</v>
      </c>
      <c r="AG38" s="180">
        <v>2.2200000000000002</v>
      </c>
      <c r="AH38" s="178">
        <v>0.98</v>
      </c>
      <c r="AI38" s="180">
        <v>596.65</v>
      </c>
      <c r="AJ38" s="178">
        <v>33</v>
      </c>
      <c r="AK38" s="180">
        <v>1673.02</v>
      </c>
      <c r="AL38" s="179">
        <v>0.54959999999999998</v>
      </c>
      <c r="AM38" s="179">
        <v>-3.0499999999999999E-2</v>
      </c>
      <c r="AN38" s="179">
        <v>-0.316</v>
      </c>
      <c r="AO38" s="179">
        <v>-0.38779999999999998</v>
      </c>
      <c r="AP38" s="179">
        <v>-0.55810000000000004</v>
      </c>
      <c r="AQ38" s="179">
        <v>-0.53659999999999997</v>
      </c>
      <c r="AR38" s="179">
        <v>-0.1784</v>
      </c>
      <c r="AS38" s="179">
        <v>0.47599999999999998</v>
      </c>
      <c r="AT38" s="179">
        <v>-0.43569999999999998</v>
      </c>
      <c r="AU38" s="179">
        <v>0.88890000000000002</v>
      </c>
      <c r="AV38" s="179">
        <v>-0.6996</v>
      </c>
      <c r="AW38" s="179">
        <v>-0.55859999999999999</v>
      </c>
      <c r="AX38" s="179">
        <v>0.2117</v>
      </c>
      <c r="AY38" s="179">
        <v>-0.35709999999999997</v>
      </c>
      <c r="AZ38" s="179">
        <v>-0.4728</v>
      </c>
      <c r="BA38" s="179">
        <v>-0.48480000000000001</v>
      </c>
      <c r="BB38" s="179">
        <v>-0.29459999999999997</v>
      </c>
      <c r="BC38" s="179"/>
      <c r="BD38" s="179"/>
    </row>
    <row r="39" spans="1:56">
      <c r="A39" s="178" t="s">
        <v>1030</v>
      </c>
      <c r="B39" s="178" t="s">
        <v>2038</v>
      </c>
      <c r="C39" s="179">
        <v>0.45950000000000002</v>
      </c>
      <c r="D39" s="179"/>
      <c r="E39" s="179">
        <v>8.5099999999999995E-2</v>
      </c>
      <c r="F39" s="180">
        <v>542.27</v>
      </c>
      <c r="G39" s="178">
        <v>360</v>
      </c>
      <c r="H39" s="178">
        <v>67</v>
      </c>
      <c r="I39" s="178">
        <v>64</v>
      </c>
      <c r="J39" s="179">
        <v>0.23880000000000001</v>
      </c>
      <c r="K39" s="180">
        <v>8.4700000000000006</v>
      </c>
      <c r="L39" s="178">
        <v>268</v>
      </c>
      <c r="M39" s="179">
        <v>1.1299999999999999E-2</v>
      </c>
      <c r="N39" s="181">
        <v>23678</v>
      </c>
      <c r="O39" s="180">
        <v>1180.04</v>
      </c>
      <c r="P39" s="180">
        <v>2.02</v>
      </c>
      <c r="Q39" s="178">
        <v>2.1800000000000002</v>
      </c>
      <c r="R39" s="180">
        <v>795.71</v>
      </c>
      <c r="S39" s="178">
        <v>47</v>
      </c>
      <c r="T39" s="180">
        <v>6370.42</v>
      </c>
      <c r="U39" s="179">
        <v>0.18110000000000001</v>
      </c>
      <c r="V39" s="179">
        <v>3.61E-2</v>
      </c>
      <c r="W39" s="180">
        <v>315.87</v>
      </c>
      <c r="X39" s="178">
        <v>463</v>
      </c>
      <c r="Y39" s="178">
        <v>79</v>
      </c>
      <c r="Z39" s="178">
        <v>51</v>
      </c>
      <c r="AA39" s="179">
        <v>0.22770000000000001</v>
      </c>
      <c r="AB39" s="180">
        <v>6.19</v>
      </c>
      <c r="AC39" s="178">
        <v>224</v>
      </c>
      <c r="AD39" s="179">
        <v>1.3100000000000001E-2</v>
      </c>
      <c r="AE39" s="181">
        <v>17103</v>
      </c>
      <c r="AF39" s="180">
        <v>1744.54</v>
      </c>
      <c r="AG39" s="180">
        <v>1.41</v>
      </c>
      <c r="AH39" s="178">
        <v>5.52</v>
      </c>
      <c r="AI39" s="180">
        <v>814.85</v>
      </c>
      <c r="AJ39" s="178">
        <v>39</v>
      </c>
      <c r="AK39" s="180">
        <v>8754.33</v>
      </c>
      <c r="AL39" s="179">
        <v>1.5373000000000001</v>
      </c>
      <c r="AM39" s="179">
        <v>1.3573</v>
      </c>
      <c r="AN39" s="179">
        <v>0.71679999999999999</v>
      </c>
      <c r="AO39" s="179">
        <v>-0.2225</v>
      </c>
      <c r="AP39" s="179">
        <v>-0.15190000000000001</v>
      </c>
      <c r="AQ39" s="179">
        <v>0.25490000000000002</v>
      </c>
      <c r="AR39" s="179">
        <v>4.87E-2</v>
      </c>
      <c r="AS39" s="179">
        <v>0.36830000000000002</v>
      </c>
      <c r="AT39" s="179">
        <v>0.19639999999999999</v>
      </c>
      <c r="AU39" s="179">
        <v>-0.13739999999999999</v>
      </c>
      <c r="AV39" s="179">
        <v>0.38440000000000002</v>
      </c>
      <c r="AW39" s="179">
        <v>-0.3236</v>
      </c>
      <c r="AX39" s="179">
        <v>0.43259999999999998</v>
      </c>
      <c r="AY39" s="179">
        <v>-0.60509999999999997</v>
      </c>
      <c r="AZ39" s="179">
        <v>-2.35E-2</v>
      </c>
      <c r="BA39" s="179">
        <v>0.2051</v>
      </c>
      <c r="BB39" s="179">
        <v>-0.27229999999999999</v>
      </c>
      <c r="BC39" s="179"/>
      <c r="BD39" s="179"/>
    </row>
    <row r="40" spans="1:56">
      <c r="A40" s="178" t="s">
        <v>89</v>
      </c>
      <c r="B40" s="178" t="s">
        <v>2039</v>
      </c>
      <c r="C40" s="179">
        <v>0.3931</v>
      </c>
      <c r="D40" s="179"/>
      <c r="E40" s="179">
        <v>8.3500000000000005E-2</v>
      </c>
      <c r="F40" s="180">
        <v>535.96</v>
      </c>
      <c r="G40" s="178">
        <v>461</v>
      </c>
      <c r="H40" s="178">
        <v>89</v>
      </c>
      <c r="I40" s="178">
        <v>89</v>
      </c>
      <c r="J40" s="179">
        <v>0.1973</v>
      </c>
      <c r="K40" s="180">
        <v>6.02</v>
      </c>
      <c r="L40" s="178">
        <v>451</v>
      </c>
      <c r="M40" s="179">
        <v>1.9800000000000002E-2</v>
      </c>
      <c r="N40" s="181">
        <v>22739</v>
      </c>
      <c r="O40" s="180">
        <v>1363.35</v>
      </c>
      <c r="P40" s="180">
        <v>1.19</v>
      </c>
      <c r="Q40" s="178">
        <v>2.54</v>
      </c>
      <c r="R40" s="180">
        <v>1132.6300000000001</v>
      </c>
      <c r="S40" s="178">
        <v>81</v>
      </c>
      <c r="T40" s="180">
        <v>6419.73</v>
      </c>
      <c r="U40" s="179">
        <v>0.33700000000000002</v>
      </c>
      <c r="V40" s="179">
        <v>6.2300000000000001E-2</v>
      </c>
      <c r="W40" s="180">
        <v>932.72</v>
      </c>
      <c r="X40" s="181">
        <v>1074</v>
      </c>
      <c r="Y40" s="178">
        <v>177</v>
      </c>
      <c r="Z40" s="178">
        <v>177</v>
      </c>
      <c r="AA40" s="179">
        <v>0.2185</v>
      </c>
      <c r="AB40" s="180">
        <v>5.27</v>
      </c>
      <c r="AC40" s="178">
        <v>810</v>
      </c>
      <c r="AD40" s="179">
        <v>2.23E-2</v>
      </c>
      <c r="AE40" s="181">
        <v>36402</v>
      </c>
      <c r="AF40" s="180">
        <v>2767.72</v>
      </c>
      <c r="AG40" s="180">
        <v>1.1499999999999999</v>
      </c>
      <c r="AH40" s="178">
        <v>2.97</v>
      </c>
      <c r="AI40" s="180">
        <v>2154.3200000000002</v>
      </c>
      <c r="AJ40" s="178">
        <v>154</v>
      </c>
      <c r="AK40" s="180">
        <v>14980.77</v>
      </c>
      <c r="AL40" s="179">
        <v>0.16650000000000001</v>
      </c>
      <c r="AM40" s="179">
        <v>0.34029999999999999</v>
      </c>
      <c r="AN40" s="179">
        <v>-0.4254</v>
      </c>
      <c r="AO40" s="179">
        <v>-0.57079999999999997</v>
      </c>
      <c r="AP40" s="179">
        <v>-0.49719999999999998</v>
      </c>
      <c r="AQ40" s="179">
        <v>-0.49719999999999998</v>
      </c>
      <c r="AR40" s="179">
        <v>-9.7000000000000003E-2</v>
      </c>
      <c r="AS40" s="179">
        <v>0.14230000000000001</v>
      </c>
      <c r="AT40" s="179">
        <v>-0.44319999999999998</v>
      </c>
      <c r="AU40" s="179">
        <v>-0.11210000000000001</v>
      </c>
      <c r="AV40" s="179">
        <v>-0.37530000000000002</v>
      </c>
      <c r="AW40" s="179">
        <v>-0.50739999999999996</v>
      </c>
      <c r="AX40" s="179">
        <v>3.4799999999999998E-2</v>
      </c>
      <c r="AY40" s="179">
        <v>-0.14480000000000001</v>
      </c>
      <c r="AZ40" s="179">
        <v>-0.4743</v>
      </c>
      <c r="BA40" s="179">
        <v>-0.47399999999999998</v>
      </c>
      <c r="BB40" s="179">
        <v>-0.57150000000000001</v>
      </c>
      <c r="BC40" s="179"/>
      <c r="BD40" s="179"/>
    </row>
    <row r="41" spans="1:56">
      <c r="A41" s="178" t="s">
        <v>192</v>
      </c>
      <c r="B41" s="178" t="s">
        <v>2022</v>
      </c>
      <c r="C41" s="179">
        <v>0.44280000000000003</v>
      </c>
      <c r="D41" s="179"/>
      <c r="E41" s="179">
        <v>0.16850000000000001</v>
      </c>
      <c r="F41" s="180">
        <v>412.18</v>
      </c>
      <c r="G41" s="178">
        <v>190</v>
      </c>
      <c r="H41" s="178">
        <v>59</v>
      </c>
      <c r="I41" s="178">
        <v>55</v>
      </c>
      <c r="J41" s="179">
        <v>0.21149999999999999</v>
      </c>
      <c r="K41" s="180">
        <v>7.49</v>
      </c>
      <c r="L41" s="178">
        <v>260</v>
      </c>
      <c r="M41" s="179">
        <v>7.4000000000000003E-3</v>
      </c>
      <c r="N41" s="181">
        <v>35144</v>
      </c>
      <c r="O41" s="180">
        <v>930.79</v>
      </c>
      <c r="P41" s="180">
        <v>1.59</v>
      </c>
      <c r="Q41" s="178">
        <v>2.2599999999999998</v>
      </c>
      <c r="R41" s="180">
        <v>538.95000000000005</v>
      </c>
      <c r="S41" s="178">
        <v>40</v>
      </c>
      <c r="T41" s="180">
        <v>2446.39</v>
      </c>
      <c r="U41" s="179">
        <v>0.56069999999999998</v>
      </c>
      <c r="V41" s="179">
        <v>0.2228</v>
      </c>
      <c r="W41" s="180">
        <v>703.3</v>
      </c>
      <c r="X41" s="178">
        <v>316</v>
      </c>
      <c r="Y41" s="178">
        <v>94</v>
      </c>
      <c r="Z41" s="178">
        <v>84</v>
      </c>
      <c r="AA41" s="179">
        <v>0.18140000000000001</v>
      </c>
      <c r="AB41" s="180">
        <v>8.3699999999999992</v>
      </c>
      <c r="AC41" s="178">
        <v>463</v>
      </c>
      <c r="AD41" s="179">
        <v>8.9999999999999993E-3</v>
      </c>
      <c r="AE41" s="181">
        <v>51291</v>
      </c>
      <c r="AF41" s="180">
        <v>1254.4100000000001</v>
      </c>
      <c r="AG41" s="180">
        <v>1.52</v>
      </c>
      <c r="AH41" s="178">
        <v>1.78</v>
      </c>
      <c r="AI41" s="180">
        <v>649.25</v>
      </c>
      <c r="AJ41" s="178">
        <v>59</v>
      </c>
      <c r="AK41" s="180">
        <v>3156.44</v>
      </c>
      <c r="AL41" s="179">
        <v>-0.21029999999999999</v>
      </c>
      <c r="AM41" s="179">
        <v>-0.2437</v>
      </c>
      <c r="AN41" s="179">
        <v>-0.41389999999999999</v>
      </c>
      <c r="AO41" s="179">
        <v>-0.3987</v>
      </c>
      <c r="AP41" s="179">
        <v>-0.37230000000000002</v>
      </c>
      <c r="AQ41" s="179">
        <v>-0.34520000000000001</v>
      </c>
      <c r="AR41" s="179">
        <v>0.16589999999999999</v>
      </c>
      <c r="AS41" s="179">
        <v>-0.1051</v>
      </c>
      <c r="AT41" s="179">
        <v>-0.43840000000000001</v>
      </c>
      <c r="AU41" s="179">
        <v>-0.17780000000000001</v>
      </c>
      <c r="AV41" s="179">
        <v>-0.31480000000000002</v>
      </c>
      <c r="AW41" s="179">
        <v>-0.25800000000000001</v>
      </c>
      <c r="AX41" s="179">
        <v>4.6100000000000002E-2</v>
      </c>
      <c r="AY41" s="179">
        <v>0.2697</v>
      </c>
      <c r="AZ41" s="179">
        <v>-0.1699</v>
      </c>
      <c r="BA41" s="179">
        <v>-0.32200000000000001</v>
      </c>
      <c r="BB41" s="179">
        <v>-0.22500000000000001</v>
      </c>
      <c r="BC41" s="179"/>
      <c r="BD41" s="179"/>
    </row>
    <row r="42" spans="1:56">
      <c r="A42" s="178" t="s">
        <v>1047</v>
      </c>
      <c r="B42" s="178" t="s">
        <v>2023</v>
      </c>
      <c r="C42" s="179">
        <v>0.37430000000000002</v>
      </c>
      <c r="D42" s="179"/>
      <c r="E42" s="179">
        <v>0.38040000000000002</v>
      </c>
      <c r="F42" s="180">
        <v>410.59</v>
      </c>
      <c r="G42" s="178">
        <v>54</v>
      </c>
      <c r="H42" s="178">
        <v>52</v>
      </c>
      <c r="I42" s="178">
        <v>49</v>
      </c>
      <c r="J42" s="179">
        <v>0.1361</v>
      </c>
      <c r="K42" s="180">
        <v>8.3800000000000008</v>
      </c>
      <c r="L42" s="178">
        <v>360</v>
      </c>
      <c r="M42" s="179">
        <v>1.29E-2</v>
      </c>
      <c r="N42" s="181">
        <v>27898</v>
      </c>
      <c r="O42" s="180">
        <v>1097.0899999999999</v>
      </c>
      <c r="P42" s="180">
        <v>1.1399999999999999</v>
      </c>
      <c r="Q42" s="178">
        <v>2.67</v>
      </c>
      <c r="R42" s="180">
        <v>439.78</v>
      </c>
      <c r="S42" s="178">
        <v>20</v>
      </c>
      <c r="T42" s="180">
        <v>1079.46</v>
      </c>
      <c r="U42" s="179">
        <v>0.98209999999999997</v>
      </c>
      <c r="V42" s="179">
        <v>1.1540999999999999</v>
      </c>
      <c r="W42" s="180">
        <v>46.14</v>
      </c>
      <c r="X42" s="178">
        <v>2</v>
      </c>
      <c r="Y42" s="178">
        <v>2</v>
      </c>
      <c r="Z42" s="178">
        <v>2</v>
      </c>
      <c r="AA42" s="179">
        <v>4.8800000000000003E-2</v>
      </c>
      <c r="AB42" s="180">
        <v>23.07</v>
      </c>
      <c r="AC42" s="178">
        <v>41</v>
      </c>
      <c r="AD42" s="179">
        <v>9.9000000000000008E-3</v>
      </c>
      <c r="AE42" s="181">
        <v>4156</v>
      </c>
      <c r="AF42" s="180">
        <v>46.98</v>
      </c>
      <c r="AG42" s="180">
        <v>1.1299999999999999</v>
      </c>
      <c r="AH42" s="178">
        <v>1.02</v>
      </c>
      <c r="AI42" s="180">
        <v>19.989999999999998</v>
      </c>
      <c r="AJ42" s="178">
        <v>1</v>
      </c>
      <c r="AK42" s="180">
        <v>39.979999999999997</v>
      </c>
      <c r="AL42" s="179">
        <v>-0.61890000000000001</v>
      </c>
      <c r="AM42" s="179">
        <v>-0.6704</v>
      </c>
      <c r="AN42" s="179">
        <v>7.8987999999999996</v>
      </c>
      <c r="AO42" s="179">
        <v>26</v>
      </c>
      <c r="AP42" s="179">
        <v>25</v>
      </c>
      <c r="AQ42" s="179">
        <v>23.5</v>
      </c>
      <c r="AR42" s="179">
        <v>1.7888999999999999</v>
      </c>
      <c r="AS42" s="179">
        <v>-0.63680000000000003</v>
      </c>
      <c r="AT42" s="179">
        <v>7.7805</v>
      </c>
      <c r="AU42" s="179">
        <v>0.30299999999999999</v>
      </c>
      <c r="AV42" s="179">
        <v>5.7126999999999999</v>
      </c>
      <c r="AW42" s="179">
        <v>22.3523</v>
      </c>
      <c r="AX42" s="179">
        <v>8.8000000000000005E-3</v>
      </c>
      <c r="AY42" s="179">
        <v>1.6175999999999999</v>
      </c>
      <c r="AZ42" s="179">
        <v>21</v>
      </c>
      <c r="BA42" s="179">
        <v>19</v>
      </c>
      <c r="BB42" s="179">
        <v>26</v>
      </c>
      <c r="BC42" s="179"/>
      <c r="BD42" s="179"/>
    </row>
    <row r="43" spans="1:56">
      <c r="A43" s="178" t="s">
        <v>1382</v>
      </c>
      <c r="B43" s="178" t="s">
        <v>2024</v>
      </c>
      <c r="C43" s="179">
        <v>0.8871</v>
      </c>
      <c r="D43" s="179"/>
      <c r="E43" s="179">
        <v>0.153</v>
      </c>
      <c r="F43" s="180">
        <v>243.26</v>
      </c>
      <c r="G43" s="178">
        <v>36</v>
      </c>
      <c r="H43" s="178">
        <v>11</v>
      </c>
      <c r="I43" s="178">
        <v>11</v>
      </c>
      <c r="J43" s="179">
        <v>0.1236</v>
      </c>
      <c r="K43" s="180">
        <v>22.11</v>
      </c>
      <c r="L43" s="178">
        <v>89</v>
      </c>
      <c r="M43" s="179">
        <v>4.1999999999999997E-3</v>
      </c>
      <c r="N43" s="181">
        <v>21120</v>
      </c>
      <c r="O43" s="180">
        <v>274.20999999999998</v>
      </c>
      <c r="P43" s="180">
        <v>2.73</v>
      </c>
      <c r="Q43" s="178">
        <v>1.1299999999999999</v>
      </c>
      <c r="R43" s="180">
        <v>139.93</v>
      </c>
      <c r="S43" s="178">
        <v>7</v>
      </c>
      <c r="T43" s="180">
        <v>1589.64</v>
      </c>
      <c r="U43" s="182" t="s">
        <v>1947</v>
      </c>
      <c r="V43" s="182" t="s">
        <v>1947</v>
      </c>
      <c r="W43" s="180">
        <v>0</v>
      </c>
      <c r="X43" s="182" t="s">
        <v>1947</v>
      </c>
      <c r="Y43" s="182" t="s">
        <v>1947</v>
      </c>
      <c r="Z43" s="182" t="s">
        <v>1947</v>
      </c>
      <c r="AA43" s="182" t="s">
        <v>1947</v>
      </c>
      <c r="AB43" s="180">
        <v>0</v>
      </c>
      <c r="AC43" s="182" t="s">
        <v>1947</v>
      </c>
      <c r="AD43" s="182" t="s">
        <v>1947</v>
      </c>
      <c r="AE43" s="182" t="s">
        <v>1947</v>
      </c>
      <c r="AF43" s="180">
        <v>0</v>
      </c>
      <c r="AG43" s="180">
        <v>0</v>
      </c>
      <c r="AH43" s="182" t="s">
        <v>1947</v>
      </c>
      <c r="AI43" s="180">
        <v>0</v>
      </c>
      <c r="AJ43" s="182" t="s">
        <v>1947</v>
      </c>
      <c r="AK43" s="180">
        <v>0</v>
      </c>
      <c r="AL43" s="179">
        <v>88.71</v>
      </c>
      <c r="AM43" s="179">
        <v>15.3</v>
      </c>
      <c r="AN43" s="179">
        <v>243.26</v>
      </c>
      <c r="AO43" s="179">
        <v>36</v>
      </c>
      <c r="AP43" s="179">
        <v>11</v>
      </c>
      <c r="AQ43" s="179">
        <v>11</v>
      </c>
      <c r="AR43" s="179">
        <v>12.36</v>
      </c>
      <c r="AS43" s="179">
        <v>22.11</v>
      </c>
      <c r="AT43" s="179">
        <v>89</v>
      </c>
      <c r="AU43" s="179">
        <v>0.42</v>
      </c>
      <c r="AV43" s="179">
        <v>21120</v>
      </c>
      <c r="AW43" s="179">
        <v>274.20999999999998</v>
      </c>
      <c r="AX43" s="179">
        <v>2.73</v>
      </c>
      <c r="AY43" s="179">
        <v>1.1299999999999999</v>
      </c>
      <c r="AZ43" s="179">
        <v>139.93</v>
      </c>
      <c r="BA43" s="179">
        <v>7</v>
      </c>
      <c r="BB43" s="179">
        <v>1589.64</v>
      </c>
      <c r="BC43" s="179"/>
      <c r="BD43" s="179"/>
    </row>
    <row r="44" spans="1:56">
      <c r="A44" s="178" t="s">
        <v>1085</v>
      </c>
      <c r="B44" s="178" t="s">
        <v>2040</v>
      </c>
      <c r="C44" s="179">
        <v>0.38369999999999999</v>
      </c>
      <c r="D44" s="179"/>
      <c r="E44" s="179">
        <v>2.46E-2</v>
      </c>
      <c r="F44" s="180">
        <v>180.38</v>
      </c>
      <c r="G44" s="178">
        <v>294</v>
      </c>
      <c r="H44" s="178">
        <v>19</v>
      </c>
      <c r="I44" s="178">
        <v>16</v>
      </c>
      <c r="J44" s="179">
        <v>0.126</v>
      </c>
      <c r="K44" s="180">
        <v>11.27</v>
      </c>
      <c r="L44" s="178">
        <v>127</v>
      </c>
      <c r="M44" s="179">
        <v>1.2200000000000001E-2</v>
      </c>
      <c r="N44" s="181">
        <v>10374</v>
      </c>
      <c r="O44" s="180">
        <v>470.08</v>
      </c>
      <c r="P44" s="180">
        <v>1.42</v>
      </c>
      <c r="Q44" s="178">
        <v>2.61</v>
      </c>
      <c r="R44" s="180">
        <v>373.5</v>
      </c>
      <c r="S44" s="178">
        <v>12</v>
      </c>
      <c r="T44" s="180">
        <v>7333.05</v>
      </c>
      <c r="U44" s="179">
        <v>0.25430000000000003</v>
      </c>
      <c r="V44" s="179">
        <v>6.1400000000000003E-2</v>
      </c>
      <c r="W44" s="180">
        <v>1273.44</v>
      </c>
      <c r="X44" s="178">
        <v>832</v>
      </c>
      <c r="Y44" s="178">
        <v>201</v>
      </c>
      <c r="Z44" s="178">
        <v>185</v>
      </c>
      <c r="AA44" s="179">
        <v>0.21390000000000001</v>
      </c>
      <c r="AB44" s="180">
        <v>6.88</v>
      </c>
      <c r="AC44" s="178">
        <v>865</v>
      </c>
      <c r="AD44" s="179">
        <v>1.7500000000000002E-2</v>
      </c>
      <c r="AE44" s="181">
        <v>49424</v>
      </c>
      <c r="AF44" s="180">
        <v>5007.18</v>
      </c>
      <c r="AG44" s="180">
        <v>1.47</v>
      </c>
      <c r="AH44" s="178">
        <v>3.93</v>
      </c>
      <c r="AI44" s="180">
        <v>3117.5</v>
      </c>
      <c r="AJ44" s="178">
        <v>117</v>
      </c>
      <c r="AK44" s="180">
        <v>20753.150000000001</v>
      </c>
      <c r="AL44" s="179">
        <v>0.50880000000000003</v>
      </c>
      <c r="AM44" s="179">
        <v>-0.59930000000000005</v>
      </c>
      <c r="AN44" s="179">
        <v>-0.85840000000000005</v>
      </c>
      <c r="AO44" s="179">
        <v>-0.64659999999999995</v>
      </c>
      <c r="AP44" s="179">
        <v>-0.90549999999999997</v>
      </c>
      <c r="AQ44" s="179">
        <v>-0.91349999999999998</v>
      </c>
      <c r="AR44" s="179">
        <v>-0.41089999999999999</v>
      </c>
      <c r="AS44" s="179">
        <v>0.6381</v>
      </c>
      <c r="AT44" s="179">
        <v>-0.85319999999999996</v>
      </c>
      <c r="AU44" s="179">
        <v>-0.3029</v>
      </c>
      <c r="AV44" s="179">
        <v>-0.79010000000000002</v>
      </c>
      <c r="AW44" s="179">
        <v>-0.90610000000000002</v>
      </c>
      <c r="AX44" s="179">
        <v>-3.4000000000000002E-2</v>
      </c>
      <c r="AY44" s="179">
        <v>-0.33589999999999998</v>
      </c>
      <c r="AZ44" s="179">
        <v>-0.88019999999999998</v>
      </c>
      <c r="BA44" s="179">
        <v>-0.89739999999999998</v>
      </c>
      <c r="BB44" s="179">
        <v>-0.64670000000000005</v>
      </c>
      <c r="BC44" s="179"/>
      <c r="BD44" s="179"/>
    </row>
    <row r="45" spans="1:56">
      <c r="A45" s="178" t="s">
        <v>413</v>
      </c>
      <c r="B45" s="178" t="s">
        <v>2041</v>
      </c>
      <c r="C45" s="179">
        <v>0.43120000000000003</v>
      </c>
      <c r="D45" s="179"/>
      <c r="E45" s="179">
        <v>1.18E-2</v>
      </c>
      <c r="F45" s="180">
        <v>43.52</v>
      </c>
      <c r="G45" s="178">
        <v>75</v>
      </c>
      <c r="H45" s="178">
        <v>3</v>
      </c>
      <c r="I45" s="178">
        <v>3</v>
      </c>
      <c r="J45" s="179">
        <v>6.25E-2</v>
      </c>
      <c r="K45" s="180">
        <v>14.51</v>
      </c>
      <c r="L45" s="178">
        <v>48</v>
      </c>
      <c r="M45" s="179">
        <v>2.2000000000000001E-3</v>
      </c>
      <c r="N45" s="181">
        <v>21752</v>
      </c>
      <c r="O45" s="180">
        <v>100.93</v>
      </c>
      <c r="P45" s="180">
        <v>0.91</v>
      </c>
      <c r="Q45" s="178">
        <v>2.3199999999999998</v>
      </c>
      <c r="R45" s="180">
        <v>48.99</v>
      </c>
      <c r="S45" s="178">
        <v>1</v>
      </c>
      <c r="T45" s="180">
        <v>3673.27</v>
      </c>
      <c r="U45" s="182" t="s">
        <v>1947</v>
      </c>
      <c r="V45" s="182" t="s">
        <v>1947</v>
      </c>
      <c r="W45" s="180">
        <v>0</v>
      </c>
      <c r="X45" s="182" t="s">
        <v>1947</v>
      </c>
      <c r="Y45" s="182" t="s">
        <v>1947</v>
      </c>
      <c r="Z45" s="182" t="s">
        <v>1947</v>
      </c>
      <c r="AA45" s="182" t="s">
        <v>1947</v>
      </c>
      <c r="AB45" s="180">
        <v>0</v>
      </c>
      <c r="AC45" s="182" t="s">
        <v>1947</v>
      </c>
      <c r="AD45" s="182" t="s">
        <v>1947</v>
      </c>
      <c r="AE45" s="182" t="s">
        <v>1947</v>
      </c>
      <c r="AF45" s="180">
        <v>0</v>
      </c>
      <c r="AG45" s="180">
        <v>0</v>
      </c>
      <c r="AH45" s="182" t="s">
        <v>1947</v>
      </c>
      <c r="AI45" s="180">
        <v>0</v>
      </c>
      <c r="AJ45" s="182" t="s">
        <v>1947</v>
      </c>
      <c r="AK45" s="180">
        <v>0</v>
      </c>
      <c r="AL45" s="179">
        <v>43.12</v>
      </c>
      <c r="AM45" s="179">
        <v>1.18</v>
      </c>
      <c r="AN45" s="179">
        <v>43.52</v>
      </c>
      <c r="AO45" s="179">
        <v>75</v>
      </c>
      <c r="AP45" s="179">
        <v>3</v>
      </c>
      <c r="AQ45" s="179">
        <v>3</v>
      </c>
      <c r="AR45" s="179">
        <v>6.25</v>
      </c>
      <c r="AS45" s="179">
        <v>14.51</v>
      </c>
      <c r="AT45" s="179">
        <v>48</v>
      </c>
      <c r="AU45" s="179">
        <v>0.22</v>
      </c>
      <c r="AV45" s="179">
        <v>21752</v>
      </c>
      <c r="AW45" s="179">
        <v>100.93</v>
      </c>
      <c r="AX45" s="179">
        <v>0.91</v>
      </c>
      <c r="AY45" s="179">
        <v>2.3199999999999998</v>
      </c>
      <c r="AZ45" s="179">
        <v>48.99</v>
      </c>
      <c r="BA45" s="179">
        <v>1</v>
      </c>
      <c r="BB45" s="179">
        <v>3673.27</v>
      </c>
      <c r="BC45" s="179"/>
      <c r="BD45" s="179"/>
    </row>
    <row r="46" spans="1:56">
      <c r="A46" s="178" t="s">
        <v>2042</v>
      </c>
      <c r="B46" s="178" t="s">
        <v>2043</v>
      </c>
      <c r="C46" s="179">
        <v>0.30880000000000002</v>
      </c>
      <c r="D46" s="179"/>
      <c r="E46" s="179">
        <v>3.32E-2</v>
      </c>
      <c r="F46" s="180">
        <v>24.07</v>
      </c>
      <c r="G46" s="178">
        <v>29</v>
      </c>
      <c r="H46" s="178">
        <v>3</v>
      </c>
      <c r="I46" s="178">
        <v>3</v>
      </c>
      <c r="J46" s="179">
        <v>0.12</v>
      </c>
      <c r="K46" s="180">
        <v>8.02</v>
      </c>
      <c r="L46" s="178">
        <v>25</v>
      </c>
      <c r="M46" s="179">
        <v>1.9800000000000002E-2</v>
      </c>
      <c r="N46" s="181">
        <v>1263</v>
      </c>
      <c r="O46" s="180">
        <v>77.94</v>
      </c>
      <c r="P46" s="180">
        <v>0.96</v>
      </c>
      <c r="Q46" s="178">
        <v>3.24</v>
      </c>
      <c r="R46" s="180">
        <v>49.98</v>
      </c>
      <c r="S46" s="178">
        <v>2</v>
      </c>
      <c r="T46" s="180">
        <v>724.46</v>
      </c>
      <c r="U46" s="182" t="s">
        <v>1947</v>
      </c>
      <c r="V46" s="182" t="s">
        <v>1947</v>
      </c>
      <c r="W46" s="180">
        <v>0</v>
      </c>
      <c r="X46" s="182" t="s">
        <v>1947</v>
      </c>
      <c r="Y46" s="182" t="s">
        <v>1947</v>
      </c>
      <c r="Z46" s="182" t="s">
        <v>1947</v>
      </c>
      <c r="AA46" s="182" t="s">
        <v>1947</v>
      </c>
      <c r="AB46" s="180">
        <v>0</v>
      </c>
      <c r="AC46" s="182" t="s">
        <v>1947</v>
      </c>
      <c r="AD46" s="182" t="s">
        <v>1947</v>
      </c>
      <c r="AE46" s="182" t="s">
        <v>1947</v>
      </c>
      <c r="AF46" s="180">
        <v>0</v>
      </c>
      <c r="AG46" s="180">
        <v>0</v>
      </c>
      <c r="AH46" s="182" t="s">
        <v>1947</v>
      </c>
      <c r="AI46" s="180">
        <v>0</v>
      </c>
      <c r="AJ46" s="182" t="s">
        <v>1947</v>
      </c>
      <c r="AK46" s="180">
        <v>0</v>
      </c>
      <c r="AL46" s="179">
        <v>30.88</v>
      </c>
      <c r="AM46" s="179">
        <v>3.32</v>
      </c>
      <c r="AN46" s="179">
        <v>24.07</v>
      </c>
      <c r="AO46" s="179">
        <v>29</v>
      </c>
      <c r="AP46" s="179">
        <v>3</v>
      </c>
      <c r="AQ46" s="179">
        <v>3</v>
      </c>
      <c r="AR46" s="179">
        <v>12</v>
      </c>
      <c r="AS46" s="179">
        <v>8.02</v>
      </c>
      <c r="AT46" s="179">
        <v>25</v>
      </c>
      <c r="AU46" s="179">
        <v>1.98</v>
      </c>
      <c r="AV46" s="179">
        <v>1263</v>
      </c>
      <c r="AW46" s="179">
        <v>77.94</v>
      </c>
      <c r="AX46" s="179">
        <v>0.96</v>
      </c>
      <c r="AY46" s="179">
        <v>3.24</v>
      </c>
      <c r="AZ46" s="179">
        <v>49.98</v>
      </c>
      <c r="BA46" s="179">
        <v>2</v>
      </c>
      <c r="BB46" s="179">
        <v>724.46</v>
      </c>
      <c r="BC46" s="179"/>
      <c r="BD46" s="179"/>
    </row>
    <row r="47" spans="1:56">
      <c r="A47" s="178" t="s">
        <v>337</v>
      </c>
      <c r="B47" s="178" t="s">
        <v>2044</v>
      </c>
      <c r="C47" s="179">
        <v>0.99419999999999997</v>
      </c>
      <c r="D47" s="179"/>
      <c r="E47" s="179">
        <v>2.93E-2</v>
      </c>
      <c r="F47" s="180">
        <v>23.85</v>
      </c>
      <c r="G47" s="178">
        <v>37</v>
      </c>
      <c r="H47" s="178">
        <v>1</v>
      </c>
      <c r="I47" s="178">
        <v>1</v>
      </c>
      <c r="J47" s="179">
        <v>4.1700000000000001E-2</v>
      </c>
      <c r="K47" s="180">
        <v>23.85</v>
      </c>
      <c r="L47" s="178">
        <v>24</v>
      </c>
      <c r="M47" s="179">
        <v>1.6E-2</v>
      </c>
      <c r="N47" s="181">
        <v>1504</v>
      </c>
      <c r="O47" s="180">
        <v>23.99</v>
      </c>
      <c r="P47" s="180">
        <v>0.99</v>
      </c>
      <c r="Q47" s="178">
        <v>1.01</v>
      </c>
      <c r="R47" s="180">
        <v>0</v>
      </c>
      <c r="S47" s="178">
        <v>0</v>
      </c>
      <c r="T47" s="180">
        <v>813.63</v>
      </c>
      <c r="U47" s="182" t="s">
        <v>1947</v>
      </c>
      <c r="V47" s="182" t="s">
        <v>1947</v>
      </c>
      <c r="W47" s="180">
        <v>0</v>
      </c>
      <c r="X47" s="182" t="s">
        <v>1947</v>
      </c>
      <c r="Y47" s="182" t="s">
        <v>1947</v>
      </c>
      <c r="Z47" s="182" t="s">
        <v>1947</v>
      </c>
      <c r="AA47" s="182" t="s">
        <v>1947</v>
      </c>
      <c r="AB47" s="180">
        <v>0</v>
      </c>
      <c r="AC47" s="182" t="s">
        <v>1947</v>
      </c>
      <c r="AD47" s="182" t="s">
        <v>1947</v>
      </c>
      <c r="AE47" s="182" t="s">
        <v>1947</v>
      </c>
      <c r="AF47" s="180">
        <v>0</v>
      </c>
      <c r="AG47" s="180">
        <v>0</v>
      </c>
      <c r="AH47" s="182" t="s">
        <v>1947</v>
      </c>
      <c r="AI47" s="180">
        <v>0</v>
      </c>
      <c r="AJ47" s="182" t="s">
        <v>1947</v>
      </c>
      <c r="AK47" s="180">
        <v>0</v>
      </c>
      <c r="AL47" s="179">
        <v>99.42</v>
      </c>
      <c r="AM47" s="179">
        <v>2.93</v>
      </c>
      <c r="AN47" s="179">
        <v>23.85</v>
      </c>
      <c r="AO47" s="179">
        <v>37</v>
      </c>
      <c r="AP47" s="179">
        <v>1</v>
      </c>
      <c r="AQ47" s="179">
        <v>1</v>
      </c>
      <c r="AR47" s="179">
        <v>4.17</v>
      </c>
      <c r="AS47" s="179">
        <v>23.85</v>
      </c>
      <c r="AT47" s="179">
        <v>24</v>
      </c>
      <c r="AU47" s="179">
        <v>1.6</v>
      </c>
      <c r="AV47" s="179">
        <v>1504</v>
      </c>
      <c r="AW47" s="179">
        <v>23.99</v>
      </c>
      <c r="AX47" s="179">
        <v>0.99</v>
      </c>
      <c r="AY47" s="179">
        <v>1.01</v>
      </c>
      <c r="AZ47" s="179">
        <v>0</v>
      </c>
      <c r="BA47" s="179">
        <v>0</v>
      </c>
      <c r="BB47" s="179">
        <v>813.63</v>
      </c>
      <c r="BC47" s="179"/>
      <c r="BD47" s="179"/>
    </row>
    <row r="48" spans="1:56">
      <c r="A48" s="178"/>
      <c r="B48" s="178"/>
      <c r="C48" s="178"/>
      <c r="D48" s="178"/>
      <c r="E48" s="179"/>
      <c r="F48" s="179"/>
      <c r="G48" s="179"/>
      <c r="H48" s="180"/>
      <c r="I48" s="178"/>
      <c r="J48" s="178"/>
      <c r="K48" s="178"/>
      <c r="L48" s="179"/>
      <c r="M48" s="180"/>
      <c r="N48" s="178"/>
      <c r="O48" s="179"/>
      <c r="P48" s="181"/>
      <c r="Q48" s="180"/>
      <c r="R48" s="180"/>
      <c r="S48" s="178"/>
      <c r="T48" s="180"/>
      <c r="U48" s="178"/>
      <c r="V48" s="180"/>
      <c r="W48" s="179"/>
      <c r="X48" s="179"/>
      <c r="Y48" s="180"/>
      <c r="Z48" s="178"/>
      <c r="AA48" s="178"/>
      <c r="AB48" s="178"/>
      <c r="AC48" s="179"/>
      <c r="AD48" s="180"/>
      <c r="AE48" s="178"/>
      <c r="AF48" s="179"/>
      <c r="AG48" s="181"/>
      <c r="AH48" s="180"/>
      <c r="AI48" s="180"/>
      <c r="AJ48" s="178"/>
      <c r="AK48" s="180"/>
      <c r="AL48" s="178"/>
      <c r="AM48" s="180"/>
      <c r="AN48" s="179"/>
      <c r="AO48" s="179"/>
      <c r="AP48" s="179"/>
      <c r="AQ48" s="179"/>
      <c r="AR48" s="179"/>
      <c r="AS48" s="179"/>
      <c r="AT48" s="179"/>
      <c r="AU48" s="179"/>
      <c r="AV48" s="179"/>
      <c r="AW48" s="179"/>
      <c r="AX48" s="179"/>
      <c r="AY48" s="179"/>
      <c r="AZ48" s="179"/>
      <c r="BA48" s="179"/>
      <c r="BB48" s="179"/>
      <c r="BC48" s="179"/>
      <c r="BD48" s="179"/>
    </row>
    <row r="49" spans="1:56">
      <c r="A49" s="178"/>
      <c r="B49" s="178"/>
      <c r="C49" s="178"/>
      <c r="D49" s="178"/>
      <c r="E49" s="179"/>
      <c r="F49" s="179"/>
      <c r="G49" s="179"/>
      <c r="H49" s="180"/>
      <c r="I49" s="178"/>
      <c r="J49" s="178"/>
      <c r="K49" s="178"/>
      <c r="L49" s="179"/>
      <c r="M49" s="180"/>
      <c r="N49" s="178"/>
      <c r="O49" s="179"/>
      <c r="P49" s="181"/>
      <c r="Q49" s="180"/>
      <c r="R49" s="180"/>
      <c r="S49" s="178"/>
      <c r="T49" s="180"/>
      <c r="U49" s="178"/>
      <c r="V49" s="180"/>
      <c r="W49" s="179"/>
      <c r="X49" s="179"/>
      <c r="Y49" s="180"/>
      <c r="Z49" s="178"/>
      <c r="AA49" s="178"/>
      <c r="AB49" s="178"/>
      <c r="AC49" s="179"/>
      <c r="AD49" s="180"/>
      <c r="AE49" s="178"/>
      <c r="AF49" s="179"/>
      <c r="AG49" s="181"/>
      <c r="AH49" s="180"/>
      <c r="AI49" s="180"/>
      <c r="AJ49" s="178"/>
      <c r="AK49" s="180"/>
      <c r="AL49" s="178"/>
      <c r="AM49" s="180"/>
      <c r="AN49" s="179"/>
      <c r="AO49" s="179"/>
      <c r="AP49" s="179"/>
      <c r="AQ49" s="179"/>
      <c r="AR49" s="179"/>
      <c r="AS49" s="179"/>
      <c r="AT49" s="179"/>
      <c r="AU49" s="179"/>
      <c r="AV49" s="179"/>
      <c r="AW49" s="179"/>
      <c r="AX49" s="179"/>
      <c r="AY49" s="179"/>
      <c r="AZ49" s="179"/>
      <c r="BA49" s="179"/>
      <c r="BB49" s="179"/>
      <c r="BC49" s="179"/>
      <c r="BD49" s="179"/>
    </row>
    <row r="50" spans="1:56">
      <c r="A50" s="178"/>
      <c r="B50" s="178"/>
      <c r="C50" s="178"/>
      <c r="D50" s="178"/>
      <c r="E50" s="179"/>
      <c r="F50" s="179"/>
      <c r="G50" s="179"/>
      <c r="H50" s="180"/>
      <c r="I50" s="178"/>
      <c r="J50" s="178"/>
      <c r="K50" s="178"/>
      <c r="L50" s="179"/>
      <c r="M50" s="180"/>
      <c r="N50" s="178"/>
      <c r="O50" s="179"/>
      <c r="P50" s="181"/>
      <c r="Q50" s="180"/>
      <c r="R50" s="180"/>
      <c r="S50" s="178"/>
      <c r="T50" s="180"/>
      <c r="U50" s="178"/>
      <c r="V50" s="180"/>
      <c r="W50" s="179"/>
      <c r="X50" s="179"/>
      <c r="Y50" s="180"/>
      <c r="Z50" s="178"/>
      <c r="AA50" s="178"/>
      <c r="AB50" s="178"/>
      <c r="AC50" s="179"/>
      <c r="AD50" s="180"/>
      <c r="AE50" s="178"/>
      <c r="AF50" s="179"/>
      <c r="AG50" s="181"/>
      <c r="AH50" s="180"/>
      <c r="AI50" s="180"/>
      <c r="AJ50" s="178"/>
      <c r="AK50" s="180"/>
      <c r="AL50" s="178"/>
      <c r="AM50" s="180"/>
      <c r="AN50" s="179"/>
      <c r="AO50" s="179"/>
      <c r="AP50" s="179"/>
      <c r="AQ50" s="179"/>
      <c r="AR50" s="179"/>
      <c r="AS50" s="179"/>
      <c r="AT50" s="179"/>
      <c r="AU50" s="179"/>
      <c r="AV50" s="179"/>
      <c r="AW50" s="179"/>
      <c r="AX50" s="179"/>
      <c r="AY50" s="179"/>
      <c r="AZ50" s="179"/>
      <c r="BA50" s="179"/>
      <c r="BB50" s="179"/>
      <c r="BC50" s="179"/>
      <c r="BD50" s="179"/>
    </row>
    <row r="51" spans="1:56">
      <c r="A51" s="178"/>
      <c r="B51" s="178"/>
      <c r="C51" s="178"/>
      <c r="D51" s="178"/>
      <c r="E51" s="179"/>
      <c r="F51" s="179"/>
      <c r="G51" s="179"/>
      <c r="H51" s="180"/>
      <c r="I51" s="178"/>
      <c r="J51" s="178"/>
      <c r="K51" s="178"/>
      <c r="L51" s="179"/>
      <c r="M51" s="180"/>
      <c r="N51" s="178"/>
      <c r="O51" s="179"/>
      <c r="P51" s="181"/>
      <c r="Q51" s="180"/>
      <c r="R51" s="180"/>
      <c r="S51" s="178"/>
      <c r="T51" s="180"/>
      <c r="U51" s="178"/>
      <c r="V51" s="180"/>
      <c r="W51" s="182"/>
      <c r="X51" s="179"/>
      <c r="Y51" s="180"/>
      <c r="Z51" s="178"/>
      <c r="AA51" s="178"/>
      <c r="AB51" s="178"/>
      <c r="AC51" s="179"/>
      <c r="AD51" s="180"/>
      <c r="AE51" s="178"/>
      <c r="AF51" s="179"/>
      <c r="AG51" s="178"/>
      <c r="AH51" s="180"/>
      <c r="AI51" s="180"/>
      <c r="AJ51" s="178"/>
      <c r="AK51" s="180"/>
      <c r="AL51" s="178"/>
      <c r="AM51" s="180"/>
      <c r="AN51" s="179"/>
      <c r="AO51" s="179"/>
      <c r="AP51" s="179"/>
      <c r="AQ51" s="179"/>
      <c r="AR51" s="179"/>
      <c r="AS51" s="179"/>
      <c r="AT51" s="179"/>
      <c r="AU51" s="179"/>
      <c r="AV51" s="179"/>
      <c r="AW51" s="179"/>
      <c r="AX51" s="179"/>
      <c r="AY51" s="179"/>
      <c r="AZ51" s="179"/>
      <c r="BA51" s="179"/>
      <c r="BB51" s="179"/>
      <c r="BC51" s="179"/>
      <c r="BD51" s="179"/>
    </row>
    <row r="52" spans="1:56">
      <c r="A52" s="178"/>
      <c r="B52" s="178"/>
      <c r="C52" s="178"/>
      <c r="D52" s="178"/>
      <c r="E52" s="179"/>
      <c r="F52" s="179"/>
      <c r="G52" s="179"/>
      <c r="H52" s="180"/>
      <c r="I52" s="178"/>
      <c r="J52" s="178"/>
      <c r="K52" s="178"/>
      <c r="L52" s="179"/>
      <c r="M52" s="180"/>
      <c r="N52" s="178"/>
      <c r="O52" s="179"/>
      <c r="P52" s="181"/>
      <c r="Q52" s="180"/>
      <c r="R52" s="180"/>
      <c r="S52" s="178"/>
      <c r="T52" s="180"/>
      <c r="U52" s="178"/>
      <c r="V52" s="180"/>
      <c r="W52" s="182"/>
      <c r="X52" s="182"/>
      <c r="Y52" s="180"/>
      <c r="Z52" s="182"/>
      <c r="AA52" s="182"/>
      <c r="AB52" s="182"/>
      <c r="AC52" s="182"/>
      <c r="AD52" s="180"/>
      <c r="AE52" s="182"/>
      <c r="AF52" s="182"/>
      <c r="AG52" s="182"/>
      <c r="AH52" s="180"/>
      <c r="AI52" s="180"/>
      <c r="AJ52" s="182"/>
      <c r="AK52" s="180"/>
      <c r="AL52" s="182"/>
      <c r="AM52" s="180"/>
      <c r="AN52" s="179"/>
      <c r="AO52" s="179"/>
      <c r="AP52" s="179"/>
      <c r="AQ52" s="179"/>
      <c r="AR52" s="179"/>
      <c r="AS52" s="179"/>
      <c r="AT52" s="179"/>
      <c r="AU52" s="179"/>
      <c r="AV52" s="179"/>
      <c r="AW52" s="179"/>
      <c r="AX52" s="179"/>
      <c r="AY52" s="179"/>
      <c r="AZ52" s="179"/>
      <c r="BA52" s="179"/>
      <c r="BB52" s="179"/>
      <c r="BC52" s="179"/>
      <c r="BD52" s="179"/>
    </row>
    <row r="53" spans="1:56">
      <c r="A53" s="178"/>
      <c r="B53" s="178"/>
      <c r="C53" s="178"/>
      <c r="D53" s="178"/>
      <c r="E53" s="179"/>
      <c r="F53" s="179"/>
      <c r="G53" s="179"/>
      <c r="H53" s="180"/>
      <c r="I53" s="178"/>
      <c r="J53" s="178"/>
      <c r="K53" s="178"/>
      <c r="L53" s="179"/>
      <c r="M53" s="180"/>
      <c r="N53" s="178"/>
      <c r="O53" s="179"/>
      <c r="P53" s="181"/>
      <c r="Q53" s="180"/>
      <c r="R53" s="180"/>
      <c r="S53" s="178"/>
      <c r="T53" s="180"/>
      <c r="U53" s="178"/>
      <c r="V53" s="180"/>
      <c r="W53" s="179"/>
      <c r="X53" s="179"/>
      <c r="Y53" s="180"/>
      <c r="Z53" s="178"/>
      <c r="AA53" s="178"/>
      <c r="AB53" s="178"/>
      <c r="AC53" s="179"/>
      <c r="AD53" s="180"/>
      <c r="AE53" s="178"/>
      <c r="AF53" s="179"/>
      <c r="AG53" s="181"/>
      <c r="AH53" s="180"/>
      <c r="AI53" s="180"/>
      <c r="AJ53" s="178"/>
      <c r="AK53" s="180"/>
      <c r="AL53" s="178"/>
      <c r="AM53" s="180"/>
      <c r="AN53" s="179"/>
      <c r="AO53" s="179"/>
      <c r="AP53" s="179"/>
      <c r="AQ53" s="179"/>
      <c r="AR53" s="179"/>
      <c r="AS53" s="179"/>
      <c r="AT53" s="179"/>
      <c r="AU53" s="179"/>
      <c r="AV53" s="179"/>
      <c r="AW53" s="179"/>
      <c r="AX53" s="179"/>
      <c r="AY53" s="179"/>
      <c r="AZ53" s="179"/>
      <c r="BA53" s="179"/>
      <c r="BB53" s="179"/>
      <c r="BC53" s="179"/>
      <c r="BD53" s="179"/>
    </row>
    <row r="54" spans="1:56">
      <c r="A54" s="178"/>
      <c r="B54" s="178"/>
      <c r="C54" s="178"/>
      <c r="D54" s="178"/>
      <c r="E54" s="179"/>
      <c r="F54" s="179"/>
      <c r="G54" s="179"/>
      <c r="H54" s="180"/>
      <c r="I54" s="178"/>
      <c r="J54" s="178"/>
      <c r="K54" s="178"/>
      <c r="L54" s="179"/>
      <c r="M54" s="180"/>
      <c r="N54" s="178"/>
      <c r="O54" s="179"/>
      <c r="P54" s="181"/>
      <c r="Q54" s="180"/>
      <c r="R54" s="180"/>
      <c r="S54" s="178"/>
      <c r="T54" s="180"/>
      <c r="U54" s="178"/>
      <c r="V54" s="180"/>
      <c r="W54" s="182"/>
      <c r="X54" s="182"/>
      <c r="Y54" s="180"/>
      <c r="Z54" s="182"/>
      <c r="AA54" s="182"/>
      <c r="AB54" s="182"/>
      <c r="AC54" s="182"/>
      <c r="AD54" s="180"/>
      <c r="AE54" s="182"/>
      <c r="AF54" s="182"/>
      <c r="AG54" s="182"/>
      <c r="AH54" s="180"/>
      <c r="AI54" s="180"/>
      <c r="AJ54" s="182"/>
      <c r="AK54" s="180"/>
      <c r="AL54" s="182"/>
      <c r="AM54" s="180"/>
      <c r="AN54" s="179"/>
      <c r="AO54" s="179"/>
      <c r="AP54" s="179"/>
      <c r="AQ54" s="179"/>
      <c r="AR54" s="179"/>
      <c r="AS54" s="179"/>
      <c r="AT54" s="179"/>
      <c r="AU54" s="179"/>
      <c r="AV54" s="179"/>
      <c r="AW54" s="179"/>
      <c r="AX54" s="179"/>
      <c r="AY54" s="179"/>
      <c r="AZ54" s="179"/>
      <c r="BA54" s="179"/>
      <c r="BB54" s="179"/>
      <c r="BC54" s="179"/>
      <c r="BD54" s="179"/>
    </row>
    <row r="55" spans="1:56">
      <c r="A55" s="178"/>
      <c r="B55" s="178"/>
      <c r="C55" s="178"/>
      <c r="D55" s="178"/>
      <c r="E55" s="179"/>
      <c r="F55" s="179"/>
      <c r="G55" s="179"/>
      <c r="H55" s="180"/>
      <c r="I55" s="178"/>
      <c r="J55" s="178"/>
      <c r="K55" s="178"/>
      <c r="L55" s="179"/>
      <c r="M55" s="180"/>
      <c r="N55" s="178"/>
      <c r="O55" s="179"/>
      <c r="P55" s="181"/>
      <c r="Q55" s="180"/>
      <c r="R55" s="180"/>
      <c r="S55" s="178"/>
      <c r="T55" s="180"/>
      <c r="U55" s="178"/>
      <c r="V55" s="180"/>
      <c r="W55" s="182"/>
      <c r="X55" s="182"/>
      <c r="Y55" s="180"/>
      <c r="Z55" s="182"/>
      <c r="AA55" s="182"/>
      <c r="AB55" s="182"/>
      <c r="AC55" s="182"/>
      <c r="AD55" s="180"/>
      <c r="AE55" s="182"/>
      <c r="AF55" s="182"/>
      <c r="AG55" s="182"/>
      <c r="AH55" s="180"/>
      <c r="AI55" s="180"/>
      <c r="AJ55" s="182"/>
      <c r="AK55" s="180"/>
      <c r="AL55" s="182"/>
      <c r="AM55" s="180"/>
      <c r="AN55" s="179"/>
      <c r="AO55" s="179"/>
      <c r="AP55" s="179"/>
      <c r="AQ55" s="179"/>
      <c r="AR55" s="179"/>
      <c r="AS55" s="179"/>
      <c r="AT55" s="179"/>
      <c r="AU55" s="179"/>
      <c r="AV55" s="179"/>
      <c r="AW55" s="179"/>
      <c r="AX55" s="179"/>
      <c r="AY55" s="179"/>
      <c r="AZ55" s="179"/>
      <c r="BA55" s="179"/>
      <c r="BB55" s="179"/>
      <c r="BC55" s="179"/>
      <c r="BD55" s="17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9120-655A-4531-BAB1-3D674754E4E4}">
  <dimension ref="A1:Q796"/>
  <sheetViews>
    <sheetView workbookViewId="0"/>
  </sheetViews>
  <sheetFormatPr defaultRowHeight="15"/>
  <sheetData>
    <row r="1" spans="1:17">
      <c r="A1" s="183" t="s">
        <v>2045</v>
      </c>
      <c r="B1" s="183" t="s">
        <v>2046</v>
      </c>
      <c r="C1" s="183" t="s">
        <v>2047</v>
      </c>
      <c r="D1" s="183" t="s">
        <v>2048</v>
      </c>
      <c r="E1" s="183" t="s">
        <v>2049</v>
      </c>
      <c r="F1" s="183" t="s">
        <v>2050</v>
      </c>
      <c r="G1" s="183" t="s">
        <v>2051</v>
      </c>
      <c r="H1" s="183" t="s">
        <v>2052</v>
      </c>
      <c r="I1" s="183" t="s">
        <v>2053</v>
      </c>
      <c r="J1" s="183" t="s">
        <v>2054</v>
      </c>
      <c r="K1" s="183" t="s">
        <v>2055</v>
      </c>
      <c r="L1" s="183" t="s">
        <v>2056</v>
      </c>
      <c r="M1" s="183" t="s">
        <v>2057</v>
      </c>
      <c r="N1" s="183" t="s">
        <v>2058</v>
      </c>
      <c r="O1" s="183" t="s">
        <v>2059</v>
      </c>
      <c r="P1" s="183" t="s">
        <v>2060</v>
      </c>
      <c r="Q1" s="183" t="s">
        <v>2061</v>
      </c>
    </row>
    <row r="2" spans="1:17">
      <c r="A2" s="183" t="s">
        <v>2062</v>
      </c>
      <c r="B2" s="183" t="s">
        <v>1669</v>
      </c>
      <c r="C2" s="183" t="s">
        <v>2063</v>
      </c>
      <c r="D2" s="183">
        <v>0</v>
      </c>
      <c r="E2" s="183">
        <v>0</v>
      </c>
      <c r="F2" s="183">
        <v>0</v>
      </c>
      <c r="G2" s="183">
        <v>0</v>
      </c>
      <c r="H2" s="183">
        <v>0</v>
      </c>
      <c r="I2" s="183">
        <v>0</v>
      </c>
      <c r="J2" s="183">
        <v>0</v>
      </c>
      <c r="K2" s="183">
        <v>0</v>
      </c>
      <c r="L2" s="183">
        <v>0</v>
      </c>
      <c r="M2" s="183">
        <v>0</v>
      </c>
      <c r="N2" s="183">
        <v>690</v>
      </c>
      <c r="O2" s="183">
        <v>0</v>
      </c>
      <c r="P2" s="183">
        <v>690</v>
      </c>
      <c r="Q2" s="183">
        <v>9999</v>
      </c>
    </row>
    <row r="3" spans="1:17">
      <c r="A3" s="183" t="s">
        <v>2062</v>
      </c>
      <c r="B3" s="183" t="s">
        <v>1663</v>
      </c>
      <c r="C3" s="183" t="s">
        <v>2064</v>
      </c>
      <c r="D3" s="183">
        <v>0</v>
      </c>
      <c r="E3" s="183">
        <v>0</v>
      </c>
      <c r="F3" s="183">
        <v>0</v>
      </c>
      <c r="G3" s="183">
        <v>0</v>
      </c>
      <c r="H3" s="183">
        <v>0</v>
      </c>
      <c r="I3" s="183">
        <v>0</v>
      </c>
      <c r="J3" s="183">
        <v>0</v>
      </c>
      <c r="K3" s="183">
        <v>0</v>
      </c>
      <c r="L3" s="183">
        <v>0</v>
      </c>
      <c r="M3" s="183">
        <v>0</v>
      </c>
      <c r="N3" s="183">
        <v>8</v>
      </c>
      <c r="O3" s="183">
        <v>0</v>
      </c>
      <c r="P3" s="183">
        <v>8</v>
      </c>
      <c r="Q3" s="183">
        <v>9999</v>
      </c>
    </row>
    <row r="4" spans="1:17">
      <c r="A4" s="183" t="s">
        <v>2062</v>
      </c>
      <c r="B4" s="183" t="s">
        <v>271</v>
      </c>
      <c r="C4" s="183" t="s">
        <v>2065</v>
      </c>
      <c r="D4" s="183">
        <v>3</v>
      </c>
      <c r="E4" s="183">
        <v>0</v>
      </c>
      <c r="F4" s="183">
        <v>0</v>
      </c>
      <c r="G4" s="183">
        <v>0</v>
      </c>
      <c r="H4" s="183">
        <v>0</v>
      </c>
      <c r="I4" s="183">
        <v>13</v>
      </c>
      <c r="J4" s="183">
        <v>0</v>
      </c>
      <c r="K4" s="183">
        <v>0</v>
      </c>
      <c r="L4" s="183">
        <v>0</v>
      </c>
      <c r="M4" s="183">
        <v>76</v>
      </c>
      <c r="N4" s="183">
        <v>474</v>
      </c>
      <c r="O4" s="183">
        <v>1</v>
      </c>
      <c r="P4" s="183">
        <v>550</v>
      </c>
      <c r="Q4" s="183">
        <v>830</v>
      </c>
    </row>
    <row r="5" spans="1:17">
      <c r="A5" s="183" t="s">
        <v>2062</v>
      </c>
      <c r="B5" s="183" t="s">
        <v>505</v>
      </c>
      <c r="C5" s="183" t="s">
        <v>2066</v>
      </c>
      <c r="D5" s="183">
        <v>4</v>
      </c>
      <c r="E5" s="183">
        <v>0</v>
      </c>
      <c r="F5" s="183">
        <v>0</v>
      </c>
      <c r="G5" s="183">
        <v>0</v>
      </c>
      <c r="H5" s="183">
        <v>0</v>
      </c>
      <c r="I5" s="183">
        <v>10</v>
      </c>
      <c r="J5" s="183">
        <v>0</v>
      </c>
      <c r="K5" s="183">
        <v>0</v>
      </c>
      <c r="L5" s="183">
        <v>0</v>
      </c>
      <c r="M5" s="183">
        <v>0</v>
      </c>
      <c r="N5" s="183">
        <v>2</v>
      </c>
      <c r="O5" s="183">
        <v>0</v>
      </c>
      <c r="P5" s="183">
        <v>2</v>
      </c>
      <c r="Q5" s="183">
        <v>5</v>
      </c>
    </row>
    <row r="6" spans="1:17">
      <c r="A6" s="183" t="s">
        <v>2062</v>
      </c>
      <c r="B6" s="183" t="s">
        <v>295</v>
      </c>
      <c r="C6" s="183" t="s">
        <v>2067</v>
      </c>
      <c r="D6" s="183">
        <v>13</v>
      </c>
      <c r="E6" s="183">
        <v>13</v>
      </c>
      <c r="F6" s="183">
        <v>0</v>
      </c>
      <c r="G6" s="183">
        <v>1</v>
      </c>
      <c r="H6" s="183">
        <v>1092</v>
      </c>
      <c r="I6" s="183">
        <v>18</v>
      </c>
      <c r="J6" s="183">
        <v>0</v>
      </c>
      <c r="K6" s="183">
        <v>0</v>
      </c>
      <c r="L6" s="183">
        <v>0</v>
      </c>
      <c r="M6" s="183">
        <v>0</v>
      </c>
      <c r="N6" s="183">
        <v>147</v>
      </c>
      <c r="O6" s="183">
        <v>13</v>
      </c>
      <c r="P6" s="183">
        <v>1240</v>
      </c>
      <c r="Q6" s="183">
        <v>96</v>
      </c>
    </row>
    <row r="7" spans="1:17">
      <c r="A7" s="183" t="s">
        <v>2068</v>
      </c>
      <c r="B7" s="183" t="s">
        <v>1695</v>
      </c>
      <c r="C7" s="183" t="s">
        <v>2069</v>
      </c>
      <c r="D7" s="183">
        <v>0</v>
      </c>
      <c r="E7" s="183">
        <v>0</v>
      </c>
      <c r="F7" s="183">
        <v>0</v>
      </c>
      <c r="G7" s="183">
        <v>0</v>
      </c>
      <c r="H7" s="183">
        <v>0</v>
      </c>
      <c r="I7" s="183">
        <v>0</v>
      </c>
      <c r="J7" s="183">
        <v>0</v>
      </c>
      <c r="K7" s="183">
        <v>0</v>
      </c>
      <c r="L7" s="183">
        <v>0</v>
      </c>
      <c r="M7" s="183">
        <v>0</v>
      </c>
      <c r="N7" s="183">
        <v>1</v>
      </c>
      <c r="O7" s="183">
        <v>0</v>
      </c>
      <c r="P7" s="183">
        <v>1</v>
      </c>
      <c r="Q7" s="183">
        <v>9999</v>
      </c>
    </row>
    <row r="8" spans="1:17">
      <c r="A8" s="183" t="s">
        <v>2068</v>
      </c>
      <c r="B8" s="183" t="s">
        <v>1181</v>
      </c>
      <c r="C8" s="183" t="s">
        <v>2070</v>
      </c>
      <c r="D8" s="183">
        <v>0</v>
      </c>
      <c r="E8" s="183">
        <v>0</v>
      </c>
      <c r="F8" s="183">
        <v>0</v>
      </c>
      <c r="G8" s="183">
        <v>0</v>
      </c>
      <c r="H8" s="183">
        <v>0</v>
      </c>
      <c r="I8" s="183">
        <v>20</v>
      </c>
      <c r="J8" s="183">
        <v>0</v>
      </c>
      <c r="K8" s="183">
        <v>0</v>
      </c>
      <c r="L8" s="183">
        <v>0</v>
      </c>
      <c r="M8" s="183">
        <v>0</v>
      </c>
      <c r="N8" s="183">
        <v>3473</v>
      </c>
      <c r="O8" s="183">
        <v>0</v>
      </c>
      <c r="P8" s="183">
        <v>3473</v>
      </c>
      <c r="Q8" s="183">
        <v>24311</v>
      </c>
    </row>
    <row r="9" spans="1:17">
      <c r="A9" s="183" t="s">
        <v>2062</v>
      </c>
      <c r="B9" s="183" t="s">
        <v>1683</v>
      </c>
      <c r="C9" s="183" t="s">
        <v>2071</v>
      </c>
      <c r="D9" s="183">
        <v>0</v>
      </c>
      <c r="E9" s="183">
        <v>0</v>
      </c>
      <c r="F9" s="183">
        <v>0</v>
      </c>
      <c r="G9" s="183">
        <v>0</v>
      </c>
      <c r="H9" s="183">
        <v>0</v>
      </c>
      <c r="I9" s="183">
        <v>0</v>
      </c>
      <c r="J9" s="183">
        <v>0</v>
      </c>
      <c r="K9" s="183">
        <v>0</v>
      </c>
      <c r="L9" s="183">
        <v>0</v>
      </c>
      <c r="M9" s="183">
        <v>0</v>
      </c>
      <c r="N9" s="183">
        <v>198</v>
      </c>
      <c r="O9" s="183">
        <v>0</v>
      </c>
      <c r="P9" s="183">
        <v>198</v>
      </c>
      <c r="Q9" s="183">
        <v>9999</v>
      </c>
    </row>
    <row r="10" spans="1:17">
      <c r="A10" s="183" t="s">
        <v>2068</v>
      </c>
      <c r="B10" s="183" t="s">
        <v>1718</v>
      </c>
      <c r="C10" s="183" t="s">
        <v>2072</v>
      </c>
      <c r="D10" s="183">
        <v>0</v>
      </c>
      <c r="E10" s="183">
        <v>0</v>
      </c>
      <c r="F10" s="183">
        <v>0</v>
      </c>
      <c r="G10" s="183">
        <v>0</v>
      </c>
      <c r="H10" s="183">
        <v>0</v>
      </c>
      <c r="I10" s="183">
        <v>0</v>
      </c>
      <c r="J10" s="183">
        <v>0</v>
      </c>
      <c r="K10" s="183">
        <v>0</v>
      </c>
      <c r="L10" s="183">
        <v>0</v>
      </c>
      <c r="M10" s="183">
        <v>0</v>
      </c>
      <c r="N10" s="183">
        <v>1</v>
      </c>
      <c r="O10" s="183">
        <v>0</v>
      </c>
      <c r="P10" s="183">
        <v>1</v>
      </c>
      <c r="Q10" s="183">
        <v>9999</v>
      </c>
    </row>
    <row r="11" spans="1:17">
      <c r="A11" s="183" t="s">
        <v>2062</v>
      </c>
      <c r="B11" s="183" t="s">
        <v>1680</v>
      </c>
      <c r="C11" s="183" t="s">
        <v>2073</v>
      </c>
      <c r="D11" s="183">
        <v>0</v>
      </c>
      <c r="E11" s="183">
        <v>0</v>
      </c>
      <c r="F11" s="183">
        <v>0</v>
      </c>
      <c r="G11" s="183">
        <v>0</v>
      </c>
      <c r="H11" s="183">
        <v>0</v>
      </c>
      <c r="I11" s="183">
        <v>0</v>
      </c>
      <c r="J11" s="183">
        <v>0</v>
      </c>
      <c r="K11" s="183">
        <v>0</v>
      </c>
      <c r="L11" s="183">
        <v>0</v>
      </c>
      <c r="M11" s="183">
        <v>0</v>
      </c>
      <c r="N11" s="183">
        <v>2</v>
      </c>
      <c r="O11" s="183">
        <v>0</v>
      </c>
      <c r="P11" s="183">
        <v>2</v>
      </c>
      <c r="Q11" s="183">
        <v>9999</v>
      </c>
    </row>
    <row r="12" spans="1:17">
      <c r="A12" s="183" t="s">
        <v>2062</v>
      </c>
      <c r="B12" s="183" t="s">
        <v>1686</v>
      </c>
      <c r="C12" s="183" t="s">
        <v>2074</v>
      </c>
      <c r="D12" s="183">
        <v>1</v>
      </c>
      <c r="E12" s="183">
        <v>0</v>
      </c>
      <c r="F12" s="183">
        <v>0</v>
      </c>
      <c r="G12" s="183">
        <v>0</v>
      </c>
      <c r="H12" s="183">
        <v>0</v>
      </c>
      <c r="I12" s="183">
        <v>11</v>
      </c>
      <c r="J12" s="183">
        <v>0</v>
      </c>
      <c r="K12" s="183">
        <v>0</v>
      </c>
      <c r="L12" s="183">
        <v>0</v>
      </c>
      <c r="M12" s="183">
        <v>0</v>
      </c>
      <c r="N12" s="183">
        <v>57</v>
      </c>
      <c r="O12" s="183">
        <v>0</v>
      </c>
      <c r="P12" s="183">
        <v>57</v>
      </c>
      <c r="Q12" s="183">
        <v>9999</v>
      </c>
    </row>
    <row r="13" spans="1:17">
      <c r="A13" s="183" t="s">
        <v>2068</v>
      </c>
      <c r="B13" s="183" t="s">
        <v>1111</v>
      </c>
      <c r="C13" s="183" t="s">
        <v>2075</v>
      </c>
      <c r="D13" s="183">
        <v>4</v>
      </c>
      <c r="E13" s="183">
        <v>0</v>
      </c>
      <c r="F13" s="183">
        <v>0</v>
      </c>
      <c r="G13" s="183">
        <v>0</v>
      </c>
      <c r="H13" s="183">
        <v>505</v>
      </c>
      <c r="I13" s="183">
        <v>19</v>
      </c>
      <c r="J13" s="183">
        <v>0</v>
      </c>
      <c r="K13" s="183">
        <v>0</v>
      </c>
      <c r="L13" s="183">
        <v>0</v>
      </c>
      <c r="M13" s="183">
        <v>0</v>
      </c>
      <c r="N13" s="183">
        <v>4048</v>
      </c>
      <c r="O13" s="183">
        <v>0</v>
      </c>
      <c r="P13" s="183">
        <v>4553</v>
      </c>
      <c r="Q13" s="183">
        <v>9999</v>
      </c>
    </row>
    <row r="14" spans="1:17">
      <c r="A14" s="183" t="s">
        <v>2062</v>
      </c>
      <c r="B14" s="183" t="s">
        <v>1687</v>
      </c>
      <c r="C14" s="183" t="s">
        <v>2076</v>
      </c>
      <c r="D14" s="183">
        <v>0</v>
      </c>
      <c r="E14" s="183">
        <v>0</v>
      </c>
      <c r="F14" s="183">
        <v>0</v>
      </c>
      <c r="G14" s="183">
        <v>0</v>
      </c>
      <c r="H14" s="183">
        <v>0</v>
      </c>
      <c r="I14" s="183">
        <v>0</v>
      </c>
      <c r="J14" s="183">
        <v>0</v>
      </c>
      <c r="K14" s="183">
        <v>0</v>
      </c>
      <c r="L14" s="183">
        <v>0</v>
      </c>
      <c r="M14" s="183">
        <v>0</v>
      </c>
      <c r="N14" s="183">
        <v>1</v>
      </c>
      <c r="O14" s="183">
        <v>0</v>
      </c>
      <c r="P14" s="183">
        <v>1</v>
      </c>
      <c r="Q14" s="183">
        <v>9999</v>
      </c>
    </row>
    <row r="15" spans="1:17">
      <c r="A15" s="183" t="s">
        <v>2068</v>
      </c>
      <c r="B15" s="183" t="s">
        <v>1705</v>
      </c>
      <c r="C15" s="183" t="s">
        <v>2077</v>
      </c>
      <c r="D15" s="183">
        <v>0</v>
      </c>
      <c r="E15" s="183">
        <v>0</v>
      </c>
      <c r="F15" s="183">
        <v>0</v>
      </c>
      <c r="G15" s="183">
        <v>0</v>
      </c>
      <c r="H15" s="183">
        <v>0</v>
      </c>
      <c r="I15" s="183">
        <v>13</v>
      </c>
      <c r="J15" s="183">
        <v>0</v>
      </c>
      <c r="K15" s="183">
        <v>0</v>
      </c>
      <c r="L15" s="183">
        <v>0</v>
      </c>
      <c r="M15" s="183">
        <v>0</v>
      </c>
      <c r="N15" s="183">
        <v>0</v>
      </c>
      <c r="O15" s="183">
        <v>0</v>
      </c>
      <c r="P15" s="183">
        <v>0</v>
      </c>
      <c r="Q15" s="183">
        <v>0</v>
      </c>
    </row>
    <row r="16" spans="1:17">
      <c r="A16" s="183" t="s">
        <v>2078</v>
      </c>
      <c r="B16" s="183" t="s">
        <v>1755</v>
      </c>
      <c r="C16" s="183" t="s">
        <v>2079</v>
      </c>
      <c r="D16" s="183">
        <v>0</v>
      </c>
      <c r="E16" s="183">
        <v>0</v>
      </c>
      <c r="F16" s="183">
        <v>0</v>
      </c>
      <c r="G16" s="183">
        <v>0</v>
      </c>
      <c r="H16" s="183">
        <v>0</v>
      </c>
      <c r="I16" s="183">
        <v>2</v>
      </c>
      <c r="J16" s="183">
        <v>0</v>
      </c>
      <c r="K16" s="183">
        <v>0</v>
      </c>
      <c r="L16" s="183">
        <v>0</v>
      </c>
      <c r="M16" s="183">
        <v>0</v>
      </c>
      <c r="N16" s="183">
        <v>0</v>
      </c>
      <c r="O16" s="183">
        <v>0</v>
      </c>
      <c r="P16" s="183">
        <v>0</v>
      </c>
      <c r="Q16" s="183">
        <v>0</v>
      </c>
    </row>
    <row r="17" spans="1:17">
      <c r="A17" s="183" t="s">
        <v>2068</v>
      </c>
      <c r="B17" s="183" t="s">
        <v>1079</v>
      </c>
      <c r="C17" s="183" t="s">
        <v>2080</v>
      </c>
      <c r="D17" s="183">
        <v>0</v>
      </c>
      <c r="E17" s="183">
        <v>0</v>
      </c>
      <c r="F17" s="183">
        <v>0</v>
      </c>
      <c r="G17" s="183">
        <v>0</v>
      </c>
      <c r="H17" s="183">
        <v>0</v>
      </c>
      <c r="I17" s="183">
        <v>16</v>
      </c>
      <c r="J17" s="183">
        <v>0</v>
      </c>
      <c r="K17" s="183">
        <v>0</v>
      </c>
      <c r="L17" s="183">
        <v>0</v>
      </c>
      <c r="M17" s="183">
        <v>0</v>
      </c>
      <c r="N17" s="183">
        <v>3745</v>
      </c>
      <c r="O17" s="183">
        <v>0</v>
      </c>
      <c r="P17" s="183">
        <v>3745</v>
      </c>
      <c r="Q17" s="183">
        <v>9999</v>
      </c>
    </row>
    <row r="18" spans="1:17">
      <c r="A18" s="183" t="s">
        <v>2068</v>
      </c>
      <c r="B18" s="183" t="s">
        <v>2081</v>
      </c>
      <c r="C18" s="183" t="s">
        <v>2082</v>
      </c>
      <c r="D18" s="183">
        <v>0</v>
      </c>
      <c r="E18" s="183">
        <v>0</v>
      </c>
      <c r="F18" s="183">
        <v>0</v>
      </c>
      <c r="G18" s="183">
        <v>0</v>
      </c>
      <c r="H18" s="183">
        <v>0</v>
      </c>
      <c r="I18" s="183">
        <v>0</v>
      </c>
      <c r="J18" s="183">
        <v>0</v>
      </c>
      <c r="K18" s="183">
        <v>0</v>
      </c>
      <c r="L18" s="183">
        <v>0</v>
      </c>
      <c r="M18" s="183">
        <v>0</v>
      </c>
      <c r="N18" s="183">
        <v>1305</v>
      </c>
      <c r="O18" s="183">
        <v>0</v>
      </c>
      <c r="P18" s="183">
        <v>1305</v>
      </c>
      <c r="Q18" s="183">
        <v>9999</v>
      </c>
    </row>
    <row r="19" spans="1:17">
      <c r="A19" s="183" t="s">
        <v>2068</v>
      </c>
      <c r="B19" s="183" t="s">
        <v>1062</v>
      </c>
      <c r="C19" s="183" t="s">
        <v>2083</v>
      </c>
      <c r="D19" s="183">
        <v>0</v>
      </c>
      <c r="E19" s="183">
        <v>0</v>
      </c>
      <c r="F19" s="183">
        <v>0</v>
      </c>
      <c r="G19" s="183">
        <v>0</v>
      </c>
      <c r="H19" s="183">
        <v>0</v>
      </c>
      <c r="I19" s="183">
        <v>8</v>
      </c>
      <c r="J19" s="183">
        <v>0</v>
      </c>
      <c r="K19" s="183">
        <v>0</v>
      </c>
      <c r="L19" s="183">
        <v>0</v>
      </c>
      <c r="M19" s="183">
        <v>0</v>
      </c>
      <c r="N19" s="183">
        <v>4153</v>
      </c>
      <c r="O19" s="183">
        <v>0</v>
      </c>
      <c r="P19" s="183">
        <v>4153</v>
      </c>
      <c r="Q19" s="183">
        <v>9999</v>
      </c>
    </row>
    <row r="20" spans="1:17">
      <c r="A20" s="183" t="s">
        <v>2062</v>
      </c>
      <c r="B20" s="183" t="s">
        <v>1659</v>
      </c>
      <c r="C20" s="183" t="s">
        <v>2084</v>
      </c>
      <c r="D20" s="183">
        <v>0</v>
      </c>
      <c r="E20" s="183">
        <v>0</v>
      </c>
      <c r="F20" s="183">
        <v>0</v>
      </c>
      <c r="G20" s="183">
        <v>0</v>
      </c>
      <c r="H20" s="183">
        <v>0</v>
      </c>
      <c r="I20" s="183">
        <v>2</v>
      </c>
      <c r="J20" s="183">
        <v>0</v>
      </c>
      <c r="K20" s="183">
        <v>0</v>
      </c>
      <c r="L20" s="183">
        <v>0</v>
      </c>
      <c r="M20" s="183">
        <v>0</v>
      </c>
      <c r="N20" s="183">
        <v>0</v>
      </c>
      <c r="O20" s="183">
        <v>0</v>
      </c>
      <c r="P20" s="183">
        <v>0</v>
      </c>
      <c r="Q20" s="183">
        <v>0</v>
      </c>
    </row>
    <row r="21" spans="1:17">
      <c r="A21" s="183" t="s">
        <v>2062</v>
      </c>
      <c r="B21" s="183" t="s">
        <v>1676</v>
      </c>
      <c r="C21" s="183" t="s">
        <v>2085</v>
      </c>
      <c r="D21" s="183">
        <v>0</v>
      </c>
      <c r="E21" s="183">
        <v>0</v>
      </c>
      <c r="F21" s="183">
        <v>0</v>
      </c>
      <c r="G21" s="183">
        <v>0</v>
      </c>
      <c r="H21" s="183">
        <v>0</v>
      </c>
      <c r="I21" s="183">
        <v>0</v>
      </c>
      <c r="J21" s="183">
        <v>0</v>
      </c>
      <c r="K21" s="183">
        <v>0</v>
      </c>
      <c r="L21" s="183">
        <v>0</v>
      </c>
      <c r="M21" s="183">
        <v>0</v>
      </c>
      <c r="N21" s="183">
        <v>264</v>
      </c>
      <c r="O21" s="183">
        <v>0</v>
      </c>
      <c r="P21" s="183">
        <v>264</v>
      </c>
      <c r="Q21" s="183">
        <v>9999</v>
      </c>
    </row>
    <row r="22" spans="1:17">
      <c r="A22" s="183" t="s">
        <v>2062</v>
      </c>
      <c r="B22" s="183" t="s">
        <v>1673</v>
      </c>
      <c r="C22" s="183" t="s">
        <v>2086</v>
      </c>
      <c r="D22" s="183">
        <v>0</v>
      </c>
      <c r="E22" s="183">
        <v>0</v>
      </c>
      <c r="F22" s="183">
        <v>0</v>
      </c>
      <c r="G22" s="183">
        <v>0</v>
      </c>
      <c r="H22" s="183">
        <v>0</v>
      </c>
      <c r="I22" s="183">
        <v>1</v>
      </c>
      <c r="J22" s="183">
        <v>0</v>
      </c>
      <c r="K22" s="183">
        <v>0</v>
      </c>
      <c r="L22" s="183">
        <v>0</v>
      </c>
      <c r="M22" s="183">
        <v>0</v>
      </c>
      <c r="N22" s="183">
        <v>0</v>
      </c>
      <c r="O22" s="183">
        <v>0</v>
      </c>
      <c r="P22" s="183">
        <v>0</v>
      </c>
      <c r="Q22" s="183">
        <v>0</v>
      </c>
    </row>
    <row r="23" spans="1:17">
      <c r="A23" s="183" t="s">
        <v>2062</v>
      </c>
      <c r="B23" s="183" t="s">
        <v>1674</v>
      </c>
      <c r="C23" s="183" t="s">
        <v>2087</v>
      </c>
      <c r="D23" s="183">
        <v>2</v>
      </c>
      <c r="E23" s="183">
        <v>0</v>
      </c>
      <c r="F23" s="183">
        <v>0</v>
      </c>
      <c r="G23" s="183">
        <v>0</v>
      </c>
      <c r="H23" s="183">
        <v>0</v>
      </c>
      <c r="I23" s="183">
        <v>3</v>
      </c>
      <c r="J23" s="183">
        <v>0</v>
      </c>
      <c r="K23" s="183">
        <v>0</v>
      </c>
      <c r="L23" s="183">
        <v>0</v>
      </c>
      <c r="M23" s="183">
        <v>0</v>
      </c>
      <c r="N23" s="183">
        <v>1705</v>
      </c>
      <c r="O23" s="183">
        <v>0</v>
      </c>
      <c r="P23" s="183">
        <v>1705</v>
      </c>
      <c r="Q23" s="183">
        <v>9999</v>
      </c>
    </row>
    <row r="24" spans="1:17">
      <c r="A24" s="183" t="s">
        <v>2068</v>
      </c>
      <c r="B24" s="183" t="s">
        <v>1710</v>
      </c>
      <c r="C24" s="183" t="s">
        <v>2088</v>
      </c>
      <c r="D24" s="183">
        <v>0</v>
      </c>
      <c r="E24" s="183">
        <v>0</v>
      </c>
      <c r="F24" s="183">
        <v>0</v>
      </c>
      <c r="G24" s="183">
        <v>0</v>
      </c>
      <c r="H24" s="183">
        <v>0</v>
      </c>
      <c r="I24" s="183">
        <v>0</v>
      </c>
      <c r="J24" s="183">
        <v>0</v>
      </c>
      <c r="K24" s="183">
        <v>0</v>
      </c>
      <c r="L24" s="183">
        <v>0</v>
      </c>
      <c r="M24" s="183">
        <v>0</v>
      </c>
      <c r="N24" s="183">
        <v>1</v>
      </c>
      <c r="O24" s="183">
        <v>0</v>
      </c>
      <c r="P24" s="183">
        <v>1</v>
      </c>
      <c r="Q24" s="183">
        <v>9999</v>
      </c>
    </row>
    <row r="25" spans="1:17">
      <c r="A25" s="183" t="s">
        <v>2062</v>
      </c>
      <c r="B25" s="183" t="s">
        <v>289</v>
      </c>
      <c r="C25" s="183" t="s">
        <v>2089</v>
      </c>
      <c r="D25" s="183">
        <v>0</v>
      </c>
      <c r="E25" s="183">
        <v>0</v>
      </c>
      <c r="F25" s="183">
        <v>0</v>
      </c>
      <c r="G25" s="183">
        <v>0</v>
      </c>
      <c r="H25" s="183">
        <v>0</v>
      </c>
      <c r="I25" s="183">
        <v>28</v>
      </c>
      <c r="J25" s="183">
        <v>0</v>
      </c>
      <c r="K25" s="183">
        <v>0</v>
      </c>
      <c r="L25" s="183">
        <v>0</v>
      </c>
      <c r="M25" s="183">
        <v>0</v>
      </c>
      <c r="N25" s="183">
        <v>100</v>
      </c>
      <c r="O25" s="183">
        <v>0</v>
      </c>
      <c r="P25" s="183">
        <v>100</v>
      </c>
      <c r="Q25" s="183">
        <v>9999</v>
      </c>
    </row>
    <row r="26" spans="1:17">
      <c r="A26" s="183" t="s">
        <v>2068</v>
      </c>
      <c r="B26" s="183" t="s">
        <v>1709</v>
      </c>
      <c r="C26" s="183" t="s">
        <v>2090</v>
      </c>
      <c r="D26" s="183">
        <v>0</v>
      </c>
      <c r="E26" s="183">
        <v>0</v>
      </c>
      <c r="F26" s="183">
        <v>0</v>
      </c>
      <c r="G26" s="183">
        <v>0</v>
      </c>
      <c r="H26" s="183">
        <v>0</v>
      </c>
      <c r="I26" s="183">
        <v>0</v>
      </c>
      <c r="J26" s="183">
        <v>0</v>
      </c>
      <c r="K26" s="183">
        <v>0</v>
      </c>
      <c r="L26" s="183">
        <v>0</v>
      </c>
      <c r="M26" s="183">
        <v>0</v>
      </c>
      <c r="N26" s="183">
        <v>10</v>
      </c>
      <c r="O26" s="183">
        <v>0</v>
      </c>
      <c r="P26" s="183">
        <v>10</v>
      </c>
      <c r="Q26" s="183">
        <v>9999</v>
      </c>
    </row>
    <row r="27" spans="1:17">
      <c r="A27" s="183" t="s">
        <v>2078</v>
      </c>
      <c r="B27" s="183" t="s">
        <v>1761</v>
      </c>
      <c r="C27" s="183" t="s">
        <v>2091</v>
      </c>
      <c r="D27" s="183">
        <v>0</v>
      </c>
      <c r="E27" s="183">
        <v>0</v>
      </c>
      <c r="F27" s="183">
        <v>0</v>
      </c>
      <c r="G27" s="183">
        <v>0</v>
      </c>
      <c r="H27" s="183">
        <v>0</v>
      </c>
      <c r="I27" s="183">
        <v>0</v>
      </c>
      <c r="J27" s="183">
        <v>0</v>
      </c>
      <c r="K27" s="183">
        <v>0</v>
      </c>
      <c r="L27" s="183">
        <v>0</v>
      </c>
      <c r="M27" s="183">
        <v>0</v>
      </c>
      <c r="N27" s="183">
        <v>66</v>
      </c>
      <c r="O27" s="183">
        <v>0</v>
      </c>
      <c r="P27" s="183">
        <v>66</v>
      </c>
      <c r="Q27" s="183">
        <v>9999</v>
      </c>
    </row>
    <row r="28" spans="1:17">
      <c r="A28" s="183" t="s">
        <v>2078</v>
      </c>
      <c r="B28" s="183" t="s">
        <v>1356</v>
      </c>
      <c r="C28" s="183" t="s">
        <v>2092</v>
      </c>
      <c r="D28" s="183">
        <v>0</v>
      </c>
      <c r="E28" s="183">
        <v>0</v>
      </c>
      <c r="F28" s="183">
        <v>0</v>
      </c>
      <c r="G28" s="183">
        <v>0</v>
      </c>
      <c r="H28" s="183">
        <v>0</v>
      </c>
      <c r="I28" s="183">
        <v>1</v>
      </c>
      <c r="J28" s="183">
        <v>0</v>
      </c>
      <c r="K28" s="183">
        <v>0</v>
      </c>
      <c r="L28" s="183">
        <v>0</v>
      </c>
      <c r="M28" s="183">
        <v>0</v>
      </c>
      <c r="N28" s="183">
        <v>0</v>
      </c>
      <c r="O28" s="183">
        <v>0</v>
      </c>
      <c r="P28" s="183">
        <v>0</v>
      </c>
      <c r="Q28" s="183">
        <v>0</v>
      </c>
    </row>
    <row r="29" spans="1:17">
      <c r="A29" s="183" t="s">
        <v>2068</v>
      </c>
      <c r="B29" s="183" t="s">
        <v>1020</v>
      </c>
      <c r="C29" s="183" t="s">
        <v>2093</v>
      </c>
      <c r="D29" s="183">
        <v>0</v>
      </c>
      <c r="E29" s="183">
        <v>0</v>
      </c>
      <c r="F29" s="183">
        <v>0</v>
      </c>
      <c r="G29" s="183">
        <v>0</v>
      </c>
      <c r="H29" s="183">
        <v>0</v>
      </c>
      <c r="I29" s="183">
        <v>17</v>
      </c>
      <c r="J29" s="183">
        <v>0</v>
      </c>
      <c r="K29" s="183">
        <v>0</v>
      </c>
      <c r="L29" s="183">
        <v>0</v>
      </c>
      <c r="M29" s="183">
        <v>0</v>
      </c>
      <c r="N29" s="183">
        <v>6630</v>
      </c>
      <c r="O29" s="183">
        <v>0</v>
      </c>
      <c r="P29" s="183">
        <v>6630</v>
      </c>
      <c r="Q29" s="183">
        <v>9999</v>
      </c>
    </row>
    <row r="30" spans="1:17">
      <c r="A30" s="183" t="s">
        <v>2062</v>
      </c>
      <c r="B30" s="183" t="s">
        <v>2094</v>
      </c>
      <c r="C30" s="183" t="s">
        <v>2095</v>
      </c>
      <c r="D30" s="183">
        <v>0</v>
      </c>
      <c r="E30" s="183">
        <v>0</v>
      </c>
      <c r="F30" s="183">
        <v>0</v>
      </c>
      <c r="G30" s="183">
        <v>0</v>
      </c>
      <c r="H30" s="183">
        <v>0</v>
      </c>
      <c r="I30" s="183">
        <v>0</v>
      </c>
      <c r="J30" s="183">
        <v>0</v>
      </c>
      <c r="K30" s="183">
        <v>0</v>
      </c>
      <c r="L30" s="183">
        <v>0</v>
      </c>
      <c r="M30" s="183">
        <v>0</v>
      </c>
      <c r="N30" s="183">
        <v>28</v>
      </c>
      <c r="O30" s="183">
        <v>0</v>
      </c>
      <c r="P30" s="183">
        <v>28</v>
      </c>
      <c r="Q30" s="183">
        <v>9999</v>
      </c>
    </row>
    <row r="31" spans="1:17">
      <c r="A31" s="183" t="s">
        <v>2062</v>
      </c>
      <c r="B31" s="183" t="s">
        <v>586</v>
      </c>
      <c r="C31" s="183" t="s">
        <v>2096</v>
      </c>
      <c r="D31" s="183">
        <v>136</v>
      </c>
      <c r="E31" s="183">
        <v>114</v>
      </c>
      <c r="F31" s="183">
        <v>0</v>
      </c>
      <c r="G31" s="183">
        <v>0</v>
      </c>
      <c r="H31" s="183">
        <v>13014</v>
      </c>
      <c r="I31" s="183">
        <v>183</v>
      </c>
      <c r="J31" s="183">
        <v>0</v>
      </c>
      <c r="K31" s="183">
        <v>16</v>
      </c>
      <c r="L31" s="183">
        <v>11</v>
      </c>
      <c r="M31" s="183">
        <v>415</v>
      </c>
      <c r="N31" s="183">
        <v>2494</v>
      </c>
      <c r="O31" s="183">
        <v>125</v>
      </c>
      <c r="P31" s="183">
        <v>15923</v>
      </c>
      <c r="Q31" s="183">
        <v>124</v>
      </c>
    </row>
    <row r="32" spans="1:17">
      <c r="A32" s="183" t="s">
        <v>2062</v>
      </c>
      <c r="B32" s="183" t="s">
        <v>1671</v>
      </c>
      <c r="C32" s="183" t="s">
        <v>2097</v>
      </c>
      <c r="D32" s="183">
        <v>0</v>
      </c>
      <c r="E32" s="183">
        <v>0</v>
      </c>
      <c r="F32" s="183">
        <v>0</v>
      </c>
      <c r="G32" s="183">
        <v>0</v>
      </c>
      <c r="H32" s="183">
        <v>0</v>
      </c>
      <c r="I32" s="183">
        <v>2</v>
      </c>
      <c r="J32" s="183">
        <v>0</v>
      </c>
      <c r="K32" s="183">
        <v>0</v>
      </c>
      <c r="L32" s="183">
        <v>0</v>
      </c>
      <c r="M32" s="183">
        <v>0</v>
      </c>
      <c r="N32" s="183">
        <v>0</v>
      </c>
      <c r="O32" s="183">
        <v>0</v>
      </c>
      <c r="P32" s="183">
        <v>0</v>
      </c>
      <c r="Q32" s="183">
        <v>0</v>
      </c>
    </row>
    <row r="33" spans="1:17">
      <c r="A33" s="183" t="s">
        <v>2062</v>
      </c>
      <c r="B33" s="183" t="s">
        <v>1655</v>
      </c>
      <c r="C33" s="183" t="s">
        <v>2098</v>
      </c>
      <c r="D33" s="183">
        <v>0</v>
      </c>
      <c r="E33" s="183">
        <v>0</v>
      </c>
      <c r="F33" s="183">
        <v>0</v>
      </c>
      <c r="G33" s="183">
        <v>0</v>
      </c>
      <c r="H33" s="183">
        <v>0</v>
      </c>
      <c r="I33" s="183">
        <v>0</v>
      </c>
      <c r="J33" s="183">
        <v>0</v>
      </c>
      <c r="K33" s="183">
        <v>0</v>
      </c>
      <c r="L33" s="183">
        <v>0</v>
      </c>
      <c r="M33" s="183">
        <v>0</v>
      </c>
      <c r="N33" s="183">
        <v>3</v>
      </c>
      <c r="O33" s="183">
        <v>0</v>
      </c>
      <c r="P33" s="183">
        <v>3</v>
      </c>
      <c r="Q33" s="183">
        <v>9999</v>
      </c>
    </row>
    <row r="34" spans="1:17">
      <c r="A34" s="183" t="s">
        <v>2068</v>
      </c>
      <c r="B34" s="183" t="s">
        <v>2099</v>
      </c>
      <c r="C34" s="183" t="s">
        <v>2100</v>
      </c>
      <c r="D34" s="183">
        <v>0</v>
      </c>
      <c r="E34" s="183">
        <v>0</v>
      </c>
      <c r="F34" s="183">
        <v>0</v>
      </c>
      <c r="G34" s="183">
        <v>0</v>
      </c>
      <c r="H34" s="183">
        <v>0</v>
      </c>
      <c r="I34" s="183">
        <v>1</v>
      </c>
      <c r="J34" s="183">
        <v>0</v>
      </c>
      <c r="K34" s="183">
        <v>0</v>
      </c>
      <c r="L34" s="183">
        <v>0</v>
      </c>
      <c r="M34" s="183">
        <v>0</v>
      </c>
      <c r="N34" s="183">
        <v>35</v>
      </c>
      <c r="O34" s="183">
        <v>0</v>
      </c>
      <c r="P34" s="183">
        <v>35</v>
      </c>
      <c r="Q34" s="183">
        <v>9999</v>
      </c>
    </row>
    <row r="35" spans="1:17">
      <c r="A35" s="183" t="s">
        <v>2078</v>
      </c>
      <c r="B35" s="183" t="s">
        <v>1348</v>
      </c>
      <c r="C35" s="183" t="s">
        <v>2101</v>
      </c>
      <c r="D35" s="183">
        <v>0</v>
      </c>
      <c r="E35" s="183">
        <v>0</v>
      </c>
      <c r="F35" s="183">
        <v>0</v>
      </c>
      <c r="G35" s="183">
        <v>0</v>
      </c>
      <c r="H35" s="183">
        <v>0</v>
      </c>
      <c r="I35" s="183">
        <v>4</v>
      </c>
      <c r="J35" s="183">
        <v>0</v>
      </c>
      <c r="K35" s="183">
        <v>0</v>
      </c>
      <c r="L35" s="183">
        <v>0</v>
      </c>
      <c r="M35" s="183">
        <v>0</v>
      </c>
      <c r="N35" s="183">
        <v>0</v>
      </c>
      <c r="O35" s="183">
        <v>0</v>
      </c>
      <c r="P35" s="183">
        <v>0</v>
      </c>
      <c r="Q35" s="183">
        <v>0</v>
      </c>
    </row>
    <row r="36" spans="1:17">
      <c r="A36" s="183" t="s">
        <v>2078</v>
      </c>
      <c r="B36" s="183" t="s">
        <v>1478</v>
      </c>
      <c r="C36" s="183" t="s">
        <v>2102</v>
      </c>
      <c r="D36" s="183">
        <v>29</v>
      </c>
      <c r="E36" s="183">
        <v>11</v>
      </c>
      <c r="F36" s="183">
        <v>0</v>
      </c>
      <c r="G36" s="183">
        <v>0</v>
      </c>
      <c r="H36" s="183">
        <v>0</v>
      </c>
      <c r="I36" s="183">
        <v>1615</v>
      </c>
      <c r="J36" s="183">
        <v>0</v>
      </c>
      <c r="K36" s="183">
        <v>0</v>
      </c>
      <c r="L36" s="183">
        <v>0</v>
      </c>
      <c r="M36" s="183">
        <v>0</v>
      </c>
      <c r="N36" s="183">
        <v>1279</v>
      </c>
      <c r="O36" s="183">
        <v>11</v>
      </c>
      <c r="P36" s="183">
        <v>1279</v>
      </c>
      <c r="Q36" s="183">
        <v>121</v>
      </c>
    </row>
    <row r="37" spans="1:17">
      <c r="A37" s="183" t="s">
        <v>2068</v>
      </c>
      <c r="B37" s="183" t="s">
        <v>1692</v>
      </c>
      <c r="C37" s="183" t="s">
        <v>2103</v>
      </c>
      <c r="D37" s="183">
        <v>0</v>
      </c>
      <c r="E37" s="183">
        <v>0</v>
      </c>
      <c r="F37" s="183">
        <v>0</v>
      </c>
      <c r="G37" s="183">
        <v>0</v>
      </c>
      <c r="H37" s="183">
        <v>0</v>
      </c>
      <c r="I37" s="183">
        <v>1</v>
      </c>
      <c r="J37" s="183">
        <v>0</v>
      </c>
      <c r="K37" s="183">
        <v>0</v>
      </c>
      <c r="L37" s="183">
        <v>0</v>
      </c>
      <c r="M37" s="183">
        <v>0</v>
      </c>
      <c r="N37" s="183">
        <v>6322</v>
      </c>
      <c r="O37" s="183">
        <v>0</v>
      </c>
      <c r="P37" s="183">
        <v>6322</v>
      </c>
      <c r="Q37" s="183">
        <v>9999</v>
      </c>
    </row>
    <row r="38" spans="1:17">
      <c r="A38" s="183" t="s">
        <v>2068</v>
      </c>
      <c r="B38" s="183" t="s">
        <v>1250</v>
      </c>
      <c r="C38" s="183" t="s">
        <v>2104</v>
      </c>
      <c r="D38" s="183">
        <v>0</v>
      </c>
      <c r="E38" s="183">
        <v>0</v>
      </c>
      <c r="F38" s="183">
        <v>0</v>
      </c>
      <c r="G38" s="183">
        <v>0</v>
      </c>
      <c r="H38" s="183">
        <v>0</v>
      </c>
      <c r="I38" s="183">
        <v>3</v>
      </c>
      <c r="J38" s="183">
        <v>0</v>
      </c>
      <c r="K38" s="183">
        <v>0</v>
      </c>
      <c r="L38" s="183">
        <v>0</v>
      </c>
      <c r="M38" s="183">
        <v>0</v>
      </c>
      <c r="N38" s="183">
        <v>1761</v>
      </c>
      <c r="O38" s="183">
        <v>0</v>
      </c>
      <c r="P38" s="183">
        <v>1761</v>
      </c>
      <c r="Q38" s="183">
        <v>9999</v>
      </c>
    </row>
    <row r="39" spans="1:17">
      <c r="A39" s="183" t="s">
        <v>2068</v>
      </c>
      <c r="B39" s="183" t="s">
        <v>1263</v>
      </c>
      <c r="C39" s="183" t="s">
        <v>2105</v>
      </c>
      <c r="D39" s="183">
        <v>1</v>
      </c>
      <c r="E39" s="183">
        <v>1</v>
      </c>
      <c r="F39" s="183">
        <v>0</v>
      </c>
      <c r="G39" s="183">
        <v>0</v>
      </c>
      <c r="H39" s="183">
        <v>0</v>
      </c>
      <c r="I39" s="183">
        <v>70</v>
      </c>
      <c r="J39" s="183">
        <v>0</v>
      </c>
      <c r="K39" s="183">
        <v>0</v>
      </c>
      <c r="L39" s="183">
        <v>0</v>
      </c>
      <c r="M39" s="183">
        <v>0</v>
      </c>
      <c r="N39" s="183">
        <v>15915</v>
      </c>
      <c r="O39" s="183">
        <v>1</v>
      </c>
      <c r="P39" s="183">
        <v>15915</v>
      </c>
      <c r="Q39" s="183">
        <v>27851</v>
      </c>
    </row>
    <row r="40" spans="1:17">
      <c r="A40" s="183" t="s">
        <v>2078</v>
      </c>
      <c r="B40" s="183" t="s">
        <v>1350</v>
      </c>
      <c r="C40" s="183" t="s">
        <v>2106</v>
      </c>
      <c r="D40" s="183">
        <v>0</v>
      </c>
      <c r="E40" s="183">
        <v>0</v>
      </c>
      <c r="F40" s="183">
        <v>0</v>
      </c>
      <c r="G40" s="183">
        <v>0</v>
      </c>
      <c r="H40" s="183">
        <v>0</v>
      </c>
      <c r="I40" s="183">
        <v>7</v>
      </c>
      <c r="J40" s="183">
        <v>0</v>
      </c>
      <c r="K40" s="183">
        <v>0</v>
      </c>
      <c r="L40" s="183">
        <v>0</v>
      </c>
      <c r="M40" s="183">
        <v>0</v>
      </c>
      <c r="N40" s="183">
        <v>56</v>
      </c>
      <c r="O40" s="183">
        <v>0</v>
      </c>
      <c r="P40" s="183">
        <v>56</v>
      </c>
      <c r="Q40" s="183">
        <v>9999</v>
      </c>
    </row>
    <row r="41" spans="1:17">
      <c r="A41" s="183" t="s">
        <v>2068</v>
      </c>
      <c r="B41" s="183" t="s">
        <v>1697</v>
      </c>
      <c r="C41" s="183" t="s">
        <v>2107</v>
      </c>
      <c r="D41" s="183">
        <v>0</v>
      </c>
      <c r="E41" s="183">
        <v>0</v>
      </c>
      <c r="F41" s="183">
        <v>0</v>
      </c>
      <c r="G41" s="183">
        <v>0</v>
      </c>
      <c r="H41" s="183">
        <v>0</v>
      </c>
      <c r="I41" s="183">
        <v>0</v>
      </c>
      <c r="J41" s="183">
        <v>0</v>
      </c>
      <c r="K41" s="183">
        <v>0</v>
      </c>
      <c r="L41" s="183">
        <v>0</v>
      </c>
      <c r="M41" s="183">
        <v>0</v>
      </c>
      <c r="N41" s="183">
        <v>182</v>
      </c>
      <c r="O41" s="183">
        <v>0</v>
      </c>
      <c r="P41" s="183">
        <v>182</v>
      </c>
      <c r="Q41" s="183">
        <v>9999</v>
      </c>
    </row>
    <row r="42" spans="1:17">
      <c r="A42" s="183" t="s">
        <v>2068</v>
      </c>
      <c r="B42" s="183" t="s">
        <v>1089</v>
      </c>
      <c r="C42" s="183" t="s">
        <v>2108</v>
      </c>
      <c r="D42" s="183">
        <v>6</v>
      </c>
      <c r="E42" s="183">
        <v>0</v>
      </c>
      <c r="F42" s="183">
        <v>0</v>
      </c>
      <c r="G42" s="183">
        <v>0</v>
      </c>
      <c r="H42" s="183">
        <v>1</v>
      </c>
      <c r="I42" s="183">
        <v>17</v>
      </c>
      <c r="J42" s="183">
        <v>0</v>
      </c>
      <c r="K42" s="183">
        <v>0</v>
      </c>
      <c r="L42" s="183">
        <v>0</v>
      </c>
      <c r="M42" s="183">
        <v>0</v>
      </c>
      <c r="N42" s="183">
        <v>8050</v>
      </c>
      <c r="O42" s="183">
        <v>0</v>
      </c>
      <c r="P42" s="183">
        <v>8051</v>
      </c>
      <c r="Q42" s="183">
        <v>9999</v>
      </c>
    </row>
    <row r="43" spans="1:17">
      <c r="A43" s="183" t="s">
        <v>2068</v>
      </c>
      <c r="B43" s="183" t="s">
        <v>1700</v>
      </c>
      <c r="C43" s="183" t="s">
        <v>2109</v>
      </c>
      <c r="D43" s="183">
        <v>0</v>
      </c>
      <c r="E43" s="183">
        <v>0</v>
      </c>
      <c r="F43" s="183">
        <v>0</v>
      </c>
      <c r="G43" s="183">
        <v>0</v>
      </c>
      <c r="H43" s="183">
        <v>0</v>
      </c>
      <c r="I43" s="183">
        <v>0</v>
      </c>
      <c r="J43" s="183">
        <v>0</v>
      </c>
      <c r="K43" s="183">
        <v>0</v>
      </c>
      <c r="L43" s="183">
        <v>0</v>
      </c>
      <c r="M43" s="183">
        <v>0</v>
      </c>
      <c r="N43" s="183">
        <v>30</v>
      </c>
      <c r="O43" s="183">
        <v>0</v>
      </c>
      <c r="P43" s="183">
        <v>30</v>
      </c>
      <c r="Q43" s="183">
        <v>9999</v>
      </c>
    </row>
    <row r="44" spans="1:17">
      <c r="A44" s="183" t="s">
        <v>2078</v>
      </c>
      <c r="B44" s="183" t="s">
        <v>1354</v>
      </c>
      <c r="C44" s="183" t="s">
        <v>2110</v>
      </c>
      <c r="D44" s="183">
        <v>0</v>
      </c>
      <c r="E44" s="183">
        <v>0</v>
      </c>
      <c r="F44" s="183">
        <v>0</v>
      </c>
      <c r="G44" s="183">
        <v>0</v>
      </c>
      <c r="H44" s="183">
        <v>0</v>
      </c>
      <c r="I44" s="183">
        <v>5</v>
      </c>
      <c r="J44" s="183">
        <v>0</v>
      </c>
      <c r="K44" s="183">
        <v>0</v>
      </c>
      <c r="L44" s="183">
        <v>0</v>
      </c>
      <c r="M44" s="183">
        <v>0</v>
      </c>
      <c r="N44" s="183">
        <v>0</v>
      </c>
      <c r="O44" s="183">
        <v>0</v>
      </c>
      <c r="P44" s="183">
        <v>0</v>
      </c>
      <c r="Q44" s="183">
        <v>0</v>
      </c>
    </row>
    <row r="45" spans="1:17">
      <c r="A45" s="183" t="s">
        <v>2078</v>
      </c>
      <c r="B45" s="183" t="s">
        <v>2111</v>
      </c>
      <c r="C45" s="183" t="s">
        <v>2112</v>
      </c>
      <c r="D45" s="183">
        <v>0</v>
      </c>
      <c r="E45" s="183">
        <v>0</v>
      </c>
      <c r="F45" s="183">
        <v>0</v>
      </c>
      <c r="G45" s="183">
        <v>0</v>
      </c>
      <c r="H45" s="183">
        <v>0</v>
      </c>
      <c r="I45" s="183">
        <v>0</v>
      </c>
      <c r="J45" s="183">
        <v>0</v>
      </c>
      <c r="K45" s="183">
        <v>0</v>
      </c>
      <c r="L45" s="183">
        <v>0</v>
      </c>
      <c r="M45" s="183">
        <v>0</v>
      </c>
      <c r="N45" s="183">
        <v>270</v>
      </c>
      <c r="O45" s="183">
        <v>0</v>
      </c>
      <c r="P45" s="183">
        <v>270</v>
      </c>
      <c r="Q45" s="183">
        <v>9999</v>
      </c>
    </row>
    <row r="46" spans="1:17">
      <c r="A46" s="183" t="s">
        <v>2068</v>
      </c>
      <c r="B46" s="183" t="s">
        <v>1771</v>
      </c>
      <c r="C46" s="183" t="s">
        <v>2113</v>
      </c>
      <c r="D46" s="183">
        <v>0</v>
      </c>
      <c r="E46" s="183">
        <v>0</v>
      </c>
      <c r="F46" s="183">
        <v>0</v>
      </c>
      <c r="G46" s="183">
        <v>0</v>
      </c>
      <c r="H46" s="183">
        <v>0</v>
      </c>
      <c r="I46" s="183">
        <v>1</v>
      </c>
      <c r="J46" s="183">
        <v>0</v>
      </c>
      <c r="K46" s="183">
        <v>0</v>
      </c>
      <c r="L46" s="183">
        <v>0</v>
      </c>
      <c r="M46" s="183">
        <v>0</v>
      </c>
      <c r="N46" s="183">
        <v>1177</v>
      </c>
      <c r="O46" s="183">
        <v>0</v>
      </c>
      <c r="P46" s="183">
        <v>1177</v>
      </c>
      <c r="Q46" s="183">
        <v>9999</v>
      </c>
    </row>
    <row r="47" spans="1:17">
      <c r="A47" s="183" t="s">
        <v>2068</v>
      </c>
      <c r="B47" s="183" t="s">
        <v>1237</v>
      </c>
      <c r="C47" s="183" t="s">
        <v>2114</v>
      </c>
      <c r="D47" s="183">
        <v>0</v>
      </c>
      <c r="E47" s="183">
        <v>0</v>
      </c>
      <c r="F47" s="183">
        <v>0</v>
      </c>
      <c r="G47" s="183">
        <v>0</v>
      </c>
      <c r="H47" s="183">
        <v>0</v>
      </c>
      <c r="I47" s="183">
        <v>43</v>
      </c>
      <c r="J47" s="183">
        <v>0</v>
      </c>
      <c r="K47" s="183">
        <v>0</v>
      </c>
      <c r="L47" s="183">
        <v>0</v>
      </c>
      <c r="M47" s="183">
        <v>0</v>
      </c>
      <c r="N47" s="183">
        <v>5221</v>
      </c>
      <c r="O47" s="183">
        <v>0</v>
      </c>
      <c r="P47" s="183">
        <v>5221</v>
      </c>
      <c r="Q47" s="183">
        <v>12182</v>
      </c>
    </row>
    <row r="48" spans="1:17">
      <c r="A48" s="183" t="s">
        <v>2068</v>
      </c>
      <c r="B48" s="183" t="s">
        <v>1295</v>
      </c>
      <c r="C48" s="183" t="s">
        <v>2115</v>
      </c>
      <c r="D48" s="183">
        <v>0</v>
      </c>
      <c r="E48" s="183">
        <v>0</v>
      </c>
      <c r="F48" s="183">
        <v>0</v>
      </c>
      <c r="G48" s="183">
        <v>0</v>
      </c>
      <c r="H48" s="183">
        <v>0</v>
      </c>
      <c r="I48" s="183">
        <v>18</v>
      </c>
      <c r="J48" s="183">
        <v>0</v>
      </c>
      <c r="K48" s="183">
        <v>0</v>
      </c>
      <c r="L48" s="183">
        <v>0</v>
      </c>
      <c r="M48" s="183">
        <v>0</v>
      </c>
      <c r="N48" s="183">
        <v>68</v>
      </c>
      <c r="O48" s="183">
        <v>0</v>
      </c>
      <c r="P48" s="183">
        <v>68</v>
      </c>
      <c r="Q48" s="183">
        <v>476</v>
      </c>
    </row>
    <row r="49" spans="1:17">
      <c r="A49" s="183" t="s">
        <v>2078</v>
      </c>
      <c r="B49" s="183" t="s">
        <v>1774</v>
      </c>
      <c r="C49" s="183" t="s">
        <v>2116</v>
      </c>
      <c r="D49" s="183">
        <v>0</v>
      </c>
      <c r="E49" s="183">
        <v>0</v>
      </c>
      <c r="F49" s="183">
        <v>0</v>
      </c>
      <c r="G49" s="183">
        <v>0</v>
      </c>
      <c r="H49" s="183">
        <v>0</v>
      </c>
      <c r="I49" s="183">
        <v>0</v>
      </c>
      <c r="J49" s="183">
        <v>0</v>
      </c>
      <c r="K49" s="183">
        <v>0</v>
      </c>
      <c r="L49" s="183">
        <v>0</v>
      </c>
      <c r="M49" s="183">
        <v>0</v>
      </c>
      <c r="N49" s="183">
        <v>19</v>
      </c>
      <c r="O49" s="183">
        <v>0</v>
      </c>
      <c r="P49" s="183">
        <v>19</v>
      </c>
      <c r="Q49" s="183">
        <v>9999</v>
      </c>
    </row>
    <row r="50" spans="1:17">
      <c r="A50" s="183" t="s">
        <v>2078</v>
      </c>
      <c r="B50" s="183" t="s">
        <v>1333</v>
      </c>
      <c r="C50" s="183" t="s">
        <v>2117</v>
      </c>
      <c r="D50" s="183">
        <v>3</v>
      </c>
      <c r="E50" s="183">
        <v>1</v>
      </c>
      <c r="F50" s="183">
        <v>0</v>
      </c>
      <c r="G50" s="183">
        <v>0</v>
      </c>
      <c r="H50" s="183">
        <v>0</v>
      </c>
      <c r="I50" s="183">
        <v>11</v>
      </c>
      <c r="J50" s="183">
        <v>0</v>
      </c>
      <c r="K50" s="183">
        <v>0</v>
      </c>
      <c r="L50" s="183">
        <v>0</v>
      </c>
      <c r="M50" s="183">
        <v>0</v>
      </c>
      <c r="N50" s="183">
        <v>32</v>
      </c>
      <c r="O50" s="183">
        <v>1</v>
      </c>
      <c r="P50" s="183">
        <v>32</v>
      </c>
      <c r="Q50" s="183">
        <v>56</v>
      </c>
    </row>
    <row r="51" spans="1:17">
      <c r="A51" s="183" t="s">
        <v>2068</v>
      </c>
      <c r="B51" s="183" t="s">
        <v>972</v>
      </c>
      <c r="C51" s="183" t="s">
        <v>971</v>
      </c>
      <c r="D51" s="183">
        <v>20</v>
      </c>
      <c r="E51" s="183">
        <v>7</v>
      </c>
      <c r="F51" s="183">
        <v>0</v>
      </c>
      <c r="G51" s="183">
        <v>0</v>
      </c>
      <c r="H51" s="183">
        <v>0</v>
      </c>
      <c r="I51" s="183">
        <v>15</v>
      </c>
      <c r="J51" s="183">
        <v>0</v>
      </c>
      <c r="K51" s="183">
        <v>0</v>
      </c>
      <c r="L51" s="183">
        <v>0</v>
      </c>
      <c r="M51" s="183">
        <v>0</v>
      </c>
      <c r="N51" s="183">
        <v>4644</v>
      </c>
      <c r="O51" s="183">
        <v>7</v>
      </c>
      <c r="P51" s="183">
        <v>4644</v>
      </c>
      <c r="Q51" s="183">
        <v>650</v>
      </c>
    </row>
    <row r="52" spans="1:17">
      <c r="A52" s="183" t="s">
        <v>2068</v>
      </c>
      <c r="B52" s="183" t="s">
        <v>1167</v>
      </c>
      <c r="C52" s="183" t="s">
        <v>2035</v>
      </c>
      <c r="D52" s="183">
        <v>11</v>
      </c>
      <c r="E52" s="183">
        <v>0</v>
      </c>
      <c r="F52" s="183">
        <v>0</v>
      </c>
      <c r="G52" s="183">
        <v>0</v>
      </c>
      <c r="H52" s="183">
        <v>3</v>
      </c>
      <c r="I52" s="183">
        <v>59</v>
      </c>
      <c r="J52" s="183">
        <v>0</v>
      </c>
      <c r="K52" s="183">
        <v>0</v>
      </c>
      <c r="L52" s="183">
        <v>0</v>
      </c>
      <c r="M52" s="183">
        <v>0</v>
      </c>
      <c r="N52" s="183">
        <v>7442</v>
      </c>
      <c r="O52" s="183">
        <v>0</v>
      </c>
      <c r="P52" s="183">
        <v>7445</v>
      </c>
      <c r="Q52" s="183">
        <v>9999</v>
      </c>
    </row>
    <row r="53" spans="1:17">
      <c r="A53" s="183" t="s">
        <v>2062</v>
      </c>
      <c r="B53" s="183" t="s">
        <v>1651</v>
      </c>
      <c r="C53" s="183" t="s">
        <v>2118</v>
      </c>
      <c r="D53" s="183">
        <v>0</v>
      </c>
      <c r="E53" s="183">
        <v>0</v>
      </c>
      <c r="F53" s="183">
        <v>0</v>
      </c>
      <c r="G53" s="183">
        <v>0</v>
      </c>
      <c r="H53" s="183">
        <v>0</v>
      </c>
      <c r="I53" s="183">
        <v>0</v>
      </c>
      <c r="J53" s="183">
        <v>0</v>
      </c>
      <c r="K53" s="183">
        <v>0</v>
      </c>
      <c r="L53" s="183">
        <v>0</v>
      </c>
      <c r="M53" s="183">
        <v>0</v>
      </c>
      <c r="N53" s="183">
        <v>2</v>
      </c>
      <c r="O53" s="183">
        <v>0</v>
      </c>
      <c r="P53" s="183">
        <v>2</v>
      </c>
      <c r="Q53" s="183">
        <v>9999</v>
      </c>
    </row>
    <row r="54" spans="1:17">
      <c r="A54" s="183" t="s">
        <v>2062</v>
      </c>
      <c r="B54" s="183" t="s">
        <v>1656</v>
      </c>
      <c r="C54" s="183" t="s">
        <v>2119</v>
      </c>
      <c r="D54" s="183">
        <v>0</v>
      </c>
      <c r="E54" s="183">
        <v>0</v>
      </c>
      <c r="F54" s="183">
        <v>0</v>
      </c>
      <c r="G54" s="183">
        <v>0</v>
      </c>
      <c r="H54" s="183">
        <v>0</v>
      </c>
      <c r="I54" s="183">
        <v>0</v>
      </c>
      <c r="J54" s="183">
        <v>0</v>
      </c>
      <c r="K54" s="183">
        <v>0</v>
      </c>
      <c r="L54" s="183">
        <v>0</v>
      </c>
      <c r="M54" s="183">
        <v>0</v>
      </c>
      <c r="N54" s="183">
        <v>25</v>
      </c>
      <c r="O54" s="183">
        <v>0</v>
      </c>
      <c r="P54" s="183">
        <v>25</v>
      </c>
      <c r="Q54" s="183">
        <v>9999</v>
      </c>
    </row>
    <row r="55" spans="1:17">
      <c r="A55" s="183" t="s">
        <v>2068</v>
      </c>
      <c r="B55" s="183" t="s">
        <v>1150</v>
      </c>
      <c r="C55" s="183" t="s">
        <v>2120</v>
      </c>
      <c r="D55" s="183">
        <v>0</v>
      </c>
      <c r="E55" s="183">
        <v>0</v>
      </c>
      <c r="F55" s="183">
        <v>0</v>
      </c>
      <c r="G55" s="183">
        <v>0</v>
      </c>
      <c r="H55" s="183">
        <v>0</v>
      </c>
      <c r="I55" s="183">
        <v>6</v>
      </c>
      <c r="J55" s="183">
        <v>0</v>
      </c>
      <c r="K55" s="183">
        <v>0</v>
      </c>
      <c r="L55" s="183">
        <v>0</v>
      </c>
      <c r="M55" s="183">
        <v>0</v>
      </c>
      <c r="N55" s="183">
        <v>5169</v>
      </c>
      <c r="O55" s="183">
        <v>0</v>
      </c>
      <c r="P55" s="183">
        <v>5169</v>
      </c>
      <c r="Q55" s="183">
        <v>9999</v>
      </c>
    </row>
    <row r="56" spans="1:17">
      <c r="A56" s="183" t="s">
        <v>2062</v>
      </c>
      <c r="B56" s="183" t="s">
        <v>1689</v>
      </c>
      <c r="C56" s="183" t="s">
        <v>2121</v>
      </c>
      <c r="D56" s="183">
        <v>0</v>
      </c>
      <c r="E56" s="183">
        <v>0</v>
      </c>
      <c r="F56" s="183">
        <v>0</v>
      </c>
      <c r="G56" s="183">
        <v>0</v>
      </c>
      <c r="H56" s="183">
        <v>0</v>
      </c>
      <c r="I56" s="183">
        <v>1</v>
      </c>
      <c r="J56" s="183">
        <v>0</v>
      </c>
      <c r="K56" s="183">
        <v>0</v>
      </c>
      <c r="L56" s="183">
        <v>0</v>
      </c>
      <c r="M56" s="183">
        <v>0</v>
      </c>
      <c r="N56" s="183">
        <v>0</v>
      </c>
      <c r="O56" s="183">
        <v>0</v>
      </c>
      <c r="P56" s="183">
        <v>0</v>
      </c>
      <c r="Q56" s="183">
        <v>0</v>
      </c>
    </row>
    <row r="57" spans="1:17">
      <c r="A57" s="183" t="s">
        <v>2068</v>
      </c>
      <c r="B57" s="183" t="s">
        <v>1030</v>
      </c>
      <c r="C57" s="183" t="s">
        <v>2038</v>
      </c>
      <c r="D57" s="183">
        <v>11</v>
      </c>
      <c r="E57" s="183">
        <v>5</v>
      </c>
      <c r="F57" s="183">
        <v>0</v>
      </c>
      <c r="G57" s="183">
        <v>0</v>
      </c>
      <c r="H57" s="183">
        <v>170</v>
      </c>
      <c r="I57" s="183">
        <v>22</v>
      </c>
      <c r="J57" s="183">
        <v>0</v>
      </c>
      <c r="K57" s="183">
        <v>0</v>
      </c>
      <c r="L57" s="183">
        <v>0</v>
      </c>
      <c r="M57" s="183">
        <v>0</v>
      </c>
      <c r="N57" s="183">
        <v>2961</v>
      </c>
      <c r="O57" s="183">
        <v>5</v>
      </c>
      <c r="P57" s="183">
        <v>3131</v>
      </c>
      <c r="Q57" s="183">
        <v>645</v>
      </c>
    </row>
    <row r="58" spans="1:17">
      <c r="A58" s="183" t="s">
        <v>2062</v>
      </c>
      <c r="B58" s="183" t="s">
        <v>99</v>
      </c>
      <c r="C58" s="183" t="s">
        <v>2122</v>
      </c>
      <c r="D58" s="183">
        <v>1</v>
      </c>
      <c r="E58" s="183">
        <v>1</v>
      </c>
      <c r="F58" s="183">
        <v>0</v>
      </c>
      <c r="G58" s="183">
        <v>0</v>
      </c>
      <c r="H58" s="183">
        <v>0</v>
      </c>
      <c r="I58" s="183">
        <v>14</v>
      </c>
      <c r="J58" s="183">
        <v>0</v>
      </c>
      <c r="K58" s="183">
        <v>0</v>
      </c>
      <c r="L58" s="183">
        <v>0</v>
      </c>
      <c r="M58" s="183">
        <v>0</v>
      </c>
      <c r="N58" s="183">
        <v>0</v>
      </c>
      <c r="O58" s="183">
        <v>1</v>
      </c>
      <c r="P58" s="183">
        <v>0</v>
      </c>
      <c r="Q58" s="183">
        <v>0</v>
      </c>
    </row>
    <row r="59" spans="1:17">
      <c r="A59" s="183" t="s">
        <v>2062</v>
      </c>
      <c r="B59" s="183" t="s">
        <v>111</v>
      </c>
      <c r="C59" s="183" t="s">
        <v>2020</v>
      </c>
      <c r="D59" s="183">
        <v>1</v>
      </c>
      <c r="E59" s="183">
        <v>0</v>
      </c>
      <c r="F59" s="183">
        <v>0</v>
      </c>
      <c r="G59" s="183">
        <v>0</v>
      </c>
      <c r="H59" s="183">
        <v>0</v>
      </c>
      <c r="I59" s="183">
        <v>7</v>
      </c>
      <c r="J59" s="183">
        <v>0</v>
      </c>
      <c r="K59" s="183">
        <v>4</v>
      </c>
      <c r="L59" s="183">
        <v>4</v>
      </c>
      <c r="M59" s="183">
        <v>729</v>
      </c>
      <c r="N59" s="183">
        <v>1</v>
      </c>
      <c r="O59" s="183">
        <v>4</v>
      </c>
      <c r="P59" s="183">
        <v>730</v>
      </c>
      <c r="Q59" s="183">
        <v>9999</v>
      </c>
    </row>
    <row r="60" spans="1:17">
      <c r="A60" s="183" t="s">
        <v>2068</v>
      </c>
      <c r="B60" s="183" t="s">
        <v>1222</v>
      </c>
      <c r="C60" s="183" t="s">
        <v>2031</v>
      </c>
      <c r="D60" s="183">
        <v>19</v>
      </c>
      <c r="E60" s="183">
        <v>0</v>
      </c>
      <c r="F60" s="183">
        <v>0</v>
      </c>
      <c r="G60" s="183">
        <v>0</v>
      </c>
      <c r="H60" s="183">
        <v>140</v>
      </c>
      <c r="I60" s="183">
        <v>28</v>
      </c>
      <c r="J60" s="183">
        <v>0</v>
      </c>
      <c r="K60" s="183">
        <v>0</v>
      </c>
      <c r="L60" s="183">
        <v>0</v>
      </c>
      <c r="M60" s="183">
        <v>0</v>
      </c>
      <c r="N60" s="183">
        <v>1816</v>
      </c>
      <c r="O60" s="183">
        <v>0</v>
      </c>
      <c r="P60" s="183">
        <v>1956</v>
      </c>
      <c r="Q60" s="183">
        <v>9999</v>
      </c>
    </row>
    <row r="61" spans="1:17">
      <c r="A61" s="183" t="s">
        <v>2078</v>
      </c>
      <c r="B61" s="183" t="s">
        <v>1781</v>
      </c>
      <c r="C61" s="183" t="s">
        <v>2123</v>
      </c>
      <c r="D61" s="183">
        <v>0</v>
      </c>
      <c r="E61" s="183">
        <v>0</v>
      </c>
      <c r="F61" s="183">
        <v>0</v>
      </c>
      <c r="G61" s="183">
        <v>0</v>
      </c>
      <c r="H61" s="183">
        <v>0</v>
      </c>
      <c r="I61" s="183">
        <v>1</v>
      </c>
      <c r="J61" s="183">
        <v>0</v>
      </c>
      <c r="K61" s="183">
        <v>0</v>
      </c>
      <c r="L61" s="183">
        <v>0</v>
      </c>
      <c r="M61" s="183">
        <v>0</v>
      </c>
      <c r="N61" s="183">
        <v>0</v>
      </c>
      <c r="O61" s="183">
        <v>0</v>
      </c>
      <c r="P61" s="183">
        <v>0</v>
      </c>
      <c r="Q61" s="183">
        <v>0</v>
      </c>
    </row>
    <row r="62" spans="1:17">
      <c r="A62" s="183" t="s">
        <v>2062</v>
      </c>
      <c r="B62" s="183" t="s">
        <v>1763</v>
      </c>
      <c r="C62" s="183" t="s">
        <v>2124</v>
      </c>
      <c r="D62" s="183">
        <v>0</v>
      </c>
      <c r="E62" s="183">
        <v>0</v>
      </c>
      <c r="F62" s="183">
        <v>0</v>
      </c>
      <c r="G62" s="183">
        <v>0</v>
      </c>
      <c r="H62" s="183">
        <v>0</v>
      </c>
      <c r="I62" s="183">
        <v>12</v>
      </c>
      <c r="J62" s="183">
        <v>0</v>
      </c>
      <c r="K62" s="183">
        <v>0</v>
      </c>
      <c r="L62" s="183">
        <v>0</v>
      </c>
      <c r="M62" s="183">
        <v>0</v>
      </c>
      <c r="N62" s="183">
        <v>4</v>
      </c>
      <c r="O62" s="183">
        <v>0</v>
      </c>
      <c r="P62" s="183">
        <v>4</v>
      </c>
      <c r="Q62" s="183">
        <v>9999</v>
      </c>
    </row>
    <row r="63" spans="1:17">
      <c r="A63" s="183" t="s">
        <v>2068</v>
      </c>
      <c r="B63" s="183" t="s">
        <v>1028</v>
      </c>
      <c r="C63" s="183" t="s">
        <v>2125</v>
      </c>
      <c r="D63" s="183">
        <v>0</v>
      </c>
      <c r="E63" s="183">
        <v>0</v>
      </c>
      <c r="F63" s="183">
        <v>0</v>
      </c>
      <c r="G63" s="183">
        <v>0</v>
      </c>
      <c r="H63" s="183">
        <v>0</v>
      </c>
      <c r="I63" s="183">
        <v>18</v>
      </c>
      <c r="J63" s="183">
        <v>0</v>
      </c>
      <c r="K63" s="183">
        <v>0</v>
      </c>
      <c r="L63" s="183">
        <v>0</v>
      </c>
      <c r="M63" s="183">
        <v>0</v>
      </c>
      <c r="N63" s="183">
        <v>3955</v>
      </c>
      <c r="O63" s="183">
        <v>0</v>
      </c>
      <c r="P63" s="183">
        <v>3955</v>
      </c>
      <c r="Q63" s="183">
        <v>9999</v>
      </c>
    </row>
    <row r="64" spans="1:17">
      <c r="A64" s="183" t="s">
        <v>2078</v>
      </c>
      <c r="B64" s="183" t="s">
        <v>1789</v>
      </c>
      <c r="C64" s="183" t="s">
        <v>2126</v>
      </c>
      <c r="D64" s="183">
        <v>0</v>
      </c>
      <c r="E64" s="183">
        <v>0</v>
      </c>
      <c r="F64" s="183">
        <v>0</v>
      </c>
      <c r="G64" s="183">
        <v>0</v>
      </c>
      <c r="H64" s="183">
        <v>0</v>
      </c>
      <c r="I64" s="183">
        <v>3</v>
      </c>
      <c r="J64" s="183">
        <v>0</v>
      </c>
      <c r="K64" s="183">
        <v>0</v>
      </c>
      <c r="L64" s="183">
        <v>0</v>
      </c>
      <c r="M64" s="183">
        <v>0</v>
      </c>
      <c r="N64" s="183">
        <v>46</v>
      </c>
      <c r="O64" s="183">
        <v>0</v>
      </c>
      <c r="P64" s="183">
        <v>46</v>
      </c>
      <c r="Q64" s="183">
        <v>9999</v>
      </c>
    </row>
    <row r="65" spans="1:17">
      <c r="A65" s="183" t="s">
        <v>2062</v>
      </c>
      <c r="B65" s="183" t="s">
        <v>285</v>
      </c>
      <c r="C65" s="183" t="s">
        <v>2127</v>
      </c>
      <c r="D65" s="183">
        <v>0</v>
      </c>
      <c r="E65" s="183">
        <v>0</v>
      </c>
      <c r="F65" s="183">
        <v>0</v>
      </c>
      <c r="G65" s="183">
        <v>0</v>
      </c>
      <c r="H65" s="183">
        <v>0</v>
      </c>
      <c r="I65" s="183">
        <v>5</v>
      </c>
      <c r="J65" s="183">
        <v>0</v>
      </c>
      <c r="K65" s="183">
        <v>0</v>
      </c>
      <c r="L65" s="183">
        <v>0</v>
      </c>
      <c r="M65" s="183">
        <v>0</v>
      </c>
      <c r="N65" s="183">
        <v>0</v>
      </c>
      <c r="O65" s="183">
        <v>0</v>
      </c>
      <c r="P65" s="183">
        <v>0</v>
      </c>
      <c r="Q65" s="183">
        <v>0</v>
      </c>
    </row>
    <row r="66" spans="1:17">
      <c r="A66" s="183" t="s">
        <v>2062</v>
      </c>
      <c r="B66" s="183" t="s">
        <v>574</v>
      </c>
      <c r="C66" s="183" t="s">
        <v>2128</v>
      </c>
      <c r="D66" s="183">
        <v>33</v>
      </c>
      <c r="E66" s="183">
        <v>22</v>
      </c>
      <c r="F66" s="183">
        <v>0</v>
      </c>
      <c r="G66" s="183">
        <v>0</v>
      </c>
      <c r="H66" s="183">
        <v>582</v>
      </c>
      <c r="I66" s="183">
        <v>33</v>
      </c>
      <c r="J66" s="183">
        <v>0</v>
      </c>
      <c r="K66" s="183">
        <v>24</v>
      </c>
      <c r="L66" s="183">
        <v>22</v>
      </c>
      <c r="M66" s="183">
        <v>646</v>
      </c>
      <c r="N66" s="183">
        <v>8274</v>
      </c>
      <c r="O66" s="183">
        <v>44</v>
      </c>
      <c r="P66" s="183">
        <v>9502</v>
      </c>
      <c r="Q66" s="183">
        <v>203</v>
      </c>
    </row>
    <row r="67" spans="1:17">
      <c r="A67" s="183" t="s">
        <v>2062</v>
      </c>
      <c r="B67" s="183" t="s">
        <v>275</v>
      </c>
      <c r="C67" s="183" t="s">
        <v>2129</v>
      </c>
      <c r="D67" s="183">
        <v>0</v>
      </c>
      <c r="E67" s="183">
        <v>0</v>
      </c>
      <c r="F67" s="183">
        <v>0</v>
      </c>
      <c r="G67" s="183">
        <v>0</v>
      </c>
      <c r="H67" s="183">
        <v>0</v>
      </c>
      <c r="I67" s="183">
        <v>26</v>
      </c>
      <c r="J67" s="183">
        <v>0</v>
      </c>
      <c r="K67" s="183">
        <v>0</v>
      </c>
      <c r="L67" s="183">
        <v>0</v>
      </c>
      <c r="M67" s="183">
        <v>0</v>
      </c>
      <c r="N67" s="183">
        <v>346</v>
      </c>
      <c r="O67" s="183">
        <v>0</v>
      </c>
      <c r="P67" s="183">
        <v>346</v>
      </c>
      <c r="Q67" s="183">
        <v>9999</v>
      </c>
    </row>
    <row r="68" spans="1:17">
      <c r="A68" s="183" t="s">
        <v>2062</v>
      </c>
      <c r="B68" s="183" t="s">
        <v>155</v>
      </c>
      <c r="C68" s="183" t="s">
        <v>154</v>
      </c>
      <c r="D68" s="183">
        <v>0</v>
      </c>
      <c r="E68" s="183">
        <v>0</v>
      </c>
      <c r="F68" s="183">
        <v>0</v>
      </c>
      <c r="G68" s="183">
        <v>0</v>
      </c>
      <c r="H68" s="183">
        <v>0</v>
      </c>
      <c r="I68" s="183">
        <v>3</v>
      </c>
      <c r="J68" s="183">
        <v>0</v>
      </c>
      <c r="K68" s="183">
        <v>0</v>
      </c>
      <c r="L68" s="183">
        <v>0</v>
      </c>
      <c r="M68" s="183">
        <v>153</v>
      </c>
      <c r="N68" s="183">
        <v>0</v>
      </c>
      <c r="O68" s="183">
        <v>0</v>
      </c>
      <c r="P68" s="183">
        <v>153</v>
      </c>
      <c r="Q68" s="183">
        <v>0</v>
      </c>
    </row>
    <row r="69" spans="1:17">
      <c r="A69" s="183" t="s">
        <v>2068</v>
      </c>
      <c r="B69" s="183" t="s">
        <v>1860</v>
      </c>
      <c r="C69" s="183" t="s">
        <v>2130</v>
      </c>
      <c r="D69" s="183">
        <v>0</v>
      </c>
      <c r="E69" s="183">
        <v>0</v>
      </c>
      <c r="F69" s="183">
        <v>0</v>
      </c>
      <c r="G69" s="183">
        <v>0</v>
      </c>
      <c r="H69" s="183">
        <v>0</v>
      </c>
      <c r="I69" s="183">
        <v>1</v>
      </c>
      <c r="J69" s="183">
        <v>0</v>
      </c>
      <c r="K69" s="183">
        <v>0</v>
      </c>
      <c r="L69" s="183">
        <v>0</v>
      </c>
      <c r="M69" s="183">
        <v>0</v>
      </c>
      <c r="N69" s="183">
        <v>0</v>
      </c>
      <c r="O69" s="183">
        <v>0</v>
      </c>
      <c r="P69" s="183">
        <v>0</v>
      </c>
      <c r="Q69" s="183">
        <v>0</v>
      </c>
    </row>
    <row r="70" spans="1:17">
      <c r="A70" s="183" t="s">
        <v>2068</v>
      </c>
      <c r="B70" s="183" t="s">
        <v>959</v>
      </c>
      <c r="C70" s="183" t="s">
        <v>2131</v>
      </c>
      <c r="D70" s="183">
        <v>7</v>
      </c>
      <c r="E70" s="183">
        <v>0</v>
      </c>
      <c r="F70" s="183">
        <v>0</v>
      </c>
      <c r="G70" s="183">
        <v>0</v>
      </c>
      <c r="H70" s="183">
        <v>0</v>
      </c>
      <c r="I70" s="183">
        <v>17</v>
      </c>
      <c r="J70" s="183">
        <v>0</v>
      </c>
      <c r="K70" s="183">
        <v>0</v>
      </c>
      <c r="L70" s="183">
        <v>0</v>
      </c>
      <c r="M70" s="183">
        <v>0</v>
      </c>
      <c r="N70" s="183">
        <v>3697</v>
      </c>
      <c r="O70" s="183">
        <v>0</v>
      </c>
      <c r="P70" s="183">
        <v>3697</v>
      </c>
      <c r="Q70" s="183">
        <v>25879</v>
      </c>
    </row>
    <row r="71" spans="1:17">
      <c r="A71" s="183" t="s">
        <v>2068</v>
      </c>
      <c r="B71" s="183" t="s">
        <v>1101</v>
      </c>
      <c r="C71" s="183" t="s">
        <v>2132</v>
      </c>
      <c r="D71" s="183">
        <v>0</v>
      </c>
      <c r="E71" s="183">
        <v>0</v>
      </c>
      <c r="F71" s="183">
        <v>0</v>
      </c>
      <c r="G71" s="183">
        <v>0</v>
      </c>
      <c r="H71" s="183">
        <v>0</v>
      </c>
      <c r="I71" s="183">
        <v>7</v>
      </c>
      <c r="J71" s="183">
        <v>0</v>
      </c>
      <c r="K71" s="183">
        <v>0</v>
      </c>
      <c r="L71" s="183">
        <v>0</v>
      </c>
      <c r="M71" s="183">
        <v>0</v>
      </c>
      <c r="N71" s="183">
        <v>9874</v>
      </c>
      <c r="O71" s="183">
        <v>0</v>
      </c>
      <c r="P71" s="183">
        <v>9874</v>
      </c>
      <c r="Q71" s="183">
        <v>9999</v>
      </c>
    </row>
    <row r="72" spans="1:17">
      <c r="A72" s="183" t="s">
        <v>2078</v>
      </c>
      <c r="B72" s="183" t="s">
        <v>1419</v>
      </c>
      <c r="C72" s="183" t="s">
        <v>2133</v>
      </c>
      <c r="D72" s="183">
        <v>26</v>
      </c>
      <c r="E72" s="183">
        <v>1</v>
      </c>
      <c r="F72" s="183">
        <v>0</v>
      </c>
      <c r="G72" s="183">
        <v>0</v>
      </c>
      <c r="H72" s="183">
        <v>0</v>
      </c>
      <c r="I72" s="183">
        <v>11</v>
      </c>
      <c r="J72" s="183">
        <v>0</v>
      </c>
      <c r="K72" s="183">
        <v>0</v>
      </c>
      <c r="L72" s="183">
        <v>0</v>
      </c>
      <c r="M72" s="183">
        <v>0</v>
      </c>
      <c r="N72" s="183">
        <v>0</v>
      </c>
      <c r="O72" s="183">
        <v>1</v>
      </c>
      <c r="P72" s="183">
        <v>0</v>
      </c>
      <c r="Q72" s="183">
        <v>0</v>
      </c>
    </row>
    <row r="73" spans="1:17">
      <c r="A73" s="183" t="s">
        <v>2062</v>
      </c>
      <c r="B73" s="183" t="s">
        <v>281</v>
      </c>
      <c r="C73" s="183" t="s">
        <v>2134</v>
      </c>
      <c r="D73" s="183">
        <v>0</v>
      </c>
      <c r="E73" s="183">
        <v>0</v>
      </c>
      <c r="F73" s="183">
        <v>0</v>
      </c>
      <c r="G73" s="183">
        <v>0</v>
      </c>
      <c r="H73" s="183">
        <v>0</v>
      </c>
      <c r="I73" s="183">
        <v>2</v>
      </c>
      <c r="J73" s="183">
        <v>0</v>
      </c>
      <c r="K73" s="183">
        <v>2</v>
      </c>
      <c r="L73" s="183">
        <v>1</v>
      </c>
      <c r="M73" s="183">
        <v>0</v>
      </c>
      <c r="N73" s="183">
        <v>0</v>
      </c>
      <c r="O73" s="183">
        <v>1</v>
      </c>
      <c r="P73" s="183">
        <v>0</v>
      </c>
      <c r="Q73" s="183">
        <v>0</v>
      </c>
    </row>
    <row r="74" spans="1:17">
      <c r="A74" s="183" t="s">
        <v>2062</v>
      </c>
      <c r="B74" s="183" t="s">
        <v>287</v>
      </c>
      <c r="C74" s="183" t="s">
        <v>286</v>
      </c>
      <c r="D74" s="183">
        <v>0</v>
      </c>
      <c r="E74" s="183">
        <v>0</v>
      </c>
      <c r="F74" s="183">
        <v>0</v>
      </c>
      <c r="G74" s="183">
        <v>0</v>
      </c>
      <c r="H74" s="183">
        <v>0</v>
      </c>
      <c r="I74" s="183">
        <v>0</v>
      </c>
      <c r="J74" s="183">
        <v>0</v>
      </c>
      <c r="K74" s="183">
        <v>0</v>
      </c>
      <c r="L74" s="183">
        <v>0</v>
      </c>
      <c r="M74" s="183">
        <v>0</v>
      </c>
      <c r="N74" s="183">
        <v>1806</v>
      </c>
      <c r="O74" s="183">
        <v>0</v>
      </c>
      <c r="P74" s="183">
        <v>1806</v>
      </c>
      <c r="Q74" s="183">
        <v>9999</v>
      </c>
    </row>
    <row r="75" spans="1:17">
      <c r="A75" s="183" t="s">
        <v>2062</v>
      </c>
      <c r="B75" s="183" t="s">
        <v>36</v>
      </c>
      <c r="C75" s="183" t="s">
        <v>35</v>
      </c>
      <c r="D75" s="183">
        <v>45</v>
      </c>
      <c r="E75" s="183">
        <v>1</v>
      </c>
      <c r="F75" s="183">
        <v>0</v>
      </c>
      <c r="G75" s="183">
        <v>0</v>
      </c>
      <c r="H75" s="183">
        <v>792</v>
      </c>
      <c r="I75" s="183">
        <v>40</v>
      </c>
      <c r="J75" s="183">
        <v>0</v>
      </c>
      <c r="K75" s="183">
        <v>31</v>
      </c>
      <c r="L75" s="183">
        <v>33</v>
      </c>
      <c r="M75" s="183">
        <v>1426</v>
      </c>
      <c r="N75" s="183">
        <v>149</v>
      </c>
      <c r="O75" s="183">
        <v>34</v>
      </c>
      <c r="P75" s="183">
        <v>2367</v>
      </c>
      <c r="Q75" s="183">
        <v>27</v>
      </c>
    </row>
    <row r="76" spans="1:17">
      <c r="A76" s="183" t="s">
        <v>2062</v>
      </c>
      <c r="B76" s="183" t="s">
        <v>123</v>
      </c>
      <c r="C76" s="183" t="s">
        <v>2135</v>
      </c>
      <c r="D76" s="183">
        <v>0</v>
      </c>
      <c r="E76" s="183">
        <v>0</v>
      </c>
      <c r="F76" s="183">
        <v>0</v>
      </c>
      <c r="G76" s="183">
        <v>0</v>
      </c>
      <c r="H76" s="183">
        <v>0</v>
      </c>
      <c r="I76" s="183">
        <v>1</v>
      </c>
      <c r="J76" s="183">
        <v>0</v>
      </c>
      <c r="K76" s="183">
        <v>0</v>
      </c>
      <c r="L76" s="183">
        <v>0</v>
      </c>
      <c r="M76" s="183">
        <v>0</v>
      </c>
      <c r="N76" s="183">
        <v>20</v>
      </c>
      <c r="O76" s="183">
        <v>0</v>
      </c>
      <c r="P76" s="183">
        <v>20</v>
      </c>
      <c r="Q76" s="183">
        <v>140</v>
      </c>
    </row>
    <row r="77" spans="1:17">
      <c r="A77" s="183" t="s">
        <v>2062</v>
      </c>
      <c r="B77" s="183" t="s">
        <v>43</v>
      </c>
      <c r="C77" s="183" t="s">
        <v>2136</v>
      </c>
      <c r="D77" s="183">
        <v>10</v>
      </c>
      <c r="E77" s="183">
        <v>0</v>
      </c>
      <c r="F77" s="183">
        <v>0</v>
      </c>
      <c r="G77" s="183">
        <v>0</v>
      </c>
      <c r="H77" s="183">
        <v>0</v>
      </c>
      <c r="I77" s="183">
        <v>31</v>
      </c>
      <c r="J77" s="183">
        <v>0</v>
      </c>
      <c r="K77" s="183">
        <v>3</v>
      </c>
      <c r="L77" s="183">
        <v>3</v>
      </c>
      <c r="M77" s="183">
        <v>66</v>
      </c>
      <c r="N77" s="183">
        <v>0</v>
      </c>
      <c r="O77" s="183">
        <v>3</v>
      </c>
      <c r="P77" s="183">
        <v>66</v>
      </c>
      <c r="Q77" s="183">
        <v>0</v>
      </c>
    </row>
    <row r="78" spans="1:17">
      <c r="A78" s="183" t="s">
        <v>2062</v>
      </c>
      <c r="B78" s="183" t="s">
        <v>2137</v>
      </c>
      <c r="C78" s="183" t="s">
        <v>2138</v>
      </c>
      <c r="D78" s="183">
        <v>12</v>
      </c>
      <c r="E78" s="183">
        <v>38</v>
      </c>
      <c r="F78" s="183">
        <v>0</v>
      </c>
      <c r="G78" s="183">
        <v>0</v>
      </c>
      <c r="H78" s="183">
        <v>1400</v>
      </c>
      <c r="I78" s="183">
        <v>1</v>
      </c>
      <c r="J78" s="183">
        <v>0</v>
      </c>
      <c r="K78" s="183">
        <v>4</v>
      </c>
      <c r="L78" s="183">
        <v>16</v>
      </c>
      <c r="M78" s="183">
        <v>774</v>
      </c>
      <c r="N78" s="183">
        <v>69</v>
      </c>
      <c r="O78" s="183">
        <v>54</v>
      </c>
      <c r="P78" s="183">
        <v>2243</v>
      </c>
      <c r="Q78" s="183">
        <v>27</v>
      </c>
    </row>
    <row r="79" spans="1:17">
      <c r="A79" s="183" t="s">
        <v>2062</v>
      </c>
      <c r="B79" s="183" t="s">
        <v>68</v>
      </c>
      <c r="C79" s="183" t="s">
        <v>2139</v>
      </c>
      <c r="D79" s="183">
        <v>0</v>
      </c>
      <c r="E79" s="183">
        <v>0</v>
      </c>
      <c r="F79" s="183">
        <v>0</v>
      </c>
      <c r="G79" s="183">
        <v>0</v>
      </c>
      <c r="H79" s="183">
        <v>104</v>
      </c>
      <c r="I79" s="183">
        <v>1</v>
      </c>
      <c r="J79" s="183">
        <v>0</v>
      </c>
      <c r="K79" s="183">
        <v>0</v>
      </c>
      <c r="L79" s="183">
        <v>0</v>
      </c>
      <c r="M79" s="183">
        <v>0</v>
      </c>
      <c r="N79" s="183">
        <v>0</v>
      </c>
      <c r="O79" s="183">
        <v>0</v>
      </c>
      <c r="P79" s="183">
        <v>104</v>
      </c>
      <c r="Q79" s="183">
        <v>9999</v>
      </c>
    </row>
    <row r="80" spans="1:17">
      <c r="A80" s="183" t="s">
        <v>2062</v>
      </c>
      <c r="B80" s="183" t="s">
        <v>273</v>
      </c>
      <c r="C80" s="183" t="s">
        <v>2140</v>
      </c>
      <c r="D80" s="183">
        <v>0</v>
      </c>
      <c r="E80" s="183">
        <v>0</v>
      </c>
      <c r="F80" s="183">
        <v>0</v>
      </c>
      <c r="G80" s="183">
        <v>0</v>
      </c>
      <c r="H80" s="183">
        <v>0</v>
      </c>
      <c r="I80" s="183">
        <v>2</v>
      </c>
      <c r="J80" s="183">
        <v>0</v>
      </c>
      <c r="K80" s="183">
        <v>0</v>
      </c>
      <c r="L80" s="183">
        <v>0</v>
      </c>
      <c r="M80" s="183">
        <v>0</v>
      </c>
      <c r="N80" s="183">
        <v>0</v>
      </c>
      <c r="O80" s="183">
        <v>0</v>
      </c>
      <c r="P80" s="183">
        <v>0</v>
      </c>
      <c r="Q80" s="183">
        <v>0</v>
      </c>
    </row>
    <row r="81" spans="1:17">
      <c r="A81" s="183" t="s">
        <v>2062</v>
      </c>
      <c r="B81" s="183" t="s">
        <v>793</v>
      </c>
      <c r="C81" s="183" t="s">
        <v>2141</v>
      </c>
      <c r="D81" s="183">
        <v>65</v>
      </c>
      <c r="E81" s="183">
        <v>60</v>
      </c>
      <c r="F81" s="183">
        <v>84</v>
      </c>
      <c r="G81" s="183">
        <v>18</v>
      </c>
      <c r="H81" s="183">
        <v>17</v>
      </c>
      <c r="I81" s="183">
        <v>56</v>
      </c>
      <c r="J81" s="183">
        <v>2</v>
      </c>
      <c r="K81" s="183">
        <v>2</v>
      </c>
      <c r="L81" s="183">
        <v>2</v>
      </c>
      <c r="M81" s="183">
        <v>150</v>
      </c>
      <c r="N81" s="183">
        <v>168</v>
      </c>
      <c r="O81" s="183">
        <v>62</v>
      </c>
      <c r="P81" s="183">
        <v>437</v>
      </c>
      <c r="Q81" s="183">
        <v>5</v>
      </c>
    </row>
    <row r="82" spans="1:17">
      <c r="A82" s="183" t="s">
        <v>2062</v>
      </c>
      <c r="B82" s="183" t="s">
        <v>877</v>
      </c>
      <c r="C82" s="183" t="s">
        <v>2142</v>
      </c>
      <c r="D82" s="183">
        <v>533</v>
      </c>
      <c r="E82" s="183">
        <v>504</v>
      </c>
      <c r="F82" s="183">
        <v>572</v>
      </c>
      <c r="G82" s="183">
        <v>449</v>
      </c>
      <c r="H82" s="183">
        <v>714</v>
      </c>
      <c r="I82" s="183">
        <v>754</v>
      </c>
      <c r="J82" s="183">
        <v>2</v>
      </c>
      <c r="K82" s="183">
        <v>32</v>
      </c>
      <c r="L82" s="183">
        <v>25</v>
      </c>
      <c r="M82" s="183">
        <v>317</v>
      </c>
      <c r="N82" s="183">
        <v>74</v>
      </c>
      <c r="O82" s="183">
        <v>528</v>
      </c>
      <c r="P82" s="183">
        <v>2126</v>
      </c>
      <c r="Q82" s="183">
        <v>3</v>
      </c>
    </row>
    <row r="83" spans="1:17">
      <c r="A83" s="183" t="s">
        <v>2062</v>
      </c>
      <c r="B83" s="183" t="s">
        <v>222</v>
      </c>
      <c r="C83" s="183" t="s">
        <v>2143</v>
      </c>
      <c r="D83" s="183">
        <v>8</v>
      </c>
      <c r="E83" s="183">
        <v>1</v>
      </c>
      <c r="F83" s="183">
        <v>3</v>
      </c>
      <c r="G83" s="183">
        <v>0</v>
      </c>
      <c r="H83" s="183">
        <v>450</v>
      </c>
      <c r="I83" s="183">
        <v>19</v>
      </c>
      <c r="J83" s="183">
        <v>2</v>
      </c>
      <c r="K83" s="183">
        <v>0</v>
      </c>
      <c r="L83" s="183">
        <v>1</v>
      </c>
      <c r="M83" s="183">
        <v>107</v>
      </c>
      <c r="N83" s="183">
        <v>2</v>
      </c>
      <c r="O83" s="183">
        <v>2</v>
      </c>
      <c r="P83" s="183">
        <v>562</v>
      </c>
      <c r="Q83" s="183">
        <v>228</v>
      </c>
    </row>
    <row r="84" spans="1:17">
      <c r="A84" s="183" t="s">
        <v>2068</v>
      </c>
      <c r="B84" s="183" t="s">
        <v>1011</v>
      </c>
      <c r="C84" s="183" t="s">
        <v>2144</v>
      </c>
      <c r="D84" s="183">
        <v>26</v>
      </c>
      <c r="E84" s="183">
        <v>1</v>
      </c>
      <c r="F84" s="183">
        <v>2</v>
      </c>
      <c r="G84" s="183">
        <v>0</v>
      </c>
      <c r="H84" s="183">
        <v>0</v>
      </c>
      <c r="I84" s="183">
        <v>20</v>
      </c>
      <c r="J84" s="183">
        <v>2</v>
      </c>
      <c r="K84" s="183">
        <v>0</v>
      </c>
      <c r="L84" s="183">
        <v>0</v>
      </c>
      <c r="M84" s="183">
        <v>0</v>
      </c>
      <c r="N84" s="183">
        <v>0</v>
      </c>
      <c r="O84" s="183">
        <v>1</v>
      </c>
      <c r="P84" s="183">
        <v>2</v>
      </c>
      <c r="Q84" s="183">
        <v>2</v>
      </c>
    </row>
    <row r="85" spans="1:17">
      <c r="A85" s="183" t="s">
        <v>2062</v>
      </c>
      <c r="B85" s="183" t="s">
        <v>517</v>
      </c>
      <c r="C85" s="183" t="s">
        <v>2145</v>
      </c>
      <c r="D85" s="183">
        <v>60</v>
      </c>
      <c r="E85" s="183">
        <v>63</v>
      </c>
      <c r="F85" s="183">
        <v>101</v>
      </c>
      <c r="G85" s="183">
        <v>6</v>
      </c>
      <c r="H85" s="183">
        <v>6356</v>
      </c>
      <c r="I85" s="183">
        <v>66</v>
      </c>
      <c r="J85" s="183">
        <v>2</v>
      </c>
      <c r="K85" s="183">
        <v>41</v>
      </c>
      <c r="L85" s="183">
        <v>39</v>
      </c>
      <c r="M85" s="183">
        <v>1746</v>
      </c>
      <c r="N85" s="183">
        <v>5854</v>
      </c>
      <c r="O85" s="183">
        <v>102</v>
      </c>
      <c r="P85" s="183">
        <v>14063</v>
      </c>
      <c r="Q85" s="183">
        <v>121</v>
      </c>
    </row>
    <row r="86" spans="1:17">
      <c r="A86" s="183" t="s">
        <v>2062</v>
      </c>
      <c r="B86" s="183" t="s">
        <v>301</v>
      </c>
      <c r="C86" s="183" t="s">
        <v>2146</v>
      </c>
      <c r="D86" s="183">
        <v>1</v>
      </c>
      <c r="E86" s="183">
        <v>2</v>
      </c>
      <c r="F86" s="183">
        <v>3</v>
      </c>
      <c r="G86" s="183">
        <v>0</v>
      </c>
      <c r="H86" s="183">
        <v>0</v>
      </c>
      <c r="I86" s="183">
        <v>2</v>
      </c>
      <c r="J86" s="183">
        <v>2</v>
      </c>
      <c r="K86" s="183">
        <v>0</v>
      </c>
      <c r="L86" s="183">
        <v>0</v>
      </c>
      <c r="M86" s="183">
        <v>274</v>
      </c>
      <c r="N86" s="183">
        <v>822</v>
      </c>
      <c r="O86" s="183">
        <v>2</v>
      </c>
      <c r="P86" s="183">
        <v>1099</v>
      </c>
      <c r="Q86" s="183">
        <v>525</v>
      </c>
    </row>
    <row r="87" spans="1:17">
      <c r="A87" s="183" t="s">
        <v>2062</v>
      </c>
      <c r="B87" s="183" t="s">
        <v>648</v>
      </c>
      <c r="C87" s="183" t="s">
        <v>2147</v>
      </c>
      <c r="D87" s="183">
        <v>42</v>
      </c>
      <c r="E87" s="183">
        <v>36</v>
      </c>
      <c r="F87" s="183">
        <v>95</v>
      </c>
      <c r="G87" s="183">
        <v>5</v>
      </c>
      <c r="H87" s="183">
        <v>1</v>
      </c>
      <c r="I87" s="183">
        <v>54</v>
      </c>
      <c r="J87" s="183">
        <v>3</v>
      </c>
      <c r="K87" s="183">
        <v>4</v>
      </c>
      <c r="L87" s="183">
        <v>4</v>
      </c>
      <c r="M87" s="183">
        <v>0</v>
      </c>
      <c r="N87" s="183">
        <v>396</v>
      </c>
      <c r="O87" s="183">
        <v>39</v>
      </c>
      <c r="P87" s="183">
        <v>497</v>
      </c>
      <c r="Q87" s="183">
        <v>13</v>
      </c>
    </row>
    <row r="88" spans="1:17">
      <c r="A88" s="183" t="s">
        <v>2068</v>
      </c>
      <c r="B88" s="183" t="s">
        <v>1235</v>
      </c>
      <c r="C88" s="183" t="s">
        <v>2148</v>
      </c>
      <c r="D88" s="183">
        <v>13</v>
      </c>
      <c r="E88" s="183">
        <v>17</v>
      </c>
      <c r="F88" s="183">
        <v>72</v>
      </c>
      <c r="G88" s="183">
        <v>1</v>
      </c>
      <c r="H88" s="183">
        <v>3177</v>
      </c>
      <c r="I88" s="183">
        <v>57</v>
      </c>
      <c r="J88" s="183">
        <v>4</v>
      </c>
      <c r="K88" s="183">
        <v>0</v>
      </c>
      <c r="L88" s="183">
        <v>0</v>
      </c>
      <c r="M88" s="183">
        <v>0</v>
      </c>
      <c r="N88" s="183">
        <v>14705</v>
      </c>
      <c r="O88" s="183">
        <v>17</v>
      </c>
      <c r="P88" s="183">
        <v>17955</v>
      </c>
      <c r="Q88" s="183">
        <v>1047</v>
      </c>
    </row>
    <row r="89" spans="1:17">
      <c r="A89" s="183" t="s">
        <v>2062</v>
      </c>
      <c r="B89" s="183" t="s">
        <v>89</v>
      </c>
      <c r="C89" s="183" t="s">
        <v>2039</v>
      </c>
      <c r="D89" s="183">
        <v>8</v>
      </c>
      <c r="E89" s="183">
        <v>0</v>
      </c>
      <c r="F89" s="183">
        <v>0</v>
      </c>
      <c r="G89" s="183">
        <v>1</v>
      </c>
      <c r="H89" s="183">
        <v>0</v>
      </c>
      <c r="I89" s="183">
        <v>6</v>
      </c>
      <c r="J89" s="183">
        <v>4</v>
      </c>
      <c r="K89" s="183">
        <v>1</v>
      </c>
      <c r="L89" s="183">
        <v>2</v>
      </c>
      <c r="M89" s="183">
        <v>98</v>
      </c>
      <c r="N89" s="183">
        <v>31</v>
      </c>
      <c r="O89" s="183">
        <v>2</v>
      </c>
      <c r="P89" s="183">
        <v>130</v>
      </c>
      <c r="Q89" s="183">
        <v>16</v>
      </c>
    </row>
    <row r="90" spans="1:17">
      <c r="A90" s="183" t="s">
        <v>2062</v>
      </c>
      <c r="B90" s="183" t="s">
        <v>868</v>
      </c>
      <c r="C90" s="183" t="s">
        <v>2149</v>
      </c>
      <c r="D90" s="183">
        <v>80</v>
      </c>
      <c r="E90" s="183">
        <v>87</v>
      </c>
      <c r="F90" s="183">
        <v>398</v>
      </c>
      <c r="G90" s="183">
        <v>26</v>
      </c>
      <c r="H90" s="183">
        <v>0</v>
      </c>
      <c r="I90" s="183">
        <v>89</v>
      </c>
      <c r="J90" s="183">
        <v>5</v>
      </c>
      <c r="K90" s="183">
        <v>70</v>
      </c>
      <c r="L90" s="183">
        <v>63</v>
      </c>
      <c r="M90" s="183">
        <v>202</v>
      </c>
      <c r="N90" s="183">
        <v>124</v>
      </c>
      <c r="O90" s="183">
        <v>150</v>
      </c>
      <c r="P90" s="183">
        <v>750</v>
      </c>
      <c r="Q90" s="183">
        <v>4</v>
      </c>
    </row>
    <row r="91" spans="1:17">
      <c r="A91" s="183" t="s">
        <v>2068</v>
      </c>
      <c r="B91" s="183" t="s">
        <v>1073</v>
      </c>
      <c r="C91" s="183" t="s">
        <v>2150</v>
      </c>
      <c r="D91" s="183">
        <v>1</v>
      </c>
      <c r="E91" s="183">
        <v>4</v>
      </c>
      <c r="F91" s="183">
        <v>11</v>
      </c>
      <c r="G91" s="183">
        <v>15</v>
      </c>
      <c r="H91" s="183">
        <v>0</v>
      </c>
      <c r="I91" s="183">
        <v>1</v>
      </c>
      <c r="J91" s="183">
        <v>6</v>
      </c>
      <c r="K91" s="183">
        <v>0</v>
      </c>
      <c r="L91" s="183">
        <v>0</v>
      </c>
      <c r="M91" s="183">
        <v>0</v>
      </c>
      <c r="N91" s="183">
        <v>852</v>
      </c>
      <c r="O91" s="183">
        <v>4</v>
      </c>
      <c r="P91" s="183">
        <v>878</v>
      </c>
      <c r="Q91" s="183">
        <v>212</v>
      </c>
    </row>
    <row r="92" spans="1:17">
      <c r="A92" s="183" t="s">
        <v>2062</v>
      </c>
      <c r="B92" s="183" t="s">
        <v>695</v>
      </c>
      <c r="C92" s="183" t="s">
        <v>2151</v>
      </c>
      <c r="D92" s="183">
        <v>38</v>
      </c>
      <c r="E92" s="183">
        <v>39</v>
      </c>
      <c r="F92" s="183">
        <v>265</v>
      </c>
      <c r="G92" s="183">
        <v>2</v>
      </c>
      <c r="H92" s="183">
        <v>11</v>
      </c>
      <c r="I92" s="183">
        <v>50</v>
      </c>
      <c r="J92" s="183">
        <v>7</v>
      </c>
      <c r="K92" s="183">
        <v>0</v>
      </c>
      <c r="L92" s="183">
        <v>0</v>
      </c>
      <c r="M92" s="183">
        <v>11</v>
      </c>
      <c r="N92" s="183">
        <v>539</v>
      </c>
      <c r="O92" s="183">
        <v>39</v>
      </c>
      <c r="P92" s="183">
        <v>828</v>
      </c>
      <c r="Q92" s="183">
        <v>21</v>
      </c>
    </row>
    <row r="93" spans="1:17">
      <c r="A93" s="183" t="s">
        <v>2078</v>
      </c>
      <c r="B93" s="183" t="s">
        <v>1574</v>
      </c>
      <c r="C93" s="183" t="s">
        <v>2152</v>
      </c>
      <c r="D93" s="183">
        <v>110</v>
      </c>
      <c r="E93" s="183">
        <v>117</v>
      </c>
      <c r="F93" s="183">
        <v>286</v>
      </c>
      <c r="G93" s="183">
        <v>491</v>
      </c>
      <c r="H93" s="183">
        <v>0</v>
      </c>
      <c r="I93" s="183">
        <v>122</v>
      </c>
      <c r="J93" s="183">
        <v>7</v>
      </c>
      <c r="K93" s="183">
        <v>0</v>
      </c>
      <c r="L93" s="183">
        <v>0</v>
      </c>
      <c r="M93" s="183">
        <v>0</v>
      </c>
      <c r="N93" s="183">
        <v>65</v>
      </c>
      <c r="O93" s="183">
        <v>117</v>
      </c>
      <c r="P93" s="183">
        <v>842</v>
      </c>
      <c r="Q93" s="183">
        <v>7</v>
      </c>
    </row>
    <row r="94" spans="1:17">
      <c r="A94" s="183" t="s">
        <v>2062</v>
      </c>
      <c r="B94" s="183" t="s">
        <v>910</v>
      </c>
      <c r="C94" s="183" t="s">
        <v>2153</v>
      </c>
      <c r="D94" s="183">
        <v>404</v>
      </c>
      <c r="E94" s="183">
        <v>554</v>
      </c>
      <c r="F94" s="183">
        <v>3288</v>
      </c>
      <c r="G94" s="183">
        <v>436</v>
      </c>
      <c r="H94" s="183">
        <v>11308</v>
      </c>
      <c r="I94" s="183">
        <v>869</v>
      </c>
      <c r="J94" s="183">
        <v>7</v>
      </c>
      <c r="K94" s="183">
        <v>145</v>
      </c>
      <c r="L94" s="183">
        <v>124</v>
      </c>
      <c r="M94" s="183">
        <v>7351</v>
      </c>
      <c r="N94" s="183">
        <v>1993</v>
      </c>
      <c r="O94" s="183">
        <v>678</v>
      </c>
      <c r="P94" s="183">
        <v>24376</v>
      </c>
      <c r="Q94" s="183">
        <v>25</v>
      </c>
    </row>
    <row r="95" spans="1:17">
      <c r="A95" s="183" t="s">
        <v>2062</v>
      </c>
      <c r="B95" s="183" t="s">
        <v>636</v>
      </c>
      <c r="C95" s="183" t="s">
        <v>2154</v>
      </c>
      <c r="D95" s="183">
        <v>25</v>
      </c>
      <c r="E95" s="183">
        <v>24</v>
      </c>
      <c r="F95" s="183">
        <v>163</v>
      </c>
      <c r="G95" s="183">
        <v>21</v>
      </c>
      <c r="H95" s="183">
        <v>100</v>
      </c>
      <c r="I95" s="183">
        <v>28</v>
      </c>
      <c r="J95" s="183">
        <v>8</v>
      </c>
      <c r="K95" s="183">
        <v>0</v>
      </c>
      <c r="L95" s="183">
        <v>0</v>
      </c>
      <c r="M95" s="183">
        <v>0</v>
      </c>
      <c r="N95" s="183">
        <v>15</v>
      </c>
      <c r="O95" s="183">
        <v>24</v>
      </c>
      <c r="P95" s="183">
        <v>299</v>
      </c>
      <c r="Q95" s="183">
        <v>13</v>
      </c>
    </row>
    <row r="96" spans="1:17">
      <c r="A96" s="183" t="s">
        <v>2062</v>
      </c>
      <c r="B96" s="183" t="s">
        <v>828</v>
      </c>
      <c r="C96" s="183" t="s">
        <v>2155</v>
      </c>
      <c r="D96" s="183">
        <v>121</v>
      </c>
      <c r="E96" s="183">
        <v>116</v>
      </c>
      <c r="F96" s="183">
        <v>959</v>
      </c>
      <c r="G96" s="183">
        <v>16</v>
      </c>
      <c r="H96" s="183">
        <v>0</v>
      </c>
      <c r="I96" s="183">
        <v>84</v>
      </c>
      <c r="J96" s="183">
        <v>8</v>
      </c>
      <c r="K96" s="183">
        <v>0</v>
      </c>
      <c r="L96" s="183">
        <v>0</v>
      </c>
      <c r="M96" s="183">
        <v>0</v>
      </c>
      <c r="N96" s="183">
        <v>23</v>
      </c>
      <c r="O96" s="183">
        <v>116</v>
      </c>
      <c r="P96" s="183">
        <v>998</v>
      </c>
      <c r="Q96" s="183">
        <v>9</v>
      </c>
    </row>
    <row r="97" spans="1:17">
      <c r="A97" s="183" t="s">
        <v>2062</v>
      </c>
      <c r="B97" s="183" t="s">
        <v>399</v>
      </c>
      <c r="C97" s="183" t="s">
        <v>2156</v>
      </c>
      <c r="D97" s="183">
        <v>26</v>
      </c>
      <c r="E97" s="183">
        <v>25</v>
      </c>
      <c r="F97" s="183">
        <v>242</v>
      </c>
      <c r="G97" s="183">
        <v>12</v>
      </c>
      <c r="H97" s="183">
        <v>2739</v>
      </c>
      <c r="I97" s="183">
        <v>25</v>
      </c>
      <c r="J97" s="183">
        <v>10</v>
      </c>
      <c r="K97" s="183">
        <v>0</v>
      </c>
      <c r="L97" s="183">
        <v>0</v>
      </c>
      <c r="M97" s="183">
        <v>0</v>
      </c>
      <c r="N97" s="183">
        <v>1890</v>
      </c>
      <c r="O97" s="183">
        <v>25</v>
      </c>
      <c r="P97" s="183">
        <v>4883</v>
      </c>
      <c r="Q97" s="183">
        <v>193</v>
      </c>
    </row>
    <row r="98" spans="1:17">
      <c r="A98" s="183" t="s">
        <v>2068</v>
      </c>
      <c r="B98" s="183" t="s">
        <v>1206</v>
      </c>
      <c r="C98" s="183" t="s">
        <v>1205</v>
      </c>
      <c r="D98" s="183">
        <v>26</v>
      </c>
      <c r="E98" s="183">
        <v>18</v>
      </c>
      <c r="F98" s="183">
        <v>90</v>
      </c>
      <c r="G98" s="183">
        <v>106</v>
      </c>
      <c r="H98" s="183">
        <v>2400</v>
      </c>
      <c r="I98" s="183">
        <v>17</v>
      </c>
      <c r="J98" s="183">
        <v>11</v>
      </c>
      <c r="K98" s="183">
        <v>0</v>
      </c>
      <c r="L98" s="183">
        <v>0</v>
      </c>
      <c r="M98" s="183">
        <v>0</v>
      </c>
      <c r="N98" s="183">
        <v>138</v>
      </c>
      <c r="O98" s="183">
        <v>18</v>
      </c>
      <c r="P98" s="183">
        <v>2734</v>
      </c>
      <c r="Q98" s="183">
        <v>152</v>
      </c>
    </row>
    <row r="99" spans="1:17">
      <c r="A99" s="183" t="s">
        <v>2068</v>
      </c>
      <c r="B99" s="183" t="s">
        <v>950</v>
      </c>
      <c r="C99" s="183" t="s">
        <v>949</v>
      </c>
      <c r="D99" s="183">
        <v>266</v>
      </c>
      <c r="E99" s="183">
        <v>351</v>
      </c>
      <c r="F99" s="183">
        <v>3773</v>
      </c>
      <c r="G99" s="183">
        <v>115</v>
      </c>
      <c r="H99" s="183">
        <v>16260</v>
      </c>
      <c r="I99" s="183">
        <v>308</v>
      </c>
      <c r="J99" s="183">
        <v>11</v>
      </c>
      <c r="K99" s="183">
        <v>0</v>
      </c>
      <c r="L99" s="183">
        <v>0</v>
      </c>
      <c r="M99" s="183">
        <v>0</v>
      </c>
      <c r="N99" s="183">
        <v>0</v>
      </c>
      <c r="O99" s="183">
        <v>351</v>
      </c>
      <c r="P99" s="183">
        <v>20148</v>
      </c>
      <c r="Q99" s="183">
        <v>57</v>
      </c>
    </row>
    <row r="100" spans="1:17">
      <c r="A100" s="183" t="s">
        <v>2068</v>
      </c>
      <c r="B100" s="183" t="s">
        <v>2157</v>
      </c>
      <c r="C100" s="183" t="s">
        <v>2158</v>
      </c>
      <c r="D100" s="183">
        <v>1</v>
      </c>
      <c r="E100" s="183">
        <v>4</v>
      </c>
      <c r="F100" s="183">
        <v>44</v>
      </c>
      <c r="G100" s="183">
        <v>0</v>
      </c>
      <c r="H100" s="183">
        <v>0</v>
      </c>
      <c r="I100" s="183">
        <v>0</v>
      </c>
      <c r="J100" s="183">
        <v>11</v>
      </c>
      <c r="K100" s="183">
        <v>0</v>
      </c>
      <c r="L100" s="183">
        <v>0</v>
      </c>
      <c r="M100" s="183">
        <v>0</v>
      </c>
      <c r="N100" s="183">
        <v>5320</v>
      </c>
      <c r="O100" s="183">
        <v>4</v>
      </c>
      <c r="P100" s="183">
        <v>5364</v>
      </c>
      <c r="Q100" s="183">
        <v>1295</v>
      </c>
    </row>
    <row r="101" spans="1:17">
      <c r="A101" s="183" t="s">
        <v>2062</v>
      </c>
      <c r="B101" s="183" t="s">
        <v>894</v>
      </c>
      <c r="C101" s="183" t="s">
        <v>2159</v>
      </c>
      <c r="D101" s="183">
        <v>157</v>
      </c>
      <c r="E101" s="183">
        <v>150</v>
      </c>
      <c r="F101" s="183">
        <v>1657</v>
      </c>
      <c r="G101" s="183">
        <v>83</v>
      </c>
      <c r="H101" s="183">
        <v>0</v>
      </c>
      <c r="I101" s="183">
        <v>768</v>
      </c>
      <c r="J101" s="183">
        <v>12</v>
      </c>
      <c r="K101" s="183">
        <v>0</v>
      </c>
      <c r="L101" s="183">
        <v>0</v>
      </c>
      <c r="M101" s="183">
        <v>0</v>
      </c>
      <c r="N101" s="183">
        <v>4976</v>
      </c>
      <c r="O101" s="183">
        <v>150</v>
      </c>
      <c r="P101" s="183">
        <v>6716</v>
      </c>
      <c r="Q101" s="183">
        <v>45</v>
      </c>
    </row>
    <row r="102" spans="1:17">
      <c r="A102" s="183" t="s">
        <v>2078</v>
      </c>
      <c r="B102" s="183" t="s">
        <v>1435</v>
      </c>
      <c r="C102" s="183" t="s">
        <v>2160</v>
      </c>
      <c r="D102" s="183">
        <v>38</v>
      </c>
      <c r="E102" s="183">
        <v>30</v>
      </c>
      <c r="F102" s="183">
        <v>372</v>
      </c>
      <c r="G102" s="183">
        <v>17</v>
      </c>
      <c r="H102" s="183">
        <v>4147</v>
      </c>
      <c r="I102" s="183">
        <v>33</v>
      </c>
      <c r="J102" s="183">
        <v>13</v>
      </c>
      <c r="K102" s="183">
        <v>0</v>
      </c>
      <c r="L102" s="183">
        <v>0</v>
      </c>
      <c r="M102" s="183">
        <v>0</v>
      </c>
      <c r="N102" s="183">
        <v>4119</v>
      </c>
      <c r="O102" s="183">
        <v>30</v>
      </c>
      <c r="P102" s="183">
        <v>8655</v>
      </c>
      <c r="Q102" s="183">
        <v>284</v>
      </c>
    </row>
    <row r="103" spans="1:17">
      <c r="A103" s="183" t="s">
        <v>2062</v>
      </c>
      <c r="B103" s="183" t="s">
        <v>57</v>
      </c>
      <c r="C103" s="183" t="s">
        <v>2161</v>
      </c>
      <c r="D103" s="183">
        <v>98</v>
      </c>
      <c r="E103" s="183">
        <v>96</v>
      </c>
      <c r="F103" s="183">
        <v>1077</v>
      </c>
      <c r="G103" s="183">
        <v>142</v>
      </c>
      <c r="H103" s="183">
        <v>3402</v>
      </c>
      <c r="I103" s="183">
        <v>144</v>
      </c>
      <c r="J103" s="183">
        <v>13</v>
      </c>
      <c r="K103" s="183">
        <v>64</v>
      </c>
      <c r="L103" s="183">
        <v>48</v>
      </c>
      <c r="M103" s="183">
        <v>3365</v>
      </c>
      <c r="N103" s="183">
        <v>791</v>
      </c>
      <c r="O103" s="183">
        <v>144</v>
      </c>
      <c r="P103" s="183">
        <v>8777</v>
      </c>
      <c r="Q103" s="183">
        <v>37</v>
      </c>
    </row>
    <row r="104" spans="1:17">
      <c r="A104" s="183" t="s">
        <v>2062</v>
      </c>
      <c r="B104" s="183" t="s">
        <v>898</v>
      </c>
      <c r="C104" s="183" t="s">
        <v>2162</v>
      </c>
      <c r="D104" s="183">
        <v>145</v>
      </c>
      <c r="E104" s="183">
        <v>124</v>
      </c>
      <c r="F104" s="183">
        <v>262</v>
      </c>
      <c r="G104" s="183">
        <v>1403</v>
      </c>
      <c r="H104" s="183">
        <v>2026</v>
      </c>
      <c r="I104" s="183">
        <v>169</v>
      </c>
      <c r="J104" s="183">
        <v>13</v>
      </c>
      <c r="K104" s="183">
        <v>27</v>
      </c>
      <c r="L104" s="183">
        <v>22</v>
      </c>
      <c r="M104" s="183">
        <v>1235</v>
      </c>
      <c r="N104" s="183">
        <v>122</v>
      </c>
      <c r="O104" s="183">
        <v>146</v>
      </c>
      <c r="P104" s="183">
        <v>5048</v>
      </c>
      <c r="Q104" s="183">
        <v>26</v>
      </c>
    </row>
    <row r="105" spans="1:17">
      <c r="A105" s="183" t="s">
        <v>2068</v>
      </c>
      <c r="B105" s="183" t="s">
        <v>1276</v>
      </c>
      <c r="C105" s="183" t="s">
        <v>2163</v>
      </c>
      <c r="D105" s="183">
        <v>75</v>
      </c>
      <c r="E105" s="183">
        <v>88</v>
      </c>
      <c r="F105" s="183">
        <v>1181</v>
      </c>
      <c r="G105" s="183">
        <v>13</v>
      </c>
      <c r="H105" s="183">
        <v>196</v>
      </c>
      <c r="I105" s="183">
        <v>58</v>
      </c>
      <c r="J105" s="183">
        <v>14</v>
      </c>
      <c r="K105" s="183">
        <v>0</v>
      </c>
      <c r="L105" s="183">
        <v>0</v>
      </c>
      <c r="M105" s="183">
        <v>0</v>
      </c>
      <c r="N105" s="183">
        <v>190</v>
      </c>
      <c r="O105" s="183">
        <v>88</v>
      </c>
      <c r="P105" s="183">
        <v>1580</v>
      </c>
      <c r="Q105" s="183">
        <v>18</v>
      </c>
    </row>
    <row r="106" spans="1:17">
      <c r="A106" s="183" t="s">
        <v>2068</v>
      </c>
      <c r="B106" s="183" t="s">
        <v>1152</v>
      </c>
      <c r="C106" s="183" t="s">
        <v>2164</v>
      </c>
      <c r="D106" s="183">
        <v>7</v>
      </c>
      <c r="E106" s="183">
        <v>11</v>
      </c>
      <c r="F106" s="183">
        <v>78</v>
      </c>
      <c r="G106" s="183">
        <v>81</v>
      </c>
      <c r="H106" s="183">
        <v>848</v>
      </c>
      <c r="I106" s="183">
        <v>4</v>
      </c>
      <c r="J106" s="183">
        <v>14</v>
      </c>
      <c r="K106" s="183">
        <v>0</v>
      </c>
      <c r="L106" s="183">
        <v>0</v>
      </c>
      <c r="M106" s="183">
        <v>0</v>
      </c>
      <c r="N106" s="183">
        <v>0</v>
      </c>
      <c r="O106" s="183">
        <v>11</v>
      </c>
      <c r="P106" s="183">
        <v>1007</v>
      </c>
      <c r="Q106" s="183">
        <v>92</v>
      </c>
    </row>
    <row r="107" spans="1:17">
      <c r="A107" s="183" t="s">
        <v>2078</v>
      </c>
      <c r="B107" s="183" t="s">
        <v>1431</v>
      </c>
      <c r="C107" s="183" t="s">
        <v>2165</v>
      </c>
      <c r="D107" s="183">
        <v>92</v>
      </c>
      <c r="E107" s="183">
        <v>87</v>
      </c>
      <c r="F107" s="183">
        <v>1159</v>
      </c>
      <c r="G107" s="183">
        <v>82</v>
      </c>
      <c r="H107" s="183">
        <v>123</v>
      </c>
      <c r="I107" s="183">
        <v>85</v>
      </c>
      <c r="J107" s="183">
        <v>14</v>
      </c>
      <c r="K107" s="183">
        <v>0</v>
      </c>
      <c r="L107" s="183">
        <v>0</v>
      </c>
      <c r="M107" s="183">
        <v>0</v>
      </c>
      <c r="N107" s="183">
        <v>100</v>
      </c>
      <c r="O107" s="183">
        <v>87</v>
      </c>
      <c r="P107" s="183">
        <v>1464</v>
      </c>
      <c r="Q107" s="183">
        <v>17</v>
      </c>
    </row>
    <row r="108" spans="1:17">
      <c r="A108" s="183" t="s">
        <v>2062</v>
      </c>
      <c r="B108" s="183" t="s">
        <v>889</v>
      </c>
      <c r="C108" s="183" t="s">
        <v>2166</v>
      </c>
      <c r="D108" s="183">
        <v>127</v>
      </c>
      <c r="E108" s="183">
        <v>131</v>
      </c>
      <c r="F108" s="183">
        <v>1733</v>
      </c>
      <c r="G108" s="183">
        <v>111</v>
      </c>
      <c r="H108" s="183">
        <v>522</v>
      </c>
      <c r="I108" s="183">
        <v>568</v>
      </c>
      <c r="J108" s="183">
        <v>14</v>
      </c>
      <c r="K108" s="183">
        <v>88</v>
      </c>
      <c r="L108" s="183">
        <v>80</v>
      </c>
      <c r="M108" s="183">
        <v>2356</v>
      </c>
      <c r="N108" s="183">
        <v>78</v>
      </c>
      <c r="O108" s="183">
        <v>210</v>
      </c>
      <c r="P108" s="183">
        <v>4800</v>
      </c>
      <c r="Q108" s="183">
        <v>12</v>
      </c>
    </row>
    <row r="109" spans="1:17">
      <c r="A109" s="183" t="s">
        <v>2062</v>
      </c>
      <c r="B109" s="183" t="s">
        <v>467</v>
      </c>
      <c r="C109" s="183" t="s">
        <v>2167</v>
      </c>
      <c r="D109" s="183">
        <v>68</v>
      </c>
      <c r="E109" s="183">
        <v>65</v>
      </c>
      <c r="F109" s="183">
        <v>986</v>
      </c>
      <c r="G109" s="183">
        <v>12</v>
      </c>
      <c r="H109" s="183">
        <v>75</v>
      </c>
      <c r="I109" s="183">
        <v>94</v>
      </c>
      <c r="J109" s="183">
        <v>15</v>
      </c>
      <c r="K109" s="183">
        <v>5</v>
      </c>
      <c r="L109" s="183">
        <v>6</v>
      </c>
      <c r="M109" s="183">
        <v>1032</v>
      </c>
      <c r="N109" s="183">
        <v>1</v>
      </c>
      <c r="O109" s="183">
        <v>71</v>
      </c>
      <c r="P109" s="183">
        <v>2106</v>
      </c>
      <c r="Q109" s="183">
        <v>15</v>
      </c>
    </row>
    <row r="110" spans="1:17">
      <c r="A110" s="183" t="s">
        <v>2068</v>
      </c>
      <c r="B110" s="183" t="s">
        <v>1298</v>
      </c>
      <c r="C110" s="183" t="s">
        <v>2168</v>
      </c>
      <c r="D110" s="183">
        <v>136</v>
      </c>
      <c r="E110" s="183">
        <v>101</v>
      </c>
      <c r="F110" s="183">
        <v>1224</v>
      </c>
      <c r="G110" s="183">
        <v>258</v>
      </c>
      <c r="H110" s="183">
        <v>6565</v>
      </c>
      <c r="I110" s="183">
        <v>78</v>
      </c>
      <c r="J110" s="183">
        <v>15</v>
      </c>
      <c r="K110" s="183">
        <v>0</v>
      </c>
      <c r="L110" s="183">
        <v>0</v>
      </c>
      <c r="M110" s="183">
        <v>0</v>
      </c>
      <c r="N110" s="183">
        <v>5606</v>
      </c>
      <c r="O110" s="183">
        <v>101</v>
      </c>
      <c r="P110" s="183">
        <v>13653</v>
      </c>
      <c r="Q110" s="183">
        <v>135</v>
      </c>
    </row>
    <row r="111" spans="1:17">
      <c r="A111" s="183" t="s">
        <v>2078</v>
      </c>
      <c r="B111" s="183" t="s">
        <v>1324</v>
      </c>
      <c r="C111" s="183" t="s">
        <v>1323</v>
      </c>
      <c r="D111" s="183">
        <v>20</v>
      </c>
      <c r="E111" s="183">
        <v>18</v>
      </c>
      <c r="F111" s="183">
        <v>279</v>
      </c>
      <c r="G111" s="183">
        <v>0</v>
      </c>
      <c r="H111" s="183">
        <v>21</v>
      </c>
      <c r="I111" s="183">
        <v>20</v>
      </c>
      <c r="J111" s="183">
        <v>15</v>
      </c>
      <c r="K111" s="183">
        <v>0</v>
      </c>
      <c r="L111" s="183">
        <v>0</v>
      </c>
      <c r="M111" s="183">
        <v>0</v>
      </c>
      <c r="N111" s="183">
        <v>32</v>
      </c>
      <c r="O111" s="183">
        <v>18</v>
      </c>
      <c r="P111" s="183">
        <v>332</v>
      </c>
      <c r="Q111" s="183">
        <v>18</v>
      </c>
    </row>
    <row r="112" spans="1:17">
      <c r="A112" s="183" t="s">
        <v>2062</v>
      </c>
      <c r="B112" s="183" t="s">
        <v>212</v>
      </c>
      <c r="C112" s="183" t="s">
        <v>2013</v>
      </c>
      <c r="D112" s="183">
        <v>11</v>
      </c>
      <c r="E112" s="183">
        <v>14</v>
      </c>
      <c r="F112" s="183">
        <v>209</v>
      </c>
      <c r="G112" s="183">
        <v>22</v>
      </c>
      <c r="H112" s="183">
        <v>260</v>
      </c>
      <c r="I112" s="183">
        <v>9</v>
      </c>
      <c r="J112" s="183">
        <v>16</v>
      </c>
      <c r="K112" s="183">
        <v>0</v>
      </c>
      <c r="L112" s="183">
        <v>0</v>
      </c>
      <c r="M112" s="183">
        <v>0</v>
      </c>
      <c r="N112" s="183">
        <v>212</v>
      </c>
      <c r="O112" s="183">
        <v>14</v>
      </c>
      <c r="P112" s="183">
        <v>703</v>
      </c>
      <c r="Q112" s="183">
        <v>49</v>
      </c>
    </row>
    <row r="113" spans="1:17">
      <c r="A113" s="183" t="s">
        <v>2062</v>
      </c>
      <c r="B113" s="183" t="s">
        <v>703</v>
      </c>
      <c r="C113" s="183" t="s">
        <v>2169</v>
      </c>
      <c r="D113" s="183">
        <v>84</v>
      </c>
      <c r="E113" s="183">
        <v>93</v>
      </c>
      <c r="F113" s="183">
        <v>1519</v>
      </c>
      <c r="G113" s="183">
        <v>30</v>
      </c>
      <c r="H113" s="183">
        <v>1920</v>
      </c>
      <c r="I113" s="183">
        <v>524</v>
      </c>
      <c r="J113" s="183">
        <v>17</v>
      </c>
      <c r="K113" s="183">
        <v>4</v>
      </c>
      <c r="L113" s="183">
        <v>5</v>
      </c>
      <c r="M113" s="183">
        <v>300</v>
      </c>
      <c r="N113" s="183">
        <v>204</v>
      </c>
      <c r="O113" s="183">
        <v>98</v>
      </c>
      <c r="P113" s="183">
        <v>3973</v>
      </c>
      <c r="Q113" s="183">
        <v>37</v>
      </c>
    </row>
    <row r="114" spans="1:17">
      <c r="A114" s="183" t="s">
        <v>2078</v>
      </c>
      <c r="B114" s="183" t="s">
        <v>1457</v>
      </c>
      <c r="C114" s="183" t="s">
        <v>2170</v>
      </c>
      <c r="D114" s="183">
        <v>51</v>
      </c>
      <c r="E114" s="183">
        <v>53</v>
      </c>
      <c r="F114" s="183">
        <v>895</v>
      </c>
      <c r="G114" s="183">
        <v>6</v>
      </c>
      <c r="H114" s="183">
        <v>3854</v>
      </c>
      <c r="I114" s="183">
        <v>51</v>
      </c>
      <c r="J114" s="183">
        <v>17</v>
      </c>
      <c r="K114" s="183">
        <v>0</v>
      </c>
      <c r="L114" s="183">
        <v>0</v>
      </c>
      <c r="M114" s="183">
        <v>0</v>
      </c>
      <c r="N114" s="183">
        <v>98</v>
      </c>
      <c r="O114" s="183">
        <v>53</v>
      </c>
      <c r="P114" s="183">
        <v>4853</v>
      </c>
      <c r="Q114" s="183">
        <v>91</v>
      </c>
    </row>
    <row r="115" spans="1:17">
      <c r="A115" s="183" t="s">
        <v>2062</v>
      </c>
      <c r="B115" s="183" t="s">
        <v>885</v>
      </c>
      <c r="C115" s="183" t="s">
        <v>884</v>
      </c>
      <c r="D115" s="183">
        <v>125</v>
      </c>
      <c r="E115" s="183">
        <v>92</v>
      </c>
      <c r="F115" s="183">
        <v>1453</v>
      </c>
      <c r="G115" s="183">
        <v>85</v>
      </c>
      <c r="H115" s="183">
        <v>2</v>
      </c>
      <c r="I115" s="183">
        <v>99</v>
      </c>
      <c r="J115" s="183">
        <v>17</v>
      </c>
      <c r="K115" s="183">
        <v>8</v>
      </c>
      <c r="L115" s="183">
        <v>1</v>
      </c>
      <c r="M115" s="183">
        <v>0</v>
      </c>
      <c r="N115" s="183">
        <v>2</v>
      </c>
      <c r="O115" s="183">
        <v>93</v>
      </c>
      <c r="P115" s="183">
        <v>1542</v>
      </c>
      <c r="Q115" s="183">
        <v>17</v>
      </c>
    </row>
    <row r="116" spans="1:17">
      <c r="A116" s="183" t="s">
        <v>2062</v>
      </c>
      <c r="B116" s="183" t="s">
        <v>479</v>
      </c>
      <c r="C116" s="183" t="s">
        <v>2171</v>
      </c>
      <c r="D116" s="183">
        <v>252</v>
      </c>
      <c r="E116" s="183">
        <v>262</v>
      </c>
      <c r="F116" s="183">
        <v>4212</v>
      </c>
      <c r="G116" s="183">
        <v>127</v>
      </c>
      <c r="H116" s="183">
        <v>2498</v>
      </c>
      <c r="I116" s="183">
        <v>215</v>
      </c>
      <c r="J116" s="183">
        <v>17</v>
      </c>
      <c r="K116" s="183">
        <v>10</v>
      </c>
      <c r="L116" s="183">
        <v>9</v>
      </c>
      <c r="M116" s="183">
        <v>0</v>
      </c>
      <c r="N116" s="183">
        <v>0</v>
      </c>
      <c r="O116" s="183">
        <v>271</v>
      </c>
      <c r="P116" s="183">
        <v>6837</v>
      </c>
      <c r="Q116" s="183">
        <v>25</v>
      </c>
    </row>
    <row r="117" spans="1:17">
      <c r="A117" s="183" t="s">
        <v>2068</v>
      </c>
      <c r="B117" s="183" t="s">
        <v>1143</v>
      </c>
      <c r="C117" s="183" t="s">
        <v>1935</v>
      </c>
      <c r="D117" s="183">
        <v>31</v>
      </c>
      <c r="E117" s="183">
        <v>29</v>
      </c>
      <c r="F117" s="183">
        <v>397</v>
      </c>
      <c r="G117" s="183">
        <v>92</v>
      </c>
      <c r="H117" s="183">
        <v>0</v>
      </c>
      <c r="I117" s="183">
        <v>12</v>
      </c>
      <c r="J117" s="183">
        <v>17</v>
      </c>
      <c r="K117" s="183">
        <v>0</v>
      </c>
      <c r="L117" s="183">
        <v>0</v>
      </c>
      <c r="M117" s="183">
        <v>0</v>
      </c>
      <c r="N117" s="183">
        <v>0</v>
      </c>
      <c r="O117" s="183">
        <v>29</v>
      </c>
      <c r="P117" s="183">
        <v>489</v>
      </c>
      <c r="Q117" s="183">
        <v>17</v>
      </c>
    </row>
    <row r="118" spans="1:17">
      <c r="A118" s="183" t="s">
        <v>2062</v>
      </c>
      <c r="B118" s="183" t="s">
        <v>916</v>
      </c>
      <c r="C118" s="183" t="s">
        <v>2172</v>
      </c>
      <c r="D118" s="183">
        <v>82</v>
      </c>
      <c r="E118" s="183">
        <v>55</v>
      </c>
      <c r="F118" s="183">
        <v>497</v>
      </c>
      <c r="G118" s="183">
        <v>420</v>
      </c>
      <c r="H118" s="183">
        <v>5382</v>
      </c>
      <c r="I118" s="183">
        <v>63</v>
      </c>
      <c r="J118" s="183">
        <v>17</v>
      </c>
      <c r="K118" s="183">
        <v>8</v>
      </c>
      <c r="L118" s="183">
        <v>25</v>
      </c>
      <c r="M118" s="183">
        <v>0</v>
      </c>
      <c r="N118" s="183">
        <v>2650</v>
      </c>
      <c r="O118" s="183">
        <v>79</v>
      </c>
      <c r="P118" s="183">
        <v>8949</v>
      </c>
      <c r="Q118" s="183">
        <v>113</v>
      </c>
    </row>
    <row r="119" spans="1:17">
      <c r="A119" s="183" t="s">
        <v>2062</v>
      </c>
      <c r="B119" s="183" t="s">
        <v>906</v>
      </c>
      <c r="C119" s="183" t="s">
        <v>2173</v>
      </c>
      <c r="D119" s="183">
        <v>324</v>
      </c>
      <c r="E119" s="183">
        <v>315</v>
      </c>
      <c r="F119" s="183">
        <v>660</v>
      </c>
      <c r="G119" s="183">
        <v>5010</v>
      </c>
      <c r="H119" s="183">
        <v>0</v>
      </c>
      <c r="I119" s="183">
        <v>529</v>
      </c>
      <c r="J119" s="183">
        <v>18</v>
      </c>
      <c r="K119" s="183">
        <v>0</v>
      </c>
      <c r="L119" s="183">
        <v>0</v>
      </c>
      <c r="M119" s="183">
        <v>0</v>
      </c>
      <c r="N119" s="183">
        <v>305</v>
      </c>
      <c r="O119" s="183">
        <v>315</v>
      </c>
      <c r="P119" s="183">
        <v>5975</v>
      </c>
      <c r="Q119" s="183">
        <v>19</v>
      </c>
    </row>
    <row r="120" spans="1:17">
      <c r="A120" s="183" t="s">
        <v>2078</v>
      </c>
      <c r="B120" s="183" t="s">
        <v>1576</v>
      </c>
      <c r="C120" s="183" t="s">
        <v>2174</v>
      </c>
      <c r="D120" s="183">
        <v>156</v>
      </c>
      <c r="E120" s="183">
        <v>107</v>
      </c>
      <c r="F120" s="183">
        <v>1976</v>
      </c>
      <c r="G120" s="183">
        <v>94</v>
      </c>
      <c r="H120" s="183">
        <v>11172</v>
      </c>
      <c r="I120" s="183">
        <v>156</v>
      </c>
      <c r="J120" s="183">
        <v>19</v>
      </c>
      <c r="K120" s="183">
        <v>0</v>
      </c>
      <c r="L120" s="183">
        <v>0</v>
      </c>
      <c r="M120" s="183">
        <v>0</v>
      </c>
      <c r="N120" s="183">
        <v>18545</v>
      </c>
      <c r="O120" s="183">
        <v>107</v>
      </c>
      <c r="P120" s="183">
        <v>31787</v>
      </c>
      <c r="Q120" s="183">
        <v>297</v>
      </c>
    </row>
    <row r="121" spans="1:17">
      <c r="A121" s="183" t="s">
        <v>2062</v>
      </c>
      <c r="B121" s="183" t="s">
        <v>693</v>
      </c>
      <c r="C121" s="183" t="s">
        <v>2175</v>
      </c>
      <c r="D121" s="183">
        <v>61</v>
      </c>
      <c r="E121" s="183">
        <v>61</v>
      </c>
      <c r="F121" s="183">
        <v>1190</v>
      </c>
      <c r="G121" s="183">
        <v>47</v>
      </c>
      <c r="H121" s="183">
        <v>5569</v>
      </c>
      <c r="I121" s="183">
        <v>245</v>
      </c>
      <c r="J121" s="183">
        <v>20</v>
      </c>
      <c r="K121" s="183">
        <v>0</v>
      </c>
      <c r="L121" s="183">
        <v>0</v>
      </c>
      <c r="M121" s="183">
        <v>0</v>
      </c>
      <c r="N121" s="183">
        <v>5541</v>
      </c>
      <c r="O121" s="183">
        <v>61</v>
      </c>
      <c r="P121" s="183">
        <v>12347</v>
      </c>
      <c r="Q121" s="183">
        <v>202</v>
      </c>
    </row>
    <row r="122" spans="1:17">
      <c r="A122" s="183" t="s">
        <v>2062</v>
      </c>
      <c r="B122" s="183" t="s">
        <v>45</v>
      </c>
      <c r="C122" s="183" t="s">
        <v>2176</v>
      </c>
      <c r="D122" s="183">
        <v>172</v>
      </c>
      <c r="E122" s="183">
        <v>161</v>
      </c>
      <c r="F122" s="183">
        <v>7</v>
      </c>
      <c r="G122" s="183">
        <v>3129</v>
      </c>
      <c r="H122" s="183">
        <v>4280</v>
      </c>
      <c r="I122" s="183">
        <v>245</v>
      </c>
      <c r="J122" s="183">
        <v>20</v>
      </c>
      <c r="K122" s="183">
        <v>0</v>
      </c>
      <c r="L122" s="183">
        <v>0</v>
      </c>
      <c r="M122" s="183">
        <v>0</v>
      </c>
      <c r="N122" s="183">
        <v>606</v>
      </c>
      <c r="O122" s="183">
        <v>161</v>
      </c>
      <c r="P122" s="183">
        <v>8022</v>
      </c>
      <c r="Q122" s="183">
        <v>50</v>
      </c>
    </row>
    <row r="123" spans="1:17">
      <c r="A123" s="183" t="s">
        <v>2062</v>
      </c>
      <c r="B123" s="183" t="s">
        <v>697</v>
      </c>
      <c r="C123" s="183" t="s">
        <v>2177</v>
      </c>
      <c r="D123" s="183">
        <v>29</v>
      </c>
      <c r="E123" s="183">
        <v>84</v>
      </c>
      <c r="F123" s="183">
        <v>1558</v>
      </c>
      <c r="G123" s="183">
        <v>84</v>
      </c>
      <c r="H123" s="183">
        <v>2100</v>
      </c>
      <c r="I123" s="183">
        <v>45</v>
      </c>
      <c r="J123" s="183">
        <v>20</v>
      </c>
      <c r="K123" s="183">
        <v>0</v>
      </c>
      <c r="L123" s="183">
        <v>0</v>
      </c>
      <c r="M123" s="183">
        <v>0</v>
      </c>
      <c r="N123" s="183">
        <v>2283</v>
      </c>
      <c r="O123" s="183">
        <v>84</v>
      </c>
      <c r="P123" s="183">
        <v>6025</v>
      </c>
      <c r="Q123" s="183">
        <v>72</v>
      </c>
    </row>
    <row r="124" spans="1:17">
      <c r="A124" s="183" t="s">
        <v>2068</v>
      </c>
      <c r="B124" s="183" t="s">
        <v>2178</v>
      </c>
      <c r="C124" s="183" t="s">
        <v>2179</v>
      </c>
      <c r="D124" s="183">
        <v>1</v>
      </c>
      <c r="E124" s="183">
        <v>4</v>
      </c>
      <c r="F124" s="183">
        <v>57</v>
      </c>
      <c r="G124" s="183">
        <v>31</v>
      </c>
      <c r="H124" s="183">
        <v>2</v>
      </c>
      <c r="I124" s="183">
        <v>0</v>
      </c>
      <c r="J124" s="183">
        <v>21</v>
      </c>
      <c r="K124" s="183">
        <v>0</v>
      </c>
      <c r="L124" s="183">
        <v>0</v>
      </c>
      <c r="M124" s="183">
        <v>0</v>
      </c>
      <c r="N124" s="183">
        <v>4237</v>
      </c>
      <c r="O124" s="183">
        <v>4</v>
      </c>
      <c r="P124" s="183">
        <v>4327</v>
      </c>
      <c r="Q124" s="183">
        <v>1010</v>
      </c>
    </row>
    <row r="125" spans="1:17">
      <c r="A125" s="183" t="s">
        <v>2062</v>
      </c>
      <c r="B125" s="183" t="s">
        <v>459</v>
      </c>
      <c r="C125" s="183" t="s">
        <v>2180</v>
      </c>
      <c r="D125" s="183">
        <v>22</v>
      </c>
      <c r="E125" s="183">
        <v>22</v>
      </c>
      <c r="F125" s="183">
        <v>305</v>
      </c>
      <c r="G125" s="183">
        <v>152</v>
      </c>
      <c r="H125" s="183">
        <v>2000</v>
      </c>
      <c r="I125" s="183">
        <v>24</v>
      </c>
      <c r="J125" s="183">
        <v>21</v>
      </c>
      <c r="K125" s="183">
        <v>11</v>
      </c>
      <c r="L125" s="183">
        <v>4</v>
      </c>
      <c r="M125" s="183">
        <v>631</v>
      </c>
      <c r="N125" s="183">
        <v>0</v>
      </c>
      <c r="O125" s="183">
        <v>26</v>
      </c>
      <c r="P125" s="183">
        <v>3088</v>
      </c>
      <c r="Q125" s="183">
        <v>93</v>
      </c>
    </row>
    <row r="126" spans="1:17">
      <c r="A126" s="183" t="s">
        <v>2062</v>
      </c>
      <c r="B126" s="183" t="s">
        <v>924</v>
      </c>
      <c r="C126" s="183" t="s">
        <v>2181</v>
      </c>
      <c r="D126" s="183">
        <v>368</v>
      </c>
      <c r="E126" s="183">
        <v>398</v>
      </c>
      <c r="F126" s="183">
        <v>8202</v>
      </c>
      <c r="G126" s="183">
        <v>181</v>
      </c>
      <c r="H126" s="183">
        <v>1311</v>
      </c>
      <c r="I126" s="183">
        <v>957</v>
      </c>
      <c r="J126" s="183">
        <v>21</v>
      </c>
      <c r="K126" s="183">
        <v>87</v>
      </c>
      <c r="L126" s="183">
        <v>80</v>
      </c>
      <c r="M126" s="183">
        <v>4023</v>
      </c>
      <c r="N126" s="183">
        <v>6</v>
      </c>
      <c r="O126" s="183">
        <v>478</v>
      </c>
      <c r="P126" s="183">
        <v>13723</v>
      </c>
      <c r="Q126" s="183">
        <v>20</v>
      </c>
    </row>
    <row r="127" spans="1:17">
      <c r="A127" s="183" t="s">
        <v>2062</v>
      </c>
      <c r="B127" s="183" t="s">
        <v>783</v>
      </c>
      <c r="C127" s="183" t="s">
        <v>782</v>
      </c>
      <c r="D127" s="183">
        <v>78</v>
      </c>
      <c r="E127" s="183">
        <v>77</v>
      </c>
      <c r="F127" s="183">
        <v>1579</v>
      </c>
      <c r="G127" s="183">
        <v>16</v>
      </c>
      <c r="H127" s="183">
        <v>8</v>
      </c>
      <c r="I127" s="183">
        <v>260</v>
      </c>
      <c r="J127" s="183">
        <v>21</v>
      </c>
      <c r="K127" s="183">
        <v>0</v>
      </c>
      <c r="L127" s="183">
        <v>0</v>
      </c>
      <c r="M127" s="183">
        <v>0</v>
      </c>
      <c r="N127" s="183">
        <v>32</v>
      </c>
      <c r="O127" s="183">
        <v>77</v>
      </c>
      <c r="P127" s="183">
        <v>1635</v>
      </c>
      <c r="Q127" s="183">
        <v>21</v>
      </c>
    </row>
    <row r="128" spans="1:17">
      <c r="A128" s="183" t="s">
        <v>2062</v>
      </c>
      <c r="B128" s="183" t="s">
        <v>844</v>
      </c>
      <c r="C128" s="183" t="s">
        <v>2182</v>
      </c>
      <c r="D128" s="183">
        <v>100</v>
      </c>
      <c r="E128" s="183">
        <v>101</v>
      </c>
      <c r="F128" s="183">
        <v>2116</v>
      </c>
      <c r="G128" s="183">
        <v>13</v>
      </c>
      <c r="H128" s="183">
        <v>560</v>
      </c>
      <c r="I128" s="183">
        <v>153</v>
      </c>
      <c r="J128" s="183">
        <v>21</v>
      </c>
      <c r="K128" s="183">
        <v>0</v>
      </c>
      <c r="L128" s="183">
        <v>0</v>
      </c>
      <c r="M128" s="183">
        <v>0</v>
      </c>
      <c r="N128" s="183">
        <v>646</v>
      </c>
      <c r="O128" s="183">
        <v>101</v>
      </c>
      <c r="P128" s="183">
        <v>3335</v>
      </c>
      <c r="Q128" s="183">
        <v>33</v>
      </c>
    </row>
    <row r="129" spans="1:17">
      <c r="A129" s="183" t="s">
        <v>2062</v>
      </c>
      <c r="B129" s="183" t="s">
        <v>912</v>
      </c>
      <c r="C129" s="183" t="s">
        <v>2183</v>
      </c>
      <c r="D129" s="183">
        <v>355</v>
      </c>
      <c r="E129" s="183">
        <v>334</v>
      </c>
      <c r="F129" s="183">
        <v>4949</v>
      </c>
      <c r="G129" s="183">
        <v>1943</v>
      </c>
      <c r="H129" s="183">
        <v>1642</v>
      </c>
      <c r="I129" s="183">
        <v>850</v>
      </c>
      <c r="J129" s="183">
        <v>21</v>
      </c>
      <c r="K129" s="183">
        <v>65</v>
      </c>
      <c r="L129" s="183">
        <v>60</v>
      </c>
      <c r="M129" s="183">
        <v>11619</v>
      </c>
      <c r="N129" s="183">
        <v>297</v>
      </c>
      <c r="O129" s="183">
        <v>394</v>
      </c>
      <c r="P129" s="183">
        <v>20450</v>
      </c>
      <c r="Q129" s="183">
        <v>22</v>
      </c>
    </row>
    <row r="130" spans="1:17">
      <c r="A130" s="183" t="s">
        <v>2062</v>
      </c>
      <c r="B130" s="183" t="s">
        <v>731</v>
      </c>
      <c r="C130" s="183" t="s">
        <v>2184</v>
      </c>
      <c r="D130" s="183">
        <v>107</v>
      </c>
      <c r="E130" s="183">
        <v>142</v>
      </c>
      <c r="F130" s="183">
        <v>2641</v>
      </c>
      <c r="G130" s="183">
        <v>364</v>
      </c>
      <c r="H130" s="183">
        <v>1226</v>
      </c>
      <c r="I130" s="183">
        <v>307</v>
      </c>
      <c r="J130" s="183">
        <v>21</v>
      </c>
      <c r="K130" s="183">
        <v>0</v>
      </c>
      <c r="L130" s="183">
        <v>0</v>
      </c>
      <c r="M130" s="183">
        <v>0</v>
      </c>
      <c r="N130" s="183">
        <v>0</v>
      </c>
      <c r="O130" s="183">
        <v>142</v>
      </c>
      <c r="P130" s="183">
        <v>4231</v>
      </c>
      <c r="Q130" s="183">
        <v>30</v>
      </c>
    </row>
    <row r="131" spans="1:17">
      <c r="A131" s="183" t="s">
        <v>2062</v>
      </c>
      <c r="B131" s="183" t="s">
        <v>931</v>
      </c>
      <c r="C131" s="183" t="s">
        <v>930</v>
      </c>
      <c r="D131" s="183">
        <v>325</v>
      </c>
      <c r="E131" s="183">
        <v>231</v>
      </c>
      <c r="F131" s="183">
        <v>1680</v>
      </c>
      <c r="G131" s="183">
        <v>3170</v>
      </c>
      <c r="H131" s="183">
        <v>52</v>
      </c>
      <c r="I131" s="183">
        <v>151</v>
      </c>
      <c r="J131" s="183">
        <v>21</v>
      </c>
      <c r="K131" s="183">
        <v>0</v>
      </c>
      <c r="L131" s="183">
        <v>0</v>
      </c>
      <c r="M131" s="183">
        <v>0</v>
      </c>
      <c r="N131" s="183">
        <v>4</v>
      </c>
      <c r="O131" s="183">
        <v>231</v>
      </c>
      <c r="P131" s="183">
        <v>4906</v>
      </c>
      <c r="Q131" s="183">
        <v>21</v>
      </c>
    </row>
    <row r="132" spans="1:17">
      <c r="A132" s="183" t="s">
        <v>2062</v>
      </c>
      <c r="B132" s="183" t="s">
        <v>190</v>
      </c>
      <c r="C132" s="183" t="s">
        <v>2185</v>
      </c>
      <c r="D132" s="183">
        <v>21</v>
      </c>
      <c r="E132" s="183">
        <v>23</v>
      </c>
      <c r="F132" s="183">
        <v>430</v>
      </c>
      <c r="G132" s="183">
        <v>82</v>
      </c>
      <c r="H132" s="183">
        <v>207</v>
      </c>
      <c r="I132" s="183">
        <v>25</v>
      </c>
      <c r="J132" s="183">
        <v>22</v>
      </c>
      <c r="K132" s="183">
        <v>1</v>
      </c>
      <c r="L132" s="183">
        <v>0</v>
      </c>
      <c r="M132" s="183">
        <v>125</v>
      </c>
      <c r="N132" s="183">
        <v>37</v>
      </c>
      <c r="O132" s="183">
        <v>24</v>
      </c>
      <c r="P132" s="183">
        <v>881</v>
      </c>
      <c r="Q132" s="183">
        <v>32</v>
      </c>
    </row>
    <row r="133" spans="1:17">
      <c r="A133" s="183" t="s">
        <v>2062</v>
      </c>
      <c r="B133" s="183" t="s">
        <v>425</v>
      </c>
      <c r="C133" s="183" t="s">
        <v>2186</v>
      </c>
      <c r="D133" s="183">
        <v>29</v>
      </c>
      <c r="E133" s="183">
        <v>27</v>
      </c>
      <c r="F133" s="183">
        <v>575</v>
      </c>
      <c r="G133" s="183">
        <v>24</v>
      </c>
      <c r="H133" s="183">
        <v>2580</v>
      </c>
      <c r="I133" s="183">
        <v>66</v>
      </c>
      <c r="J133" s="183">
        <v>22</v>
      </c>
      <c r="K133" s="183">
        <v>1</v>
      </c>
      <c r="L133" s="183">
        <v>1</v>
      </c>
      <c r="M133" s="183">
        <v>283</v>
      </c>
      <c r="N133" s="183">
        <v>4028</v>
      </c>
      <c r="O133" s="183">
        <v>27</v>
      </c>
      <c r="P133" s="183">
        <v>7490</v>
      </c>
      <c r="Q133" s="183">
        <v>263</v>
      </c>
    </row>
    <row r="134" spans="1:17">
      <c r="A134" s="183" t="s">
        <v>2078</v>
      </c>
      <c r="B134" s="183" t="s">
        <v>1443</v>
      </c>
      <c r="C134" s="183" t="s">
        <v>2187</v>
      </c>
      <c r="D134" s="183">
        <v>30</v>
      </c>
      <c r="E134" s="183">
        <v>40</v>
      </c>
      <c r="F134" s="183">
        <v>884</v>
      </c>
      <c r="G134" s="183">
        <v>5</v>
      </c>
      <c r="H134" s="183">
        <v>375</v>
      </c>
      <c r="I134" s="183">
        <v>55</v>
      </c>
      <c r="J134" s="183">
        <v>22</v>
      </c>
      <c r="K134" s="183">
        <v>0</v>
      </c>
      <c r="L134" s="183">
        <v>0</v>
      </c>
      <c r="M134" s="183">
        <v>0</v>
      </c>
      <c r="N134" s="183">
        <v>1456</v>
      </c>
      <c r="O134" s="183">
        <v>40</v>
      </c>
      <c r="P134" s="183">
        <v>2720</v>
      </c>
      <c r="Q134" s="183">
        <v>68</v>
      </c>
    </row>
    <row r="135" spans="1:17">
      <c r="A135" s="183" t="s">
        <v>2062</v>
      </c>
      <c r="B135" s="183" t="s">
        <v>515</v>
      </c>
      <c r="C135" s="183" t="s">
        <v>2188</v>
      </c>
      <c r="D135" s="183">
        <v>42</v>
      </c>
      <c r="E135" s="183">
        <v>38</v>
      </c>
      <c r="F135" s="183">
        <v>833</v>
      </c>
      <c r="G135" s="183">
        <v>1</v>
      </c>
      <c r="H135" s="183">
        <v>107</v>
      </c>
      <c r="I135" s="183">
        <v>178</v>
      </c>
      <c r="J135" s="183">
        <v>22</v>
      </c>
      <c r="K135" s="183">
        <v>0</v>
      </c>
      <c r="L135" s="183">
        <v>0</v>
      </c>
      <c r="M135" s="183">
        <v>0</v>
      </c>
      <c r="N135" s="183">
        <v>231</v>
      </c>
      <c r="O135" s="183">
        <v>38</v>
      </c>
      <c r="P135" s="183">
        <v>1172</v>
      </c>
      <c r="Q135" s="183">
        <v>31</v>
      </c>
    </row>
    <row r="136" spans="1:17">
      <c r="A136" s="183" t="s">
        <v>2062</v>
      </c>
      <c r="B136" s="183" t="s">
        <v>465</v>
      </c>
      <c r="C136" s="183" t="s">
        <v>2189</v>
      </c>
      <c r="D136" s="183">
        <v>50</v>
      </c>
      <c r="E136" s="183">
        <v>54</v>
      </c>
      <c r="F136" s="183">
        <v>887</v>
      </c>
      <c r="G136" s="183">
        <v>289</v>
      </c>
      <c r="H136" s="183">
        <v>27</v>
      </c>
      <c r="I136" s="183">
        <v>52</v>
      </c>
      <c r="J136" s="183">
        <v>22</v>
      </c>
      <c r="K136" s="183">
        <v>12</v>
      </c>
      <c r="L136" s="183">
        <v>12</v>
      </c>
      <c r="M136" s="183">
        <v>740</v>
      </c>
      <c r="N136" s="183">
        <v>46</v>
      </c>
      <c r="O136" s="183">
        <v>66</v>
      </c>
      <c r="P136" s="183">
        <v>1989</v>
      </c>
      <c r="Q136" s="183">
        <v>19</v>
      </c>
    </row>
    <row r="137" spans="1:17">
      <c r="A137" s="183" t="s">
        <v>2062</v>
      </c>
      <c r="B137" s="183" t="s">
        <v>758</v>
      </c>
      <c r="C137" s="183" t="s">
        <v>2190</v>
      </c>
      <c r="D137" s="183">
        <v>87</v>
      </c>
      <c r="E137" s="183">
        <v>98</v>
      </c>
      <c r="F137" s="183">
        <v>867</v>
      </c>
      <c r="G137" s="183">
        <v>1250</v>
      </c>
      <c r="H137" s="183">
        <v>340</v>
      </c>
      <c r="I137" s="183">
        <v>87</v>
      </c>
      <c r="J137" s="183">
        <v>22</v>
      </c>
      <c r="K137" s="183">
        <v>15</v>
      </c>
      <c r="L137" s="183">
        <v>17</v>
      </c>
      <c r="M137" s="183">
        <v>404</v>
      </c>
      <c r="N137" s="183">
        <v>137</v>
      </c>
      <c r="O137" s="183">
        <v>115</v>
      </c>
      <c r="P137" s="183">
        <v>2998</v>
      </c>
      <c r="Q137" s="183">
        <v>22</v>
      </c>
    </row>
    <row r="138" spans="1:17">
      <c r="A138" s="183" t="s">
        <v>2062</v>
      </c>
      <c r="B138" s="183" t="s">
        <v>754</v>
      </c>
      <c r="C138" s="183" t="s">
        <v>2191</v>
      </c>
      <c r="D138" s="183">
        <v>64</v>
      </c>
      <c r="E138" s="183">
        <v>62</v>
      </c>
      <c r="F138" s="183">
        <v>1375</v>
      </c>
      <c r="G138" s="183">
        <v>15</v>
      </c>
      <c r="H138" s="183">
        <v>479</v>
      </c>
      <c r="I138" s="183">
        <v>51</v>
      </c>
      <c r="J138" s="183">
        <v>22</v>
      </c>
      <c r="K138" s="183">
        <v>0</v>
      </c>
      <c r="L138" s="183">
        <v>0</v>
      </c>
      <c r="M138" s="183">
        <v>0</v>
      </c>
      <c r="N138" s="183">
        <v>44</v>
      </c>
      <c r="O138" s="183">
        <v>62</v>
      </c>
      <c r="P138" s="183">
        <v>1913</v>
      </c>
      <c r="Q138" s="183">
        <v>31</v>
      </c>
    </row>
    <row r="139" spans="1:17">
      <c r="A139" s="183" t="s">
        <v>2062</v>
      </c>
      <c r="B139" s="183" t="s">
        <v>475</v>
      </c>
      <c r="C139" s="183" t="s">
        <v>2192</v>
      </c>
      <c r="D139" s="183">
        <v>13</v>
      </c>
      <c r="E139" s="183">
        <v>12</v>
      </c>
      <c r="F139" s="183">
        <v>0</v>
      </c>
      <c r="G139" s="183">
        <v>273</v>
      </c>
      <c r="H139" s="183">
        <v>290</v>
      </c>
      <c r="I139" s="183">
        <v>41</v>
      </c>
      <c r="J139" s="183">
        <v>23</v>
      </c>
      <c r="K139" s="183">
        <v>0</v>
      </c>
      <c r="L139" s="183">
        <v>0</v>
      </c>
      <c r="M139" s="183">
        <v>0</v>
      </c>
      <c r="N139" s="183">
        <v>0</v>
      </c>
      <c r="O139" s="183">
        <v>12</v>
      </c>
      <c r="P139" s="183">
        <v>563</v>
      </c>
      <c r="Q139" s="183">
        <v>48</v>
      </c>
    </row>
    <row r="140" spans="1:17">
      <c r="A140" s="183" t="s">
        <v>2062</v>
      </c>
      <c r="B140" s="183" t="s">
        <v>691</v>
      </c>
      <c r="C140" s="183" t="s">
        <v>2193</v>
      </c>
      <c r="D140" s="183">
        <v>103</v>
      </c>
      <c r="E140" s="183">
        <v>99</v>
      </c>
      <c r="F140" s="183">
        <v>2297</v>
      </c>
      <c r="G140" s="183">
        <v>24</v>
      </c>
      <c r="H140" s="183">
        <v>1495</v>
      </c>
      <c r="I140" s="183">
        <v>293</v>
      </c>
      <c r="J140" s="183">
        <v>23</v>
      </c>
      <c r="K140" s="183">
        <v>1</v>
      </c>
      <c r="L140" s="183">
        <v>2</v>
      </c>
      <c r="M140" s="183">
        <v>0</v>
      </c>
      <c r="N140" s="183">
        <v>11</v>
      </c>
      <c r="O140" s="183">
        <v>101</v>
      </c>
      <c r="P140" s="183">
        <v>3827</v>
      </c>
      <c r="Q140" s="183">
        <v>38</v>
      </c>
    </row>
    <row r="141" spans="1:17">
      <c r="A141" s="183" t="s">
        <v>2078</v>
      </c>
      <c r="B141" s="183" t="s">
        <v>1449</v>
      </c>
      <c r="C141" s="183" t="s">
        <v>2194</v>
      </c>
      <c r="D141" s="183">
        <v>44</v>
      </c>
      <c r="E141" s="183">
        <v>33</v>
      </c>
      <c r="F141" s="183">
        <v>745</v>
      </c>
      <c r="G141" s="183">
        <v>25</v>
      </c>
      <c r="H141" s="183">
        <v>5088</v>
      </c>
      <c r="I141" s="183">
        <v>22</v>
      </c>
      <c r="J141" s="183">
        <v>23</v>
      </c>
      <c r="K141" s="183">
        <v>0</v>
      </c>
      <c r="L141" s="183">
        <v>0</v>
      </c>
      <c r="M141" s="183">
        <v>0</v>
      </c>
      <c r="N141" s="183">
        <v>5982</v>
      </c>
      <c r="O141" s="183">
        <v>33</v>
      </c>
      <c r="P141" s="183">
        <v>11840</v>
      </c>
      <c r="Q141" s="183">
        <v>360</v>
      </c>
    </row>
    <row r="142" spans="1:17">
      <c r="A142" s="183" t="s">
        <v>2062</v>
      </c>
      <c r="B142" s="183" t="s">
        <v>864</v>
      </c>
      <c r="C142" s="183" t="s">
        <v>2195</v>
      </c>
      <c r="D142" s="183">
        <v>136</v>
      </c>
      <c r="E142" s="183">
        <v>133</v>
      </c>
      <c r="F142" s="183">
        <v>2887</v>
      </c>
      <c r="G142" s="183">
        <v>125</v>
      </c>
      <c r="H142" s="183">
        <v>3107</v>
      </c>
      <c r="I142" s="183">
        <v>328</v>
      </c>
      <c r="J142" s="183">
        <v>23</v>
      </c>
      <c r="K142" s="183">
        <v>97</v>
      </c>
      <c r="L142" s="183">
        <v>41</v>
      </c>
      <c r="M142" s="183">
        <v>0</v>
      </c>
      <c r="N142" s="183">
        <v>2416</v>
      </c>
      <c r="O142" s="183">
        <v>174</v>
      </c>
      <c r="P142" s="183">
        <v>8535</v>
      </c>
      <c r="Q142" s="183">
        <v>49</v>
      </c>
    </row>
    <row r="143" spans="1:17">
      <c r="A143" s="183" t="s">
        <v>2062</v>
      </c>
      <c r="B143" s="183" t="s">
        <v>80</v>
      </c>
      <c r="C143" s="183" t="s">
        <v>79</v>
      </c>
      <c r="D143" s="183">
        <v>107</v>
      </c>
      <c r="E143" s="183">
        <v>176</v>
      </c>
      <c r="F143" s="183">
        <v>0</v>
      </c>
      <c r="G143" s="183">
        <v>4032</v>
      </c>
      <c r="H143" s="183">
        <v>1548</v>
      </c>
      <c r="I143" s="183">
        <v>212</v>
      </c>
      <c r="J143" s="183">
        <v>23</v>
      </c>
      <c r="K143" s="183">
        <v>0</v>
      </c>
      <c r="L143" s="183">
        <v>0</v>
      </c>
      <c r="M143" s="183">
        <v>0</v>
      </c>
      <c r="N143" s="183">
        <v>264</v>
      </c>
      <c r="O143" s="183">
        <v>176</v>
      </c>
      <c r="P143" s="183">
        <v>5844</v>
      </c>
      <c r="Q143" s="183">
        <v>33</v>
      </c>
    </row>
    <row r="144" spans="1:17">
      <c r="A144" s="183" t="s">
        <v>2078</v>
      </c>
      <c r="B144" s="183" t="s">
        <v>1540</v>
      </c>
      <c r="C144" s="183" t="s">
        <v>2196</v>
      </c>
      <c r="D144" s="183">
        <v>117</v>
      </c>
      <c r="E144" s="183">
        <v>110</v>
      </c>
      <c r="F144" s="183">
        <v>2587</v>
      </c>
      <c r="G144" s="183">
        <v>28</v>
      </c>
      <c r="H144" s="183">
        <v>6471</v>
      </c>
      <c r="I144" s="183">
        <v>251</v>
      </c>
      <c r="J144" s="183">
        <v>24</v>
      </c>
      <c r="K144" s="183">
        <v>0</v>
      </c>
      <c r="L144" s="183">
        <v>0</v>
      </c>
      <c r="M144" s="183">
        <v>0</v>
      </c>
      <c r="N144" s="183">
        <v>14128</v>
      </c>
      <c r="O144" s="183">
        <v>110</v>
      </c>
      <c r="P144" s="183">
        <v>23214</v>
      </c>
      <c r="Q144" s="183">
        <v>212</v>
      </c>
    </row>
    <row r="145" spans="1:17">
      <c r="A145" s="183" t="s">
        <v>2078</v>
      </c>
      <c r="B145" s="183" t="s">
        <v>1484</v>
      </c>
      <c r="C145" s="183" t="s">
        <v>2197</v>
      </c>
      <c r="D145" s="183">
        <v>52</v>
      </c>
      <c r="E145" s="183">
        <v>55</v>
      </c>
      <c r="F145" s="183">
        <v>811</v>
      </c>
      <c r="G145" s="183">
        <v>529</v>
      </c>
      <c r="H145" s="183">
        <v>4350</v>
      </c>
      <c r="I145" s="183">
        <v>69</v>
      </c>
      <c r="J145" s="183">
        <v>24</v>
      </c>
      <c r="K145" s="183">
        <v>0</v>
      </c>
      <c r="L145" s="183">
        <v>0</v>
      </c>
      <c r="M145" s="183">
        <v>0</v>
      </c>
      <c r="N145" s="183">
        <v>7223</v>
      </c>
      <c r="O145" s="183">
        <v>55</v>
      </c>
      <c r="P145" s="183">
        <v>12913</v>
      </c>
      <c r="Q145" s="183">
        <v>234</v>
      </c>
    </row>
    <row r="146" spans="1:17">
      <c r="A146" s="183" t="s">
        <v>2062</v>
      </c>
      <c r="B146" s="183" t="s">
        <v>626</v>
      </c>
      <c r="C146" s="183" t="s">
        <v>2198</v>
      </c>
      <c r="D146" s="183">
        <v>28</v>
      </c>
      <c r="E146" s="183">
        <v>23</v>
      </c>
      <c r="F146" s="183">
        <v>543</v>
      </c>
      <c r="G146" s="183">
        <v>3</v>
      </c>
      <c r="H146" s="183">
        <v>0</v>
      </c>
      <c r="I146" s="183">
        <v>67</v>
      </c>
      <c r="J146" s="183">
        <v>24</v>
      </c>
      <c r="K146" s="183">
        <v>0</v>
      </c>
      <c r="L146" s="183">
        <v>0</v>
      </c>
      <c r="M146" s="183">
        <v>43</v>
      </c>
      <c r="N146" s="183">
        <v>10</v>
      </c>
      <c r="O146" s="183">
        <v>23</v>
      </c>
      <c r="P146" s="183">
        <v>599</v>
      </c>
      <c r="Q146" s="183">
        <v>24</v>
      </c>
    </row>
    <row r="147" spans="1:17">
      <c r="A147" s="183" t="s">
        <v>2062</v>
      </c>
      <c r="B147" s="183" t="s">
        <v>606</v>
      </c>
      <c r="C147" s="183" t="s">
        <v>2199</v>
      </c>
      <c r="D147" s="183">
        <v>133</v>
      </c>
      <c r="E147" s="183">
        <v>133</v>
      </c>
      <c r="F147" s="183">
        <v>2756</v>
      </c>
      <c r="G147" s="183">
        <v>415</v>
      </c>
      <c r="H147" s="183">
        <v>0</v>
      </c>
      <c r="I147" s="183">
        <v>589</v>
      </c>
      <c r="J147" s="183">
        <v>24</v>
      </c>
      <c r="K147" s="183">
        <v>39</v>
      </c>
      <c r="L147" s="183">
        <v>34</v>
      </c>
      <c r="M147" s="183">
        <v>1099</v>
      </c>
      <c r="N147" s="183">
        <v>47</v>
      </c>
      <c r="O147" s="183">
        <v>167</v>
      </c>
      <c r="P147" s="183">
        <v>4317</v>
      </c>
      <c r="Q147" s="183">
        <v>19</v>
      </c>
    </row>
    <row r="148" spans="1:17">
      <c r="A148" s="183" t="s">
        <v>2062</v>
      </c>
      <c r="B148" s="183" t="s">
        <v>551</v>
      </c>
      <c r="C148" s="183" t="s">
        <v>550</v>
      </c>
      <c r="D148" s="183">
        <v>14</v>
      </c>
      <c r="E148" s="183">
        <v>14</v>
      </c>
      <c r="F148" s="183">
        <v>336</v>
      </c>
      <c r="G148" s="183">
        <v>5</v>
      </c>
      <c r="H148" s="183">
        <v>73</v>
      </c>
      <c r="I148" s="183">
        <v>17</v>
      </c>
      <c r="J148" s="183">
        <v>24</v>
      </c>
      <c r="K148" s="183">
        <v>0</v>
      </c>
      <c r="L148" s="183">
        <v>0</v>
      </c>
      <c r="M148" s="183">
        <v>0</v>
      </c>
      <c r="N148" s="183">
        <v>98</v>
      </c>
      <c r="O148" s="183">
        <v>14</v>
      </c>
      <c r="P148" s="183">
        <v>512</v>
      </c>
      <c r="Q148" s="183">
        <v>37</v>
      </c>
    </row>
    <row r="149" spans="1:17">
      <c r="A149" s="183" t="s">
        <v>2078</v>
      </c>
      <c r="B149" s="183" t="s">
        <v>1439</v>
      </c>
      <c r="C149" s="183" t="s">
        <v>2200</v>
      </c>
      <c r="D149" s="183">
        <v>62</v>
      </c>
      <c r="E149" s="183">
        <v>57</v>
      </c>
      <c r="F149" s="183">
        <v>1377</v>
      </c>
      <c r="G149" s="183">
        <v>9</v>
      </c>
      <c r="H149" s="183">
        <v>3893</v>
      </c>
      <c r="I149" s="183">
        <v>60</v>
      </c>
      <c r="J149" s="183">
        <v>24</v>
      </c>
      <c r="K149" s="183">
        <v>0</v>
      </c>
      <c r="L149" s="183">
        <v>0</v>
      </c>
      <c r="M149" s="183">
        <v>0</v>
      </c>
      <c r="N149" s="183">
        <v>164</v>
      </c>
      <c r="O149" s="183">
        <v>57</v>
      </c>
      <c r="P149" s="183">
        <v>5443</v>
      </c>
      <c r="Q149" s="183">
        <v>96</v>
      </c>
    </row>
    <row r="150" spans="1:17">
      <c r="A150" s="183" t="s">
        <v>2062</v>
      </c>
      <c r="B150" s="183" t="s">
        <v>119</v>
      </c>
      <c r="C150" s="183" t="s">
        <v>2201</v>
      </c>
      <c r="D150" s="183">
        <v>64</v>
      </c>
      <c r="E150" s="183">
        <v>60</v>
      </c>
      <c r="F150" s="183">
        <v>1420</v>
      </c>
      <c r="G150" s="183">
        <v>14</v>
      </c>
      <c r="H150" s="183">
        <v>6240</v>
      </c>
      <c r="I150" s="183">
        <v>220</v>
      </c>
      <c r="J150" s="183">
        <v>24</v>
      </c>
      <c r="K150" s="183">
        <v>0</v>
      </c>
      <c r="L150" s="183">
        <v>0</v>
      </c>
      <c r="M150" s="183">
        <v>0</v>
      </c>
      <c r="N150" s="183">
        <v>1725</v>
      </c>
      <c r="O150" s="183">
        <v>60</v>
      </c>
      <c r="P150" s="183">
        <v>9399</v>
      </c>
      <c r="Q150" s="183">
        <v>157</v>
      </c>
    </row>
    <row r="151" spans="1:17">
      <c r="A151" s="183" t="s">
        <v>2062</v>
      </c>
      <c r="B151" s="183" t="s">
        <v>919</v>
      </c>
      <c r="C151" s="183" t="s">
        <v>2202</v>
      </c>
      <c r="D151" s="183">
        <v>167</v>
      </c>
      <c r="E151" s="183">
        <v>191</v>
      </c>
      <c r="F151" s="183">
        <v>4480</v>
      </c>
      <c r="G151" s="183">
        <v>74</v>
      </c>
      <c r="H151" s="183">
        <v>7486</v>
      </c>
      <c r="I151" s="183">
        <v>198</v>
      </c>
      <c r="J151" s="183">
        <v>24</v>
      </c>
      <c r="K151" s="183">
        <v>16</v>
      </c>
      <c r="L151" s="183">
        <v>16</v>
      </c>
      <c r="M151" s="183">
        <v>1517</v>
      </c>
      <c r="N151" s="183">
        <v>667</v>
      </c>
      <c r="O151" s="183">
        <v>207</v>
      </c>
      <c r="P151" s="183">
        <v>14224</v>
      </c>
      <c r="Q151" s="183">
        <v>62</v>
      </c>
    </row>
    <row r="152" spans="1:17">
      <c r="A152" s="183" t="s">
        <v>2062</v>
      </c>
      <c r="B152" s="183" t="s">
        <v>358</v>
      </c>
      <c r="C152" s="183" t="s">
        <v>2203</v>
      </c>
      <c r="D152" s="183">
        <v>22</v>
      </c>
      <c r="E152" s="183">
        <v>25</v>
      </c>
      <c r="F152" s="183">
        <v>579</v>
      </c>
      <c r="G152" s="183">
        <v>47</v>
      </c>
      <c r="H152" s="183">
        <v>157</v>
      </c>
      <c r="I152" s="183">
        <v>51</v>
      </c>
      <c r="J152" s="183">
        <v>25</v>
      </c>
      <c r="K152" s="183">
        <v>1</v>
      </c>
      <c r="L152" s="183">
        <v>2</v>
      </c>
      <c r="M152" s="183">
        <v>124</v>
      </c>
      <c r="N152" s="183">
        <v>15</v>
      </c>
      <c r="O152" s="183">
        <v>27</v>
      </c>
      <c r="P152" s="183">
        <v>922</v>
      </c>
      <c r="Q152" s="183">
        <v>30</v>
      </c>
    </row>
    <row r="153" spans="1:17">
      <c r="A153" s="183" t="s">
        <v>2078</v>
      </c>
      <c r="B153" s="183" t="s">
        <v>1579</v>
      </c>
      <c r="C153" s="183" t="s">
        <v>2204</v>
      </c>
      <c r="D153" s="183">
        <v>124</v>
      </c>
      <c r="E153" s="183">
        <v>72</v>
      </c>
      <c r="F153" s="183">
        <v>1766</v>
      </c>
      <c r="G153" s="183">
        <v>13</v>
      </c>
      <c r="H153" s="183">
        <v>5936</v>
      </c>
      <c r="I153" s="183">
        <v>88</v>
      </c>
      <c r="J153" s="183">
        <v>25</v>
      </c>
      <c r="K153" s="183">
        <v>0</v>
      </c>
      <c r="L153" s="183">
        <v>0</v>
      </c>
      <c r="M153" s="183">
        <v>0</v>
      </c>
      <c r="N153" s="183">
        <v>9763</v>
      </c>
      <c r="O153" s="183">
        <v>72</v>
      </c>
      <c r="P153" s="183">
        <v>17478</v>
      </c>
      <c r="Q153" s="183">
        <v>242</v>
      </c>
    </row>
    <row r="154" spans="1:17">
      <c r="A154" s="183" t="s">
        <v>2062</v>
      </c>
      <c r="B154" s="183" t="s">
        <v>121</v>
      </c>
      <c r="C154" s="183" t="s">
        <v>2205</v>
      </c>
      <c r="D154" s="183">
        <v>19</v>
      </c>
      <c r="E154" s="183">
        <v>47</v>
      </c>
      <c r="F154" s="183">
        <v>228</v>
      </c>
      <c r="G154" s="183">
        <v>936</v>
      </c>
      <c r="H154" s="183">
        <v>538</v>
      </c>
      <c r="I154" s="183">
        <v>22</v>
      </c>
      <c r="J154" s="183">
        <v>25</v>
      </c>
      <c r="K154" s="183">
        <v>0</v>
      </c>
      <c r="L154" s="183">
        <v>0</v>
      </c>
      <c r="M154" s="183">
        <v>0</v>
      </c>
      <c r="N154" s="183">
        <v>5704</v>
      </c>
      <c r="O154" s="183">
        <v>47</v>
      </c>
      <c r="P154" s="183">
        <v>7406</v>
      </c>
      <c r="Q154" s="183">
        <v>157</v>
      </c>
    </row>
    <row r="155" spans="1:17">
      <c r="A155" s="183" t="s">
        <v>2062</v>
      </c>
      <c r="B155" s="183" t="s">
        <v>879</v>
      </c>
      <c r="C155" s="183" t="s">
        <v>2206</v>
      </c>
      <c r="D155" s="183">
        <v>58</v>
      </c>
      <c r="E155" s="183">
        <v>106</v>
      </c>
      <c r="F155" s="183">
        <v>267</v>
      </c>
      <c r="G155" s="183">
        <v>2401</v>
      </c>
      <c r="H155" s="183">
        <v>31</v>
      </c>
      <c r="I155" s="183">
        <v>59</v>
      </c>
      <c r="J155" s="183">
        <v>25</v>
      </c>
      <c r="K155" s="183">
        <v>0</v>
      </c>
      <c r="L155" s="183">
        <v>0</v>
      </c>
      <c r="M155" s="183">
        <v>0</v>
      </c>
      <c r="N155" s="183">
        <v>209</v>
      </c>
      <c r="O155" s="183">
        <v>106</v>
      </c>
      <c r="P155" s="183">
        <v>2908</v>
      </c>
      <c r="Q155" s="183">
        <v>27</v>
      </c>
    </row>
    <row r="156" spans="1:17">
      <c r="A156" s="183" t="s">
        <v>2068</v>
      </c>
      <c r="B156" s="183" t="s">
        <v>1139</v>
      </c>
      <c r="C156" s="183" t="s">
        <v>2207</v>
      </c>
      <c r="D156" s="183">
        <v>27</v>
      </c>
      <c r="E156" s="183">
        <v>29</v>
      </c>
      <c r="F156" s="183">
        <v>753</v>
      </c>
      <c r="G156" s="183">
        <v>2</v>
      </c>
      <c r="H156" s="183">
        <v>2101</v>
      </c>
      <c r="I156" s="183">
        <v>22</v>
      </c>
      <c r="J156" s="183">
        <v>26</v>
      </c>
      <c r="K156" s="183">
        <v>0</v>
      </c>
      <c r="L156" s="183">
        <v>0</v>
      </c>
      <c r="M156" s="183">
        <v>0</v>
      </c>
      <c r="N156" s="183">
        <v>3139</v>
      </c>
      <c r="O156" s="183">
        <v>29</v>
      </c>
      <c r="P156" s="183">
        <v>5995</v>
      </c>
      <c r="Q156" s="183">
        <v>207</v>
      </c>
    </row>
    <row r="157" spans="1:17">
      <c r="A157" s="183" t="s">
        <v>2078</v>
      </c>
      <c r="B157" s="183" t="s">
        <v>1776</v>
      </c>
      <c r="C157" s="183" t="s">
        <v>2208</v>
      </c>
      <c r="D157" s="183">
        <v>29</v>
      </c>
      <c r="E157" s="183">
        <v>35</v>
      </c>
      <c r="F157" s="183">
        <v>892</v>
      </c>
      <c r="G157" s="183">
        <v>6</v>
      </c>
      <c r="H157" s="183">
        <v>1970</v>
      </c>
      <c r="I157" s="183">
        <v>39</v>
      </c>
      <c r="J157" s="183">
        <v>26</v>
      </c>
      <c r="K157" s="183">
        <v>0</v>
      </c>
      <c r="L157" s="183">
        <v>0</v>
      </c>
      <c r="M157" s="183">
        <v>0</v>
      </c>
      <c r="N157" s="183">
        <v>2169</v>
      </c>
      <c r="O157" s="183">
        <v>35</v>
      </c>
      <c r="P157" s="183">
        <v>5037</v>
      </c>
      <c r="Q157" s="183">
        <v>145</v>
      </c>
    </row>
    <row r="158" spans="1:17">
      <c r="A158" s="183" t="s">
        <v>2062</v>
      </c>
      <c r="B158" s="183" t="s">
        <v>449</v>
      </c>
      <c r="C158" s="183" t="s">
        <v>2209</v>
      </c>
      <c r="D158" s="183">
        <v>36</v>
      </c>
      <c r="E158" s="183">
        <v>37</v>
      </c>
      <c r="F158" s="183">
        <v>967</v>
      </c>
      <c r="G158" s="183">
        <v>2</v>
      </c>
      <c r="H158" s="183">
        <v>297</v>
      </c>
      <c r="I158" s="183">
        <v>41</v>
      </c>
      <c r="J158" s="183">
        <v>26</v>
      </c>
      <c r="K158" s="183">
        <v>0</v>
      </c>
      <c r="L158" s="183">
        <v>0</v>
      </c>
      <c r="M158" s="183">
        <v>0</v>
      </c>
      <c r="N158" s="183">
        <v>410</v>
      </c>
      <c r="O158" s="183">
        <v>37</v>
      </c>
      <c r="P158" s="183">
        <v>1676</v>
      </c>
      <c r="Q158" s="183">
        <v>46</v>
      </c>
    </row>
    <row r="159" spans="1:17">
      <c r="A159" s="183" t="s">
        <v>2062</v>
      </c>
      <c r="B159" s="183" t="s">
        <v>545</v>
      </c>
      <c r="C159" s="183" t="s">
        <v>544</v>
      </c>
      <c r="D159" s="183">
        <v>35</v>
      </c>
      <c r="E159" s="183">
        <v>30</v>
      </c>
      <c r="F159" s="183">
        <v>774</v>
      </c>
      <c r="G159" s="183">
        <v>9</v>
      </c>
      <c r="H159" s="183">
        <v>339</v>
      </c>
      <c r="I159" s="183">
        <v>44</v>
      </c>
      <c r="J159" s="183">
        <v>26</v>
      </c>
      <c r="K159" s="183">
        <v>0</v>
      </c>
      <c r="L159" s="183">
        <v>0</v>
      </c>
      <c r="M159" s="183">
        <v>0</v>
      </c>
      <c r="N159" s="183">
        <v>8</v>
      </c>
      <c r="O159" s="183">
        <v>30</v>
      </c>
      <c r="P159" s="183">
        <v>1130</v>
      </c>
      <c r="Q159" s="183">
        <v>38</v>
      </c>
    </row>
    <row r="160" spans="1:17">
      <c r="A160" s="183" t="s">
        <v>2068</v>
      </c>
      <c r="B160" s="183" t="s">
        <v>1239</v>
      </c>
      <c r="C160" s="183" t="s">
        <v>1238</v>
      </c>
      <c r="D160" s="183">
        <v>43</v>
      </c>
      <c r="E160" s="183">
        <v>32</v>
      </c>
      <c r="F160" s="183">
        <v>516</v>
      </c>
      <c r="G160" s="183">
        <v>293</v>
      </c>
      <c r="H160" s="183">
        <v>3741</v>
      </c>
      <c r="I160" s="183">
        <v>32</v>
      </c>
      <c r="J160" s="183">
        <v>26</v>
      </c>
      <c r="K160" s="183">
        <v>0</v>
      </c>
      <c r="L160" s="183">
        <v>0</v>
      </c>
      <c r="M160" s="183">
        <v>0</v>
      </c>
      <c r="N160" s="183">
        <v>116</v>
      </c>
      <c r="O160" s="183">
        <v>32</v>
      </c>
      <c r="P160" s="183">
        <v>4666</v>
      </c>
      <c r="Q160" s="183">
        <v>147</v>
      </c>
    </row>
    <row r="161" spans="1:17">
      <c r="A161" s="183" t="s">
        <v>2068</v>
      </c>
      <c r="B161" s="183" t="s">
        <v>1216</v>
      </c>
      <c r="C161" s="183" t="s">
        <v>2210</v>
      </c>
      <c r="D161" s="183">
        <v>68</v>
      </c>
      <c r="E161" s="183">
        <v>75</v>
      </c>
      <c r="F161" s="183">
        <v>1928</v>
      </c>
      <c r="G161" s="183">
        <v>34</v>
      </c>
      <c r="H161" s="183">
        <v>4480</v>
      </c>
      <c r="I161" s="183">
        <v>45</v>
      </c>
      <c r="J161" s="183">
        <v>26</v>
      </c>
      <c r="K161" s="183">
        <v>0</v>
      </c>
      <c r="L161" s="183">
        <v>0</v>
      </c>
      <c r="M161" s="183">
        <v>0</v>
      </c>
      <c r="N161" s="183">
        <v>4098</v>
      </c>
      <c r="O161" s="183">
        <v>75</v>
      </c>
      <c r="P161" s="183">
        <v>10540</v>
      </c>
      <c r="Q161" s="183">
        <v>141</v>
      </c>
    </row>
    <row r="162" spans="1:17">
      <c r="A162" s="183" t="s">
        <v>2078</v>
      </c>
      <c r="B162" s="183" t="s">
        <v>1464</v>
      </c>
      <c r="C162" s="183" t="s">
        <v>2211</v>
      </c>
      <c r="D162" s="183">
        <v>37</v>
      </c>
      <c r="E162" s="183">
        <v>37</v>
      </c>
      <c r="F162" s="183">
        <v>961</v>
      </c>
      <c r="G162" s="183">
        <v>15</v>
      </c>
      <c r="H162" s="183">
        <v>3154</v>
      </c>
      <c r="I162" s="183">
        <v>48</v>
      </c>
      <c r="J162" s="183">
        <v>26</v>
      </c>
      <c r="K162" s="183">
        <v>0</v>
      </c>
      <c r="L162" s="183">
        <v>0</v>
      </c>
      <c r="M162" s="183">
        <v>0</v>
      </c>
      <c r="N162" s="183">
        <v>3430</v>
      </c>
      <c r="O162" s="183">
        <v>37</v>
      </c>
      <c r="P162" s="183">
        <v>7560</v>
      </c>
      <c r="Q162" s="183">
        <v>203</v>
      </c>
    </row>
    <row r="163" spans="1:17">
      <c r="A163" s="183" t="s">
        <v>2078</v>
      </c>
      <c r="B163" s="183" t="s">
        <v>1550</v>
      </c>
      <c r="C163" s="183" t="s">
        <v>2212</v>
      </c>
      <c r="D163" s="183">
        <v>130</v>
      </c>
      <c r="E163" s="183">
        <v>118</v>
      </c>
      <c r="F163" s="183">
        <v>3113</v>
      </c>
      <c r="G163" s="183">
        <v>40</v>
      </c>
      <c r="H163" s="183">
        <v>11765</v>
      </c>
      <c r="I163" s="183">
        <v>274</v>
      </c>
      <c r="J163" s="183">
        <v>27</v>
      </c>
      <c r="K163" s="183">
        <v>0</v>
      </c>
      <c r="L163" s="183">
        <v>0</v>
      </c>
      <c r="M163" s="183">
        <v>0</v>
      </c>
      <c r="N163" s="183">
        <v>9396</v>
      </c>
      <c r="O163" s="183">
        <v>118</v>
      </c>
      <c r="P163" s="183">
        <v>24314</v>
      </c>
      <c r="Q163" s="183">
        <v>206</v>
      </c>
    </row>
    <row r="164" spans="1:17">
      <c r="A164" s="183" t="s">
        <v>2062</v>
      </c>
      <c r="B164" s="183" t="s">
        <v>866</v>
      </c>
      <c r="C164" s="183" t="s">
        <v>865</v>
      </c>
      <c r="D164" s="183">
        <v>73</v>
      </c>
      <c r="E164" s="183">
        <v>59</v>
      </c>
      <c r="F164" s="183">
        <v>1559</v>
      </c>
      <c r="G164" s="183">
        <v>13</v>
      </c>
      <c r="H164" s="183">
        <v>2700</v>
      </c>
      <c r="I164" s="183">
        <v>46</v>
      </c>
      <c r="J164" s="183">
        <v>27</v>
      </c>
      <c r="K164" s="183">
        <v>4</v>
      </c>
      <c r="L164" s="183">
        <v>3</v>
      </c>
      <c r="M164" s="183">
        <v>460</v>
      </c>
      <c r="N164" s="183">
        <v>1017</v>
      </c>
      <c r="O164" s="183">
        <v>62</v>
      </c>
      <c r="P164" s="183">
        <v>5749</v>
      </c>
      <c r="Q164" s="183">
        <v>86</v>
      </c>
    </row>
    <row r="165" spans="1:17">
      <c r="A165" s="183" t="s">
        <v>2062</v>
      </c>
      <c r="B165" s="183" t="s">
        <v>210</v>
      </c>
      <c r="C165" s="183" t="s">
        <v>209</v>
      </c>
      <c r="D165" s="183">
        <v>268</v>
      </c>
      <c r="E165" s="183">
        <v>285</v>
      </c>
      <c r="F165" s="183">
        <v>6463</v>
      </c>
      <c r="G165" s="183">
        <v>1224</v>
      </c>
      <c r="H165" s="183">
        <v>15921</v>
      </c>
      <c r="I165" s="183">
        <v>261</v>
      </c>
      <c r="J165" s="183">
        <v>27</v>
      </c>
      <c r="K165" s="183">
        <v>284</v>
      </c>
      <c r="L165" s="183">
        <v>266</v>
      </c>
      <c r="M165" s="183">
        <v>30090</v>
      </c>
      <c r="N165" s="183">
        <v>7191</v>
      </c>
      <c r="O165" s="183">
        <v>551</v>
      </c>
      <c r="P165" s="183">
        <v>60889</v>
      </c>
      <c r="Q165" s="183">
        <v>56</v>
      </c>
    </row>
    <row r="166" spans="1:17">
      <c r="A166" s="183" t="s">
        <v>2062</v>
      </c>
      <c r="B166" s="183" t="s">
        <v>469</v>
      </c>
      <c r="C166" s="183" t="s">
        <v>2213</v>
      </c>
      <c r="D166" s="183">
        <v>20</v>
      </c>
      <c r="E166" s="183">
        <v>20</v>
      </c>
      <c r="F166" s="183">
        <v>540</v>
      </c>
      <c r="G166" s="183">
        <v>11</v>
      </c>
      <c r="H166" s="183">
        <v>607</v>
      </c>
      <c r="I166" s="183">
        <v>45</v>
      </c>
      <c r="J166" s="183">
        <v>28</v>
      </c>
      <c r="K166" s="183">
        <v>0</v>
      </c>
      <c r="L166" s="183">
        <v>0</v>
      </c>
      <c r="M166" s="183">
        <v>92</v>
      </c>
      <c r="N166" s="183">
        <v>2935</v>
      </c>
      <c r="O166" s="183">
        <v>20</v>
      </c>
      <c r="P166" s="183">
        <v>4185</v>
      </c>
      <c r="Q166" s="183">
        <v>206</v>
      </c>
    </row>
    <row r="167" spans="1:17">
      <c r="A167" s="183" t="s">
        <v>2062</v>
      </c>
      <c r="B167" s="183" t="s">
        <v>509</v>
      </c>
      <c r="C167" s="183" t="s">
        <v>2214</v>
      </c>
      <c r="D167" s="183">
        <v>241</v>
      </c>
      <c r="E167" s="183">
        <v>230</v>
      </c>
      <c r="F167" s="183">
        <v>6337</v>
      </c>
      <c r="G167" s="183">
        <v>179</v>
      </c>
      <c r="H167" s="183">
        <v>5970</v>
      </c>
      <c r="I167" s="183">
        <v>551</v>
      </c>
      <c r="J167" s="183">
        <v>28</v>
      </c>
      <c r="K167" s="183">
        <v>15</v>
      </c>
      <c r="L167" s="183">
        <v>15</v>
      </c>
      <c r="M167" s="183">
        <v>2905</v>
      </c>
      <c r="N167" s="183">
        <v>4561</v>
      </c>
      <c r="O167" s="183">
        <v>246</v>
      </c>
      <c r="P167" s="183">
        <v>19952</v>
      </c>
      <c r="Q167" s="183">
        <v>69</v>
      </c>
    </row>
    <row r="168" spans="1:17">
      <c r="A168" s="183" t="s">
        <v>2062</v>
      </c>
      <c r="B168" s="183" t="s">
        <v>872</v>
      </c>
      <c r="C168" s="183" t="s">
        <v>2215</v>
      </c>
      <c r="D168" s="183">
        <v>212</v>
      </c>
      <c r="E168" s="183">
        <v>206</v>
      </c>
      <c r="F168" s="183">
        <v>5710</v>
      </c>
      <c r="G168" s="183">
        <v>85</v>
      </c>
      <c r="H168" s="183">
        <v>9773</v>
      </c>
      <c r="I168" s="183">
        <v>320</v>
      </c>
      <c r="J168" s="183">
        <v>28</v>
      </c>
      <c r="K168" s="183">
        <v>167</v>
      </c>
      <c r="L168" s="183">
        <v>132</v>
      </c>
      <c r="M168" s="183">
        <v>9525</v>
      </c>
      <c r="N168" s="183">
        <v>5029</v>
      </c>
      <c r="O168" s="183">
        <v>338</v>
      </c>
      <c r="P168" s="183">
        <v>30122</v>
      </c>
      <c r="Q168" s="183">
        <v>61</v>
      </c>
    </row>
    <row r="169" spans="1:17">
      <c r="A169" s="183" t="s">
        <v>2062</v>
      </c>
      <c r="B169" s="183" t="s">
        <v>676</v>
      </c>
      <c r="C169" s="183" t="s">
        <v>2216</v>
      </c>
      <c r="D169" s="183">
        <v>189</v>
      </c>
      <c r="E169" s="183">
        <v>196</v>
      </c>
      <c r="F169" s="183">
        <v>4067</v>
      </c>
      <c r="G169" s="183">
        <v>1368</v>
      </c>
      <c r="H169" s="183">
        <v>6384</v>
      </c>
      <c r="I169" s="183">
        <v>751</v>
      </c>
      <c r="J169" s="183">
        <v>28</v>
      </c>
      <c r="K169" s="183">
        <v>58</v>
      </c>
      <c r="L169" s="183">
        <v>56</v>
      </c>
      <c r="M169" s="183">
        <v>2021</v>
      </c>
      <c r="N169" s="183">
        <v>749</v>
      </c>
      <c r="O169" s="183">
        <v>253</v>
      </c>
      <c r="P169" s="183">
        <v>14589</v>
      </c>
      <c r="Q169" s="183">
        <v>50</v>
      </c>
    </row>
    <row r="170" spans="1:17">
      <c r="A170" s="183" t="s">
        <v>2062</v>
      </c>
      <c r="B170" s="183" t="s">
        <v>519</v>
      </c>
      <c r="C170" s="183" t="s">
        <v>2217</v>
      </c>
      <c r="D170" s="183">
        <v>50</v>
      </c>
      <c r="E170" s="183">
        <v>50</v>
      </c>
      <c r="F170" s="183">
        <v>1198</v>
      </c>
      <c r="G170" s="183">
        <v>235</v>
      </c>
      <c r="H170" s="183">
        <v>4093</v>
      </c>
      <c r="I170" s="183">
        <v>48</v>
      </c>
      <c r="J170" s="183">
        <v>28</v>
      </c>
      <c r="K170" s="183">
        <v>0</v>
      </c>
      <c r="L170" s="183">
        <v>0</v>
      </c>
      <c r="M170" s="183">
        <v>0</v>
      </c>
      <c r="N170" s="183">
        <v>4362</v>
      </c>
      <c r="O170" s="183">
        <v>50</v>
      </c>
      <c r="P170" s="183">
        <v>9888</v>
      </c>
      <c r="Q170" s="183">
        <v>197</v>
      </c>
    </row>
    <row r="171" spans="1:17">
      <c r="A171" s="183" t="s">
        <v>2078</v>
      </c>
      <c r="B171" s="183" t="s">
        <v>1393</v>
      </c>
      <c r="C171" s="183" t="s">
        <v>2218</v>
      </c>
      <c r="D171" s="183">
        <v>12</v>
      </c>
      <c r="E171" s="183">
        <v>14</v>
      </c>
      <c r="F171" s="183">
        <v>386</v>
      </c>
      <c r="G171" s="183">
        <v>0</v>
      </c>
      <c r="H171" s="183">
        <v>948</v>
      </c>
      <c r="I171" s="183">
        <v>14</v>
      </c>
      <c r="J171" s="183">
        <v>28</v>
      </c>
      <c r="K171" s="183">
        <v>0</v>
      </c>
      <c r="L171" s="183">
        <v>0</v>
      </c>
      <c r="M171" s="183">
        <v>0</v>
      </c>
      <c r="N171" s="183">
        <v>1650</v>
      </c>
      <c r="O171" s="183">
        <v>14</v>
      </c>
      <c r="P171" s="183">
        <v>2984</v>
      </c>
      <c r="Q171" s="183">
        <v>218</v>
      </c>
    </row>
    <row r="172" spans="1:17">
      <c r="A172" s="183" t="s">
        <v>2062</v>
      </c>
      <c r="B172" s="183" t="s">
        <v>642</v>
      </c>
      <c r="C172" s="183" t="s">
        <v>2219</v>
      </c>
      <c r="D172" s="183">
        <v>49</v>
      </c>
      <c r="E172" s="183">
        <v>46</v>
      </c>
      <c r="F172" s="183">
        <v>853</v>
      </c>
      <c r="G172" s="183">
        <v>465</v>
      </c>
      <c r="H172" s="183">
        <v>3650</v>
      </c>
      <c r="I172" s="183">
        <v>46</v>
      </c>
      <c r="J172" s="183">
        <v>28</v>
      </c>
      <c r="K172" s="183">
        <v>11</v>
      </c>
      <c r="L172" s="183">
        <v>8</v>
      </c>
      <c r="M172" s="183">
        <v>614</v>
      </c>
      <c r="N172" s="183">
        <v>853</v>
      </c>
      <c r="O172" s="183">
        <v>55</v>
      </c>
      <c r="P172" s="183">
        <v>6435</v>
      </c>
      <c r="Q172" s="183">
        <v>106</v>
      </c>
    </row>
    <row r="173" spans="1:17">
      <c r="A173" s="183" t="s">
        <v>2062</v>
      </c>
      <c r="B173" s="183" t="s">
        <v>852</v>
      </c>
      <c r="C173" s="183" t="s">
        <v>2220</v>
      </c>
      <c r="D173" s="183">
        <v>50</v>
      </c>
      <c r="E173" s="183">
        <v>86</v>
      </c>
      <c r="F173" s="183">
        <v>540</v>
      </c>
      <c r="G173" s="183">
        <v>1844</v>
      </c>
      <c r="H173" s="183">
        <v>0</v>
      </c>
      <c r="I173" s="183">
        <v>47</v>
      </c>
      <c r="J173" s="183">
        <v>28</v>
      </c>
      <c r="K173" s="183">
        <v>0</v>
      </c>
      <c r="L173" s="183">
        <v>0</v>
      </c>
      <c r="M173" s="183">
        <v>0</v>
      </c>
      <c r="N173" s="183">
        <v>387</v>
      </c>
      <c r="O173" s="183">
        <v>86</v>
      </c>
      <c r="P173" s="183">
        <v>2771</v>
      </c>
      <c r="Q173" s="183">
        <v>32</v>
      </c>
    </row>
    <row r="174" spans="1:17">
      <c r="A174" s="183" t="s">
        <v>2062</v>
      </c>
      <c r="B174" s="183" t="s">
        <v>608</v>
      </c>
      <c r="C174" s="183" t="s">
        <v>2221</v>
      </c>
      <c r="D174" s="183">
        <v>21</v>
      </c>
      <c r="E174" s="183">
        <v>64</v>
      </c>
      <c r="F174" s="183">
        <v>1694</v>
      </c>
      <c r="G174" s="183">
        <v>178</v>
      </c>
      <c r="H174" s="183">
        <v>1802</v>
      </c>
      <c r="I174" s="183">
        <v>37</v>
      </c>
      <c r="J174" s="183">
        <v>29</v>
      </c>
      <c r="K174" s="183">
        <v>0</v>
      </c>
      <c r="L174" s="183">
        <v>0</v>
      </c>
      <c r="M174" s="183">
        <v>0</v>
      </c>
      <c r="N174" s="183">
        <v>243</v>
      </c>
      <c r="O174" s="183">
        <v>64</v>
      </c>
      <c r="P174" s="183">
        <v>3917</v>
      </c>
      <c r="Q174" s="183">
        <v>61</v>
      </c>
    </row>
    <row r="175" spans="1:17">
      <c r="A175" s="183" t="s">
        <v>2068</v>
      </c>
      <c r="B175" s="183" t="s">
        <v>978</v>
      </c>
      <c r="C175" s="183" t="s">
        <v>2222</v>
      </c>
      <c r="D175" s="183">
        <v>21</v>
      </c>
      <c r="E175" s="183">
        <v>23</v>
      </c>
      <c r="F175" s="183">
        <v>318</v>
      </c>
      <c r="G175" s="183">
        <v>341</v>
      </c>
      <c r="H175" s="183">
        <v>2357</v>
      </c>
      <c r="I175" s="183">
        <v>36</v>
      </c>
      <c r="J175" s="183">
        <v>29</v>
      </c>
      <c r="K175" s="183">
        <v>0</v>
      </c>
      <c r="L175" s="183">
        <v>0</v>
      </c>
      <c r="M175" s="183">
        <v>0</v>
      </c>
      <c r="N175" s="183">
        <v>3421</v>
      </c>
      <c r="O175" s="183">
        <v>23</v>
      </c>
      <c r="P175" s="183">
        <v>6437</v>
      </c>
      <c r="Q175" s="183">
        <v>283</v>
      </c>
    </row>
    <row r="176" spans="1:17">
      <c r="A176" s="183" t="s">
        <v>2062</v>
      </c>
      <c r="B176" s="183" t="s">
        <v>407</v>
      </c>
      <c r="C176" s="183" t="s">
        <v>2223</v>
      </c>
      <c r="D176" s="183">
        <v>49</v>
      </c>
      <c r="E176" s="183">
        <v>58</v>
      </c>
      <c r="F176" s="183">
        <v>1640</v>
      </c>
      <c r="G176" s="183">
        <v>57</v>
      </c>
      <c r="H176" s="183">
        <v>14</v>
      </c>
      <c r="I176" s="183">
        <v>70</v>
      </c>
      <c r="J176" s="183">
        <v>29</v>
      </c>
      <c r="K176" s="183">
        <v>1</v>
      </c>
      <c r="L176" s="183">
        <v>2</v>
      </c>
      <c r="M176" s="183">
        <v>19</v>
      </c>
      <c r="N176" s="183">
        <v>215</v>
      </c>
      <c r="O176" s="183">
        <v>60</v>
      </c>
      <c r="P176" s="183">
        <v>1945</v>
      </c>
      <c r="Q176" s="183">
        <v>32</v>
      </c>
    </row>
    <row r="177" spans="1:17">
      <c r="A177" s="183" t="s">
        <v>2062</v>
      </c>
      <c r="B177" s="183" t="s">
        <v>767</v>
      </c>
      <c r="C177" s="183" t="s">
        <v>2224</v>
      </c>
      <c r="D177" s="183">
        <v>122</v>
      </c>
      <c r="E177" s="183">
        <v>118</v>
      </c>
      <c r="F177" s="183">
        <v>3370</v>
      </c>
      <c r="G177" s="183">
        <v>61</v>
      </c>
      <c r="H177" s="183">
        <v>1717</v>
      </c>
      <c r="I177" s="183">
        <v>133</v>
      </c>
      <c r="J177" s="183">
        <v>29</v>
      </c>
      <c r="K177" s="183">
        <v>21</v>
      </c>
      <c r="L177" s="183">
        <v>18</v>
      </c>
      <c r="M177" s="183">
        <v>1834</v>
      </c>
      <c r="N177" s="183">
        <v>194</v>
      </c>
      <c r="O177" s="183">
        <v>136</v>
      </c>
      <c r="P177" s="183">
        <v>7176</v>
      </c>
      <c r="Q177" s="183">
        <v>39</v>
      </c>
    </row>
    <row r="178" spans="1:17">
      <c r="A178" s="183" t="s">
        <v>2068</v>
      </c>
      <c r="B178" s="183" t="s">
        <v>956</v>
      </c>
      <c r="C178" s="183" t="s">
        <v>2225</v>
      </c>
      <c r="D178" s="183">
        <v>129</v>
      </c>
      <c r="E178" s="183">
        <v>192</v>
      </c>
      <c r="F178" s="183">
        <v>5418</v>
      </c>
      <c r="G178" s="183">
        <v>176</v>
      </c>
      <c r="H178" s="183">
        <v>9585</v>
      </c>
      <c r="I178" s="183">
        <v>1231</v>
      </c>
      <c r="J178" s="183">
        <v>29</v>
      </c>
      <c r="K178" s="183">
        <v>0</v>
      </c>
      <c r="L178" s="183">
        <v>0</v>
      </c>
      <c r="M178" s="183">
        <v>0</v>
      </c>
      <c r="N178" s="183">
        <v>10241</v>
      </c>
      <c r="O178" s="183">
        <v>192</v>
      </c>
      <c r="P178" s="183">
        <v>25420</v>
      </c>
      <c r="Q178" s="183">
        <v>132</v>
      </c>
    </row>
    <row r="179" spans="1:17">
      <c r="A179" s="183" t="s">
        <v>2062</v>
      </c>
      <c r="B179" s="183" t="s">
        <v>822</v>
      </c>
      <c r="C179" s="183" t="s">
        <v>2226</v>
      </c>
      <c r="D179" s="183">
        <v>111</v>
      </c>
      <c r="E179" s="183">
        <v>109</v>
      </c>
      <c r="F179" s="183">
        <v>3256</v>
      </c>
      <c r="G179" s="183">
        <v>31</v>
      </c>
      <c r="H179" s="183">
        <v>59</v>
      </c>
      <c r="I179" s="183">
        <v>538</v>
      </c>
      <c r="J179" s="183">
        <v>30</v>
      </c>
      <c r="K179" s="183">
        <v>3</v>
      </c>
      <c r="L179" s="183">
        <v>3</v>
      </c>
      <c r="M179" s="183">
        <v>115</v>
      </c>
      <c r="N179" s="183">
        <v>107</v>
      </c>
      <c r="O179" s="183">
        <v>112</v>
      </c>
      <c r="P179" s="183">
        <v>3568</v>
      </c>
      <c r="Q179" s="183">
        <v>31</v>
      </c>
    </row>
    <row r="180" spans="1:17">
      <c r="A180" s="183" t="s">
        <v>2062</v>
      </c>
      <c r="B180" s="183" t="s">
        <v>565</v>
      </c>
      <c r="C180" s="183" t="s">
        <v>2227</v>
      </c>
      <c r="D180" s="183">
        <v>61</v>
      </c>
      <c r="E180" s="183">
        <v>62</v>
      </c>
      <c r="F180" s="183">
        <v>1803</v>
      </c>
      <c r="G180" s="183">
        <v>36</v>
      </c>
      <c r="H180" s="183">
        <v>297</v>
      </c>
      <c r="I180" s="183">
        <v>124</v>
      </c>
      <c r="J180" s="183">
        <v>30</v>
      </c>
      <c r="K180" s="183">
        <v>0</v>
      </c>
      <c r="L180" s="183">
        <v>0</v>
      </c>
      <c r="M180" s="183">
        <v>0</v>
      </c>
      <c r="N180" s="183">
        <v>144</v>
      </c>
      <c r="O180" s="183">
        <v>62</v>
      </c>
      <c r="P180" s="183">
        <v>2280</v>
      </c>
      <c r="Q180" s="183">
        <v>37</v>
      </c>
    </row>
    <row r="181" spans="1:17">
      <c r="A181" s="183" t="s">
        <v>2062</v>
      </c>
      <c r="B181" s="183" t="s">
        <v>471</v>
      </c>
      <c r="C181" s="183" t="s">
        <v>2228</v>
      </c>
      <c r="D181" s="183">
        <v>32</v>
      </c>
      <c r="E181" s="183">
        <v>34</v>
      </c>
      <c r="F181" s="183">
        <v>1012</v>
      </c>
      <c r="G181" s="183">
        <v>1</v>
      </c>
      <c r="H181" s="183">
        <v>0</v>
      </c>
      <c r="I181" s="183">
        <v>42</v>
      </c>
      <c r="J181" s="183">
        <v>30</v>
      </c>
      <c r="K181" s="183">
        <v>0</v>
      </c>
      <c r="L181" s="183">
        <v>0</v>
      </c>
      <c r="M181" s="183">
        <v>0</v>
      </c>
      <c r="N181" s="183">
        <v>41</v>
      </c>
      <c r="O181" s="183">
        <v>34</v>
      </c>
      <c r="P181" s="183">
        <v>1054</v>
      </c>
      <c r="Q181" s="183">
        <v>31</v>
      </c>
    </row>
    <row r="182" spans="1:17">
      <c r="A182" s="183" t="s">
        <v>2078</v>
      </c>
      <c r="B182" s="183" t="s">
        <v>1468</v>
      </c>
      <c r="C182" s="183" t="s">
        <v>2229</v>
      </c>
      <c r="D182" s="183">
        <v>90</v>
      </c>
      <c r="E182" s="183">
        <v>77</v>
      </c>
      <c r="F182" s="183">
        <v>2238</v>
      </c>
      <c r="G182" s="183">
        <v>49</v>
      </c>
      <c r="H182" s="183">
        <v>7056</v>
      </c>
      <c r="I182" s="183">
        <v>127</v>
      </c>
      <c r="J182" s="183">
        <v>30</v>
      </c>
      <c r="K182" s="183">
        <v>0</v>
      </c>
      <c r="L182" s="183">
        <v>0</v>
      </c>
      <c r="M182" s="183">
        <v>0</v>
      </c>
      <c r="N182" s="183">
        <v>7263</v>
      </c>
      <c r="O182" s="183">
        <v>77</v>
      </c>
      <c r="P182" s="183">
        <v>16606</v>
      </c>
      <c r="Q182" s="183">
        <v>216</v>
      </c>
    </row>
    <row r="183" spans="1:17">
      <c r="A183" s="183" t="s">
        <v>2068</v>
      </c>
      <c r="B183" s="183" t="s">
        <v>1107</v>
      </c>
      <c r="C183" s="183" t="s">
        <v>2230</v>
      </c>
      <c r="D183" s="183">
        <v>97</v>
      </c>
      <c r="E183" s="183">
        <v>80</v>
      </c>
      <c r="F183" s="183">
        <v>68</v>
      </c>
      <c r="G183" s="183">
        <v>2309</v>
      </c>
      <c r="H183" s="183">
        <v>9959</v>
      </c>
      <c r="I183" s="183">
        <v>95</v>
      </c>
      <c r="J183" s="183">
        <v>30</v>
      </c>
      <c r="K183" s="183">
        <v>0</v>
      </c>
      <c r="L183" s="183">
        <v>0</v>
      </c>
      <c r="M183" s="183">
        <v>0</v>
      </c>
      <c r="N183" s="183">
        <v>3382</v>
      </c>
      <c r="O183" s="183">
        <v>80</v>
      </c>
      <c r="P183" s="183">
        <v>15718</v>
      </c>
      <c r="Q183" s="183">
        <v>197</v>
      </c>
    </row>
    <row r="184" spans="1:17">
      <c r="A184" s="183" t="s">
        <v>2062</v>
      </c>
      <c r="B184" s="183" t="s">
        <v>858</v>
      </c>
      <c r="C184" s="183" t="s">
        <v>2231</v>
      </c>
      <c r="D184" s="183">
        <v>136</v>
      </c>
      <c r="E184" s="183">
        <v>119</v>
      </c>
      <c r="F184" s="183">
        <v>3416</v>
      </c>
      <c r="G184" s="183">
        <v>171</v>
      </c>
      <c r="H184" s="183">
        <v>5247</v>
      </c>
      <c r="I184" s="183">
        <v>358</v>
      </c>
      <c r="J184" s="183">
        <v>30</v>
      </c>
      <c r="K184" s="183">
        <v>0</v>
      </c>
      <c r="L184" s="183">
        <v>0</v>
      </c>
      <c r="M184" s="183">
        <v>0</v>
      </c>
      <c r="N184" s="183">
        <v>1309</v>
      </c>
      <c r="O184" s="183">
        <v>119</v>
      </c>
      <c r="P184" s="183">
        <v>10143</v>
      </c>
      <c r="Q184" s="183">
        <v>85</v>
      </c>
    </row>
    <row r="185" spans="1:17">
      <c r="A185" s="183" t="s">
        <v>2078</v>
      </c>
      <c r="B185" s="183" t="s">
        <v>1429</v>
      </c>
      <c r="C185" s="183" t="s">
        <v>2232</v>
      </c>
      <c r="D185" s="183">
        <v>23</v>
      </c>
      <c r="E185" s="183">
        <v>23</v>
      </c>
      <c r="F185" s="183">
        <v>676</v>
      </c>
      <c r="G185" s="183">
        <v>23</v>
      </c>
      <c r="H185" s="183">
        <v>980</v>
      </c>
      <c r="I185" s="183">
        <v>26</v>
      </c>
      <c r="J185" s="183">
        <v>30</v>
      </c>
      <c r="K185" s="183">
        <v>0</v>
      </c>
      <c r="L185" s="183">
        <v>0</v>
      </c>
      <c r="M185" s="183">
        <v>0</v>
      </c>
      <c r="N185" s="183">
        <v>0</v>
      </c>
      <c r="O185" s="183">
        <v>23</v>
      </c>
      <c r="P185" s="183">
        <v>1679</v>
      </c>
      <c r="Q185" s="183">
        <v>73</v>
      </c>
    </row>
    <row r="186" spans="1:17">
      <c r="A186" s="183" t="s">
        <v>2062</v>
      </c>
      <c r="B186" s="183" t="s">
        <v>66</v>
      </c>
      <c r="C186" s="183" t="s">
        <v>2233</v>
      </c>
      <c r="D186" s="183">
        <v>11</v>
      </c>
      <c r="E186" s="183">
        <v>15</v>
      </c>
      <c r="F186" s="183">
        <v>333</v>
      </c>
      <c r="G186" s="183">
        <v>130</v>
      </c>
      <c r="H186" s="183">
        <v>4204</v>
      </c>
      <c r="I186" s="183">
        <v>77</v>
      </c>
      <c r="J186" s="183">
        <v>30</v>
      </c>
      <c r="K186" s="183">
        <v>0</v>
      </c>
      <c r="L186" s="183">
        <v>0</v>
      </c>
      <c r="M186" s="183">
        <v>0</v>
      </c>
      <c r="N186" s="183">
        <v>0</v>
      </c>
      <c r="O186" s="183">
        <v>15</v>
      </c>
      <c r="P186" s="183">
        <v>4667</v>
      </c>
      <c r="Q186" s="183">
        <v>305</v>
      </c>
    </row>
    <row r="187" spans="1:17">
      <c r="A187" s="183" t="s">
        <v>2062</v>
      </c>
      <c r="B187" s="183" t="s">
        <v>441</v>
      </c>
      <c r="C187" s="183" t="s">
        <v>2234</v>
      </c>
      <c r="D187" s="183">
        <v>28</v>
      </c>
      <c r="E187" s="183">
        <v>34</v>
      </c>
      <c r="F187" s="183">
        <v>1050</v>
      </c>
      <c r="G187" s="183">
        <v>8</v>
      </c>
      <c r="H187" s="183">
        <v>11</v>
      </c>
      <c r="I187" s="183">
        <v>50</v>
      </c>
      <c r="J187" s="183">
        <v>31</v>
      </c>
      <c r="K187" s="183">
        <v>0</v>
      </c>
      <c r="L187" s="183">
        <v>0</v>
      </c>
      <c r="M187" s="183">
        <v>0</v>
      </c>
      <c r="N187" s="183">
        <v>4</v>
      </c>
      <c r="O187" s="183">
        <v>34</v>
      </c>
      <c r="P187" s="183">
        <v>1073</v>
      </c>
      <c r="Q187" s="183">
        <v>32</v>
      </c>
    </row>
    <row r="188" spans="1:17">
      <c r="A188" s="183" t="s">
        <v>2062</v>
      </c>
      <c r="B188" s="183" t="s">
        <v>365</v>
      </c>
      <c r="C188" s="183" t="s">
        <v>2235</v>
      </c>
      <c r="D188" s="183">
        <v>111</v>
      </c>
      <c r="E188" s="183">
        <v>114</v>
      </c>
      <c r="F188" s="183">
        <v>3499</v>
      </c>
      <c r="G188" s="183">
        <v>50</v>
      </c>
      <c r="H188" s="183">
        <v>8</v>
      </c>
      <c r="I188" s="183">
        <v>186</v>
      </c>
      <c r="J188" s="183">
        <v>31</v>
      </c>
      <c r="K188" s="183">
        <v>70</v>
      </c>
      <c r="L188" s="183">
        <v>56</v>
      </c>
      <c r="M188" s="183">
        <v>4121</v>
      </c>
      <c r="N188" s="183">
        <v>3154</v>
      </c>
      <c r="O188" s="183">
        <v>170</v>
      </c>
      <c r="P188" s="183">
        <v>10832</v>
      </c>
      <c r="Q188" s="183">
        <v>39</v>
      </c>
    </row>
    <row r="189" spans="1:17">
      <c r="A189" s="183" t="s">
        <v>2068</v>
      </c>
      <c r="B189" s="183" t="s">
        <v>1287</v>
      </c>
      <c r="C189" s="183" t="s">
        <v>2236</v>
      </c>
      <c r="D189" s="183">
        <v>109</v>
      </c>
      <c r="E189" s="183">
        <v>58</v>
      </c>
      <c r="F189" s="183">
        <v>1682</v>
      </c>
      <c r="G189" s="183">
        <v>127</v>
      </c>
      <c r="H189" s="183">
        <v>0</v>
      </c>
      <c r="I189" s="183">
        <v>137</v>
      </c>
      <c r="J189" s="183">
        <v>31</v>
      </c>
      <c r="K189" s="183">
        <v>0</v>
      </c>
      <c r="L189" s="183">
        <v>0</v>
      </c>
      <c r="M189" s="183">
        <v>0</v>
      </c>
      <c r="N189" s="183">
        <v>12177</v>
      </c>
      <c r="O189" s="183">
        <v>58</v>
      </c>
      <c r="P189" s="183">
        <v>13986</v>
      </c>
      <c r="Q189" s="183">
        <v>240</v>
      </c>
    </row>
    <row r="190" spans="1:17">
      <c r="A190" s="183" t="s">
        <v>2062</v>
      </c>
      <c r="B190" s="183" t="s">
        <v>797</v>
      </c>
      <c r="C190" s="183" t="s">
        <v>2237</v>
      </c>
      <c r="D190" s="183">
        <v>80</v>
      </c>
      <c r="E190" s="183">
        <v>80</v>
      </c>
      <c r="F190" s="183">
        <v>2418</v>
      </c>
      <c r="G190" s="183">
        <v>36</v>
      </c>
      <c r="H190" s="183">
        <v>0</v>
      </c>
      <c r="I190" s="183">
        <v>178</v>
      </c>
      <c r="J190" s="183">
        <v>31</v>
      </c>
      <c r="K190" s="183">
        <v>3</v>
      </c>
      <c r="L190" s="183">
        <v>2</v>
      </c>
      <c r="M190" s="183">
        <v>0</v>
      </c>
      <c r="N190" s="183">
        <v>3</v>
      </c>
      <c r="O190" s="183">
        <v>83</v>
      </c>
      <c r="P190" s="183">
        <v>2457</v>
      </c>
      <c r="Q190" s="183">
        <v>30</v>
      </c>
    </row>
    <row r="191" spans="1:17">
      <c r="A191" s="183" t="s">
        <v>2068</v>
      </c>
      <c r="B191" s="183" t="s">
        <v>1279</v>
      </c>
      <c r="C191" s="183" t="s">
        <v>2238</v>
      </c>
      <c r="D191" s="183">
        <v>67</v>
      </c>
      <c r="E191" s="183">
        <v>58</v>
      </c>
      <c r="F191" s="183">
        <v>1809</v>
      </c>
      <c r="G191" s="183">
        <v>0</v>
      </c>
      <c r="H191" s="183">
        <v>4564</v>
      </c>
      <c r="I191" s="183">
        <v>74</v>
      </c>
      <c r="J191" s="183">
        <v>31</v>
      </c>
      <c r="K191" s="183">
        <v>0</v>
      </c>
      <c r="L191" s="183">
        <v>0</v>
      </c>
      <c r="M191" s="183">
        <v>0</v>
      </c>
      <c r="N191" s="183">
        <v>290</v>
      </c>
      <c r="O191" s="183">
        <v>58</v>
      </c>
      <c r="P191" s="183">
        <v>6663</v>
      </c>
      <c r="Q191" s="183">
        <v>114</v>
      </c>
    </row>
    <row r="192" spans="1:17">
      <c r="A192" s="183" t="s">
        <v>2062</v>
      </c>
      <c r="B192" s="183" t="s">
        <v>401</v>
      </c>
      <c r="C192" s="183" t="s">
        <v>2239</v>
      </c>
      <c r="D192" s="183">
        <v>72</v>
      </c>
      <c r="E192" s="183">
        <v>65</v>
      </c>
      <c r="F192" s="183">
        <v>1950</v>
      </c>
      <c r="G192" s="183">
        <v>57</v>
      </c>
      <c r="H192" s="183">
        <v>0</v>
      </c>
      <c r="I192" s="183">
        <v>105</v>
      </c>
      <c r="J192" s="183">
        <v>31</v>
      </c>
      <c r="K192" s="183">
        <v>7</v>
      </c>
      <c r="L192" s="183">
        <v>8</v>
      </c>
      <c r="M192" s="183">
        <v>376</v>
      </c>
      <c r="N192" s="183">
        <v>12959</v>
      </c>
      <c r="O192" s="183">
        <v>72</v>
      </c>
      <c r="P192" s="183">
        <v>15342</v>
      </c>
      <c r="Q192" s="183">
        <v>207</v>
      </c>
    </row>
    <row r="193" spans="1:17">
      <c r="A193" s="183" t="s">
        <v>2062</v>
      </c>
      <c r="B193" s="183" t="s">
        <v>429</v>
      </c>
      <c r="C193" s="183" t="s">
        <v>2240</v>
      </c>
      <c r="D193" s="183">
        <v>38</v>
      </c>
      <c r="E193" s="183">
        <v>51</v>
      </c>
      <c r="F193" s="183">
        <v>1626</v>
      </c>
      <c r="G193" s="183">
        <v>24</v>
      </c>
      <c r="H193" s="183">
        <v>166</v>
      </c>
      <c r="I193" s="183">
        <v>45</v>
      </c>
      <c r="J193" s="183">
        <v>32</v>
      </c>
      <c r="K193" s="183">
        <v>1</v>
      </c>
      <c r="L193" s="183">
        <v>1</v>
      </c>
      <c r="M193" s="183">
        <v>66</v>
      </c>
      <c r="N193" s="183">
        <v>99</v>
      </c>
      <c r="O193" s="183">
        <v>53</v>
      </c>
      <c r="P193" s="183">
        <v>1981</v>
      </c>
      <c r="Q193" s="183">
        <v>36</v>
      </c>
    </row>
    <row r="194" spans="1:17">
      <c r="A194" s="183" t="s">
        <v>2078</v>
      </c>
      <c r="B194" s="183" t="s">
        <v>1581</v>
      </c>
      <c r="C194" s="183" t="s">
        <v>2241</v>
      </c>
      <c r="D194" s="183">
        <v>105</v>
      </c>
      <c r="E194" s="183">
        <v>42</v>
      </c>
      <c r="F194" s="183">
        <v>1301</v>
      </c>
      <c r="G194" s="183">
        <v>44</v>
      </c>
      <c r="H194" s="183">
        <v>5700</v>
      </c>
      <c r="I194" s="183">
        <v>285</v>
      </c>
      <c r="J194" s="183">
        <v>32</v>
      </c>
      <c r="K194" s="183">
        <v>0</v>
      </c>
      <c r="L194" s="183">
        <v>0</v>
      </c>
      <c r="M194" s="183">
        <v>0</v>
      </c>
      <c r="N194" s="183">
        <v>423</v>
      </c>
      <c r="O194" s="183">
        <v>42</v>
      </c>
      <c r="P194" s="183">
        <v>7468</v>
      </c>
      <c r="Q194" s="183">
        <v>178</v>
      </c>
    </row>
    <row r="195" spans="1:17">
      <c r="A195" s="183" t="s">
        <v>2078</v>
      </c>
      <c r="B195" s="183" t="s">
        <v>1561</v>
      </c>
      <c r="C195" s="183" t="s">
        <v>2242</v>
      </c>
      <c r="D195" s="183">
        <v>157</v>
      </c>
      <c r="E195" s="183">
        <v>139</v>
      </c>
      <c r="F195" s="183">
        <v>4229</v>
      </c>
      <c r="G195" s="183">
        <v>184</v>
      </c>
      <c r="H195" s="183">
        <v>18727</v>
      </c>
      <c r="I195" s="183">
        <v>627</v>
      </c>
      <c r="J195" s="183">
        <v>32</v>
      </c>
      <c r="K195" s="183">
        <v>0</v>
      </c>
      <c r="L195" s="183">
        <v>0</v>
      </c>
      <c r="M195" s="183">
        <v>0</v>
      </c>
      <c r="N195" s="183">
        <v>3685</v>
      </c>
      <c r="O195" s="183">
        <v>139</v>
      </c>
      <c r="P195" s="183">
        <v>26825</v>
      </c>
      <c r="Q195" s="183">
        <v>193</v>
      </c>
    </row>
    <row r="196" spans="1:17">
      <c r="A196" s="183" t="s">
        <v>2062</v>
      </c>
      <c r="B196" s="183" t="s">
        <v>1779</v>
      </c>
      <c r="C196" s="183" t="s">
        <v>2243</v>
      </c>
      <c r="D196" s="183">
        <v>185</v>
      </c>
      <c r="E196" s="183">
        <v>188</v>
      </c>
      <c r="F196" s="183">
        <v>4934</v>
      </c>
      <c r="G196" s="183">
        <v>1131</v>
      </c>
      <c r="H196" s="183">
        <v>18091</v>
      </c>
      <c r="I196" s="183">
        <v>561</v>
      </c>
      <c r="J196" s="183">
        <v>32</v>
      </c>
      <c r="K196" s="183">
        <v>0</v>
      </c>
      <c r="L196" s="183">
        <v>0</v>
      </c>
      <c r="M196" s="183">
        <v>0</v>
      </c>
      <c r="N196" s="183">
        <v>17958</v>
      </c>
      <c r="O196" s="183">
        <v>188</v>
      </c>
      <c r="P196" s="183">
        <v>42114</v>
      </c>
      <c r="Q196" s="183">
        <v>224</v>
      </c>
    </row>
    <row r="197" spans="1:17">
      <c r="A197" s="183" t="s">
        <v>2062</v>
      </c>
      <c r="B197" s="183" t="s">
        <v>826</v>
      </c>
      <c r="C197" s="183" t="s">
        <v>2244</v>
      </c>
      <c r="D197" s="183">
        <v>141</v>
      </c>
      <c r="E197" s="183">
        <v>98</v>
      </c>
      <c r="F197" s="183">
        <v>3034</v>
      </c>
      <c r="G197" s="183">
        <v>65</v>
      </c>
      <c r="H197" s="183">
        <v>4328</v>
      </c>
      <c r="I197" s="183">
        <v>173</v>
      </c>
      <c r="J197" s="183">
        <v>32</v>
      </c>
      <c r="K197" s="183">
        <v>7</v>
      </c>
      <c r="L197" s="183">
        <v>7</v>
      </c>
      <c r="M197" s="183">
        <v>124</v>
      </c>
      <c r="N197" s="183">
        <v>0</v>
      </c>
      <c r="O197" s="183">
        <v>105</v>
      </c>
      <c r="P197" s="183">
        <v>7551</v>
      </c>
      <c r="Q197" s="183">
        <v>71</v>
      </c>
    </row>
    <row r="198" spans="1:17">
      <c r="A198" s="183" t="s">
        <v>2078</v>
      </c>
      <c r="B198" s="183" t="s">
        <v>1386</v>
      </c>
      <c r="C198" s="183" t="s">
        <v>2245</v>
      </c>
      <c r="D198" s="183">
        <v>39</v>
      </c>
      <c r="E198" s="183">
        <v>47</v>
      </c>
      <c r="F198" s="183">
        <v>1442</v>
      </c>
      <c r="G198" s="183">
        <v>54</v>
      </c>
      <c r="H198" s="183">
        <v>2523</v>
      </c>
      <c r="I198" s="183">
        <v>104</v>
      </c>
      <c r="J198" s="183">
        <v>32</v>
      </c>
      <c r="K198" s="183">
        <v>0</v>
      </c>
      <c r="L198" s="183">
        <v>0</v>
      </c>
      <c r="M198" s="183">
        <v>0</v>
      </c>
      <c r="N198" s="183">
        <v>1262</v>
      </c>
      <c r="O198" s="183">
        <v>47</v>
      </c>
      <c r="P198" s="183">
        <v>5281</v>
      </c>
      <c r="Q198" s="183">
        <v>113</v>
      </c>
    </row>
    <row r="199" spans="1:17">
      <c r="A199" s="183" t="s">
        <v>2062</v>
      </c>
      <c r="B199" s="183" t="s">
        <v>674</v>
      </c>
      <c r="C199" s="183" t="s">
        <v>2246</v>
      </c>
      <c r="D199" s="183">
        <v>58</v>
      </c>
      <c r="E199" s="183">
        <v>68</v>
      </c>
      <c r="F199" s="183">
        <v>2153</v>
      </c>
      <c r="G199" s="183">
        <v>5</v>
      </c>
      <c r="H199" s="183">
        <v>3240</v>
      </c>
      <c r="I199" s="183">
        <v>92</v>
      </c>
      <c r="J199" s="183">
        <v>32</v>
      </c>
      <c r="K199" s="183">
        <v>20</v>
      </c>
      <c r="L199" s="183">
        <v>17</v>
      </c>
      <c r="M199" s="183">
        <v>845</v>
      </c>
      <c r="N199" s="183">
        <v>8587</v>
      </c>
      <c r="O199" s="183">
        <v>85</v>
      </c>
      <c r="P199" s="183">
        <v>14830</v>
      </c>
      <c r="Q199" s="183">
        <v>165</v>
      </c>
    </row>
    <row r="200" spans="1:17">
      <c r="A200" s="183" t="s">
        <v>2062</v>
      </c>
      <c r="B200" s="183" t="s">
        <v>261</v>
      </c>
      <c r="C200" s="183" t="s">
        <v>1979</v>
      </c>
      <c r="D200" s="183">
        <v>13</v>
      </c>
      <c r="E200" s="183">
        <v>12</v>
      </c>
      <c r="F200" s="183">
        <v>356</v>
      </c>
      <c r="G200" s="183">
        <v>26</v>
      </c>
      <c r="H200" s="183">
        <v>0</v>
      </c>
      <c r="I200" s="183">
        <v>6</v>
      </c>
      <c r="J200" s="183">
        <v>32</v>
      </c>
      <c r="K200" s="183">
        <v>4</v>
      </c>
      <c r="L200" s="183">
        <v>2</v>
      </c>
      <c r="M200" s="183">
        <v>4030</v>
      </c>
      <c r="N200" s="183">
        <v>0</v>
      </c>
      <c r="O200" s="183">
        <v>14</v>
      </c>
      <c r="P200" s="183">
        <v>4412</v>
      </c>
      <c r="Q200" s="183">
        <v>28</v>
      </c>
    </row>
    <row r="201" spans="1:17">
      <c r="A201" s="183" t="s">
        <v>2062</v>
      </c>
      <c r="B201" s="183" t="s">
        <v>723</v>
      </c>
      <c r="C201" s="183" t="s">
        <v>2247</v>
      </c>
      <c r="D201" s="183">
        <v>35</v>
      </c>
      <c r="E201" s="183">
        <v>39</v>
      </c>
      <c r="F201" s="183">
        <v>1244</v>
      </c>
      <c r="G201" s="183">
        <v>15</v>
      </c>
      <c r="H201" s="183">
        <v>1701</v>
      </c>
      <c r="I201" s="183">
        <v>91</v>
      </c>
      <c r="J201" s="183">
        <v>33</v>
      </c>
      <c r="K201" s="183">
        <v>0</v>
      </c>
      <c r="L201" s="183">
        <v>0</v>
      </c>
      <c r="M201" s="183">
        <v>54</v>
      </c>
      <c r="N201" s="183">
        <v>1482</v>
      </c>
      <c r="O201" s="183">
        <v>39</v>
      </c>
      <c r="P201" s="183">
        <v>4496</v>
      </c>
      <c r="Q201" s="183">
        <v>114</v>
      </c>
    </row>
    <row r="202" spans="1:17">
      <c r="A202" s="183" t="s">
        <v>2062</v>
      </c>
      <c r="B202" s="183" t="s">
        <v>1679</v>
      </c>
      <c r="C202" s="183" t="s">
        <v>2248</v>
      </c>
      <c r="D202" s="183">
        <v>24</v>
      </c>
      <c r="E202" s="183">
        <v>27</v>
      </c>
      <c r="F202" s="183">
        <v>884</v>
      </c>
      <c r="G202" s="183">
        <v>10</v>
      </c>
      <c r="H202" s="183">
        <v>1200</v>
      </c>
      <c r="I202" s="183">
        <v>21</v>
      </c>
      <c r="J202" s="183">
        <v>33</v>
      </c>
      <c r="K202" s="183">
        <v>0</v>
      </c>
      <c r="L202" s="183">
        <v>0</v>
      </c>
      <c r="M202" s="183">
        <v>0</v>
      </c>
      <c r="N202" s="183">
        <v>1739</v>
      </c>
      <c r="O202" s="183">
        <v>27</v>
      </c>
      <c r="P202" s="183">
        <v>3833</v>
      </c>
      <c r="Q202" s="183">
        <v>142</v>
      </c>
    </row>
    <row r="203" spans="1:17">
      <c r="A203" s="183" t="s">
        <v>2062</v>
      </c>
      <c r="B203" s="183" t="s">
        <v>325</v>
      </c>
      <c r="C203" s="183" t="s">
        <v>2249</v>
      </c>
      <c r="D203" s="183">
        <v>36</v>
      </c>
      <c r="E203" s="183">
        <v>50</v>
      </c>
      <c r="F203" s="183">
        <v>1650</v>
      </c>
      <c r="G203" s="183">
        <v>1</v>
      </c>
      <c r="H203" s="183">
        <v>2622</v>
      </c>
      <c r="I203" s="183">
        <v>66</v>
      </c>
      <c r="J203" s="183">
        <v>33</v>
      </c>
      <c r="K203" s="183">
        <v>8</v>
      </c>
      <c r="L203" s="183">
        <v>7</v>
      </c>
      <c r="M203" s="183">
        <v>926</v>
      </c>
      <c r="N203" s="183">
        <v>4206</v>
      </c>
      <c r="O203" s="183">
        <v>56</v>
      </c>
      <c r="P203" s="183">
        <v>9405</v>
      </c>
      <c r="Q203" s="183">
        <v>151</v>
      </c>
    </row>
    <row r="204" spans="1:17">
      <c r="A204" s="183" t="s">
        <v>2062</v>
      </c>
      <c r="B204" s="183" t="s">
        <v>752</v>
      </c>
      <c r="C204" s="183" t="s">
        <v>2250</v>
      </c>
      <c r="D204" s="183">
        <v>114</v>
      </c>
      <c r="E204" s="183">
        <v>126</v>
      </c>
      <c r="F204" s="183">
        <v>4126</v>
      </c>
      <c r="G204" s="183">
        <v>59</v>
      </c>
      <c r="H204" s="183">
        <v>1722</v>
      </c>
      <c r="I204" s="183">
        <v>710</v>
      </c>
      <c r="J204" s="183">
        <v>33</v>
      </c>
      <c r="K204" s="183">
        <v>9</v>
      </c>
      <c r="L204" s="183">
        <v>15</v>
      </c>
      <c r="M204" s="183">
        <v>773</v>
      </c>
      <c r="N204" s="183">
        <v>5</v>
      </c>
      <c r="O204" s="183">
        <v>141</v>
      </c>
      <c r="P204" s="183">
        <v>6685</v>
      </c>
      <c r="Q204" s="183">
        <v>42</v>
      </c>
    </row>
    <row r="205" spans="1:17">
      <c r="A205" s="183" t="s">
        <v>2068</v>
      </c>
      <c r="B205" s="183" t="s">
        <v>1766</v>
      </c>
      <c r="C205" s="183" t="s">
        <v>2251</v>
      </c>
      <c r="D205" s="183">
        <v>54</v>
      </c>
      <c r="E205" s="183">
        <v>57</v>
      </c>
      <c r="F205" s="183">
        <v>1788</v>
      </c>
      <c r="G205" s="183">
        <v>72</v>
      </c>
      <c r="H205" s="183">
        <v>531</v>
      </c>
      <c r="I205" s="183">
        <v>47</v>
      </c>
      <c r="J205" s="183">
        <v>33</v>
      </c>
      <c r="K205" s="183">
        <v>0</v>
      </c>
      <c r="L205" s="183">
        <v>0</v>
      </c>
      <c r="M205" s="183">
        <v>0</v>
      </c>
      <c r="N205" s="183">
        <v>277</v>
      </c>
      <c r="O205" s="183">
        <v>57</v>
      </c>
      <c r="P205" s="183">
        <v>2668</v>
      </c>
      <c r="Q205" s="183">
        <v>47</v>
      </c>
    </row>
    <row r="206" spans="1:17">
      <c r="A206" s="183" t="s">
        <v>2078</v>
      </c>
      <c r="B206" s="183" t="s">
        <v>1518</v>
      </c>
      <c r="C206" s="183" t="s">
        <v>2252</v>
      </c>
      <c r="D206" s="183">
        <v>48</v>
      </c>
      <c r="E206" s="183">
        <v>51</v>
      </c>
      <c r="F206" s="183">
        <v>1687</v>
      </c>
      <c r="G206" s="183">
        <v>14</v>
      </c>
      <c r="H206" s="183">
        <v>852</v>
      </c>
      <c r="I206" s="183">
        <v>85</v>
      </c>
      <c r="J206" s="183">
        <v>33</v>
      </c>
      <c r="K206" s="183">
        <v>0</v>
      </c>
      <c r="L206" s="183">
        <v>0</v>
      </c>
      <c r="M206" s="183">
        <v>0</v>
      </c>
      <c r="N206" s="183">
        <v>944</v>
      </c>
      <c r="O206" s="183">
        <v>51</v>
      </c>
      <c r="P206" s="183">
        <v>3497</v>
      </c>
      <c r="Q206" s="183">
        <v>68</v>
      </c>
    </row>
    <row r="207" spans="1:17">
      <c r="A207" s="183" t="s">
        <v>2062</v>
      </c>
      <c r="B207" s="183" t="s">
        <v>803</v>
      </c>
      <c r="C207" s="183" t="s">
        <v>2253</v>
      </c>
      <c r="D207" s="183">
        <v>55</v>
      </c>
      <c r="E207" s="183">
        <v>59</v>
      </c>
      <c r="F207" s="183">
        <v>1403</v>
      </c>
      <c r="G207" s="183">
        <v>546</v>
      </c>
      <c r="H207" s="183">
        <v>5248</v>
      </c>
      <c r="I207" s="183">
        <v>68</v>
      </c>
      <c r="J207" s="183">
        <v>33</v>
      </c>
      <c r="K207" s="183">
        <v>0</v>
      </c>
      <c r="L207" s="183">
        <v>0</v>
      </c>
      <c r="M207" s="183">
        <v>0</v>
      </c>
      <c r="N207" s="183">
        <v>4467</v>
      </c>
      <c r="O207" s="183">
        <v>59</v>
      </c>
      <c r="P207" s="183">
        <v>11664</v>
      </c>
      <c r="Q207" s="183">
        <v>198</v>
      </c>
    </row>
    <row r="208" spans="1:17">
      <c r="A208" s="183" t="s">
        <v>2078</v>
      </c>
      <c r="B208" s="183" t="s">
        <v>1437</v>
      </c>
      <c r="C208" s="183" t="s">
        <v>2254</v>
      </c>
      <c r="D208" s="183">
        <v>34</v>
      </c>
      <c r="E208" s="183">
        <v>42</v>
      </c>
      <c r="F208" s="183">
        <v>1374</v>
      </c>
      <c r="G208" s="183">
        <v>8</v>
      </c>
      <c r="H208" s="183">
        <v>220</v>
      </c>
      <c r="I208" s="183">
        <v>52</v>
      </c>
      <c r="J208" s="183">
        <v>33</v>
      </c>
      <c r="K208" s="183">
        <v>0</v>
      </c>
      <c r="L208" s="183">
        <v>0</v>
      </c>
      <c r="M208" s="183">
        <v>0</v>
      </c>
      <c r="N208" s="183">
        <v>112</v>
      </c>
      <c r="O208" s="183">
        <v>42</v>
      </c>
      <c r="P208" s="183">
        <v>1714</v>
      </c>
      <c r="Q208" s="183">
        <v>41</v>
      </c>
    </row>
    <row r="209" spans="1:17">
      <c r="A209" s="183" t="s">
        <v>2078</v>
      </c>
      <c r="B209" s="183" t="s">
        <v>1546</v>
      </c>
      <c r="C209" s="183" t="s">
        <v>2255</v>
      </c>
      <c r="D209" s="183">
        <v>79</v>
      </c>
      <c r="E209" s="183">
        <v>64</v>
      </c>
      <c r="F209" s="183">
        <v>2046</v>
      </c>
      <c r="G209" s="183">
        <v>42</v>
      </c>
      <c r="H209" s="183">
        <v>2304</v>
      </c>
      <c r="I209" s="183">
        <v>84</v>
      </c>
      <c r="J209" s="183">
        <v>33</v>
      </c>
      <c r="K209" s="183">
        <v>0</v>
      </c>
      <c r="L209" s="183">
        <v>0</v>
      </c>
      <c r="M209" s="183">
        <v>0</v>
      </c>
      <c r="N209" s="183">
        <v>10</v>
      </c>
      <c r="O209" s="183">
        <v>64</v>
      </c>
      <c r="P209" s="183">
        <v>4402</v>
      </c>
      <c r="Q209" s="183">
        <v>69</v>
      </c>
    </row>
    <row r="210" spans="1:17">
      <c r="A210" s="183" t="s">
        <v>2078</v>
      </c>
      <c r="B210" s="183" t="s">
        <v>1391</v>
      </c>
      <c r="C210" s="183" t="s">
        <v>2256</v>
      </c>
      <c r="D210" s="183">
        <v>80</v>
      </c>
      <c r="E210" s="183">
        <v>75</v>
      </c>
      <c r="F210" s="183">
        <v>2466</v>
      </c>
      <c r="G210" s="183">
        <v>31</v>
      </c>
      <c r="H210" s="183">
        <v>6192</v>
      </c>
      <c r="I210" s="183">
        <v>115</v>
      </c>
      <c r="J210" s="183">
        <v>33</v>
      </c>
      <c r="K210" s="183">
        <v>0</v>
      </c>
      <c r="L210" s="183">
        <v>0</v>
      </c>
      <c r="M210" s="183">
        <v>0</v>
      </c>
      <c r="N210" s="183">
        <v>1523</v>
      </c>
      <c r="O210" s="183">
        <v>75</v>
      </c>
      <c r="P210" s="183">
        <v>10212</v>
      </c>
      <c r="Q210" s="183">
        <v>135</v>
      </c>
    </row>
    <row r="211" spans="1:17">
      <c r="A211" s="183" t="s">
        <v>2062</v>
      </c>
      <c r="B211" s="183" t="s">
        <v>830</v>
      </c>
      <c r="C211" s="183" t="s">
        <v>829</v>
      </c>
      <c r="D211" s="183">
        <v>40</v>
      </c>
      <c r="E211" s="183">
        <v>22</v>
      </c>
      <c r="F211" s="183">
        <v>705</v>
      </c>
      <c r="G211" s="183">
        <v>6</v>
      </c>
      <c r="H211" s="183">
        <v>1250</v>
      </c>
      <c r="I211" s="183">
        <v>33</v>
      </c>
      <c r="J211" s="183">
        <v>33</v>
      </c>
      <c r="K211" s="183">
        <v>1</v>
      </c>
      <c r="L211" s="183">
        <v>0</v>
      </c>
      <c r="M211" s="183">
        <v>839</v>
      </c>
      <c r="N211" s="183">
        <v>475</v>
      </c>
      <c r="O211" s="183">
        <v>22</v>
      </c>
      <c r="P211" s="183">
        <v>3275</v>
      </c>
      <c r="Q211" s="183">
        <v>110</v>
      </c>
    </row>
    <row r="212" spans="1:17">
      <c r="A212" s="183" t="s">
        <v>2062</v>
      </c>
      <c r="B212" s="183" t="s">
        <v>874</v>
      </c>
      <c r="C212" s="183" t="s">
        <v>2257</v>
      </c>
      <c r="D212" s="183">
        <v>107</v>
      </c>
      <c r="E212" s="183">
        <v>78</v>
      </c>
      <c r="F212" s="183">
        <v>818</v>
      </c>
      <c r="G212" s="183">
        <v>1785</v>
      </c>
      <c r="H212" s="183">
        <v>0</v>
      </c>
      <c r="I212" s="183">
        <v>47</v>
      </c>
      <c r="J212" s="183">
        <v>33</v>
      </c>
      <c r="K212" s="183">
        <v>0</v>
      </c>
      <c r="L212" s="183">
        <v>0</v>
      </c>
      <c r="M212" s="183">
        <v>0</v>
      </c>
      <c r="N212" s="183">
        <v>260</v>
      </c>
      <c r="O212" s="183">
        <v>78</v>
      </c>
      <c r="P212" s="183">
        <v>2863</v>
      </c>
      <c r="Q212" s="183">
        <v>37</v>
      </c>
    </row>
    <row r="213" spans="1:17">
      <c r="A213" s="183" t="s">
        <v>2068</v>
      </c>
      <c r="B213" s="183" t="s">
        <v>1036</v>
      </c>
      <c r="C213" s="183" t="s">
        <v>1937</v>
      </c>
      <c r="D213" s="183">
        <v>18</v>
      </c>
      <c r="E213" s="183">
        <v>23</v>
      </c>
      <c r="F213" s="183">
        <v>618</v>
      </c>
      <c r="G213" s="183">
        <v>159</v>
      </c>
      <c r="H213" s="183">
        <v>800</v>
      </c>
      <c r="I213" s="183">
        <v>15</v>
      </c>
      <c r="J213" s="183">
        <v>33</v>
      </c>
      <c r="K213" s="183">
        <v>0</v>
      </c>
      <c r="L213" s="183">
        <v>0</v>
      </c>
      <c r="M213" s="183">
        <v>0</v>
      </c>
      <c r="N213" s="183">
        <v>5070</v>
      </c>
      <c r="O213" s="183">
        <v>23</v>
      </c>
      <c r="P213" s="183">
        <v>6647</v>
      </c>
      <c r="Q213" s="183">
        <v>284</v>
      </c>
    </row>
    <row r="214" spans="1:17">
      <c r="A214" s="183" t="s">
        <v>2068</v>
      </c>
      <c r="B214" s="183" t="s">
        <v>1202</v>
      </c>
      <c r="C214" s="183" t="s">
        <v>1987</v>
      </c>
      <c r="D214" s="183">
        <v>17</v>
      </c>
      <c r="E214" s="183">
        <v>30</v>
      </c>
      <c r="F214" s="183">
        <v>913</v>
      </c>
      <c r="G214" s="183">
        <v>65</v>
      </c>
      <c r="H214" s="183">
        <v>780</v>
      </c>
      <c r="I214" s="183">
        <v>18</v>
      </c>
      <c r="J214" s="183">
        <v>33</v>
      </c>
      <c r="K214" s="183">
        <v>0</v>
      </c>
      <c r="L214" s="183">
        <v>0</v>
      </c>
      <c r="M214" s="183">
        <v>0</v>
      </c>
      <c r="N214" s="183">
        <v>4332</v>
      </c>
      <c r="O214" s="183">
        <v>30</v>
      </c>
      <c r="P214" s="183">
        <v>6090</v>
      </c>
      <c r="Q214" s="183">
        <v>205</v>
      </c>
    </row>
    <row r="215" spans="1:17">
      <c r="A215" s="183" t="s">
        <v>2068</v>
      </c>
      <c r="B215" s="183" t="s">
        <v>1247</v>
      </c>
      <c r="C215" s="183" t="s">
        <v>2258</v>
      </c>
      <c r="D215" s="183">
        <v>103</v>
      </c>
      <c r="E215" s="183">
        <v>90</v>
      </c>
      <c r="F215" s="183">
        <v>2972</v>
      </c>
      <c r="G215" s="183">
        <v>120</v>
      </c>
      <c r="H215" s="183">
        <v>8631</v>
      </c>
      <c r="I215" s="183">
        <v>155</v>
      </c>
      <c r="J215" s="183">
        <v>34</v>
      </c>
      <c r="K215" s="183">
        <v>0</v>
      </c>
      <c r="L215" s="183">
        <v>0</v>
      </c>
      <c r="M215" s="183">
        <v>0</v>
      </c>
      <c r="N215" s="183">
        <v>24625</v>
      </c>
      <c r="O215" s="183">
        <v>90</v>
      </c>
      <c r="P215" s="183">
        <v>36348</v>
      </c>
      <c r="Q215" s="183">
        <v>404</v>
      </c>
    </row>
    <row r="216" spans="1:17">
      <c r="A216" s="183" t="s">
        <v>2062</v>
      </c>
      <c r="B216" s="183" t="s">
        <v>279</v>
      </c>
      <c r="C216" s="183" t="s">
        <v>2259</v>
      </c>
      <c r="D216" s="183">
        <v>39</v>
      </c>
      <c r="E216" s="183">
        <v>38</v>
      </c>
      <c r="F216" s="183">
        <v>1179</v>
      </c>
      <c r="G216" s="183">
        <v>114</v>
      </c>
      <c r="H216" s="183">
        <v>3405</v>
      </c>
      <c r="I216" s="183">
        <v>92</v>
      </c>
      <c r="J216" s="183">
        <v>34</v>
      </c>
      <c r="K216" s="183">
        <v>4</v>
      </c>
      <c r="L216" s="183">
        <v>3</v>
      </c>
      <c r="M216" s="183">
        <v>87</v>
      </c>
      <c r="N216" s="183">
        <v>5845</v>
      </c>
      <c r="O216" s="183">
        <v>40</v>
      </c>
      <c r="P216" s="183">
        <v>10630</v>
      </c>
      <c r="Q216" s="183">
        <v>261</v>
      </c>
    </row>
    <row r="217" spans="1:17">
      <c r="A217" s="183" t="s">
        <v>2062</v>
      </c>
      <c r="B217" s="183" t="s">
        <v>176</v>
      </c>
      <c r="C217" s="183" t="s">
        <v>2260</v>
      </c>
      <c r="D217" s="183">
        <v>97</v>
      </c>
      <c r="E217" s="183">
        <v>97</v>
      </c>
      <c r="F217" s="183">
        <v>3302</v>
      </c>
      <c r="G217" s="183">
        <v>22</v>
      </c>
      <c r="H217" s="183">
        <v>0</v>
      </c>
      <c r="I217" s="183">
        <v>208</v>
      </c>
      <c r="J217" s="183">
        <v>34</v>
      </c>
      <c r="K217" s="183">
        <v>9</v>
      </c>
      <c r="L217" s="183">
        <v>7</v>
      </c>
      <c r="M217" s="183">
        <v>49</v>
      </c>
      <c r="N217" s="183">
        <v>61</v>
      </c>
      <c r="O217" s="183">
        <v>104</v>
      </c>
      <c r="P217" s="183">
        <v>3434</v>
      </c>
      <c r="Q217" s="183">
        <v>33</v>
      </c>
    </row>
    <row r="218" spans="1:17">
      <c r="A218" s="183" t="s">
        <v>2078</v>
      </c>
      <c r="B218" s="183" t="s">
        <v>1510</v>
      </c>
      <c r="C218" s="183" t="s">
        <v>2261</v>
      </c>
      <c r="D218" s="183">
        <v>56</v>
      </c>
      <c r="E218" s="183">
        <v>44</v>
      </c>
      <c r="F218" s="183">
        <v>1468</v>
      </c>
      <c r="G218" s="183">
        <v>8</v>
      </c>
      <c r="H218" s="183">
        <v>1955</v>
      </c>
      <c r="I218" s="183">
        <v>46</v>
      </c>
      <c r="J218" s="183">
        <v>34</v>
      </c>
      <c r="K218" s="183">
        <v>0</v>
      </c>
      <c r="L218" s="183">
        <v>0</v>
      </c>
      <c r="M218" s="183">
        <v>0</v>
      </c>
      <c r="N218" s="183">
        <v>62</v>
      </c>
      <c r="O218" s="183">
        <v>44</v>
      </c>
      <c r="P218" s="183">
        <v>3493</v>
      </c>
      <c r="Q218" s="183">
        <v>80</v>
      </c>
    </row>
    <row r="219" spans="1:17">
      <c r="A219" s="183" t="s">
        <v>2062</v>
      </c>
      <c r="B219" s="183" t="s">
        <v>263</v>
      </c>
      <c r="C219" s="183" t="s">
        <v>2262</v>
      </c>
      <c r="D219" s="183">
        <v>17</v>
      </c>
      <c r="E219" s="183">
        <v>13</v>
      </c>
      <c r="F219" s="183">
        <v>228</v>
      </c>
      <c r="G219" s="183">
        <v>214</v>
      </c>
      <c r="H219" s="183">
        <v>35</v>
      </c>
      <c r="I219" s="183">
        <v>15</v>
      </c>
      <c r="J219" s="183">
        <v>34</v>
      </c>
      <c r="K219" s="183">
        <v>0</v>
      </c>
      <c r="L219" s="183">
        <v>0</v>
      </c>
      <c r="M219" s="183">
        <v>0</v>
      </c>
      <c r="N219" s="183">
        <v>12</v>
      </c>
      <c r="O219" s="183">
        <v>13</v>
      </c>
      <c r="P219" s="183">
        <v>489</v>
      </c>
      <c r="Q219" s="183">
        <v>38</v>
      </c>
    </row>
    <row r="220" spans="1:17">
      <c r="A220" s="183" t="s">
        <v>2062</v>
      </c>
      <c r="B220" s="183" t="s">
        <v>807</v>
      </c>
      <c r="C220" s="183" t="s">
        <v>2263</v>
      </c>
      <c r="D220" s="183">
        <v>95</v>
      </c>
      <c r="E220" s="183">
        <v>86</v>
      </c>
      <c r="F220" s="183">
        <v>2937</v>
      </c>
      <c r="G220" s="183">
        <v>34</v>
      </c>
      <c r="H220" s="183">
        <v>0</v>
      </c>
      <c r="I220" s="183">
        <v>112</v>
      </c>
      <c r="J220" s="183">
        <v>34</v>
      </c>
      <c r="K220" s="183">
        <v>29</v>
      </c>
      <c r="L220" s="183">
        <v>25</v>
      </c>
      <c r="M220" s="183">
        <v>2851</v>
      </c>
      <c r="N220" s="183">
        <v>0</v>
      </c>
      <c r="O220" s="183">
        <v>111</v>
      </c>
      <c r="P220" s="183">
        <v>5822</v>
      </c>
      <c r="Q220" s="183">
        <v>27</v>
      </c>
    </row>
    <row r="221" spans="1:17">
      <c r="A221" s="183" t="s">
        <v>2062</v>
      </c>
      <c r="B221" s="183" t="s">
        <v>178</v>
      </c>
      <c r="C221" s="183" t="s">
        <v>2264</v>
      </c>
      <c r="D221" s="183">
        <v>53</v>
      </c>
      <c r="E221" s="183">
        <v>54</v>
      </c>
      <c r="F221" s="183">
        <v>811</v>
      </c>
      <c r="G221" s="183">
        <v>1091</v>
      </c>
      <c r="H221" s="183">
        <v>4372</v>
      </c>
      <c r="I221" s="183">
        <v>217</v>
      </c>
      <c r="J221" s="183">
        <v>35</v>
      </c>
      <c r="K221" s="183">
        <v>0</v>
      </c>
      <c r="L221" s="183">
        <v>0</v>
      </c>
      <c r="M221" s="183">
        <v>19</v>
      </c>
      <c r="N221" s="183">
        <v>1035</v>
      </c>
      <c r="O221" s="183">
        <v>54</v>
      </c>
      <c r="P221" s="183">
        <v>7328</v>
      </c>
      <c r="Q221" s="183">
        <v>135</v>
      </c>
    </row>
    <row r="222" spans="1:17">
      <c r="A222" s="183" t="s">
        <v>2068</v>
      </c>
      <c r="B222" s="183" t="s">
        <v>1095</v>
      </c>
      <c r="C222" s="183" t="s">
        <v>2265</v>
      </c>
      <c r="D222" s="183">
        <v>22</v>
      </c>
      <c r="E222" s="183">
        <v>21</v>
      </c>
      <c r="F222" s="183">
        <v>734</v>
      </c>
      <c r="G222" s="183">
        <v>6</v>
      </c>
      <c r="H222" s="183">
        <v>0</v>
      </c>
      <c r="I222" s="183">
        <v>29</v>
      </c>
      <c r="J222" s="183">
        <v>35</v>
      </c>
      <c r="K222" s="183">
        <v>0</v>
      </c>
      <c r="L222" s="183">
        <v>0</v>
      </c>
      <c r="M222" s="183">
        <v>0</v>
      </c>
      <c r="N222" s="183">
        <v>3808</v>
      </c>
      <c r="O222" s="183">
        <v>21</v>
      </c>
      <c r="P222" s="183">
        <v>4548</v>
      </c>
      <c r="Q222" s="183">
        <v>212</v>
      </c>
    </row>
    <row r="223" spans="1:17">
      <c r="A223" s="183" t="s">
        <v>2078</v>
      </c>
      <c r="B223" s="183" t="s">
        <v>1474</v>
      </c>
      <c r="C223" s="183" t="s">
        <v>2029</v>
      </c>
      <c r="D223" s="183">
        <v>44</v>
      </c>
      <c r="E223" s="183">
        <v>35</v>
      </c>
      <c r="F223" s="183">
        <v>1190</v>
      </c>
      <c r="G223" s="183">
        <v>19</v>
      </c>
      <c r="H223" s="183">
        <v>3990</v>
      </c>
      <c r="I223" s="183">
        <v>40</v>
      </c>
      <c r="J223" s="183">
        <v>35</v>
      </c>
      <c r="K223" s="183">
        <v>0</v>
      </c>
      <c r="L223" s="183">
        <v>0</v>
      </c>
      <c r="M223" s="183">
        <v>0</v>
      </c>
      <c r="N223" s="183">
        <v>7563</v>
      </c>
      <c r="O223" s="183">
        <v>35</v>
      </c>
      <c r="P223" s="183">
        <v>12762</v>
      </c>
      <c r="Q223" s="183">
        <v>369</v>
      </c>
    </row>
    <row r="224" spans="1:17">
      <c r="A224" s="183" t="s">
        <v>2068</v>
      </c>
      <c r="B224" s="183" t="s">
        <v>1241</v>
      </c>
      <c r="C224" s="183" t="s">
        <v>2266</v>
      </c>
      <c r="D224" s="183">
        <v>52</v>
      </c>
      <c r="E224" s="183">
        <v>43</v>
      </c>
      <c r="F224" s="183">
        <v>1504</v>
      </c>
      <c r="G224" s="183">
        <v>7</v>
      </c>
      <c r="H224" s="183">
        <v>0</v>
      </c>
      <c r="I224" s="183">
        <v>77</v>
      </c>
      <c r="J224" s="183">
        <v>35</v>
      </c>
      <c r="K224" s="183">
        <v>0</v>
      </c>
      <c r="L224" s="183">
        <v>0</v>
      </c>
      <c r="M224" s="183">
        <v>0</v>
      </c>
      <c r="N224" s="183">
        <v>5856</v>
      </c>
      <c r="O224" s="183">
        <v>43</v>
      </c>
      <c r="P224" s="183">
        <v>7367</v>
      </c>
      <c r="Q224" s="183">
        <v>170</v>
      </c>
    </row>
    <row r="225" spans="1:17">
      <c r="A225" s="183" t="s">
        <v>2068</v>
      </c>
      <c r="B225" s="183" t="s">
        <v>1083</v>
      </c>
      <c r="C225" s="183" t="s">
        <v>2267</v>
      </c>
      <c r="D225" s="183">
        <v>7</v>
      </c>
      <c r="E225" s="183">
        <v>8</v>
      </c>
      <c r="F225" s="183">
        <v>272</v>
      </c>
      <c r="G225" s="183">
        <v>8</v>
      </c>
      <c r="H225" s="183">
        <v>1005</v>
      </c>
      <c r="I225" s="183">
        <v>58</v>
      </c>
      <c r="J225" s="183">
        <v>36</v>
      </c>
      <c r="K225" s="183">
        <v>0</v>
      </c>
      <c r="L225" s="183">
        <v>0</v>
      </c>
      <c r="M225" s="183">
        <v>0</v>
      </c>
      <c r="N225" s="183">
        <v>1891</v>
      </c>
      <c r="O225" s="183">
        <v>8</v>
      </c>
      <c r="P225" s="183">
        <v>3176</v>
      </c>
      <c r="Q225" s="183">
        <v>404</v>
      </c>
    </row>
    <row r="226" spans="1:17">
      <c r="A226" s="183" t="s">
        <v>2062</v>
      </c>
      <c r="B226" s="183" t="s">
        <v>610</v>
      </c>
      <c r="C226" s="183" t="s">
        <v>2268</v>
      </c>
      <c r="D226" s="183">
        <v>30</v>
      </c>
      <c r="E226" s="183">
        <v>26</v>
      </c>
      <c r="F226" s="183">
        <v>909</v>
      </c>
      <c r="G226" s="183">
        <v>22</v>
      </c>
      <c r="H226" s="183">
        <v>0</v>
      </c>
      <c r="I226" s="183">
        <v>34</v>
      </c>
      <c r="J226" s="183">
        <v>36</v>
      </c>
      <c r="K226" s="183">
        <v>12</v>
      </c>
      <c r="L226" s="183">
        <v>13</v>
      </c>
      <c r="M226" s="183">
        <v>1495</v>
      </c>
      <c r="N226" s="183">
        <v>10335</v>
      </c>
      <c r="O226" s="183">
        <v>39</v>
      </c>
      <c r="P226" s="183">
        <v>12761</v>
      </c>
      <c r="Q226" s="183">
        <v>290</v>
      </c>
    </row>
    <row r="227" spans="1:17">
      <c r="A227" s="183" t="s">
        <v>2068</v>
      </c>
      <c r="B227" s="183" t="s">
        <v>1208</v>
      </c>
      <c r="C227" s="183" t="s">
        <v>2269</v>
      </c>
      <c r="D227" s="183">
        <v>59</v>
      </c>
      <c r="E227" s="183">
        <v>51</v>
      </c>
      <c r="F227" s="183">
        <v>1845</v>
      </c>
      <c r="G227" s="183">
        <v>6</v>
      </c>
      <c r="H227" s="183">
        <v>3690</v>
      </c>
      <c r="I227" s="183">
        <v>53</v>
      </c>
      <c r="J227" s="183">
        <v>36</v>
      </c>
      <c r="K227" s="183">
        <v>0</v>
      </c>
      <c r="L227" s="183">
        <v>0</v>
      </c>
      <c r="M227" s="183">
        <v>0</v>
      </c>
      <c r="N227" s="183">
        <v>9315</v>
      </c>
      <c r="O227" s="183">
        <v>51</v>
      </c>
      <c r="P227" s="183">
        <v>14856</v>
      </c>
      <c r="Q227" s="183">
        <v>293</v>
      </c>
    </row>
    <row r="228" spans="1:17">
      <c r="A228" s="183" t="s">
        <v>2062</v>
      </c>
      <c r="B228" s="183" t="s">
        <v>881</v>
      </c>
      <c r="C228" s="183" t="s">
        <v>2270</v>
      </c>
      <c r="D228" s="183">
        <v>87</v>
      </c>
      <c r="E228" s="183">
        <v>63</v>
      </c>
      <c r="F228" s="183">
        <v>2081</v>
      </c>
      <c r="G228" s="183">
        <v>168</v>
      </c>
      <c r="H228" s="183">
        <v>560</v>
      </c>
      <c r="I228" s="183">
        <v>63</v>
      </c>
      <c r="J228" s="183">
        <v>36</v>
      </c>
      <c r="K228" s="183">
        <v>1</v>
      </c>
      <c r="L228" s="183">
        <v>1</v>
      </c>
      <c r="M228" s="183">
        <v>45</v>
      </c>
      <c r="N228" s="183">
        <v>83</v>
      </c>
      <c r="O228" s="183">
        <v>64</v>
      </c>
      <c r="P228" s="183">
        <v>2937</v>
      </c>
      <c r="Q228" s="183">
        <v>45</v>
      </c>
    </row>
    <row r="229" spans="1:17">
      <c r="A229" s="183" t="s">
        <v>2068</v>
      </c>
      <c r="B229" s="183" t="s">
        <v>1245</v>
      </c>
      <c r="C229" s="183" t="s">
        <v>1244</v>
      </c>
      <c r="D229" s="183">
        <v>41</v>
      </c>
      <c r="E229" s="183">
        <v>30</v>
      </c>
      <c r="F229" s="183">
        <v>1050</v>
      </c>
      <c r="G229" s="183">
        <v>25</v>
      </c>
      <c r="H229" s="183">
        <v>2544</v>
      </c>
      <c r="I229" s="183">
        <v>77</v>
      </c>
      <c r="J229" s="183">
        <v>36</v>
      </c>
      <c r="K229" s="183">
        <v>0</v>
      </c>
      <c r="L229" s="183">
        <v>0</v>
      </c>
      <c r="M229" s="183">
        <v>0</v>
      </c>
      <c r="N229" s="183">
        <v>5736</v>
      </c>
      <c r="O229" s="183">
        <v>30</v>
      </c>
      <c r="P229" s="183">
        <v>9355</v>
      </c>
      <c r="Q229" s="183">
        <v>316</v>
      </c>
    </row>
    <row r="230" spans="1:17">
      <c r="A230" s="183" t="s">
        <v>2062</v>
      </c>
      <c r="B230" s="183" t="s">
        <v>817</v>
      </c>
      <c r="C230" s="183" t="s">
        <v>2271</v>
      </c>
      <c r="D230" s="183">
        <v>137</v>
      </c>
      <c r="E230" s="183">
        <v>123</v>
      </c>
      <c r="F230" s="183">
        <v>2561</v>
      </c>
      <c r="G230" s="183">
        <v>1838</v>
      </c>
      <c r="H230" s="183">
        <v>7172</v>
      </c>
      <c r="I230" s="183">
        <v>106</v>
      </c>
      <c r="J230" s="183">
        <v>36</v>
      </c>
      <c r="K230" s="183">
        <v>47</v>
      </c>
      <c r="L230" s="183">
        <v>39</v>
      </c>
      <c r="M230" s="183">
        <v>5126</v>
      </c>
      <c r="N230" s="183">
        <v>12600</v>
      </c>
      <c r="O230" s="183">
        <v>163</v>
      </c>
      <c r="P230" s="183">
        <v>29297</v>
      </c>
      <c r="Q230" s="183">
        <v>149</v>
      </c>
    </row>
    <row r="231" spans="1:17">
      <c r="A231" s="183" t="s">
        <v>2062</v>
      </c>
      <c r="B231" s="183" t="s">
        <v>511</v>
      </c>
      <c r="C231" s="183" t="s">
        <v>2272</v>
      </c>
      <c r="D231" s="183">
        <v>6</v>
      </c>
      <c r="E231" s="183">
        <v>7</v>
      </c>
      <c r="F231" s="183">
        <v>256</v>
      </c>
      <c r="G231" s="183">
        <v>11</v>
      </c>
      <c r="H231" s="183">
        <v>93</v>
      </c>
      <c r="I231" s="183">
        <v>11</v>
      </c>
      <c r="J231" s="183">
        <v>36</v>
      </c>
      <c r="K231" s="183">
        <v>0</v>
      </c>
      <c r="L231" s="183">
        <v>0</v>
      </c>
      <c r="M231" s="183">
        <v>602</v>
      </c>
      <c r="N231" s="183">
        <v>0</v>
      </c>
      <c r="O231" s="183">
        <v>8</v>
      </c>
      <c r="P231" s="183">
        <v>962</v>
      </c>
      <c r="Q231" s="183">
        <v>46</v>
      </c>
    </row>
    <row r="232" spans="1:17">
      <c r="A232" s="183" t="s">
        <v>2062</v>
      </c>
      <c r="B232" s="183" t="s">
        <v>926</v>
      </c>
      <c r="C232" s="183" t="s">
        <v>2273</v>
      </c>
      <c r="D232" s="183">
        <v>338</v>
      </c>
      <c r="E232" s="183">
        <v>282</v>
      </c>
      <c r="F232" s="183">
        <v>3794</v>
      </c>
      <c r="G232" s="183">
        <v>6624</v>
      </c>
      <c r="H232" s="183">
        <v>7305</v>
      </c>
      <c r="I232" s="183">
        <v>2191</v>
      </c>
      <c r="J232" s="183">
        <v>37</v>
      </c>
      <c r="K232" s="183">
        <v>57</v>
      </c>
      <c r="L232" s="183">
        <v>57</v>
      </c>
      <c r="M232" s="183">
        <v>2423</v>
      </c>
      <c r="N232" s="183">
        <v>1801</v>
      </c>
      <c r="O232" s="183">
        <v>339</v>
      </c>
      <c r="P232" s="183">
        <v>21947</v>
      </c>
      <c r="Q232" s="183">
        <v>58</v>
      </c>
    </row>
    <row r="233" spans="1:17">
      <c r="A233" s="183" t="s">
        <v>2062</v>
      </c>
      <c r="B233" s="183" t="s">
        <v>131</v>
      </c>
      <c r="C233" s="183" t="s">
        <v>2274</v>
      </c>
      <c r="D233" s="183">
        <v>912</v>
      </c>
      <c r="E233" s="183">
        <v>819</v>
      </c>
      <c r="F233" s="183">
        <v>1542</v>
      </c>
      <c r="G233" s="183">
        <v>28854</v>
      </c>
      <c r="H233" s="183">
        <v>85659</v>
      </c>
      <c r="I233" s="183">
        <v>1083</v>
      </c>
      <c r="J233" s="183">
        <v>37</v>
      </c>
      <c r="K233" s="183">
        <v>450</v>
      </c>
      <c r="L233" s="183">
        <v>406</v>
      </c>
      <c r="M233" s="183">
        <v>23735</v>
      </c>
      <c r="N233" s="183">
        <v>50585</v>
      </c>
      <c r="O233" s="183">
        <v>1226</v>
      </c>
      <c r="P233" s="183">
        <v>190375</v>
      </c>
      <c r="Q233" s="183">
        <v>136</v>
      </c>
    </row>
    <row r="234" spans="1:17">
      <c r="A234" s="183" t="s">
        <v>2078</v>
      </c>
      <c r="B234" s="183" t="s">
        <v>1384</v>
      </c>
      <c r="C234" s="183" t="s">
        <v>2275</v>
      </c>
      <c r="D234" s="183">
        <v>27</v>
      </c>
      <c r="E234" s="183">
        <v>29</v>
      </c>
      <c r="F234" s="183">
        <v>1053</v>
      </c>
      <c r="G234" s="183">
        <v>20</v>
      </c>
      <c r="H234" s="183">
        <v>2128</v>
      </c>
      <c r="I234" s="183">
        <v>41</v>
      </c>
      <c r="J234" s="183">
        <v>37</v>
      </c>
      <c r="K234" s="183">
        <v>0</v>
      </c>
      <c r="L234" s="183">
        <v>0</v>
      </c>
      <c r="M234" s="183">
        <v>0</v>
      </c>
      <c r="N234" s="183">
        <v>4976</v>
      </c>
      <c r="O234" s="183">
        <v>29</v>
      </c>
      <c r="P234" s="183">
        <v>8177</v>
      </c>
      <c r="Q234" s="183">
        <v>285</v>
      </c>
    </row>
    <row r="235" spans="1:17">
      <c r="A235" s="183" t="s">
        <v>2078</v>
      </c>
      <c r="B235" s="183" t="s">
        <v>1529</v>
      </c>
      <c r="C235" s="183" t="s">
        <v>2276</v>
      </c>
      <c r="D235" s="183">
        <v>62</v>
      </c>
      <c r="E235" s="183">
        <v>46</v>
      </c>
      <c r="F235" s="183">
        <v>1691</v>
      </c>
      <c r="G235" s="183">
        <v>35</v>
      </c>
      <c r="H235" s="183">
        <v>3392</v>
      </c>
      <c r="I235" s="183">
        <v>63</v>
      </c>
      <c r="J235" s="183">
        <v>37</v>
      </c>
      <c r="K235" s="183">
        <v>0</v>
      </c>
      <c r="L235" s="183">
        <v>0</v>
      </c>
      <c r="M235" s="183">
        <v>0</v>
      </c>
      <c r="N235" s="183">
        <v>191</v>
      </c>
      <c r="O235" s="183">
        <v>46</v>
      </c>
      <c r="P235" s="183">
        <v>5309</v>
      </c>
      <c r="Q235" s="183">
        <v>114</v>
      </c>
    </row>
    <row r="236" spans="1:17">
      <c r="A236" s="183" t="s">
        <v>2068</v>
      </c>
      <c r="B236" s="183" t="s">
        <v>1220</v>
      </c>
      <c r="C236" s="183" t="s">
        <v>2277</v>
      </c>
      <c r="D236" s="183">
        <v>39</v>
      </c>
      <c r="E236" s="183">
        <v>35</v>
      </c>
      <c r="F236" s="183">
        <v>1269</v>
      </c>
      <c r="G236" s="183">
        <v>42</v>
      </c>
      <c r="H236" s="183">
        <v>3000</v>
      </c>
      <c r="I236" s="183">
        <v>40</v>
      </c>
      <c r="J236" s="183">
        <v>37</v>
      </c>
      <c r="K236" s="183">
        <v>0</v>
      </c>
      <c r="L236" s="183">
        <v>0</v>
      </c>
      <c r="M236" s="183">
        <v>0</v>
      </c>
      <c r="N236" s="183">
        <v>4694</v>
      </c>
      <c r="O236" s="183">
        <v>35</v>
      </c>
      <c r="P236" s="183">
        <v>9005</v>
      </c>
      <c r="Q236" s="183">
        <v>255</v>
      </c>
    </row>
    <row r="237" spans="1:17">
      <c r="A237" s="183" t="s">
        <v>2062</v>
      </c>
      <c r="B237" s="183" t="s">
        <v>713</v>
      </c>
      <c r="C237" s="183" t="s">
        <v>712</v>
      </c>
      <c r="D237" s="183">
        <v>99</v>
      </c>
      <c r="E237" s="183">
        <v>98</v>
      </c>
      <c r="F237" s="183">
        <v>3284</v>
      </c>
      <c r="G237" s="183">
        <v>369</v>
      </c>
      <c r="H237" s="183">
        <v>201</v>
      </c>
      <c r="I237" s="183">
        <v>494</v>
      </c>
      <c r="J237" s="183">
        <v>37</v>
      </c>
      <c r="K237" s="183">
        <v>0</v>
      </c>
      <c r="L237" s="183">
        <v>0</v>
      </c>
      <c r="M237" s="183">
        <v>0</v>
      </c>
      <c r="N237" s="183">
        <v>267</v>
      </c>
      <c r="O237" s="183">
        <v>98</v>
      </c>
      <c r="P237" s="183">
        <v>4121</v>
      </c>
      <c r="Q237" s="183">
        <v>42</v>
      </c>
    </row>
    <row r="238" spans="1:17">
      <c r="A238" s="183" t="s">
        <v>2062</v>
      </c>
      <c r="B238" s="183" t="s">
        <v>445</v>
      </c>
      <c r="C238" s="183" t="s">
        <v>1928</v>
      </c>
      <c r="D238" s="183">
        <v>35</v>
      </c>
      <c r="E238" s="183">
        <v>38</v>
      </c>
      <c r="F238" s="183">
        <v>1413</v>
      </c>
      <c r="G238" s="183">
        <v>4</v>
      </c>
      <c r="H238" s="183">
        <v>2000</v>
      </c>
      <c r="I238" s="183">
        <v>31</v>
      </c>
      <c r="J238" s="183">
        <v>37</v>
      </c>
      <c r="K238" s="183">
        <v>0</v>
      </c>
      <c r="L238" s="183">
        <v>0</v>
      </c>
      <c r="M238" s="183">
        <v>0</v>
      </c>
      <c r="N238" s="183">
        <v>0</v>
      </c>
      <c r="O238" s="183">
        <v>38</v>
      </c>
      <c r="P238" s="183">
        <v>3417</v>
      </c>
      <c r="Q238" s="183">
        <v>90</v>
      </c>
    </row>
    <row r="239" spans="1:17">
      <c r="A239" s="183" t="s">
        <v>2078</v>
      </c>
      <c r="B239" s="183" t="s">
        <v>1453</v>
      </c>
      <c r="C239" s="183" t="s">
        <v>1452</v>
      </c>
      <c r="D239" s="183">
        <v>52</v>
      </c>
      <c r="E239" s="183">
        <v>49</v>
      </c>
      <c r="F239" s="183">
        <v>1777</v>
      </c>
      <c r="G239" s="183">
        <v>36</v>
      </c>
      <c r="H239" s="183">
        <v>4032</v>
      </c>
      <c r="I239" s="183">
        <v>46</v>
      </c>
      <c r="J239" s="183">
        <v>37</v>
      </c>
      <c r="K239" s="183">
        <v>0</v>
      </c>
      <c r="L239" s="183">
        <v>0</v>
      </c>
      <c r="M239" s="183">
        <v>0</v>
      </c>
      <c r="N239" s="183">
        <v>1231</v>
      </c>
      <c r="O239" s="183">
        <v>49</v>
      </c>
      <c r="P239" s="183">
        <v>7076</v>
      </c>
      <c r="Q239" s="183">
        <v>144</v>
      </c>
    </row>
    <row r="240" spans="1:17">
      <c r="A240" s="183" t="s">
        <v>2062</v>
      </c>
      <c r="B240" s="183" t="s">
        <v>654</v>
      </c>
      <c r="C240" s="183" t="s">
        <v>2278</v>
      </c>
      <c r="D240" s="183">
        <v>23</v>
      </c>
      <c r="E240" s="183">
        <v>61</v>
      </c>
      <c r="F240" s="183">
        <v>2051</v>
      </c>
      <c r="G240" s="183">
        <v>209</v>
      </c>
      <c r="H240" s="183">
        <v>1320</v>
      </c>
      <c r="I240" s="183">
        <v>36</v>
      </c>
      <c r="J240" s="183">
        <v>37</v>
      </c>
      <c r="K240" s="183">
        <v>0</v>
      </c>
      <c r="L240" s="183">
        <v>0</v>
      </c>
      <c r="M240" s="183">
        <v>0</v>
      </c>
      <c r="N240" s="183">
        <v>1569</v>
      </c>
      <c r="O240" s="183">
        <v>61</v>
      </c>
      <c r="P240" s="183">
        <v>5149</v>
      </c>
      <c r="Q240" s="183">
        <v>84</v>
      </c>
    </row>
    <row r="241" spans="1:17">
      <c r="A241" s="183" t="s">
        <v>2062</v>
      </c>
      <c r="B241" s="183" t="s">
        <v>563</v>
      </c>
      <c r="C241" s="183" t="s">
        <v>2279</v>
      </c>
      <c r="D241" s="183">
        <v>16</v>
      </c>
      <c r="E241" s="183">
        <v>50</v>
      </c>
      <c r="F241" s="183">
        <v>1767</v>
      </c>
      <c r="G241" s="183">
        <v>60</v>
      </c>
      <c r="H241" s="183">
        <v>58</v>
      </c>
      <c r="I241" s="183">
        <v>183</v>
      </c>
      <c r="J241" s="183">
        <v>37</v>
      </c>
      <c r="K241" s="183">
        <v>0</v>
      </c>
      <c r="L241" s="183">
        <v>0</v>
      </c>
      <c r="M241" s="183">
        <v>0</v>
      </c>
      <c r="N241" s="183">
        <v>2313</v>
      </c>
      <c r="O241" s="183">
        <v>50</v>
      </c>
      <c r="P241" s="183">
        <v>4198</v>
      </c>
      <c r="Q241" s="183">
        <v>84</v>
      </c>
    </row>
    <row r="242" spans="1:17">
      <c r="A242" s="183" t="s">
        <v>2062</v>
      </c>
      <c r="B242" s="183" t="s">
        <v>935</v>
      </c>
      <c r="C242" s="183" t="s">
        <v>2280</v>
      </c>
      <c r="D242" s="183">
        <v>1110</v>
      </c>
      <c r="E242" s="183">
        <v>1293</v>
      </c>
      <c r="F242" s="183">
        <v>37000</v>
      </c>
      <c r="G242" s="183">
        <v>12564</v>
      </c>
      <c r="H242" s="183">
        <v>6314</v>
      </c>
      <c r="I242" s="183">
        <v>11549</v>
      </c>
      <c r="J242" s="183">
        <v>38</v>
      </c>
      <c r="K242" s="183">
        <v>436</v>
      </c>
      <c r="L242" s="183">
        <v>320</v>
      </c>
      <c r="M242" s="183">
        <v>14335</v>
      </c>
      <c r="N242" s="183">
        <v>1129</v>
      </c>
      <c r="O242" s="183">
        <v>1613</v>
      </c>
      <c r="P242" s="183">
        <v>71342</v>
      </c>
      <c r="Q242" s="183">
        <v>35</v>
      </c>
    </row>
    <row r="243" spans="1:17">
      <c r="A243" s="183" t="s">
        <v>2062</v>
      </c>
      <c r="B243" s="183" t="s">
        <v>269</v>
      </c>
      <c r="C243" s="183" t="s">
        <v>2281</v>
      </c>
      <c r="D243" s="183">
        <v>13</v>
      </c>
      <c r="E243" s="183">
        <v>13</v>
      </c>
      <c r="F243" s="183">
        <v>483</v>
      </c>
      <c r="G243" s="183">
        <v>18</v>
      </c>
      <c r="H243" s="183">
        <v>900</v>
      </c>
      <c r="I243" s="183">
        <v>13</v>
      </c>
      <c r="J243" s="183">
        <v>38</v>
      </c>
      <c r="K243" s="183">
        <v>0</v>
      </c>
      <c r="L243" s="183">
        <v>1</v>
      </c>
      <c r="M243" s="183">
        <v>11</v>
      </c>
      <c r="N243" s="183">
        <v>1200</v>
      </c>
      <c r="O243" s="183">
        <v>14</v>
      </c>
      <c r="P243" s="183">
        <v>2612</v>
      </c>
      <c r="Q243" s="183">
        <v>182</v>
      </c>
    </row>
    <row r="244" spans="1:17">
      <c r="A244" s="183" t="s">
        <v>2078</v>
      </c>
      <c r="B244" s="183" t="s">
        <v>1500</v>
      </c>
      <c r="C244" s="183" t="s">
        <v>2282</v>
      </c>
      <c r="D244" s="183">
        <v>46</v>
      </c>
      <c r="E244" s="183">
        <v>34</v>
      </c>
      <c r="F244" s="183">
        <v>1271</v>
      </c>
      <c r="G244" s="183">
        <v>7</v>
      </c>
      <c r="H244" s="183">
        <v>3510</v>
      </c>
      <c r="I244" s="183">
        <v>71</v>
      </c>
      <c r="J244" s="183">
        <v>38</v>
      </c>
      <c r="K244" s="183">
        <v>0</v>
      </c>
      <c r="L244" s="183">
        <v>0</v>
      </c>
      <c r="M244" s="183">
        <v>0</v>
      </c>
      <c r="N244" s="183">
        <v>2010</v>
      </c>
      <c r="O244" s="183">
        <v>34</v>
      </c>
      <c r="P244" s="183">
        <v>6798</v>
      </c>
      <c r="Q244" s="183">
        <v>201</v>
      </c>
    </row>
    <row r="245" spans="1:17">
      <c r="A245" s="183" t="s">
        <v>2078</v>
      </c>
      <c r="B245" s="183" t="s">
        <v>1321</v>
      </c>
      <c r="C245" s="183" t="s">
        <v>2283</v>
      </c>
      <c r="D245" s="183">
        <v>54</v>
      </c>
      <c r="E245" s="183">
        <v>55</v>
      </c>
      <c r="F245" s="183">
        <v>2080</v>
      </c>
      <c r="G245" s="183">
        <v>9</v>
      </c>
      <c r="H245" s="183">
        <v>4576</v>
      </c>
      <c r="I245" s="183">
        <v>59</v>
      </c>
      <c r="J245" s="183">
        <v>38</v>
      </c>
      <c r="K245" s="183">
        <v>0</v>
      </c>
      <c r="L245" s="183">
        <v>0</v>
      </c>
      <c r="M245" s="183">
        <v>0</v>
      </c>
      <c r="N245" s="183">
        <v>5811</v>
      </c>
      <c r="O245" s="183">
        <v>55</v>
      </c>
      <c r="P245" s="183">
        <v>12476</v>
      </c>
      <c r="Q245" s="183">
        <v>228</v>
      </c>
    </row>
    <row r="246" spans="1:17">
      <c r="A246" s="183" t="s">
        <v>2062</v>
      </c>
      <c r="B246" s="183" t="s">
        <v>311</v>
      </c>
      <c r="C246" s="183" t="s">
        <v>1942</v>
      </c>
      <c r="D246" s="183">
        <v>23</v>
      </c>
      <c r="E246" s="183">
        <v>26</v>
      </c>
      <c r="F246" s="183">
        <v>643</v>
      </c>
      <c r="G246" s="183">
        <v>338</v>
      </c>
      <c r="H246" s="183">
        <v>1008</v>
      </c>
      <c r="I246" s="183">
        <v>21</v>
      </c>
      <c r="J246" s="183">
        <v>38</v>
      </c>
      <c r="K246" s="183">
        <v>1</v>
      </c>
      <c r="L246" s="183">
        <v>0</v>
      </c>
      <c r="M246" s="183">
        <v>81</v>
      </c>
      <c r="N246" s="183">
        <v>84</v>
      </c>
      <c r="O246" s="183">
        <v>26</v>
      </c>
      <c r="P246" s="183">
        <v>2154</v>
      </c>
      <c r="Q246" s="183">
        <v>78</v>
      </c>
    </row>
    <row r="247" spans="1:17">
      <c r="A247" s="183" t="s">
        <v>2062</v>
      </c>
      <c r="B247" s="183" t="s">
        <v>901</v>
      </c>
      <c r="C247" s="183" t="s">
        <v>2284</v>
      </c>
      <c r="D247" s="183">
        <v>270</v>
      </c>
      <c r="E247" s="183">
        <v>257</v>
      </c>
      <c r="F247" s="183">
        <v>9402</v>
      </c>
      <c r="G247" s="183">
        <v>508</v>
      </c>
      <c r="H247" s="183">
        <v>19303</v>
      </c>
      <c r="I247" s="183">
        <v>1609</v>
      </c>
      <c r="J247" s="183">
        <v>39</v>
      </c>
      <c r="K247" s="183">
        <v>38</v>
      </c>
      <c r="L247" s="183">
        <v>34</v>
      </c>
      <c r="M247" s="183">
        <v>3330</v>
      </c>
      <c r="N247" s="183">
        <v>7172</v>
      </c>
      <c r="O247" s="183">
        <v>291</v>
      </c>
      <c r="P247" s="183">
        <v>39715</v>
      </c>
      <c r="Q247" s="183">
        <v>125</v>
      </c>
    </row>
    <row r="248" spans="1:17">
      <c r="A248" s="183" t="s">
        <v>2062</v>
      </c>
      <c r="B248" s="183" t="s">
        <v>216</v>
      </c>
      <c r="C248" s="183" t="s">
        <v>2285</v>
      </c>
      <c r="D248" s="183">
        <v>12</v>
      </c>
      <c r="E248" s="183">
        <v>18</v>
      </c>
      <c r="F248" s="183">
        <v>678</v>
      </c>
      <c r="G248" s="183">
        <v>4</v>
      </c>
      <c r="H248" s="183">
        <v>0</v>
      </c>
      <c r="I248" s="183">
        <v>35</v>
      </c>
      <c r="J248" s="183">
        <v>39</v>
      </c>
      <c r="K248" s="183">
        <v>0</v>
      </c>
      <c r="L248" s="183">
        <v>0</v>
      </c>
      <c r="M248" s="183">
        <v>0</v>
      </c>
      <c r="N248" s="183">
        <v>550</v>
      </c>
      <c r="O248" s="183">
        <v>18</v>
      </c>
      <c r="P248" s="183">
        <v>1232</v>
      </c>
      <c r="Q248" s="183">
        <v>70</v>
      </c>
    </row>
    <row r="249" spans="1:17">
      <c r="A249" s="183" t="s">
        <v>2078</v>
      </c>
      <c r="B249" s="183" t="s">
        <v>1380</v>
      </c>
      <c r="C249" s="183" t="s">
        <v>2286</v>
      </c>
      <c r="D249" s="183">
        <v>11</v>
      </c>
      <c r="E249" s="183">
        <v>11</v>
      </c>
      <c r="F249" s="183">
        <v>270</v>
      </c>
      <c r="G249" s="183">
        <v>166</v>
      </c>
      <c r="H249" s="183">
        <v>892</v>
      </c>
      <c r="I249" s="183">
        <v>17</v>
      </c>
      <c r="J249" s="183">
        <v>39</v>
      </c>
      <c r="K249" s="183">
        <v>0</v>
      </c>
      <c r="L249" s="183">
        <v>0</v>
      </c>
      <c r="M249" s="183">
        <v>0</v>
      </c>
      <c r="N249" s="183">
        <v>1078</v>
      </c>
      <c r="O249" s="183">
        <v>11</v>
      </c>
      <c r="P249" s="183">
        <v>2406</v>
      </c>
      <c r="Q249" s="183">
        <v>213</v>
      </c>
    </row>
    <row r="250" spans="1:17">
      <c r="A250" s="183" t="s">
        <v>2062</v>
      </c>
      <c r="B250" s="183" t="s">
        <v>567</v>
      </c>
      <c r="C250" s="183" t="s">
        <v>2287</v>
      </c>
      <c r="D250" s="183">
        <v>48</v>
      </c>
      <c r="E250" s="183">
        <v>43</v>
      </c>
      <c r="F250" s="183">
        <v>1679</v>
      </c>
      <c r="G250" s="183">
        <v>1</v>
      </c>
      <c r="H250" s="183">
        <v>0</v>
      </c>
      <c r="I250" s="183">
        <v>38</v>
      </c>
      <c r="J250" s="183">
        <v>39</v>
      </c>
      <c r="K250" s="183">
        <v>0</v>
      </c>
      <c r="L250" s="183">
        <v>0</v>
      </c>
      <c r="M250" s="183">
        <v>0</v>
      </c>
      <c r="N250" s="183">
        <v>365</v>
      </c>
      <c r="O250" s="183">
        <v>43</v>
      </c>
      <c r="P250" s="183">
        <v>2045</v>
      </c>
      <c r="Q250" s="183">
        <v>47</v>
      </c>
    </row>
    <row r="251" spans="1:17">
      <c r="A251" s="183" t="s">
        <v>2068</v>
      </c>
      <c r="B251" s="183" t="s">
        <v>1214</v>
      </c>
      <c r="C251" s="183" t="s">
        <v>2288</v>
      </c>
      <c r="D251" s="183">
        <v>44</v>
      </c>
      <c r="E251" s="183">
        <v>35</v>
      </c>
      <c r="F251" s="183">
        <v>1374</v>
      </c>
      <c r="G251" s="183">
        <v>19</v>
      </c>
      <c r="H251" s="183">
        <v>2590</v>
      </c>
      <c r="I251" s="183">
        <v>48</v>
      </c>
      <c r="J251" s="183">
        <v>39</v>
      </c>
      <c r="K251" s="183">
        <v>0</v>
      </c>
      <c r="L251" s="183">
        <v>0</v>
      </c>
      <c r="M251" s="183">
        <v>0</v>
      </c>
      <c r="N251" s="183">
        <v>5424</v>
      </c>
      <c r="O251" s="183">
        <v>35</v>
      </c>
      <c r="P251" s="183">
        <v>9407</v>
      </c>
      <c r="Q251" s="183">
        <v>267</v>
      </c>
    </row>
    <row r="252" spans="1:17">
      <c r="A252" s="183" t="s">
        <v>2062</v>
      </c>
      <c r="B252" s="183" t="s">
        <v>149</v>
      </c>
      <c r="C252" s="183" t="s">
        <v>2289</v>
      </c>
      <c r="D252" s="183">
        <v>71</v>
      </c>
      <c r="E252" s="183">
        <v>72</v>
      </c>
      <c r="F252" s="183">
        <v>2777</v>
      </c>
      <c r="G252" s="183">
        <v>20</v>
      </c>
      <c r="H252" s="183">
        <v>344</v>
      </c>
      <c r="I252" s="183">
        <v>175</v>
      </c>
      <c r="J252" s="183">
        <v>39</v>
      </c>
      <c r="K252" s="183">
        <v>0</v>
      </c>
      <c r="L252" s="183">
        <v>0</v>
      </c>
      <c r="M252" s="183">
        <v>0</v>
      </c>
      <c r="N252" s="183">
        <v>155</v>
      </c>
      <c r="O252" s="183">
        <v>72</v>
      </c>
      <c r="P252" s="183">
        <v>3296</v>
      </c>
      <c r="Q252" s="183">
        <v>46</v>
      </c>
    </row>
    <row r="253" spans="1:17">
      <c r="A253" s="183" t="s">
        <v>2062</v>
      </c>
      <c r="B253" s="183" t="s">
        <v>815</v>
      </c>
      <c r="C253" s="183" t="s">
        <v>814</v>
      </c>
      <c r="D253" s="183">
        <v>43</v>
      </c>
      <c r="E253" s="183">
        <v>29</v>
      </c>
      <c r="F253" s="183">
        <v>677</v>
      </c>
      <c r="G253" s="183">
        <v>468</v>
      </c>
      <c r="H253" s="183">
        <v>1728</v>
      </c>
      <c r="I253" s="183">
        <v>33</v>
      </c>
      <c r="J253" s="183">
        <v>39</v>
      </c>
      <c r="K253" s="183">
        <v>0</v>
      </c>
      <c r="L253" s="183">
        <v>0</v>
      </c>
      <c r="M253" s="183">
        <v>0</v>
      </c>
      <c r="N253" s="183">
        <v>7420</v>
      </c>
      <c r="O253" s="183">
        <v>29</v>
      </c>
      <c r="P253" s="183">
        <v>10293</v>
      </c>
      <c r="Q253" s="183">
        <v>353</v>
      </c>
    </row>
    <row r="254" spans="1:17">
      <c r="A254" s="183" t="s">
        <v>2062</v>
      </c>
      <c r="B254" s="183" t="s">
        <v>2290</v>
      </c>
      <c r="C254" s="183" t="s">
        <v>2291</v>
      </c>
      <c r="D254" s="183">
        <v>137</v>
      </c>
      <c r="E254" s="183">
        <v>126</v>
      </c>
      <c r="F254" s="183">
        <v>4531</v>
      </c>
      <c r="G254" s="183">
        <v>369</v>
      </c>
      <c r="H254" s="183">
        <v>20037</v>
      </c>
      <c r="I254" s="183">
        <v>167</v>
      </c>
      <c r="J254" s="183">
        <v>39</v>
      </c>
      <c r="K254" s="183">
        <v>77</v>
      </c>
      <c r="L254" s="183">
        <v>0</v>
      </c>
      <c r="M254" s="183">
        <v>43170</v>
      </c>
      <c r="N254" s="183">
        <v>1607</v>
      </c>
      <c r="O254" s="183">
        <v>126</v>
      </c>
      <c r="P254" s="183">
        <v>69714</v>
      </c>
      <c r="Q254" s="183">
        <v>211</v>
      </c>
    </row>
    <row r="255" spans="1:17">
      <c r="A255" s="183" t="s">
        <v>2062</v>
      </c>
      <c r="B255" s="183" t="s">
        <v>618</v>
      </c>
      <c r="C255" s="183" t="s">
        <v>1948</v>
      </c>
      <c r="D255" s="183">
        <v>22</v>
      </c>
      <c r="E255" s="183">
        <v>25</v>
      </c>
      <c r="F255" s="183">
        <v>898</v>
      </c>
      <c r="G255" s="183">
        <v>71</v>
      </c>
      <c r="H255" s="183">
        <v>760</v>
      </c>
      <c r="I255" s="183">
        <v>9</v>
      </c>
      <c r="J255" s="183">
        <v>39</v>
      </c>
      <c r="K255" s="183">
        <v>0</v>
      </c>
      <c r="L255" s="183">
        <v>0</v>
      </c>
      <c r="M255" s="183">
        <v>301</v>
      </c>
      <c r="N255" s="183">
        <v>0</v>
      </c>
      <c r="O255" s="183">
        <v>25</v>
      </c>
      <c r="P255" s="183">
        <v>2030</v>
      </c>
      <c r="Q255" s="183">
        <v>68</v>
      </c>
    </row>
    <row r="256" spans="1:17">
      <c r="A256" s="183" t="s">
        <v>2062</v>
      </c>
      <c r="B256" s="183" t="s">
        <v>756</v>
      </c>
      <c r="C256" s="183" t="s">
        <v>1945</v>
      </c>
      <c r="D256" s="183">
        <v>23</v>
      </c>
      <c r="E256" s="183">
        <v>36</v>
      </c>
      <c r="F256" s="183">
        <v>1379</v>
      </c>
      <c r="G256" s="183">
        <v>18</v>
      </c>
      <c r="H256" s="183">
        <v>3602</v>
      </c>
      <c r="I256" s="183">
        <v>10</v>
      </c>
      <c r="J256" s="183">
        <v>39</v>
      </c>
      <c r="K256" s="183">
        <v>0</v>
      </c>
      <c r="L256" s="183">
        <v>0</v>
      </c>
      <c r="M256" s="183">
        <v>0</v>
      </c>
      <c r="N256" s="183">
        <v>114</v>
      </c>
      <c r="O256" s="183">
        <v>36</v>
      </c>
      <c r="P256" s="183">
        <v>5113</v>
      </c>
      <c r="Q256" s="183">
        <v>143</v>
      </c>
    </row>
    <row r="257" spans="1:17">
      <c r="A257" s="183" t="s">
        <v>2068</v>
      </c>
      <c r="B257" s="183" t="s">
        <v>1081</v>
      </c>
      <c r="C257" s="183" t="s">
        <v>2292</v>
      </c>
      <c r="D257" s="183">
        <v>12</v>
      </c>
      <c r="E257" s="183">
        <v>10</v>
      </c>
      <c r="F257" s="183">
        <v>397</v>
      </c>
      <c r="G257" s="183">
        <v>3</v>
      </c>
      <c r="H257" s="183">
        <v>720</v>
      </c>
      <c r="I257" s="183">
        <v>18</v>
      </c>
      <c r="J257" s="183">
        <v>40</v>
      </c>
      <c r="K257" s="183">
        <v>0</v>
      </c>
      <c r="L257" s="183">
        <v>0</v>
      </c>
      <c r="M257" s="183">
        <v>0</v>
      </c>
      <c r="N257" s="183">
        <v>0</v>
      </c>
      <c r="O257" s="183">
        <v>10</v>
      </c>
      <c r="P257" s="183">
        <v>1120</v>
      </c>
      <c r="Q257" s="183">
        <v>112</v>
      </c>
    </row>
    <row r="258" spans="1:17">
      <c r="A258" s="183" t="s">
        <v>2078</v>
      </c>
      <c r="B258" s="183" t="s">
        <v>1523</v>
      </c>
      <c r="C258" s="183" t="s">
        <v>2293</v>
      </c>
      <c r="D258" s="183">
        <v>72</v>
      </c>
      <c r="E258" s="183">
        <v>78</v>
      </c>
      <c r="F258" s="183">
        <v>2585</v>
      </c>
      <c r="G258" s="183">
        <v>558</v>
      </c>
      <c r="H258" s="183">
        <v>984</v>
      </c>
      <c r="I258" s="183">
        <v>56</v>
      </c>
      <c r="J258" s="183">
        <v>40</v>
      </c>
      <c r="K258" s="183">
        <v>0</v>
      </c>
      <c r="L258" s="183">
        <v>0</v>
      </c>
      <c r="M258" s="183">
        <v>0</v>
      </c>
      <c r="N258" s="183">
        <v>6038</v>
      </c>
      <c r="O258" s="183">
        <v>78</v>
      </c>
      <c r="P258" s="183">
        <v>10165</v>
      </c>
      <c r="Q258" s="183">
        <v>130</v>
      </c>
    </row>
    <row r="259" spans="1:17">
      <c r="A259" s="183" t="s">
        <v>2062</v>
      </c>
      <c r="B259" s="183" t="s">
        <v>748</v>
      </c>
      <c r="C259" s="183" t="s">
        <v>2294</v>
      </c>
      <c r="D259" s="183">
        <v>73</v>
      </c>
      <c r="E259" s="183">
        <v>75</v>
      </c>
      <c r="F259" s="183">
        <v>2465</v>
      </c>
      <c r="G259" s="183">
        <v>555</v>
      </c>
      <c r="H259" s="183">
        <v>763</v>
      </c>
      <c r="I259" s="183">
        <v>66</v>
      </c>
      <c r="J259" s="183">
        <v>40</v>
      </c>
      <c r="K259" s="183">
        <v>0</v>
      </c>
      <c r="L259" s="183">
        <v>0</v>
      </c>
      <c r="M259" s="183">
        <v>0</v>
      </c>
      <c r="N259" s="183">
        <v>530</v>
      </c>
      <c r="O259" s="183">
        <v>75</v>
      </c>
      <c r="P259" s="183">
        <v>4313</v>
      </c>
      <c r="Q259" s="183">
        <v>58</v>
      </c>
    </row>
    <row r="260" spans="1:17">
      <c r="A260" s="183" t="s">
        <v>2062</v>
      </c>
      <c r="B260" s="183" t="s">
        <v>588</v>
      </c>
      <c r="C260" s="183" t="s">
        <v>2295</v>
      </c>
      <c r="D260" s="183">
        <v>47</v>
      </c>
      <c r="E260" s="183">
        <v>48</v>
      </c>
      <c r="F260" s="183">
        <v>1305</v>
      </c>
      <c r="G260" s="183">
        <v>613</v>
      </c>
      <c r="H260" s="183">
        <v>0</v>
      </c>
      <c r="I260" s="183">
        <v>35</v>
      </c>
      <c r="J260" s="183">
        <v>40</v>
      </c>
      <c r="K260" s="183">
        <v>3</v>
      </c>
      <c r="L260" s="183">
        <v>2</v>
      </c>
      <c r="M260" s="183">
        <v>320</v>
      </c>
      <c r="N260" s="183">
        <v>12</v>
      </c>
      <c r="O260" s="183">
        <v>50</v>
      </c>
      <c r="P260" s="183">
        <v>2250</v>
      </c>
      <c r="Q260" s="183">
        <v>39</v>
      </c>
    </row>
    <row r="261" spans="1:17">
      <c r="A261" s="183" t="s">
        <v>2062</v>
      </c>
      <c r="B261" s="183" t="s">
        <v>777</v>
      </c>
      <c r="C261" s="183" t="s">
        <v>2296</v>
      </c>
      <c r="D261" s="183">
        <v>42</v>
      </c>
      <c r="E261" s="183">
        <v>38</v>
      </c>
      <c r="F261" s="183">
        <v>1511</v>
      </c>
      <c r="G261" s="183">
        <v>5</v>
      </c>
      <c r="H261" s="183">
        <v>115</v>
      </c>
      <c r="I261" s="183">
        <v>56</v>
      </c>
      <c r="J261" s="183">
        <v>40</v>
      </c>
      <c r="K261" s="183">
        <v>0</v>
      </c>
      <c r="L261" s="183">
        <v>0</v>
      </c>
      <c r="M261" s="183">
        <v>0</v>
      </c>
      <c r="N261" s="183">
        <v>0</v>
      </c>
      <c r="O261" s="183">
        <v>38</v>
      </c>
      <c r="P261" s="183">
        <v>1631</v>
      </c>
      <c r="Q261" s="183">
        <v>43</v>
      </c>
    </row>
    <row r="262" spans="1:17">
      <c r="A262" s="183" t="s">
        <v>2068</v>
      </c>
      <c r="B262" s="183" t="s">
        <v>1707</v>
      </c>
      <c r="C262" s="183" t="s">
        <v>2297</v>
      </c>
      <c r="D262" s="183">
        <v>5</v>
      </c>
      <c r="E262" s="183">
        <v>6</v>
      </c>
      <c r="F262" s="183">
        <v>160</v>
      </c>
      <c r="G262" s="183">
        <v>77</v>
      </c>
      <c r="H262" s="183">
        <v>48</v>
      </c>
      <c r="I262" s="183">
        <v>51</v>
      </c>
      <c r="J262" s="183">
        <v>41</v>
      </c>
      <c r="K262" s="183">
        <v>0</v>
      </c>
      <c r="L262" s="183">
        <v>0</v>
      </c>
      <c r="M262" s="183">
        <v>0</v>
      </c>
      <c r="N262" s="183">
        <v>741</v>
      </c>
      <c r="O262" s="183">
        <v>6</v>
      </c>
      <c r="P262" s="183">
        <v>1026</v>
      </c>
      <c r="Q262" s="183">
        <v>180</v>
      </c>
    </row>
    <row r="263" spans="1:17">
      <c r="A263" s="183" t="s">
        <v>2062</v>
      </c>
      <c r="B263" s="183" t="s">
        <v>850</v>
      </c>
      <c r="C263" s="183" t="s">
        <v>2298</v>
      </c>
      <c r="D263" s="183">
        <v>51</v>
      </c>
      <c r="E263" s="183">
        <v>38</v>
      </c>
      <c r="F263" s="183">
        <v>1579</v>
      </c>
      <c r="G263" s="183">
        <v>6</v>
      </c>
      <c r="H263" s="183">
        <v>1575</v>
      </c>
      <c r="I263" s="183">
        <v>64</v>
      </c>
      <c r="J263" s="183">
        <v>41</v>
      </c>
      <c r="K263" s="183">
        <v>17</v>
      </c>
      <c r="L263" s="183">
        <v>12</v>
      </c>
      <c r="M263" s="183">
        <v>1839</v>
      </c>
      <c r="N263" s="183">
        <v>61</v>
      </c>
      <c r="O263" s="183">
        <v>50</v>
      </c>
      <c r="P263" s="183">
        <v>5060</v>
      </c>
      <c r="Q263" s="183">
        <v>64</v>
      </c>
    </row>
    <row r="264" spans="1:17">
      <c r="A264" s="183" t="s">
        <v>2068</v>
      </c>
      <c r="B264" s="183" t="s">
        <v>1197</v>
      </c>
      <c r="C264" s="183" t="s">
        <v>2299</v>
      </c>
      <c r="D264" s="183">
        <v>33</v>
      </c>
      <c r="E264" s="183">
        <v>31</v>
      </c>
      <c r="F264" s="183">
        <v>1276</v>
      </c>
      <c r="G264" s="183">
        <v>2</v>
      </c>
      <c r="H264" s="183">
        <v>1296</v>
      </c>
      <c r="I264" s="183">
        <v>45</v>
      </c>
      <c r="J264" s="183">
        <v>41</v>
      </c>
      <c r="K264" s="183">
        <v>0</v>
      </c>
      <c r="L264" s="183">
        <v>0</v>
      </c>
      <c r="M264" s="183">
        <v>0</v>
      </c>
      <c r="N264" s="183">
        <v>1383</v>
      </c>
      <c r="O264" s="183">
        <v>31</v>
      </c>
      <c r="P264" s="183">
        <v>3957</v>
      </c>
      <c r="Q264" s="183">
        <v>127</v>
      </c>
    </row>
    <row r="265" spans="1:17">
      <c r="A265" s="183" t="s">
        <v>2078</v>
      </c>
      <c r="B265" s="183" t="s">
        <v>1451</v>
      </c>
      <c r="C265" s="183" t="s">
        <v>2300</v>
      </c>
      <c r="D265" s="183">
        <v>28</v>
      </c>
      <c r="E265" s="183">
        <v>30</v>
      </c>
      <c r="F265" s="183">
        <v>1134</v>
      </c>
      <c r="G265" s="183">
        <v>89</v>
      </c>
      <c r="H265" s="183">
        <v>0</v>
      </c>
      <c r="I265" s="183">
        <v>15</v>
      </c>
      <c r="J265" s="183">
        <v>41</v>
      </c>
      <c r="K265" s="183">
        <v>0</v>
      </c>
      <c r="L265" s="183">
        <v>0</v>
      </c>
      <c r="M265" s="183">
        <v>0</v>
      </c>
      <c r="N265" s="183">
        <v>68</v>
      </c>
      <c r="O265" s="183">
        <v>30</v>
      </c>
      <c r="P265" s="183">
        <v>1291</v>
      </c>
      <c r="Q265" s="183">
        <v>43</v>
      </c>
    </row>
    <row r="266" spans="1:17">
      <c r="A266" s="183" t="s">
        <v>2068</v>
      </c>
      <c r="B266" s="183" t="s">
        <v>1016</v>
      </c>
      <c r="C266" s="183" t="s">
        <v>2301</v>
      </c>
      <c r="D266" s="183">
        <v>21</v>
      </c>
      <c r="E266" s="183">
        <v>20</v>
      </c>
      <c r="F266" s="183">
        <v>835</v>
      </c>
      <c r="G266" s="183">
        <v>4</v>
      </c>
      <c r="H266" s="183">
        <v>0</v>
      </c>
      <c r="I266" s="183">
        <v>27</v>
      </c>
      <c r="J266" s="183">
        <v>41</v>
      </c>
      <c r="K266" s="183">
        <v>0</v>
      </c>
      <c r="L266" s="183">
        <v>0</v>
      </c>
      <c r="M266" s="183">
        <v>0</v>
      </c>
      <c r="N266" s="183">
        <v>3147</v>
      </c>
      <c r="O266" s="183">
        <v>20</v>
      </c>
      <c r="P266" s="183">
        <v>3986</v>
      </c>
      <c r="Q266" s="183">
        <v>196</v>
      </c>
    </row>
    <row r="267" spans="1:17">
      <c r="A267" s="183" t="s">
        <v>2062</v>
      </c>
      <c r="B267" s="183" t="s">
        <v>602</v>
      </c>
      <c r="C267" s="183" t="s">
        <v>2302</v>
      </c>
      <c r="D267" s="183">
        <v>21</v>
      </c>
      <c r="E267" s="183">
        <v>23</v>
      </c>
      <c r="F267" s="183">
        <v>951</v>
      </c>
      <c r="G267" s="183">
        <v>14</v>
      </c>
      <c r="H267" s="183">
        <v>1965</v>
      </c>
      <c r="I267" s="183">
        <v>25</v>
      </c>
      <c r="J267" s="183">
        <v>41</v>
      </c>
      <c r="K267" s="183">
        <v>0</v>
      </c>
      <c r="L267" s="183">
        <v>0</v>
      </c>
      <c r="M267" s="183">
        <v>0</v>
      </c>
      <c r="N267" s="183">
        <v>9</v>
      </c>
      <c r="O267" s="183">
        <v>23</v>
      </c>
      <c r="P267" s="183">
        <v>2939</v>
      </c>
      <c r="Q267" s="183">
        <v>126</v>
      </c>
    </row>
    <row r="268" spans="1:17">
      <c r="A268" s="183" t="s">
        <v>2062</v>
      </c>
      <c r="B268" s="183" t="s">
        <v>682</v>
      </c>
      <c r="C268" s="183" t="s">
        <v>2303</v>
      </c>
      <c r="D268" s="183">
        <v>104</v>
      </c>
      <c r="E268" s="183">
        <v>118</v>
      </c>
      <c r="F268" s="183">
        <v>4844</v>
      </c>
      <c r="G268" s="183">
        <v>30</v>
      </c>
      <c r="H268" s="183">
        <v>2005</v>
      </c>
      <c r="I268" s="183">
        <v>232</v>
      </c>
      <c r="J268" s="183">
        <v>41</v>
      </c>
      <c r="K268" s="183">
        <v>6</v>
      </c>
      <c r="L268" s="183">
        <v>5</v>
      </c>
      <c r="M268" s="183">
        <v>331</v>
      </c>
      <c r="N268" s="183">
        <v>170</v>
      </c>
      <c r="O268" s="183">
        <v>124</v>
      </c>
      <c r="P268" s="183">
        <v>7380</v>
      </c>
      <c r="Q268" s="183">
        <v>57</v>
      </c>
    </row>
    <row r="269" spans="1:17">
      <c r="A269" s="183" t="s">
        <v>2062</v>
      </c>
      <c r="B269" s="183" t="s">
        <v>2304</v>
      </c>
      <c r="C269" s="183" t="s">
        <v>2305</v>
      </c>
      <c r="D269" s="183">
        <v>31</v>
      </c>
      <c r="E269" s="183">
        <v>31</v>
      </c>
      <c r="F269" s="183">
        <v>1275</v>
      </c>
      <c r="G269" s="183">
        <v>10</v>
      </c>
      <c r="H269" s="183">
        <v>1404</v>
      </c>
      <c r="I269" s="183">
        <v>20</v>
      </c>
      <c r="J269" s="183">
        <v>41</v>
      </c>
      <c r="K269" s="183">
        <v>0</v>
      </c>
      <c r="L269" s="183">
        <v>0</v>
      </c>
      <c r="M269" s="183">
        <v>0</v>
      </c>
      <c r="N269" s="183">
        <v>1307</v>
      </c>
      <c r="O269" s="183">
        <v>31</v>
      </c>
      <c r="P269" s="183">
        <v>3996</v>
      </c>
      <c r="Q269" s="183">
        <v>127</v>
      </c>
    </row>
    <row r="270" spans="1:17">
      <c r="A270" s="183" t="s">
        <v>2078</v>
      </c>
      <c r="B270" s="183" t="s">
        <v>1527</v>
      </c>
      <c r="C270" s="183" t="s">
        <v>1526</v>
      </c>
      <c r="D270" s="183">
        <v>97</v>
      </c>
      <c r="E270" s="183">
        <v>98</v>
      </c>
      <c r="F270" s="183">
        <v>3369</v>
      </c>
      <c r="G270" s="183">
        <v>651</v>
      </c>
      <c r="H270" s="183">
        <v>37</v>
      </c>
      <c r="I270" s="183">
        <v>592</v>
      </c>
      <c r="J270" s="183">
        <v>41</v>
      </c>
      <c r="K270" s="183">
        <v>0</v>
      </c>
      <c r="L270" s="183">
        <v>0</v>
      </c>
      <c r="M270" s="183">
        <v>0</v>
      </c>
      <c r="N270" s="183">
        <v>7978</v>
      </c>
      <c r="O270" s="183">
        <v>98</v>
      </c>
      <c r="P270" s="183">
        <v>12035</v>
      </c>
      <c r="Q270" s="183">
        <v>123</v>
      </c>
    </row>
    <row r="271" spans="1:17">
      <c r="A271" s="183" t="s">
        <v>2062</v>
      </c>
      <c r="B271" s="183" t="s">
        <v>634</v>
      </c>
      <c r="C271" s="183" t="s">
        <v>2306</v>
      </c>
      <c r="D271" s="183">
        <v>17</v>
      </c>
      <c r="E271" s="183">
        <v>38</v>
      </c>
      <c r="F271" s="183">
        <v>1543</v>
      </c>
      <c r="G271" s="183">
        <v>8</v>
      </c>
      <c r="H271" s="183">
        <v>0</v>
      </c>
      <c r="I271" s="183">
        <v>33</v>
      </c>
      <c r="J271" s="183">
        <v>41</v>
      </c>
      <c r="K271" s="183">
        <v>0</v>
      </c>
      <c r="L271" s="183">
        <v>0</v>
      </c>
      <c r="M271" s="183">
        <v>0</v>
      </c>
      <c r="N271" s="183">
        <v>2453</v>
      </c>
      <c r="O271" s="183">
        <v>38</v>
      </c>
      <c r="P271" s="183">
        <v>4004</v>
      </c>
      <c r="Q271" s="183">
        <v>106</v>
      </c>
    </row>
    <row r="272" spans="1:17">
      <c r="A272" s="183" t="s">
        <v>2062</v>
      </c>
      <c r="B272" s="183" t="s">
        <v>791</v>
      </c>
      <c r="C272" s="183" t="s">
        <v>2307</v>
      </c>
      <c r="D272" s="183">
        <v>34</v>
      </c>
      <c r="E272" s="183">
        <v>26</v>
      </c>
      <c r="F272" s="183">
        <v>1089</v>
      </c>
      <c r="G272" s="183">
        <v>21</v>
      </c>
      <c r="H272" s="183">
        <v>0</v>
      </c>
      <c r="I272" s="183">
        <v>42</v>
      </c>
      <c r="J272" s="183">
        <v>42</v>
      </c>
      <c r="K272" s="183">
        <v>0</v>
      </c>
      <c r="L272" s="183">
        <v>0</v>
      </c>
      <c r="M272" s="183">
        <v>7</v>
      </c>
      <c r="N272" s="183">
        <v>0</v>
      </c>
      <c r="O272" s="183">
        <v>26</v>
      </c>
      <c r="P272" s="183">
        <v>1117</v>
      </c>
      <c r="Q272" s="183">
        <v>42</v>
      </c>
    </row>
    <row r="273" spans="1:17">
      <c r="A273" s="183" t="s">
        <v>2078</v>
      </c>
      <c r="B273" s="183" t="s">
        <v>1445</v>
      </c>
      <c r="C273" s="183" t="s">
        <v>2308</v>
      </c>
      <c r="D273" s="183">
        <v>39</v>
      </c>
      <c r="E273" s="183">
        <v>33</v>
      </c>
      <c r="F273" s="183">
        <v>1336</v>
      </c>
      <c r="G273" s="183">
        <v>49</v>
      </c>
      <c r="H273" s="183">
        <v>2164</v>
      </c>
      <c r="I273" s="183">
        <v>60</v>
      </c>
      <c r="J273" s="183">
        <v>42</v>
      </c>
      <c r="K273" s="183">
        <v>0</v>
      </c>
      <c r="L273" s="183">
        <v>0</v>
      </c>
      <c r="M273" s="183">
        <v>0</v>
      </c>
      <c r="N273" s="183">
        <v>1383</v>
      </c>
      <c r="O273" s="183">
        <v>33</v>
      </c>
      <c r="P273" s="183">
        <v>4932</v>
      </c>
      <c r="Q273" s="183">
        <v>148</v>
      </c>
    </row>
    <row r="274" spans="1:17">
      <c r="A274" s="183" t="s">
        <v>2078</v>
      </c>
      <c r="B274" s="183" t="s">
        <v>1470</v>
      </c>
      <c r="C274" s="183" t="s">
        <v>2309</v>
      </c>
      <c r="D274" s="183">
        <v>36</v>
      </c>
      <c r="E274" s="183">
        <v>23</v>
      </c>
      <c r="F274" s="183">
        <v>812</v>
      </c>
      <c r="G274" s="183">
        <v>159</v>
      </c>
      <c r="H274" s="183">
        <v>720</v>
      </c>
      <c r="I274" s="183">
        <v>13</v>
      </c>
      <c r="J274" s="183">
        <v>42</v>
      </c>
      <c r="K274" s="183">
        <v>0</v>
      </c>
      <c r="L274" s="183">
        <v>0</v>
      </c>
      <c r="M274" s="183">
        <v>0</v>
      </c>
      <c r="N274" s="183">
        <v>7362</v>
      </c>
      <c r="O274" s="183">
        <v>23</v>
      </c>
      <c r="P274" s="183">
        <v>9053</v>
      </c>
      <c r="Q274" s="183">
        <v>389</v>
      </c>
    </row>
    <row r="275" spans="1:17">
      <c r="A275" s="183" t="s">
        <v>2062</v>
      </c>
      <c r="B275" s="183" t="s">
        <v>307</v>
      </c>
      <c r="C275" s="183" t="s">
        <v>306</v>
      </c>
      <c r="D275" s="183">
        <v>13</v>
      </c>
      <c r="E275" s="183">
        <v>11</v>
      </c>
      <c r="F275" s="183">
        <v>479</v>
      </c>
      <c r="G275" s="183">
        <v>5</v>
      </c>
      <c r="H275" s="183">
        <v>32</v>
      </c>
      <c r="I275" s="183">
        <v>46</v>
      </c>
      <c r="J275" s="183">
        <v>42</v>
      </c>
      <c r="K275" s="183">
        <v>0</v>
      </c>
      <c r="L275" s="183">
        <v>0</v>
      </c>
      <c r="M275" s="183">
        <v>71</v>
      </c>
      <c r="N275" s="183">
        <v>7</v>
      </c>
      <c r="O275" s="183">
        <v>12</v>
      </c>
      <c r="P275" s="183">
        <v>594</v>
      </c>
      <c r="Q275" s="183">
        <v>45</v>
      </c>
    </row>
    <row r="276" spans="1:17">
      <c r="A276" s="183" t="s">
        <v>2068</v>
      </c>
      <c r="B276" s="183" t="s">
        <v>968</v>
      </c>
      <c r="C276" s="183" t="s">
        <v>1958</v>
      </c>
      <c r="D276" s="183">
        <v>11</v>
      </c>
      <c r="E276" s="183">
        <v>7</v>
      </c>
      <c r="F276" s="183">
        <v>280</v>
      </c>
      <c r="G276" s="183">
        <v>7</v>
      </c>
      <c r="H276" s="183">
        <v>84</v>
      </c>
      <c r="I276" s="183">
        <v>20</v>
      </c>
      <c r="J276" s="183">
        <v>42</v>
      </c>
      <c r="K276" s="183">
        <v>0</v>
      </c>
      <c r="L276" s="183">
        <v>0</v>
      </c>
      <c r="M276" s="183">
        <v>0</v>
      </c>
      <c r="N276" s="183">
        <v>8623</v>
      </c>
      <c r="O276" s="183">
        <v>7</v>
      </c>
      <c r="P276" s="183">
        <v>8994</v>
      </c>
      <c r="Q276" s="183">
        <v>1312</v>
      </c>
    </row>
    <row r="277" spans="1:17">
      <c r="A277" s="183" t="s">
        <v>2062</v>
      </c>
      <c r="B277" s="183" t="s">
        <v>811</v>
      </c>
      <c r="C277" s="183" t="s">
        <v>2310</v>
      </c>
      <c r="D277" s="183">
        <v>128</v>
      </c>
      <c r="E277" s="183">
        <v>118</v>
      </c>
      <c r="F277" s="183">
        <v>4977</v>
      </c>
      <c r="G277" s="183">
        <v>89</v>
      </c>
      <c r="H277" s="183">
        <v>315</v>
      </c>
      <c r="I277" s="183">
        <v>984</v>
      </c>
      <c r="J277" s="183">
        <v>43</v>
      </c>
      <c r="K277" s="183">
        <v>1</v>
      </c>
      <c r="L277" s="183">
        <v>0</v>
      </c>
      <c r="M277" s="183">
        <v>22</v>
      </c>
      <c r="N277" s="183">
        <v>167</v>
      </c>
      <c r="O277" s="183">
        <v>118</v>
      </c>
      <c r="P277" s="183">
        <v>5570</v>
      </c>
      <c r="Q277" s="183">
        <v>47</v>
      </c>
    </row>
    <row r="278" spans="1:17">
      <c r="A278" s="183" t="s">
        <v>2068</v>
      </c>
      <c r="B278" s="183" t="s">
        <v>1125</v>
      </c>
      <c r="C278" s="183" t="s">
        <v>2311</v>
      </c>
      <c r="D278" s="183">
        <v>25</v>
      </c>
      <c r="E278" s="183">
        <v>24</v>
      </c>
      <c r="F278" s="183">
        <v>622</v>
      </c>
      <c r="G278" s="183">
        <v>420</v>
      </c>
      <c r="H278" s="183">
        <v>1748</v>
      </c>
      <c r="I278" s="183">
        <v>42</v>
      </c>
      <c r="J278" s="183">
        <v>43</v>
      </c>
      <c r="K278" s="183">
        <v>0</v>
      </c>
      <c r="L278" s="183">
        <v>0</v>
      </c>
      <c r="M278" s="183">
        <v>0</v>
      </c>
      <c r="N278" s="183">
        <v>0</v>
      </c>
      <c r="O278" s="183">
        <v>24</v>
      </c>
      <c r="P278" s="183">
        <v>2790</v>
      </c>
      <c r="Q278" s="183">
        <v>116</v>
      </c>
    </row>
    <row r="279" spans="1:17">
      <c r="A279" s="183" t="s">
        <v>2068</v>
      </c>
      <c r="B279" s="183" t="s">
        <v>1137</v>
      </c>
      <c r="C279" s="183" t="s">
        <v>2312</v>
      </c>
      <c r="D279" s="183">
        <v>33</v>
      </c>
      <c r="E279" s="183">
        <v>33</v>
      </c>
      <c r="F279" s="183">
        <v>774</v>
      </c>
      <c r="G279" s="183">
        <v>653</v>
      </c>
      <c r="H279" s="183">
        <v>2017</v>
      </c>
      <c r="I279" s="183">
        <v>37</v>
      </c>
      <c r="J279" s="183">
        <v>43</v>
      </c>
      <c r="K279" s="183">
        <v>0</v>
      </c>
      <c r="L279" s="183">
        <v>0</v>
      </c>
      <c r="M279" s="183">
        <v>0</v>
      </c>
      <c r="N279" s="183">
        <v>-920</v>
      </c>
      <c r="O279" s="183">
        <v>33</v>
      </c>
      <c r="P279" s="183">
        <v>2524</v>
      </c>
      <c r="Q279" s="183">
        <v>76</v>
      </c>
    </row>
    <row r="280" spans="1:17">
      <c r="A280" s="183" t="s">
        <v>2062</v>
      </c>
      <c r="B280" s="183" t="s">
        <v>395</v>
      </c>
      <c r="C280" s="183" t="s">
        <v>2313</v>
      </c>
      <c r="D280" s="183">
        <v>11</v>
      </c>
      <c r="E280" s="183">
        <v>9</v>
      </c>
      <c r="F280" s="183">
        <v>376</v>
      </c>
      <c r="G280" s="183">
        <v>0</v>
      </c>
      <c r="H280" s="183">
        <v>250</v>
      </c>
      <c r="I280" s="183">
        <v>9</v>
      </c>
      <c r="J280" s="183">
        <v>43</v>
      </c>
      <c r="K280" s="183">
        <v>0</v>
      </c>
      <c r="L280" s="183">
        <v>0</v>
      </c>
      <c r="M280" s="183">
        <v>6</v>
      </c>
      <c r="N280" s="183">
        <v>366</v>
      </c>
      <c r="O280" s="183">
        <v>9</v>
      </c>
      <c r="P280" s="183">
        <v>998</v>
      </c>
      <c r="Q280" s="183">
        <v>112</v>
      </c>
    </row>
    <row r="281" spans="1:17">
      <c r="A281" s="183" t="s">
        <v>2078</v>
      </c>
      <c r="B281" s="183" t="s">
        <v>1559</v>
      </c>
      <c r="C281" s="183" t="s">
        <v>2314</v>
      </c>
      <c r="D281" s="183">
        <v>81</v>
      </c>
      <c r="E281" s="183">
        <v>50</v>
      </c>
      <c r="F281" s="183">
        <v>2125</v>
      </c>
      <c r="G281" s="183">
        <v>23</v>
      </c>
      <c r="H281" s="183">
        <v>6333</v>
      </c>
      <c r="I281" s="183">
        <v>74</v>
      </c>
      <c r="J281" s="183">
        <v>43</v>
      </c>
      <c r="K281" s="183">
        <v>0</v>
      </c>
      <c r="L281" s="183">
        <v>0</v>
      </c>
      <c r="M281" s="183">
        <v>0</v>
      </c>
      <c r="N281" s="183">
        <v>1318</v>
      </c>
      <c r="O281" s="183">
        <v>50</v>
      </c>
      <c r="P281" s="183">
        <v>9799</v>
      </c>
      <c r="Q281" s="183">
        <v>197</v>
      </c>
    </row>
    <row r="282" spans="1:17">
      <c r="A282" s="183" t="s">
        <v>2062</v>
      </c>
      <c r="B282" s="183" t="s">
        <v>738</v>
      </c>
      <c r="C282" s="183" t="s">
        <v>2315</v>
      </c>
      <c r="D282" s="183">
        <v>49</v>
      </c>
      <c r="E282" s="183">
        <v>50</v>
      </c>
      <c r="F282" s="183">
        <v>1636</v>
      </c>
      <c r="G282" s="183">
        <v>519</v>
      </c>
      <c r="H282" s="183">
        <v>1930</v>
      </c>
      <c r="I282" s="183">
        <v>50</v>
      </c>
      <c r="J282" s="183">
        <v>43</v>
      </c>
      <c r="K282" s="183">
        <v>87</v>
      </c>
      <c r="L282" s="183">
        <v>64</v>
      </c>
      <c r="M282" s="183">
        <v>8056</v>
      </c>
      <c r="N282" s="183">
        <v>2330</v>
      </c>
      <c r="O282" s="183">
        <v>114</v>
      </c>
      <c r="P282" s="183">
        <v>14471</v>
      </c>
      <c r="Q282" s="183">
        <v>56</v>
      </c>
    </row>
    <row r="283" spans="1:17">
      <c r="A283" s="183" t="s">
        <v>2062</v>
      </c>
      <c r="B283" s="183" t="s">
        <v>656</v>
      </c>
      <c r="C283" s="183" t="s">
        <v>2316</v>
      </c>
      <c r="D283" s="183">
        <v>59</v>
      </c>
      <c r="E283" s="183">
        <v>61</v>
      </c>
      <c r="F283" s="183">
        <v>2641</v>
      </c>
      <c r="G283" s="183">
        <v>7</v>
      </c>
      <c r="H283" s="183">
        <v>0</v>
      </c>
      <c r="I283" s="183">
        <v>64</v>
      </c>
      <c r="J283" s="183">
        <v>43</v>
      </c>
      <c r="K283" s="183">
        <v>0</v>
      </c>
      <c r="L283" s="183">
        <v>0</v>
      </c>
      <c r="M283" s="183">
        <v>0</v>
      </c>
      <c r="N283" s="183">
        <v>245</v>
      </c>
      <c r="O283" s="183">
        <v>61</v>
      </c>
      <c r="P283" s="183">
        <v>2893</v>
      </c>
      <c r="Q283" s="183">
        <v>47</v>
      </c>
    </row>
    <row r="284" spans="1:17">
      <c r="A284" s="183" t="s">
        <v>2062</v>
      </c>
      <c r="B284" s="183" t="s">
        <v>1786</v>
      </c>
      <c r="C284" s="183" t="s">
        <v>2317</v>
      </c>
      <c r="D284" s="183">
        <v>294</v>
      </c>
      <c r="E284" s="183">
        <v>113</v>
      </c>
      <c r="F284" s="183">
        <v>1827</v>
      </c>
      <c r="G284" s="183">
        <v>3056</v>
      </c>
      <c r="H284" s="183">
        <v>3461</v>
      </c>
      <c r="I284" s="183">
        <v>1012</v>
      </c>
      <c r="J284" s="183">
        <v>43</v>
      </c>
      <c r="K284" s="183">
        <v>0</v>
      </c>
      <c r="L284" s="183">
        <v>0</v>
      </c>
      <c r="M284" s="183">
        <v>0</v>
      </c>
      <c r="N284" s="183">
        <v>518</v>
      </c>
      <c r="O284" s="183">
        <v>113</v>
      </c>
      <c r="P284" s="183">
        <v>8862</v>
      </c>
      <c r="Q284" s="183">
        <v>79</v>
      </c>
    </row>
    <row r="285" spans="1:17">
      <c r="A285" s="183" t="s">
        <v>2062</v>
      </c>
      <c r="B285" s="183" t="s">
        <v>170</v>
      </c>
      <c r="C285" s="183" t="s">
        <v>2318</v>
      </c>
      <c r="D285" s="183">
        <v>55</v>
      </c>
      <c r="E285" s="183">
        <v>54</v>
      </c>
      <c r="F285" s="183">
        <v>2292</v>
      </c>
      <c r="G285" s="183">
        <v>5</v>
      </c>
      <c r="H285" s="183">
        <v>5403</v>
      </c>
      <c r="I285" s="183">
        <v>55</v>
      </c>
      <c r="J285" s="183">
        <v>43</v>
      </c>
      <c r="K285" s="183">
        <v>0</v>
      </c>
      <c r="L285" s="183">
        <v>0</v>
      </c>
      <c r="M285" s="183">
        <v>0</v>
      </c>
      <c r="N285" s="183">
        <v>7168</v>
      </c>
      <c r="O285" s="183">
        <v>54</v>
      </c>
      <c r="P285" s="183">
        <v>14868</v>
      </c>
      <c r="Q285" s="183">
        <v>276</v>
      </c>
    </row>
    <row r="286" spans="1:17">
      <c r="A286" s="183" t="s">
        <v>2062</v>
      </c>
      <c r="B286" s="183" t="s">
        <v>461</v>
      </c>
      <c r="C286" s="183" t="s">
        <v>460</v>
      </c>
      <c r="D286" s="183">
        <v>19</v>
      </c>
      <c r="E286" s="183">
        <v>19</v>
      </c>
      <c r="F286" s="183">
        <v>830</v>
      </c>
      <c r="G286" s="183">
        <v>2</v>
      </c>
      <c r="H286" s="183">
        <v>1000</v>
      </c>
      <c r="I286" s="183">
        <v>23</v>
      </c>
      <c r="J286" s="183">
        <v>43</v>
      </c>
      <c r="K286" s="183">
        <v>0</v>
      </c>
      <c r="L286" s="183">
        <v>0</v>
      </c>
      <c r="M286" s="183">
        <v>267</v>
      </c>
      <c r="N286" s="183">
        <v>3305</v>
      </c>
      <c r="O286" s="183">
        <v>19</v>
      </c>
      <c r="P286" s="183">
        <v>5404</v>
      </c>
      <c r="Q286" s="183">
        <v>264</v>
      </c>
    </row>
    <row r="287" spans="1:17">
      <c r="A287" s="183" t="s">
        <v>2068</v>
      </c>
      <c r="B287" s="183" t="s">
        <v>1049</v>
      </c>
      <c r="C287" s="183" t="s">
        <v>1954</v>
      </c>
      <c r="D287" s="183">
        <v>18</v>
      </c>
      <c r="E287" s="183">
        <v>21</v>
      </c>
      <c r="F287" s="183">
        <v>917</v>
      </c>
      <c r="G287" s="183">
        <v>0</v>
      </c>
      <c r="H287" s="183">
        <v>2052</v>
      </c>
      <c r="I287" s="183">
        <v>23</v>
      </c>
      <c r="J287" s="183">
        <v>43</v>
      </c>
      <c r="K287" s="183">
        <v>0</v>
      </c>
      <c r="L287" s="183">
        <v>0</v>
      </c>
      <c r="M287" s="183">
        <v>0</v>
      </c>
      <c r="N287" s="183">
        <v>3413</v>
      </c>
      <c r="O287" s="183">
        <v>21</v>
      </c>
      <c r="P287" s="183">
        <v>6382</v>
      </c>
      <c r="Q287" s="183">
        <v>298</v>
      </c>
    </row>
    <row r="288" spans="1:17">
      <c r="A288" s="183" t="s">
        <v>2062</v>
      </c>
      <c r="B288" s="183" t="s">
        <v>666</v>
      </c>
      <c r="C288" s="183" t="s">
        <v>2319</v>
      </c>
      <c r="D288" s="183">
        <v>38</v>
      </c>
      <c r="E288" s="183">
        <v>29</v>
      </c>
      <c r="F288" s="183">
        <v>1293</v>
      </c>
      <c r="G288" s="183">
        <v>0</v>
      </c>
      <c r="H288" s="183">
        <v>1741</v>
      </c>
      <c r="I288" s="183">
        <v>47</v>
      </c>
      <c r="J288" s="183">
        <v>44</v>
      </c>
      <c r="K288" s="183">
        <v>0</v>
      </c>
      <c r="L288" s="183">
        <v>0</v>
      </c>
      <c r="M288" s="183">
        <v>0</v>
      </c>
      <c r="N288" s="183">
        <v>53</v>
      </c>
      <c r="O288" s="183">
        <v>29</v>
      </c>
      <c r="P288" s="183">
        <v>3087</v>
      </c>
      <c r="Q288" s="183">
        <v>106</v>
      </c>
    </row>
    <row r="289" spans="1:17">
      <c r="A289" s="183" t="s">
        <v>2062</v>
      </c>
      <c r="B289" s="183" t="s">
        <v>188</v>
      </c>
      <c r="C289" s="183" t="s">
        <v>2320</v>
      </c>
      <c r="D289" s="183">
        <v>70</v>
      </c>
      <c r="E289" s="183">
        <v>76</v>
      </c>
      <c r="F289" s="183">
        <v>3262</v>
      </c>
      <c r="G289" s="183">
        <v>92</v>
      </c>
      <c r="H289" s="183">
        <v>452</v>
      </c>
      <c r="I289" s="183">
        <v>118</v>
      </c>
      <c r="J289" s="183">
        <v>44</v>
      </c>
      <c r="K289" s="183">
        <v>0</v>
      </c>
      <c r="L289" s="183">
        <v>0</v>
      </c>
      <c r="M289" s="183">
        <v>0</v>
      </c>
      <c r="N289" s="183">
        <v>28</v>
      </c>
      <c r="O289" s="183">
        <v>76</v>
      </c>
      <c r="P289" s="183">
        <v>3834</v>
      </c>
      <c r="Q289" s="183">
        <v>51</v>
      </c>
    </row>
    <row r="290" spans="1:17">
      <c r="A290" s="183" t="s">
        <v>2078</v>
      </c>
      <c r="B290" s="183" t="s">
        <v>1535</v>
      </c>
      <c r="C290" s="183" t="s">
        <v>2321</v>
      </c>
      <c r="D290" s="183">
        <v>116</v>
      </c>
      <c r="E290" s="183">
        <v>97</v>
      </c>
      <c r="F290" s="183">
        <v>4201</v>
      </c>
      <c r="G290" s="183">
        <v>47</v>
      </c>
      <c r="H290" s="183">
        <v>9258</v>
      </c>
      <c r="I290" s="183">
        <v>216</v>
      </c>
      <c r="J290" s="183">
        <v>44</v>
      </c>
      <c r="K290" s="183">
        <v>0</v>
      </c>
      <c r="L290" s="183">
        <v>0</v>
      </c>
      <c r="M290" s="183">
        <v>0</v>
      </c>
      <c r="N290" s="183">
        <v>13683</v>
      </c>
      <c r="O290" s="183">
        <v>97</v>
      </c>
      <c r="P290" s="183">
        <v>27189</v>
      </c>
      <c r="Q290" s="183">
        <v>279</v>
      </c>
    </row>
    <row r="291" spans="1:17">
      <c r="A291" s="183" t="s">
        <v>2062</v>
      </c>
      <c r="B291" s="183" t="s">
        <v>715</v>
      </c>
      <c r="C291" s="183" t="s">
        <v>2322</v>
      </c>
      <c r="D291" s="183">
        <v>474</v>
      </c>
      <c r="E291" s="183">
        <v>435</v>
      </c>
      <c r="F291" s="183">
        <v>18414</v>
      </c>
      <c r="G291" s="183">
        <v>695</v>
      </c>
      <c r="H291" s="183">
        <v>19206</v>
      </c>
      <c r="I291" s="183">
        <v>7781</v>
      </c>
      <c r="J291" s="183">
        <v>44</v>
      </c>
      <c r="K291" s="183">
        <v>111</v>
      </c>
      <c r="L291" s="183">
        <v>90</v>
      </c>
      <c r="M291" s="183">
        <v>15758</v>
      </c>
      <c r="N291" s="183">
        <v>30</v>
      </c>
      <c r="O291" s="183">
        <v>525</v>
      </c>
      <c r="P291" s="183">
        <v>54103</v>
      </c>
      <c r="Q291" s="183">
        <v>73</v>
      </c>
    </row>
    <row r="292" spans="1:17">
      <c r="A292" s="183" t="s">
        <v>2062</v>
      </c>
      <c r="B292" s="183" t="s">
        <v>686</v>
      </c>
      <c r="C292" s="183" t="s">
        <v>1856</v>
      </c>
      <c r="D292" s="183">
        <v>102</v>
      </c>
      <c r="E292" s="183">
        <v>114</v>
      </c>
      <c r="F292" s="183">
        <v>4358</v>
      </c>
      <c r="G292" s="183">
        <v>589</v>
      </c>
      <c r="H292" s="183">
        <v>411</v>
      </c>
      <c r="I292" s="183">
        <v>848</v>
      </c>
      <c r="J292" s="183">
        <v>44</v>
      </c>
      <c r="K292" s="183">
        <v>0</v>
      </c>
      <c r="L292" s="183">
        <v>0</v>
      </c>
      <c r="M292" s="183">
        <v>0</v>
      </c>
      <c r="N292" s="183">
        <v>1992</v>
      </c>
      <c r="O292" s="183">
        <v>114</v>
      </c>
      <c r="P292" s="183">
        <v>7350</v>
      </c>
      <c r="Q292" s="183">
        <v>65</v>
      </c>
    </row>
    <row r="293" spans="1:17">
      <c r="A293" s="183" t="s">
        <v>2062</v>
      </c>
      <c r="B293" s="183" t="s">
        <v>218</v>
      </c>
      <c r="C293" s="183" t="s">
        <v>2323</v>
      </c>
      <c r="D293" s="183">
        <v>50</v>
      </c>
      <c r="E293" s="183">
        <v>47</v>
      </c>
      <c r="F293" s="183">
        <v>2058</v>
      </c>
      <c r="G293" s="183">
        <v>0</v>
      </c>
      <c r="H293" s="183">
        <v>0</v>
      </c>
      <c r="I293" s="183">
        <v>34</v>
      </c>
      <c r="J293" s="183">
        <v>44</v>
      </c>
      <c r="K293" s="183">
        <v>0</v>
      </c>
      <c r="L293" s="183">
        <v>0</v>
      </c>
      <c r="M293" s="183">
        <v>0</v>
      </c>
      <c r="N293" s="183">
        <v>102</v>
      </c>
      <c r="O293" s="183">
        <v>47</v>
      </c>
      <c r="P293" s="183">
        <v>2160</v>
      </c>
      <c r="Q293" s="183">
        <v>46</v>
      </c>
    </row>
    <row r="294" spans="1:17">
      <c r="A294" s="183" t="s">
        <v>2062</v>
      </c>
      <c r="B294" s="183" t="s">
        <v>787</v>
      </c>
      <c r="C294" s="183" t="s">
        <v>2324</v>
      </c>
      <c r="D294" s="183">
        <v>49</v>
      </c>
      <c r="E294" s="183">
        <v>54</v>
      </c>
      <c r="F294" s="183">
        <v>1584</v>
      </c>
      <c r="G294" s="183">
        <v>836</v>
      </c>
      <c r="H294" s="183">
        <v>0</v>
      </c>
      <c r="I294" s="183">
        <v>86</v>
      </c>
      <c r="J294" s="183">
        <v>44</v>
      </c>
      <c r="K294" s="183">
        <v>0</v>
      </c>
      <c r="L294" s="183">
        <v>0</v>
      </c>
      <c r="M294" s="183">
        <v>0</v>
      </c>
      <c r="N294" s="183">
        <v>2642</v>
      </c>
      <c r="O294" s="183">
        <v>54</v>
      </c>
      <c r="P294" s="183">
        <v>5062</v>
      </c>
      <c r="Q294" s="183">
        <v>93</v>
      </c>
    </row>
    <row r="295" spans="1:17">
      <c r="A295" s="183" t="s">
        <v>2062</v>
      </c>
      <c r="B295" s="183" t="s">
        <v>813</v>
      </c>
      <c r="C295" s="183" t="s">
        <v>2325</v>
      </c>
      <c r="D295" s="183">
        <v>74</v>
      </c>
      <c r="E295" s="183">
        <v>63</v>
      </c>
      <c r="F295" s="183">
        <v>2825</v>
      </c>
      <c r="G295" s="183">
        <v>22</v>
      </c>
      <c r="H295" s="183">
        <v>37</v>
      </c>
      <c r="I295" s="183">
        <v>81</v>
      </c>
      <c r="J295" s="183">
        <v>45</v>
      </c>
      <c r="K295" s="183">
        <v>8</v>
      </c>
      <c r="L295" s="183">
        <v>9</v>
      </c>
      <c r="M295" s="183">
        <v>460</v>
      </c>
      <c r="N295" s="183">
        <v>109459</v>
      </c>
      <c r="O295" s="183">
        <v>72</v>
      </c>
      <c r="P295" s="183">
        <v>112803</v>
      </c>
      <c r="Q295" s="183">
        <v>1570</v>
      </c>
    </row>
    <row r="296" spans="1:17">
      <c r="A296" s="183" t="s">
        <v>2062</v>
      </c>
      <c r="B296" s="183" t="s">
        <v>630</v>
      </c>
      <c r="C296" s="183" t="s">
        <v>2326</v>
      </c>
      <c r="D296" s="183">
        <v>43</v>
      </c>
      <c r="E296" s="183">
        <v>43</v>
      </c>
      <c r="F296" s="183">
        <v>1925</v>
      </c>
      <c r="G296" s="183">
        <v>4</v>
      </c>
      <c r="H296" s="183">
        <v>0</v>
      </c>
      <c r="I296" s="183">
        <v>55</v>
      </c>
      <c r="J296" s="183">
        <v>45</v>
      </c>
      <c r="K296" s="183">
        <v>3</v>
      </c>
      <c r="L296" s="183">
        <v>5</v>
      </c>
      <c r="M296" s="183">
        <v>182</v>
      </c>
      <c r="N296" s="183">
        <v>56</v>
      </c>
      <c r="O296" s="183">
        <v>48</v>
      </c>
      <c r="P296" s="183">
        <v>2167</v>
      </c>
      <c r="Q296" s="183">
        <v>41</v>
      </c>
    </row>
    <row r="297" spans="1:17">
      <c r="A297" s="183" t="s">
        <v>2068</v>
      </c>
      <c r="B297" s="183" t="s">
        <v>1003</v>
      </c>
      <c r="C297" s="183" t="s">
        <v>2327</v>
      </c>
      <c r="D297" s="183">
        <v>347</v>
      </c>
      <c r="E297" s="183">
        <v>430</v>
      </c>
      <c r="F297" s="183">
        <v>18986</v>
      </c>
      <c r="G297" s="183">
        <v>252</v>
      </c>
      <c r="H297" s="183">
        <v>4</v>
      </c>
      <c r="I297" s="183">
        <v>3562</v>
      </c>
      <c r="J297" s="183">
        <v>45</v>
      </c>
      <c r="K297" s="183">
        <v>0</v>
      </c>
      <c r="L297" s="183">
        <v>0</v>
      </c>
      <c r="M297" s="183">
        <v>0</v>
      </c>
      <c r="N297" s="183">
        <v>56</v>
      </c>
      <c r="O297" s="183">
        <v>430</v>
      </c>
      <c r="P297" s="183">
        <v>19298</v>
      </c>
      <c r="Q297" s="183">
        <v>45</v>
      </c>
    </row>
    <row r="298" spans="1:17">
      <c r="A298" s="183" t="s">
        <v>2062</v>
      </c>
      <c r="B298" s="183" t="s">
        <v>541</v>
      </c>
      <c r="C298" s="183" t="s">
        <v>2328</v>
      </c>
      <c r="D298" s="183">
        <v>21</v>
      </c>
      <c r="E298" s="183">
        <v>22</v>
      </c>
      <c r="F298" s="183">
        <v>667</v>
      </c>
      <c r="G298" s="183">
        <v>310</v>
      </c>
      <c r="H298" s="183">
        <v>786</v>
      </c>
      <c r="I298" s="183">
        <v>21</v>
      </c>
      <c r="J298" s="183">
        <v>45</v>
      </c>
      <c r="K298" s="183">
        <v>0</v>
      </c>
      <c r="L298" s="183">
        <v>0</v>
      </c>
      <c r="M298" s="183">
        <v>37</v>
      </c>
      <c r="N298" s="183">
        <v>1800</v>
      </c>
      <c r="O298" s="183">
        <v>22</v>
      </c>
      <c r="P298" s="183">
        <v>3600</v>
      </c>
      <c r="Q298" s="183">
        <v>164</v>
      </c>
    </row>
    <row r="299" spans="1:17">
      <c r="A299" s="183" t="s">
        <v>2068</v>
      </c>
      <c r="B299" s="183" t="s">
        <v>1261</v>
      </c>
      <c r="C299" s="183" t="s">
        <v>2329</v>
      </c>
      <c r="D299" s="183">
        <v>88</v>
      </c>
      <c r="E299" s="183">
        <v>80</v>
      </c>
      <c r="F299" s="183">
        <v>3614</v>
      </c>
      <c r="G299" s="183">
        <v>19</v>
      </c>
      <c r="H299" s="183">
        <v>7622</v>
      </c>
      <c r="I299" s="183">
        <v>153</v>
      </c>
      <c r="J299" s="183">
        <v>45</v>
      </c>
      <c r="K299" s="183">
        <v>0</v>
      </c>
      <c r="L299" s="183">
        <v>0</v>
      </c>
      <c r="M299" s="183">
        <v>0</v>
      </c>
      <c r="N299" s="183">
        <v>16808</v>
      </c>
      <c r="O299" s="183">
        <v>80</v>
      </c>
      <c r="P299" s="183">
        <v>28063</v>
      </c>
      <c r="Q299" s="183">
        <v>350</v>
      </c>
    </row>
    <row r="300" spans="1:17">
      <c r="A300" s="183" t="s">
        <v>2068</v>
      </c>
      <c r="B300" s="183" t="s">
        <v>1183</v>
      </c>
      <c r="C300" s="183" t="s">
        <v>2330</v>
      </c>
      <c r="D300" s="183">
        <v>29</v>
      </c>
      <c r="E300" s="183">
        <v>28</v>
      </c>
      <c r="F300" s="183">
        <v>1255</v>
      </c>
      <c r="G300" s="183">
        <v>9</v>
      </c>
      <c r="H300" s="183">
        <v>2200</v>
      </c>
      <c r="I300" s="183">
        <v>28</v>
      </c>
      <c r="J300" s="183">
        <v>45</v>
      </c>
      <c r="K300" s="183">
        <v>0</v>
      </c>
      <c r="L300" s="183">
        <v>0</v>
      </c>
      <c r="M300" s="183">
        <v>0</v>
      </c>
      <c r="N300" s="183">
        <v>2801</v>
      </c>
      <c r="O300" s="183">
        <v>28</v>
      </c>
      <c r="P300" s="183">
        <v>6265</v>
      </c>
      <c r="Q300" s="183">
        <v>224</v>
      </c>
    </row>
    <row r="301" spans="1:17">
      <c r="A301" s="183" t="s">
        <v>2068</v>
      </c>
      <c r="B301" s="183" t="s">
        <v>976</v>
      </c>
      <c r="C301" s="183" t="s">
        <v>2331</v>
      </c>
      <c r="D301" s="183">
        <v>36</v>
      </c>
      <c r="E301" s="183">
        <v>37</v>
      </c>
      <c r="F301" s="183">
        <v>1601</v>
      </c>
      <c r="G301" s="183">
        <v>48</v>
      </c>
      <c r="H301" s="183">
        <v>0</v>
      </c>
      <c r="I301" s="183">
        <v>79</v>
      </c>
      <c r="J301" s="183">
        <v>45</v>
      </c>
      <c r="K301" s="183">
        <v>0</v>
      </c>
      <c r="L301" s="183">
        <v>0</v>
      </c>
      <c r="M301" s="183">
        <v>0</v>
      </c>
      <c r="N301" s="183">
        <v>0</v>
      </c>
      <c r="O301" s="183">
        <v>37</v>
      </c>
      <c r="P301" s="183">
        <v>1649</v>
      </c>
      <c r="Q301" s="183">
        <v>45</v>
      </c>
    </row>
    <row r="302" spans="1:17">
      <c r="A302" s="183" t="s">
        <v>2062</v>
      </c>
      <c r="B302" s="183" t="s">
        <v>750</v>
      </c>
      <c r="C302" s="183" t="s">
        <v>2332</v>
      </c>
      <c r="D302" s="183">
        <v>24</v>
      </c>
      <c r="E302" s="183">
        <v>25</v>
      </c>
      <c r="F302" s="183">
        <v>1135</v>
      </c>
      <c r="G302" s="183">
        <v>1</v>
      </c>
      <c r="H302" s="183">
        <v>1474</v>
      </c>
      <c r="I302" s="183">
        <v>32</v>
      </c>
      <c r="J302" s="183">
        <v>45</v>
      </c>
      <c r="K302" s="183">
        <v>0</v>
      </c>
      <c r="L302" s="183">
        <v>0</v>
      </c>
      <c r="M302" s="183">
        <v>0</v>
      </c>
      <c r="N302" s="183">
        <v>5298</v>
      </c>
      <c r="O302" s="183">
        <v>25</v>
      </c>
      <c r="P302" s="183">
        <v>7908</v>
      </c>
      <c r="Q302" s="183">
        <v>316</v>
      </c>
    </row>
    <row r="303" spans="1:17">
      <c r="A303" s="183" t="s">
        <v>2062</v>
      </c>
      <c r="B303" s="183" t="s">
        <v>421</v>
      </c>
      <c r="C303" s="183" t="s">
        <v>420</v>
      </c>
      <c r="D303" s="183">
        <v>22</v>
      </c>
      <c r="E303" s="183">
        <v>21</v>
      </c>
      <c r="F303" s="183">
        <v>954</v>
      </c>
      <c r="G303" s="183">
        <v>1</v>
      </c>
      <c r="H303" s="183">
        <v>2250</v>
      </c>
      <c r="I303" s="183">
        <v>19</v>
      </c>
      <c r="J303" s="183">
        <v>45</v>
      </c>
      <c r="K303" s="183">
        <v>0</v>
      </c>
      <c r="L303" s="183">
        <v>0</v>
      </c>
      <c r="M303" s="183">
        <v>0</v>
      </c>
      <c r="N303" s="183">
        <v>0</v>
      </c>
      <c r="O303" s="183">
        <v>21</v>
      </c>
      <c r="P303" s="183">
        <v>3205</v>
      </c>
      <c r="Q303" s="183">
        <v>152</v>
      </c>
    </row>
    <row r="304" spans="1:17">
      <c r="A304" s="183" t="s">
        <v>2078</v>
      </c>
      <c r="B304" s="183" t="s">
        <v>1553</v>
      </c>
      <c r="C304" s="183" t="s">
        <v>2333</v>
      </c>
      <c r="D304" s="183">
        <v>59</v>
      </c>
      <c r="E304" s="183">
        <v>34</v>
      </c>
      <c r="F304" s="183">
        <v>1473</v>
      </c>
      <c r="G304" s="183">
        <v>75</v>
      </c>
      <c r="H304" s="183">
        <v>2632</v>
      </c>
      <c r="I304" s="183">
        <v>33</v>
      </c>
      <c r="J304" s="183">
        <v>46</v>
      </c>
      <c r="K304" s="183">
        <v>0</v>
      </c>
      <c r="L304" s="183">
        <v>0</v>
      </c>
      <c r="M304" s="183">
        <v>0</v>
      </c>
      <c r="N304" s="183">
        <v>577</v>
      </c>
      <c r="O304" s="183">
        <v>34</v>
      </c>
      <c r="P304" s="183">
        <v>4757</v>
      </c>
      <c r="Q304" s="183">
        <v>141</v>
      </c>
    </row>
    <row r="305" spans="1:17">
      <c r="A305" s="183" t="s">
        <v>2068</v>
      </c>
      <c r="B305" s="183" t="s">
        <v>1309</v>
      </c>
      <c r="C305" s="183" t="s">
        <v>2026</v>
      </c>
      <c r="D305" s="183">
        <v>2917</v>
      </c>
      <c r="E305" s="183">
        <v>3639</v>
      </c>
      <c r="F305" s="183">
        <v>142956</v>
      </c>
      <c r="G305" s="183">
        <v>25424</v>
      </c>
      <c r="H305" s="183">
        <v>127763</v>
      </c>
      <c r="I305" s="183">
        <v>22243</v>
      </c>
      <c r="J305" s="183">
        <v>46</v>
      </c>
      <c r="K305" s="183">
        <v>0</v>
      </c>
      <c r="L305" s="183">
        <v>0</v>
      </c>
      <c r="M305" s="183">
        <v>0</v>
      </c>
      <c r="N305" s="183">
        <v>368</v>
      </c>
      <c r="O305" s="183">
        <v>3639</v>
      </c>
      <c r="P305" s="183">
        <v>296511</v>
      </c>
      <c r="Q305" s="183">
        <v>81</v>
      </c>
    </row>
    <row r="306" spans="1:17">
      <c r="A306" s="183" t="s">
        <v>2062</v>
      </c>
      <c r="B306" s="183" t="s">
        <v>736</v>
      </c>
      <c r="C306" s="183" t="s">
        <v>735</v>
      </c>
      <c r="D306" s="183">
        <v>148</v>
      </c>
      <c r="E306" s="183">
        <v>143</v>
      </c>
      <c r="F306" s="183">
        <v>6539</v>
      </c>
      <c r="G306" s="183">
        <v>71</v>
      </c>
      <c r="H306" s="183">
        <v>0</v>
      </c>
      <c r="I306" s="183">
        <v>910</v>
      </c>
      <c r="J306" s="183">
        <v>46</v>
      </c>
      <c r="K306" s="183">
        <v>87</v>
      </c>
      <c r="L306" s="183">
        <v>58</v>
      </c>
      <c r="M306" s="183">
        <v>3124</v>
      </c>
      <c r="N306" s="183">
        <v>710</v>
      </c>
      <c r="O306" s="183">
        <v>202</v>
      </c>
      <c r="P306" s="183">
        <v>10444</v>
      </c>
      <c r="Q306" s="183">
        <v>36</v>
      </c>
    </row>
    <row r="307" spans="1:17">
      <c r="A307" s="183" t="s">
        <v>2062</v>
      </c>
      <c r="B307" s="183" t="s">
        <v>503</v>
      </c>
      <c r="C307" s="183" t="s">
        <v>2334</v>
      </c>
      <c r="D307" s="183">
        <v>129</v>
      </c>
      <c r="E307" s="183">
        <v>141</v>
      </c>
      <c r="F307" s="183">
        <v>5641</v>
      </c>
      <c r="G307" s="183">
        <v>766</v>
      </c>
      <c r="H307" s="183">
        <v>1022</v>
      </c>
      <c r="I307" s="183">
        <v>843</v>
      </c>
      <c r="J307" s="183">
        <v>46</v>
      </c>
      <c r="K307" s="183">
        <v>16</v>
      </c>
      <c r="L307" s="183">
        <v>15</v>
      </c>
      <c r="M307" s="183">
        <v>1262</v>
      </c>
      <c r="N307" s="183">
        <v>4645</v>
      </c>
      <c r="O307" s="183">
        <v>156</v>
      </c>
      <c r="P307" s="183">
        <v>13336</v>
      </c>
      <c r="Q307" s="183">
        <v>77</v>
      </c>
    </row>
    <row r="308" spans="1:17">
      <c r="A308" s="183" t="s">
        <v>2062</v>
      </c>
      <c r="B308" s="183" t="s">
        <v>240</v>
      </c>
      <c r="C308" s="183" t="s">
        <v>2335</v>
      </c>
      <c r="D308" s="183">
        <v>70</v>
      </c>
      <c r="E308" s="183">
        <v>47</v>
      </c>
      <c r="F308" s="183">
        <v>2135</v>
      </c>
      <c r="G308" s="183">
        <v>11</v>
      </c>
      <c r="H308" s="183">
        <v>2</v>
      </c>
      <c r="I308" s="183">
        <v>41</v>
      </c>
      <c r="J308" s="183">
        <v>46</v>
      </c>
      <c r="K308" s="183">
        <v>0</v>
      </c>
      <c r="L308" s="183">
        <v>0</v>
      </c>
      <c r="M308" s="183">
        <v>0</v>
      </c>
      <c r="N308" s="183">
        <v>0</v>
      </c>
      <c r="O308" s="183">
        <v>47</v>
      </c>
      <c r="P308" s="183">
        <v>2148</v>
      </c>
      <c r="Q308" s="183">
        <v>46</v>
      </c>
    </row>
    <row r="309" spans="1:17">
      <c r="A309" s="183" t="s">
        <v>2062</v>
      </c>
      <c r="B309" s="183" t="s">
        <v>321</v>
      </c>
      <c r="C309" s="183" t="s">
        <v>2336</v>
      </c>
      <c r="D309" s="183">
        <v>15</v>
      </c>
      <c r="E309" s="183">
        <v>18</v>
      </c>
      <c r="F309" s="183">
        <v>777</v>
      </c>
      <c r="G309" s="183">
        <v>45</v>
      </c>
      <c r="H309" s="183">
        <v>253</v>
      </c>
      <c r="I309" s="183">
        <v>19</v>
      </c>
      <c r="J309" s="183">
        <v>47</v>
      </c>
      <c r="K309" s="183">
        <v>1</v>
      </c>
      <c r="L309" s="183">
        <v>0</v>
      </c>
      <c r="M309" s="183">
        <v>101</v>
      </c>
      <c r="N309" s="183">
        <v>631</v>
      </c>
      <c r="O309" s="183">
        <v>18</v>
      </c>
      <c r="P309" s="183">
        <v>1807</v>
      </c>
      <c r="Q309" s="183">
        <v>95</v>
      </c>
    </row>
    <row r="310" spans="1:17">
      <c r="A310" s="183" t="s">
        <v>2078</v>
      </c>
      <c r="B310" s="183" t="s">
        <v>1441</v>
      </c>
      <c r="C310" s="183" t="s">
        <v>2337</v>
      </c>
      <c r="D310" s="183">
        <v>33</v>
      </c>
      <c r="E310" s="183">
        <v>29</v>
      </c>
      <c r="F310" s="183">
        <v>1307</v>
      </c>
      <c r="G310" s="183">
        <v>31</v>
      </c>
      <c r="H310" s="183">
        <v>1723</v>
      </c>
      <c r="I310" s="183">
        <v>56</v>
      </c>
      <c r="J310" s="183">
        <v>47</v>
      </c>
      <c r="K310" s="183">
        <v>0</v>
      </c>
      <c r="L310" s="183">
        <v>0</v>
      </c>
      <c r="M310" s="183">
        <v>0</v>
      </c>
      <c r="N310" s="183">
        <v>1349</v>
      </c>
      <c r="O310" s="183">
        <v>29</v>
      </c>
      <c r="P310" s="183">
        <v>4410</v>
      </c>
      <c r="Q310" s="183">
        <v>154</v>
      </c>
    </row>
    <row r="311" spans="1:17">
      <c r="A311" s="183" t="s">
        <v>2068</v>
      </c>
      <c r="B311" s="183" t="s">
        <v>1175</v>
      </c>
      <c r="C311" s="183" t="s">
        <v>2033</v>
      </c>
      <c r="D311" s="183">
        <v>32</v>
      </c>
      <c r="E311" s="183">
        <v>23</v>
      </c>
      <c r="F311" s="183">
        <v>992</v>
      </c>
      <c r="G311" s="183">
        <v>67</v>
      </c>
      <c r="H311" s="183">
        <v>2450</v>
      </c>
      <c r="I311" s="183">
        <v>11</v>
      </c>
      <c r="J311" s="183">
        <v>47</v>
      </c>
      <c r="K311" s="183">
        <v>0</v>
      </c>
      <c r="L311" s="183">
        <v>0</v>
      </c>
      <c r="M311" s="183">
        <v>0</v>
      </c>
      <c r="N311" s="183">
        <v>5745</v>
      </c>
      <c r="O311" s="183">
        <v>23</v>
      </c>
      <c r="P311" s="183">
        <v>9254</v>
      </c>
      <c r="Q311" s="183">
        <v>410</v>
      </c>
    </row>
    <row r="312" spans="1:17">
      <c r="A312" s="183" t="s">
        <v>2062</v>
      </c>
      <c r="B312" s="183" t="s">
        <v>854</v>
      </c>
      <c r="C312" s="183" t="s">
        <v>2338</v>
      </c>
      <c r="D312" s="183">
        <v>96</v>
      </c>
      <c r="E312" s="183">
        <v>86</v>
      </c>
      <c r="F312" s="183">
        <v>3407</v>
      </c>
      <c r="G312" s="183">
        <v>592</v>
      </c>
      <c r="H312" s="183">
        <v>2653</v>
      </c>
      <c r="I312" s="183">
        <v>147</v>
      </c>
      <c r="J312" s="183">
        <v>47</v>
      </c>
      <c r="K312" s="183">
        <v>8</v>
      </c>
      <c r="L312" s="183">
        <v>10</v>
      </c>
      <c r="M312" s="183">
        <v>645</v>
      </c>
      <c r="N312" s="183">
        <v>328</v>
      </c>
      <c r="O312" s="183">
        <v>96</v>
      </c>
      <c r="P312" s="183">
        <v>7625</v>
      </c>
      <c r="Q312" s="183">
        <v>72</v>
      </c>
    </row>
    <row r="313" spans="1:17">
      <c r="A313" s="183" t="s">
        <v>2062</v>
      </c>
      <c r="B313" s="183" t="s">
        <v>862</v>
      </c>
      <c r="C313" s="183" t="s">
        <v>2339</v>
      </c>
      <c r="D313" s="183">
        <v>86</v>
      </c>
      <c r="E313" s="183">
        <v>79</v>
      </c>
      <c r="F313" s="183">
        <v>2796</v>
      </c>
      <c r="G313" s="183">
        <v>920</v>
      </c>
      <c r="H313" s="183">
        <v>4800</v>
      </c>
      <c r="I313" s="183">
        <v>71</v>
      </c>
      <c r="J313" s="183">
        <v>47</v>
      </c>
      <c r="K313" s="183">
        <v>92</v>
      </c>
      <c r="L313" s="183">
        <v>77</v>
      </c>
      <c r="M313" s="183">
        <v>9688</v>
      </c>
      <c r="N313" s="183">
        <v>449</v>
      </c>
      <c r="O313" s="183">
        <v>156</v>
      </c>
      <c r="P313" s="183">
        <v>18653</v>
      </c>
      <c r="Q313" s="183">
        <v>57</v>
      </c>
    </row>
    <row r="314" spans="1:17">
      <c r="A314" s="183" t="s">
        <v>2062</v>
      </c>
      <c r="B314" s="183" t="s">
        <v>578</v>
      </c>
      <c r="C314" s="183" t="s">
        <v>2340</v>
      </c>
      <c r="D314" s="183">
        <v>132</v>
      </c>
      <c r="E314" s="183">
        <v>156</v>
      </c>
      <c r="F314" s="183">
        <v>7222</v>
      </c>
      <c r="G314" s="183">
        <v>45</v>
      </c>
      <c r="H314" s="183">
        <v>1698</v>
      </c>
      <c r="I314" s="183">
        <v>162</v>
      </c>
      <c r="J314" s="183">
        <v>47</v>
      </c>
      <c r="K314" s="183">
        <v>0</v>
      </c>
      <c r="L314" s="183">
        <v>0</v>
      </c>
      <c r="M314" s="183">
        <v>0</v>
      </c>
      <c r="N314" s="183">
        <v>0</v>
      </c>
      <c r="O314" s="183">
        <v>156</v>
      </c>
      <c r="P314" s="183">
        <v>8965</v>
      </c>
      <c r="Q314" s="183">
        <v>57</v>
      </c>
    </row>
    <row r="315" spans="1:17">
      <c r="A315" s="183" t="s">
        <v>2062</v>
      </c>
      <c r="B315" s="183" t="s">
        <v>168</v>
      </c>
      <c r="C315" s="183" t="s">
        <v>2341</v>
      </c>
      <c r="D315" s="183">
        <v>35</v>
      </c>
      <c r="E315" s="183">
        <v>36</v>
      </c>
      <c r="F315" s="183">
        <v>1710</v>
      </c>
      <c r="G315" s="183">
        <v>3</v>
      </c>
      <c r="H315" s="183">
        <v>672</v>
      </c>
      <c r="I315" s="183">
        <v>19</v>
      </c>
      <c r="J315" s="183">
        <v>47</v>
      </c>
      <c r="K315" s="183">
        <v>0</v>
      </c>
      <c r="L315" s="183">
        <v>0</v>
      </c>
      <c r="M315" s="183">
        <v>0</v>
      </c>
      <c r="N315" s="183">
        <v>3838</v>
      </c>
      <c r="O315" s="183">
        <v>36</v>
      </c>
      <c r="P315" s="183">
        <v>6223</v>
      </c>
      <c r="Q315" s="183">
        <v>172</v>
      </c>
    </row>
    <row r="316" spans="1:17">
      <c r="A316" s="183" t="s">
        <v>2062</v>
      </c>
      <c r="B316" s="183" t="s">
        <v>598</v>
      </c>
      <c r="C316" s="183" t="s">
        <v>2034</v>
      </c>
      <c r="D316" s="183">
        <v>26</v>
      </c>
      <c r="E316" s="183">
        <v>40</v>
      </c>
      <c r="F316" s="183">
        <v>1899</v>
      </c>
      <c r="G316" s="183">
        <v>0</v>
      </c>
      <c r="H316" s="183">
        <v>0</v>
      </c>
      <c r="I316" s="183">
        <v>54</v>
      </c>
      <c r="J316" s="183">
        <v>47</v>
      </c>
      <c r="K316" s="183">
        <v>0</v>
      </c>
      <c r="L316" s="183">
        <v>0</v>
      </c>
      <c r="M316" s="183">
        <v>0</v>
      </c>
      <c r="N316" s="183">
        <v>4253</v>
      </c>
      <c r="O316" s="183">
        <v>40</v>
      </c>
      <c r="P316" s="183">
        <v>6152</v>
      </c>
      <c r="Q316" s="183">
        <v>153</v>
      </c>
    </row>
    <row r="317" spans="1:17">
      <c r="A317" s="183" t="s">
        <v>2062</v>
      </c>
      <c r="B317" s="183" t="s">
        <v>184</v>
      </c>
      <c r="C317" s="183" t="s">
        <v>2342</v>
      </c>
      <c r="D317" s="183">
        <v>12</v>
      </c>
      <c r="E317" s="183">
        <v>13</v>
      </c>
      <c r="F317" s="183">
        <v>610</v>
      </c>
      <c r="G317" s="183">
        <v>12</v>
      </c>
      <c r="H317" s="183">
        <v>327</v>
      </c>
      <c r="I317" s="183">
        <v>39</v>
      </c>
      <c r="J317" s="183">
        <v>48</v>
      </c>
      <c r="K317" s="183">
        <v>1</v>
      </c>
      <c r="L317" s="183">
        <v>0</v>
      </c>
      <c r="M317" s="183">
        <v>57</v>
      </c>
      <c r="N317" s="183">
        <v>1324</v>
      </c>
      <c r="O317" s="183">
        <v>13</v>
      </c>
      <c r="P317" s="183">
        <v>2330</v>
      </c>
      <c r="Q317" s="183">
        <v>171</v>
      </c>
    </row>
    <row r="318" spans="1:17">
      <c r="A318" s="183" t="s">
        <v>2078</v>
      </c>
      <c r="B318" s="183" t="s">
        <v>1423</v>
      </c>
      <c r="C318" s="183" t="s">
        <v>2343</v>
      </c>
      <c r="D318" s="183">
        <v>31</v>
      </c>
      <c r="E318" s="183">
        <v>31</v>
      </c>
      <c r="F318" s="183">
        <v>1474</v>
      </c>
      <c r="G318" s="183">
        <v>0</v>
      </c>
      <c r="H318" s="183">
        <v>20</v>
      </c>
      <c r="I318" s="183">
        <v>46</v>
      </c>
      <c r="J318" s="183">
        <v>48</v>
      </c>
      <c r="K318" s="183">
        <v>0</v>
      </c>
      <c r="L318" s="183">
        <v>0</v>
      </c>
      <c r="M318" s="183">
        <v>0</v>
      </c>
      <c r="N318" s="183">
        <v>2245</v>
      </c>
      <c r="O318" s="183">
        <v>31</v>
      </c>
      <c r="P318" s="183">
        <v>3739</v>
      </c>
      <c r="Q318" s="183">
        <v>121</v>
      </c>
    </row>
    <row r="319" spans="1:17">
      <c r="A319" s="183" t="s">
        <v>2062</v>
      </c>
      <c r="B319" s="183" t="s">
        <v>903</v>
      </c>
      <c r="C319" s="183" t="s">
        <v>2344</v>
      </c>
      <c r="D319" s="183">
        <v>97</v>
      </c>
      <c r="E319" s="183">
        <v>59</v>
      </c>
      <c r="F319" s="183">
        <v>2317</v>
      </c>
      <c r="G319" s="183">
        <v>505</v>
      </c>
      <c r="H319" s="183">
        <v>343</v>
      </c>
      <c r="I319" s="183">
        <v>71</v>
      </c>
      <c r="J319" s="183">
        <v>48</v>
      </c>
      <c r="K319" s="183">
        <v>0</v>
      </c>
      <c r="L319" s="183">
        <v>0</v>
      </c>
      <c r="M319" s="183">
        <v>0</v>
      </c>
      <c r="N319" s="183">
        <v>169</v>
      </c>
      <c r="O319" s="183">
        <v>59</v>
      </c>
      <c r="P319" s="183">
        <v>3334</v>
      </c>
      <c r="Q319" s="183">
        <v>57</v>
      </c>
    </row>
    <row r="320" spans="1:17">
      <c r="A320" s="183" t="s">
        <v>2062</v>
      </c>
      <c r="B320" s="183" t="s">
        <v>746</v>
      </c>
      <c r="C320" s="183" t="s">
        <v>2345</v>
      </c>
      <c r="D320" s="183">
        <v>40</v>
      </c>
      <c r="E320" s="183">
        <v>26</v>
      </c>
      <c r="F320" s="183">
        <v>1256</v>
      </c>
      <c r="G320" s="183">
        <v>0</v>
      </c>
      <c r="H320" s="183">
        <v>644</v>
      </c>
      <c r="I320" s="183">
        <v>17</v>
      </c>
      <c r="J320" s="183">
        <v>48</v>
      </c>
      <c r="K320" s="183">
        <v>0</v>
      </c>
      <c r="L320" s="183">
        <v>0</v>
      </c>
      <c r="M320" s="183">
        <v>275</v>
      </c>
      <c r="N320" s="183">
        <v>202</v>
      </c>
      <c r="O320" s="183">
        <v>26</v>
      </c>
      <c r="P320" s="183">
        <v>2377</v>
      </c>
      <c r="Q320" s="183">
        <v>80</v>
      </c>
    </row>
    <row r="321" spans="1:17">
      <c r="A321" s="183" t="s">
        <v>2068</v>
      </c>
      <c r="B321" s="183" t="s">
        <v>997</v>
      </c>
      <c r="C321" s="183" t="s">
        <v>1939</v>
      </c>
      <c r="D321" s="183">
        <v>20</v>
      </c>
      <c r="E321" s="183">
        <v>22</v>
      </c>
      <c r="F321" s="183">
        <v>1056</v>
      </c>
      <c r="G321" s="183">
        <v>8</v>
      </c>
      <c r="H321" s="183">
        <v>450</v>
      </c>
      <c r="I321" s="183">
        <v>12</v>
      </c>
      <c r="J321" s="183">
        <v>48</v>
      </c>
      <c r="K321" s="183">
        <v>0</v>
      </c>
      <c r="L321" s="183">
        <v>0</v>
      </c>
      <c r="M321" s="183">
        <v>0</v>
      </c>
      <c r="N321" s="183">
        <v>766</v>
      </c>
      <c r="O321" s="183">
        <v>22</v>
      </c>
      <c r="P321" s="183">
        <v>2280</v>
      </c>
      <c r="Q321" s="183">
        <v>102</v>
      </c>
    </row>
    <row r="322" spans="1:17">
      <c r="A322" s="183" t="s">
        <v>2062</v>
      </c>
      <c r="B322" s="183" t="s">
        <v>622</v>
      </c>
      <c r="C322" s="183" t="s">
        <v>2346</v>
      </c>
      <c r="D322" s="183">
        <v>82</v>
      </c>
      <c r="E322" s="183">
        <v>87</v>
      </c>
      <c r="F322" s="183">
        <v>2918</v>
      </c>
      <c r="G322" s="183">
        <v>1333</v>
      </c>
      <c r="H322" s="183">
        <v>2003</v>
      </c>
      <c r="I322" s="183">
        <v>181</v>
      </c>
      <c r="J322" s="183">
        <v>49</v>
      </c>
      <c r="K322" s="183">
        <v>25</v>
      </c>
      <c r="L322" s="183">
        <v>24</v>
      </c>
      <c r="M322" s="183">
        <v>1878</v>
      </c>
      <c r="N322" s="183">
        <v>88</v>
      </c>
      <c r="O322" s="183">
        <v>110</v>
      </c>
      <c r="P322" s="183">
        <v>8220</v>
      </c>
      <c r="Q322" s="183">
        <v>57</v>
      </c>
    </row>
    <row r="323" spans="1:17">
      <c r="A323" s="183" t="s">
        <v>2062</v>
      </c>
      <c r="B323" s="183" t="s">
        <v>860</v>
      </c>
      <c r="C323" s="183" t="s">
        <v>2347</v>
      </c>
      <c r="D323" s="183">
        <v>123</v>
      </c>
      <c r="E323" s="183">
        <v>97</v>
      </c>
      <c r="F323" s="183">
        <v>4743</v>
      </c>
      <c r="G323" s="183">
        <v>51</v>
      </c>
      <c r="H323" s="183">
        <v>9972</v>
      </c>
      <c r="I323" s="183">
        <v>331</v>
      </c>
      <c r="J323" s="183">
        <v>49</v>
      </c>
      <c r="K323" s="183">
        <v>4</v>
      </c>
      <c r="L323" s="183">
        <v>5</v>
      </c>
      <c r="M323" s="183">
        <v>115</v>
      </c>
      <c r="N323" s="183">
        <v>12598</v>
      </c>
      <c r="O323" s="183">
        <v>102</v>
      </c>
      <c r="P323" s="183">
        <v>27479</v>
      </c>
      <c r="Q323" s="183">
        <v>268</v>
      </c>
    </row>
    <row r="324" spans="1:17">
      <c r="A324" s="183" t="s">
        <v>2078</v>
      </c>
      <c r="B324" s="183" t="s">
        <v>1337</v>
      </c>
      <c r="C324" s="183" t="s">
        <v>2348</v>
      </c>
      <c r="D324" s="183">
        <v>23</v>
      </c>
      <c r="E324" s="183">
        <v>33</v>
      </c>
      <c r="F324" s="183">
        <v>981</v>
      </c>
      <c r="G324" s="183">
        <v>649</v>
      </c>
      <c r="H324" s="183">
        <v>351</v>
      </c>
      <c r="I324" s="183">
        <v>34</v>
      </c>
      <c r="J324" s="183">
        <v>49</v>
      </c>
      <c r="K324" s="183">
        <v>0</v>
      </c>
      <c r="L324" s="183">
        <v>0</v>
      </c>
      <c r="M324" s="183">
        <v>0</v>
      </c>
      <c r="N324" s="183">
        <v>2321</v>
      </c>
      <c r="O324" s="183">
        <v>33</v>
      </c>
      <c r="P324" s="183">
        <v>4302</v>
      </c>
      <c r="Q324" s="183">
        <v>130</v>
      </c>
    </row>
    <row r="325" spans="1:17">
      <c r="A325" s="183" t="s">
        <v>2062</v>
      </c>
      <c r="B325" s="183" t="s">
        <v>54</v>
      </c>
      <c r="C325" s="183" t="s">
        <v>53</v>
      </c>
      <c r="D325" s="183">
        <v>97</v>
      </c>
      <c r="E325" s="183">
        <v>129</v>
      </c>
      <c r="F325" s="183">
        <v>5868</v>
      </c>
      <c r="G325" s="183">
        <v>416</v>
      </c>
      <c r="H325" s="183">
        <v>90</v>
      </c>
      <c r="I325" s="183">
        <v>469</v>
      </c>
      <c r="J325" s="183">
        <v>49</v>
      </c>
      <c r="K325" s="183">
        <v>0</v>
      </c>
      <c r="L325" s="183">
        <v>0</v>
      </c>
      <c r="M325" s="183">
        <v>0</v>
      </c>
      <c r="N325" s="183">
        <v>134</v>
      </c>
      <c r="O325" s="183">
        <v>129</v>
      </c>
      <c r="P325" s="183">
        <v>6508</v>
      </c>
      <c r="Q325" s="183">
        <v>51</v>
      </c>
    </row>
    <row r="326" spans="1:17">
      <c r="A326" s="183" t="s">
        <v>2068</v>
      </c>
      <c r="B326" s="183" t="s">
        <v>1271</v>
      </c>
      <c r="C326" s="183" t="s">
        <v>2349</v>
      </c>
      <c r="D326" s="183">
        <v>60</v>
      </c>
      <c r="E326" s="183">
        <v>31</v>
      </c>
      <c r="F326" s="183">
        <v>1521</v>
      </c>
      <c r="G326" s="183">
        <v>11</v>
      </c>
      <c r="H326" s="183">
        <v>4038</v>
      </c>
      <c r="I326" s="183">
        <v>24</v>
      </c>
      <c r="J326" s="183">
        <v>49</v>
      </c>
      <c r="K326" s="183">
        <v>0</v>
      </c>
      <c r="L326" s="183">
        <v>0</v>
      </c>
      <c r="M326" s="183">
        <v>0</v>
      </c>
      <c r="N326" s="183">
        <v>974</v>
      </c>
      <c r="O326" s="183">
        <v>31</v>
      </c>
      <c r="P326" s="183">
        <v>6544</v>
      </c>
      <c r="Q326" s="183">
        <v>210</v>
      </c>
    </row>
    <row r="327" spans="1:17">
      <c r="A327" s="183" t="s">
        <v>2062</v>
      </c>
      <c r="B327" s="183" t="s">
        <v>555</v>
      </c>
      <c r="C327" s="183" t="s">
        <v>1971</v>
      </c>
      <c r="D327" s="183">
        <v>21</v>
      </c>
      <c r="E327" s="183">
        <v>18</v>
      </c>
      <c r="F327" s="183">
        <v>871</v>
      </c>
      <c r="G327" s="183">
        <v>21</v>
      </c>
      <c r="H327" s="183">
        <v>900</v>
      </c>
      <c r="I327" s="183">
        <v>13</v>
      </c>
      <c r="J327" s="183">
        <v>49</v>
      </c>
      <c r="K327" s="183">
        <v>0</v>
      </c>
      <c r="L327" s="183">
        <v>0</v>
      </c>
      <c r="M327" s="183">
        <v>0</v>
      </c>
      <c r="N327" s="183">
        <v>224</v>
      </c>
      <c r="O327" s="183">
        <v>18</v>
      </c>
      <c r="P327" s="183">
        <v>2016</v>
      </c>
      <c r="Q327" s="183">
        <v>111</v>
      </c>
    </row>
    <row r="328" spans="1:17">
      <c r="A328" s="183" t="s">
        <v>2062</v>
      </c>
      <c r="B328" s="183" t="s">
        <v>403</v>
      </c>
      <c r="C328" s="183" t="s">
        <v>2350</v>
      </c>
      <c r="D328" s="183">
        <v>33</v>
      </c>
      <c r="E328" s="183">
        <v>37</v>
      </c>
      <c r="F328" s="183">
        <v>1778</v>
      </c>
      <c r="G328" s="183">
        <v>26</v>
      </c>
      <c r="H328" s="183">
        <v>3</v>
      </c>
      <c r="I328" s="183">
        <v>31</v>
      </c>
      <c r="J328" s="183">
        <v>49</v>
      </c>
      <c r="K328" s="183">
        <v>0</v>
      </c>
      <c r="L328" s="183">
        <v>0</v>
      </c>
      <c r="M328" s="183">
        <v>0</v>
      </c>
      <c r="N328" s="183">
        <v>139</v>
      </c>
      <c r="O328" s="183">
        <v>37</v>
      </c>
      <c r="P328" s="183">
        <v>1946</v>
      </c>
      <c r="Q328" s="183">
        <v>53</v>
      </c>
    </row>
    <row r="329" spans="1:17">
      <c r="A329" s="183" t="s">
        <v>2062</v>
      </c>
      <c r="B329" s="183" t="s">
        <v>775</v>
      </c>
      <c r="C329" s="183" t="s">
        <v>2351</v>
      </c>
      <c r="D329" s="183">
        <v>98</v>
      </c>
      <c r="E329" s="183">
        <v>100</v>
      </c>
      <c r="F329" s="183">
        <v>3557</v>
      </c>
      <c r="G329" s="183">
        <v>1504</v>
      </c>
      <c r="H329" s="183">
        <v>2934</v>
      </c>
      <c r="I329" s="183">
        <v>716</v>
      </c>
      <c r="J329" s="183">
        <v>50</v>
      </c>
      <c r="K329" s="183">
        <v>12</v>
      </c>
      <c r="L329" s="183">
        <v>13</v>
      </c>
      <c r="M329" s="183">
        <v>436</v>
      </c>
      <c r="N329" s="183">
        <v>4691</v>
      </c>
      <c r="O329" s="183">
        <v>114</v>
      </c>
      <c r="P329" s="183">
        <v>13122</v>
      </c>
      <c r="Q329" s="183">
        <v>111</v>
      </c>
    </row>
    <row r="330" spans="1:17">
      <c r="A330" s="183" t="s">
        <v>2062</v>
      </c>
      <c r="B330" s="183" t="s">
        <v>317</v>
      </c>
      <c r="C330" s="183" t="s">
        <v>2352</v>
      </c>
      <c r="D330" s="183">
        <v>61</v>
      </c>
      <c r="E330" s="183">
        <v>56</v>
      </c>
      <c r="F330" s="183">
        <v>2459</v>
      </c>
      <c r="G330" s="183">
        <v>361</v>
      </c>
      <c r="H330" s="183">
        <v>29</v>
      </c>
      <c r="I330" s="183">
        <v>487</v>
      </c>
      <c r="J330" s="183">
        <v>50</v>
      </c>
      <c r="K330" s="183">
        <v>0</v>
      </c>
      <c r="L330" s="183">
        <v>0</v>
      </c>
      <c r="M330" s="183">
        <v>0</v>
      </c>
      <c r="N330" s="183">
        <v>429</v>
      </c>
      <c r="O330" s="183">
        <v>56</v>
      </c>
      <c r="P330" s="183">
        <v>3278</v>
      </c>
      <c r="Q330" s="183">
        <v>58</v>
      </c>
    </row>
    <row r="331" spans="1:17">
      <c r="A331" s="183" t="s">
        <v>2068</v>
      </c>
      <c r="B331" s="183" t="s">
        <v>1193</v>
      </c>
      <c r="C331" s="183" t="s">
        <v>2353</v>
      </c>
      <c r="D331" s="183">
        <v>43</v>
      </c>
      <c r="E331" s="183">
        <v>42</v>
      </c>
      <c r="F331" s="183">
        <v>2052</v>
      </c>
      <c r="G331" s="183">
        <v>42</v>
      </c>
      <c r="H331" s="183">
        <v>89</v>
      </c>
      <c r="I331" s="183">
        <v>71</v>
      </c>
      <c r="J331" s="183">
        <v>50</v>
      </c>
      <c r="K331" s="183">
        <v>0</v>
      </c>
      <c r="L331" s="183">
        <v>0</v>
      </c>
      <c r="M331" s="183">
        <v>0</v>
      </c>
      <c r="N331" s="183">
        <v>0</v>
      </c>
      <c r="O331" s="183">
        <v>42</v>
      </c>
      <c r="P331" s="183">
        <v>2183</v>
      </c>
      <c r="Q331" s="183">
        <v>52</v>
      </c>
    </row>
    <row r="332" spans="1:17">
      <c r="A332" s="183" t="s">
        <v>2062</v>
      </c>
      <c r="B332" s="183" t="s">
        <v>513</v>
      </c>
      <c r="C332" s="183" t="s">
        <v>2354</v>
      </c>
      <c r="D332" s="183">
        <v>32</v>
      </c>
      <c r="E332" s="183">
        <v>32</v>
      </c>
      <c r="F332" s="183">
        <v>1599</v>
      </c>
      <c r="G332" s="183">
        <v>5</v>
      </c>
      <c r="H332" s="183">
        <v>1920</v>
      </c>
      <c r="I332" s="183">
        <v>64</v>
      </c>
      <c r="J332" s="183">
        <v>50</v>
      </c>
      <c r="K332" s="183">
        <v>1</v>
      </c>
      <c r="L332" s="183">
        <v>1</v>
      </c>
      <c r="M332" s="183">
        <v>126</v>
      </c>
      <c r="N332" s="183">
        <v>3066</v>
      </c>
      <c r="O332" s="183">
        <v>33</v>
      </c>
      <c r="P332" s="183">
        <v>6716</v>
      </c>
      <c r="Q332" s="183">
        <v>197</v>
      </c>
    </row>
    <row r="333" spans="1:17">
      <c r="A333" s="183" t="s">
        <v>2062</v>
      </c>
      <c r="B333" s="183" t="s">
        <v>397</v>
      </c>
      <c r="C333" s="183" t="s">
        <v>2355</v>
      </c>
      <c r="D333" s="183">
        <v>15</v>
      </c>
      <c r="E333" s="183">
        <v>16</v>
      </c>
      <c r="F333" s="183">
        <v>795</v>
      </c>
      <c r="G333" s="183">
        <v>1</v>
      </c>
      <c r="H333" s="183">
        <v>0</v>
      </c>
      <c r="I333" s="183">
        <v>22</v>
      </c>
      <c r="J333" s="183">
        <v>50</v>
      </c>
      <c r="K333" s="183">
        <v>0</v>
      </c>
      <c r="L333" s="183">
        <v>0</v>
      </c>
      <c r="M333" s="183">
        <v>15</v>
      </c>
      <c r="N333" s="183">
        <v>2921</v>
      </c>
      <c r="O333" s="183">
        <v>16</v>
      </c>
      <c r="P333" s="183">
        <v>3732</v>
      </c>
      <c r="Q333" s="183">
        <v>230</v>
      </c>
    </row>
    <row r="334" spans="1:17">
      <c r="A334" s="183" t="s">
        <v>2062</v>
      </c>
      <c r="B334" s="183" t="s">
        <v>824</v>
      </c>
      <c r="C334" s="183" t="s">
        <v>2356</v>
      </c>
      <c r="D334" s="183">
        <v>127</v>
      </c>
      <c r="E334" s="183">
        <v>124</v>
      </c>
      <c r="F334" s="183">
        <v>6137</v>
      </c>
      <c r="G334" s="183">
        <v>37</v>
      </c>
      <c r="H334" s="183">
        <v>0</v>
      </c>
      <c r="I334" s="183">
        <v>180</v>
      </c>
      <c r="J334" s="183">
        <v>50</v>
      </c>
      <c r="K334" s="183">
        <v>40</v>
      </c>
      <c r="L334" s="183">
        <v>31</v>
      </c>
      <c r="M334" s="183">
        <v>1775</v>
      </c>
      <c r="N334" s="183">
        <v>0</v>
      </c>
      <c r="O334" s="183">
        <v>155</v>
      </c>
      <c r="P334" s="183">
        <v>7949</v>
      </c>
      <c r="Q334" s="183">
        <v>40</v>
      </c>
    </row>
    <row r="335" spans="1:17">
      <c r="A335" s="183" t="s">
        <v>2078</v>
      </c>
      <c r="B335" s="183" t="s">
        <v>1496</v>
      </c>
      <c r="C335" s="183" t="s">
        <v>2357</v>
      </c>
      <c r="D335" s="183">
        <v>36</v>
      </c>
      <c r="E335" s="183">
        <v>26</v>
      </c>
      <c r="F335" s="183">
        <v>1122</v>
      </c>
      <c r="G335" s="183">
        <v>167</v>
      </c>
      <c r="H335" s="183">
        <v>2631</v>
      </c>
      <c r="I335" s="183">
        <v>40</v>
      </c>
      <c r="J335" s="183">
        <v>50</v>
      </c>
      <c r="K335" s="183">
        <v>0</v>
      </c>
      <c r="L335" s="183">
        <v>0</v>
      </c>
      <c r="M335" s="183">
        <v>0</v>
      </c>
      <c r="N335" s="183">
        <v>2850</v>
      </c>
      <c r="O335" s="183">
        <v>26</v>
      </c>
      <c r="P335" s="183">
        <v>6770</v>
      </c>
      <c r="Q335" s="183">
        <v>260</v>
      </c>
    </row>
    <row r="336" spans="1:17">
      <c r="A336" s="183" t="s">
        <v>2062</v>
      </c>
      <c r="B336" s="183" t="s">
        <v>856</v>
      </c>
      <c r="C336" s="183" t="s">
        <v>2358</v>
      </c>
      <c r="D336" s="183">
        <v>66</v>
      </c>
      <c r="E336" s="183">
        <v>51</v>
      </c>
      <c r="F336" s="183">
        <v>1931</v>
      </c>
      <c r="G336" s="183">
        <v>614</v>
      </c>
      <c r="H336" s="183">
        <v>921</v>
      </c>
      <c r="I336" s="183">
        <v>63</v>
      </c>
      <c r="J336" s="183">
        <v>50</v>
      </c>
      <c r="K336" s="183">
        <v>0</v>
      </c>
      <c r="L336" s="183">
        <v>0</v>
      </c>
      <c r="M336" s="183">
        <v>0</v>
      </c>
      <c r="N336" s="183">
        <v>236</v>
      </c>
      <c r="O336" s="183">
        <v>51</v>
      </c>
      <c r="P336" s="183">
        <v>3702</v>
      </c>
      <c r="Q336" s="183">
        <v>72</v>
      </c>
    </row>
    <row r="337" spans="1:17">
      <c r="A337" s="183" t="s">
        <v>2062</v>
      </c>
      <c r="B337" s="183" t="s">
        <v>680</v>
      </c>
      <c r="C337" s="183" t="s">
        <v>2359</v>
      </c>
      <c r="D337" s="183">
        <v>35</v>
      </c>
      <c r="E337" s="183">
        <v>31</v>
      </c>
      <c r="F337" s="183">
        <v>1560</v>
      </c>
      <c r="G337" s="183">
        <v>14</v>
      </c>
      <c r="H337" s="183">
        <v>1066</v>
      </c>
      <c r="I337" s="183">
        <v>49</v>
      </c>
      <c r="J337" s="183">
        <v>50</v>
      </c>
      <c r="K337" s="183">
        <v>15</v>
      </c>
      <c r="L337" s="183">
        <v>19</v>
      </c>
      <c r="M337" s="183">
        <v>882</v>
      </c>
      <c r="N337" s="183">
        <v>295</v>
      </c>
      <c r="O337" s="183">
        <v>50</v>
      </c>
      <c r="P337" s="183">
        <v>3817</v>
      </c>
      <c r="Q337" s="183">
        <v>58</v>
      </c>
    </row>
    <row r="338" spans="1:17">
      <c r="A338" s="183" t="s">
        <v>2062</v>
      </c>
      <c r="B338" s="183" t="s">
        <v>224</v>
      </c>
      <c r="C338" s="183" t="s">
        <v>2360</v>
      </c>
      <c r="D338" s="183">
        <v>17</v>
      </c>
      <c r="E338" s="183">
        <v>19</v>
      </c>
      <c r="F338" s="183">
        <v>970</v>
      </c>
      <c r="G338" s="183">
        <v>9</v>
      </c>
      <c r="H338" s="183">
        <v>123</v>
      </c>
      <c r="I338" s="183">
        <v>14</v>
      </c>
      <c r="J338" s="183">
        <v>51</v>
      </c>
      <c r="K338" s="183">
        <v>0</v>
      </c>
      <c r="L338" s="183">
        <v>0</v>
      </c>
      <c r="M338" s="183">
        <v>0</v>
      </c>
      <c r="N338" s="183">
        <v>1717</v>
      </c>
      <c r="O338" s="183">
        <v>19</v>
      </c>
      <c r="P338" s="183">
        <v>2819</v>
      </c>
      <c r="Q338" s="183">
        <v>147</v>
      </c>
    </row>
    <row r="339" spans="1:17">
      <c r="A339" s="183" t="s">
        <v>2062</v>
      </c>
      <c r="B339" s="183" t="s">
        <v>576</v>
      </c>
      <c r="C339" s="183" t="s">
        <v>2361</v>
      </c>
      <c r="D339" s="183">
        <v>30</v>
      </c>
      <c r="E339" s="183">
        <v>29</v>
      </c>
      <c r="F339" s="183">
        <v>1504</v>
      </c>
      <c r="G339" s="183">
        <v>4</v>
      </c>
      <c r="H339" s="183">
        <v>250</v>
      </c>
      <c r="I339" s="183">
        <v>38</v>
      </c>
      <c r="J339" s="183">
        <v>51</v>
      </c>
      <c r="K339" s="183">
        <v>0</v>
      </c>
      <c r="L339" s="183">
        <v>0</v>
      </c>
      <c r="M339" s="183">
        <v>0</v>
      </c>
      <c r="N339" s="183">
        <v>0</v>
      </c>
      <c r="O339" s="183">
        <v>29</v>
      </c>
      <c r="P339" s="183">
        <v>1758</v>
      </c>
      <c r="Q339" s="183">
        <v>60</v>
      </c>
    </row>
    <row r="340" spans="1:17">
      <c r="A340" s="183" t="s">
        <v>2068</v>
      </c>
      <c r="B340" s="183" t="s">
        <v>1293</v>
      </c>
      <c r="C340" s="183" t="s">
        <v>2362</v>
      </c>
      <c r="D340" s="183">
        <v>68</v>
      </c>
      <c r="E340" s="183">
        <v>41</v>
      </c>
      <c r="F340" s="183">
        <v>1152</v>
      </c>
      <c r="G340" s="183">
        <v>925</v>
      </c>
      <c r="H340" s="183">
        <v>5910</v>
      </c>
      <c r="I340" s="183">
        <v>65</v>
      </c>
      <c r="J340" s="183">
        <v>51</v>
      </c>
      <c r="K340" s="183">
        <v>0</v>
      </c>
      <c r="L340" s="183">
        <v>0</v>
      </c>
      <c r="M340" s="183">
        <v>0</v>
      </c>
      <c r="N340" s="183">
        <v>5800</v>
      </c>
      <c r="O340" s="183">
        <v>41</v>
      </c>
      <c r="P340" s="183">
        <v>13787</v>
      </c>
      <c r="Q340" s="183">
        <v>340</v>
      </c>
    </row>
    <row r="341" spans="1:17">
      <c r="A341" s="183" t="s">
        <v>2068</v>
      </c>
      <c r="B341" s="183" t="s">
        <v>1133</v>
      </c>
      <c r="C341" s="183" t="s">
        <v>1132</v>
      </c>
      <c r="D341" s="183">
        <v>15</v>
      </c>
      <c r="E341" s="183">
        <v>11</v>
      </c>
      <c r="F341" s="183">
        <v>561</v>
      </c>
      <c r="G341" s="183">
        <v>3</v>
      </c>
      <c r="H341" s="183">
        <v>208</v>
      </c>
      <c r="I341" s="183">
        <v>14</v>
      </c>
      <c r="J341" s="183">
        <v>51</v>
      </c>
      <c r="K341" s="183">
        <v>0</v>
      </c>
      <c r="L341" s="183">
        <v>0</v>
      </c>
      <c r="M341" s="183">
        <v>0</v>
      </c>
      <c r="N341" s="183">
        <v>0</v>
      </c>
      <c r="O341" s="183">
        <v>11</v>
      </c>
      <c r="P341" s="183">
        <v>772</v>
      </c>
      <c r="Q341" s="183">
        <v>69</v>
      </c>
    </row>
    <row r="342" spans="1:17">
      <c r="A342" s="183" t="s">
        <v>2062</v>
      </c>
      <c r="B342" s="183" t="s">
        <v>689</v>
      </c>
      <c r="C342" s="183" t="s">
        <v>2363</v>
      </c>
      <c r="D342" s="183">
        <v>63</v>
      </c>
      <c r="E342" s="183">
        <v>60</v>
      </c>
      <c r="F342" s="183">
        <v>2908</v>
      </c>
      <c r="G342" s="183">
        <v>160</v>
      </c>
      <c r="H342" s="183">
        <v>551</v>
      </c>
      <c r="I342" s="183">
        <v>73</v>
      </c>
      <c r="J342" s="183">
        <v>51</v>
      </c>
      <c r="K342" s="183">
        <v>0</v>
      </c>
      <c r="L342" s="183">
        <v>0</v>
      </c>
      <c r="M342" s="183">
        <v>0</v>
      </c>
      <c r="N342" s="183">
        <v>199</v>
      </c>
      <c r="O342" s="183">
        <v>60</v>
      </c>
      <c r="P342" s="183">
        <v>3818</v>
      </c>
      <c r="Q342" s="183">
        <v>63</v>
      </c>
    </row>
    <row r="343" spans="1:17">
      <c r="A343" s="183" t="s">
        <v>2062</v>
      </c>
      <c r="B343" s="183" t="s">
        <v>259</v>
      </c>
      <c r="C343" s="183" t="s">
        <v>2364</v>
      </c>
      <c r="D343" s="183">
        <v>27</v>
      </c>
      <c r="E343" s="183">
        <v>24</v>
      </c>
      <c r="F343" s="183">
        <v>1230</v>
      </c>
      <c r="G343" s="183">
        <v>12</v>
      </c>
      <c r="H343" s="183">
        <v>14</v>
      </c>
      <c r="I343" s="183">
        <v>37</v>
      </c>
      <c r="J343" s="183">
        <v>51</v>
      </c>
      <c r="K343" s="183">
        <v>2</v>
      </c>
      <c r="L343" s="183">
        <v>1</v>
      </c>
      <c r="M343" s="183">
        <v>279</v>
      </c>
      <c r="N343" s="183">
        <v>0</v>
      </c>
      <c r="O343" s="183">
        <v>25</v>
      </c>
      <c r="P343" s="183">
        <v>1535</v>
      </c>
      <c r="Q343" s="183">
        <v>49</v>
      </c>
    </row>
    <row r="344" spans="1:17">
      <c r="A344" s="183" t="s">
        <v>2078</v>
      </c>
      <c r="B344" s="183" t="s">
        <v>1402</v>
      </c>
      <c r="C344" s="183" t="s">
        <v>2365</v>
      </c>
      <c r="D344" s="183">
        <v>16</v>
      </c>
      <c r="E344" s="183">
        <v>18</v>
      </c>
      <c r="F344" s="183">
        <v>895</v>
      </c>
      <c r="G344" s="183">
        <v>13</v>
      </c>
      <c r="H344" s="183">
        <v>0</v>
      </c>
      <c r="I344" s="183">
        <v>12</v>
      </c>
      <c r="J344" s="183">
        <v>51</v>
      </c>
      <c r="K344" s="183">
        <v>0</v>
      </c>
      <c r="L344" s="183">
        <v>0</v>
      </c>
      <c r="M344" s="183">
        <v>0</v>
      </c>
      <c r="N344" s="183">
        <v>2724</v>
      </c>
      <c r="O344" s="183">
        <v>18</v>
      </c>
      <c r="P344" s="183">
        <v>3632</v>
      </c>
      <c r="Q344" s="183">
        <v>205</v>
      </c>
    </row>
    <row r="345" spans="1:17">
      <c r="A345" s="183" t="s">
        <v>2062</v>
      </c>
      <c r="B345" s="183" t="s">
        <v>922</v>
      </c>
      <c r="C345" s="183" t="s">
        <v>2366</v>
      </c>
      <c r="D345" s="183">
        <v>165</v>
      </c>
      <c r="E345" s="183">
        <v>61</v>
      </c>
      <c r="F345" s="183">
        <v>3031</v>
      </c>
      <c r="G345" s="183">
        <v>144</v>
      </c>
      <c r="H345" s="183">
        <v>4194</v>
      </c>
      <c r="I345" s="183">
        <v>763</v>
      </c>
      <c r="J345" s="183">
        <v>52</v>
      </c>
      <c r="K345" s="183">
        <v>7</v>
      </c>
      <c r="L345" s="183">
        <v>5</v>
      </c>
      <c r="M345" s="183">
        <v>0</v>
      </c>
      <c r="N345" s="183">
        <v>0</v>
      </c>
      <c r="O345" s="183">
        <v>66</v>
      </c>
      <c r="P345" s="183">
        <v>7369</v>
      </c>
      <c r="Q345" s="183">
        <v>112</v>
      </c>
    </row>
    <row r="346" spans="1:17">
      <c r="A346" s="183" t="s">
        <v>2078</v>
      </c>
      <c r="B346" s="183" t="s">
        <v>1372</v>
      </c>
      <c r="C346" s="183" t="s">
        <v>2367</v>
      </c>
      <c r="D346" s="183">
        <v>10</v>
      </c>
      <c r="E346" s="183">
        <v>11</v>
      </c>
      <c r="F346" s="183">
        <v>548</v>
      </c>
      <c r="G346" s="183">
        <v>14</v>
      </c>
      <c r="H346" s="183">
        <v>141</v>
      </c>
      <c r="I346" s="183">
        <v>16</v>
      </c>
      <c r="J346" s="183">
        <v>52</v>
      </c>
      <c r="K346" s="183">
        <v>0</v>
      </c>
      <c r="L346" s="183">
        <v>0</v>
      </c>
      <c r="M346" s="183">
        <v>0</v>
      </c>
      <c r="N346" s="183">
        <v>0</v>
      </c>
      <c r="O346" s="183">
        <v>11</v>
      </c>
      <c r="P346" s="183">
        <v>703</v>
      </c>
      <c r="Q346" s="183">
        <v>66</v>
      </c>
    </row>
    <row r="347" spans="1:17">
      <c r="A347" s="183" t="s">
        <v>2078</v>
      </c>
      <c r="B347" s="183" t="s">
        <v>1572</v>
      </c>
      <c r="C347" s="183" t="s">
        <v>2338</v>
      </c>
      <c r="D347" s="183">
        <v>151</v>
      </c>
      <c r="E347" s="183">
        <v>115</v>
      </c>
      <c r="F347" s="183">
        <v>5950</v>
      </c>
      <c r="G347" s="183">
        <v>39</v>
      </c>
      <c r="H347" s="183">
        <v>11664</v>
      </c>
      <c r="I347" s="183">
        <v>182</v>
      </c>
      <c r="J347" s="183">
        <v>52</v>
      </c>
      <c r="K347" s="183">
        <v>0</v>
      </c>
      <c r="L347" s="183">
        <v>0</v>
      </c>
      <c r="M347" s="183">
        <v>0</v>
      </c>
      <c r="N347" s="183">
        <v>2946</v>
      </c>
      <c r="O347" s="183">
        <v>115</v>
      </c>
      <c r="P347" s="183">
        <v>20599</v>
      </c>
      <c r="Q347" s="183">
        <v>179</v>
      </c>
    </row>
    <row r="348" spans="1:17">
      <c r="A348" s="183" t="s">
        <v>2068</v>
      </c>
      <c r="B348" s="183" t="s">
        <v>1129</v>
      </c>
      <c r="C348" s="183" t="s">
        <v>1128</v>
      </c>
      <c r="D348" s="183">
        <v>26</v>
      </c>
      <c r="E348" s="183">
        <v>20</v>
      </c>
      <c r="F348" s="183">
        <v>1044</v>
      </c>
      <c r="G348" s="183">
        <v>5</v>
      </c>
      <c r="H348" s="183">
        <v>71</v>
      </c>
      <c r="I348" s="183">
        <v>31</v>
      </c>
      <c r="J348" s="183">
        <v>52</v>
      </c>
      <c r="K348" s="183">
        <v>0</v>
      </c>
      <c r="L348" s="183">
        <v>0</v>
      </c>
      <c r="M348" s="183">
        <v>0</v>
      </c>
      <c r="N348" s="183">
        <v>82</v>
      </c>
      <c r="O348" s="183">
        <v>20</v>
      </c>
      <c r="P348" s="183">
        <v>1202</v>
      </c>
      <c r="Q348" s="183">
        <v>59</v>
      </c>
    </row>
    <row r="349" spans="1:17">
      <c r="A349" s="183" t="s">
        <v>2062</v>
      </c>
      <c r="B349" s="183" t="s">
        <v>547</v>
      </c>
      <c r="C349" s="183" t="s">
        <v>2368</v>
      </c>
      <c r="D349" s="183">
        <v>42</v>
      </c>
      <c r="E349" s="183">
        <v>55</v>
      </c>
      <c r="F349" s="183">
        <v>2835</v>
      </c>
      <c r="G349" s="183">
        <v>3</v>
      </c>
      <c r="H349" s="183">
        <v>38</v>
      </c>
      <c r="I349" s="183">
        <v>63</v>
      </c>
      <c r="J349" s="183">
        <v>52</v>
      </c>
      <c r="K349" s="183">
        <v>25</v>
      </c>
      <c r="L349" s="183">
        <v>27</v>
      </c>
      <c r="M349" s="183">
        <v>2531</v>
      </c>
      <c r="N349" s="183">
        <v>3209</v>
      </c>
      <c r="O349" s="183">
        <v>82</v>
      </c>
      <c r="P349" s="183">
        <v>8616</v>
      </c>
      <c r="Q349" s="183">
        <v>74</v>
      </c>
    </row>
    <row r="350" spans="1:17">
      <c r="A350" s="183" t="s">
        <v>2062</v>
      </c>
      <c r="B350" s="183" t="s">
        <v>584</v>
      </c>
      <c r="C350" s="183" t="s">
        <v>2369</v>
      </c>
      <c r="D350" s="183">
        <v>99</v>
      </c>
      <c r="E350" s="183">
        <v>101</v>
      </c>
      <c r="F350" s="183">
        <v>5170</v>
      </c>
      <c r="G350" s="183">
        <v>65</v>
      </c>
      <c r="H350" s="183">
        <v>0</v>
      </c>
      <c r="I350" s="183">
        <v>292</v>
      </c>
      <c r="J350" s="183">
        <v>52</v>
      </c>
      <c r="K350" s="183">
        <v>9</v>
      </c>
      <c r="L350" s="183">
        <v>10</v>
      </c>
      <c r="M350" s="183">
        <v>50</v>
      </c>
      <c r="N350" s="183">
        <v>300</v>
      </c>
      <c r="O350" s="183">
        <v>110</v>
      </c>
      <c r="P350" s="183">
        <v>5585</v>
      </c>
      <c r="Q350" s="183">
        <v>50</v>
      </c>
    </row>
    <row r="351" spans="1:17">
      <c r="A351" s="183" t="s">
        <v>2078</v>
      </c>
      <c r="B351" s="183" t="s">
        <v>1425</v>
      </c>
      <c r="C351" s="183" t="s">
        <v>2370</v>
      </c>
      <c r="D351" s="183">
        <v>155</v>
      </c>
      <c r="E351" s="183">
        <v>148</v>
      </c>
      <c r="F351" s="183">
        <v>7696</v>
      </c>
      <c r="G351" s="183">
        <v>137</v>
      </c>
      <c r="H351" s="183">
        <v>246</v>
      </c>
      <c r="I351" s="183">
        <v>829</v>
      </c>
      <c r="J351" s="183">
        <v>53</v>
      </c>
      <c r="K351" s="183">
        <v>0</v>
      </c>
      <c r="L351" s="183">
        <v>0</v>
      </c>
      <c r="M351" s="183">
        <v>0</v>
      </c>
      <c r="N351" s="183">
        <v>35986</v>
      </c>
      <c r="O351" s="183">
        <v>148</v>
      </c>
      <c r="P351" s="183">
        <v>44065</v>
      </c>
      <c r="Q351" s="183">
        <v>299</v>
      </c>
    </row>
    <row r="352" spans="1:17">
      <c r="A352" s="183" t="s">
        <v>2062</v>
      </c>
      <c r="B352" s="183" t="s">
        <v>483</v>
      </c>
      <c r="C352" s="183" t="s">
        <v>2371</v>
      </c>
      <c r="D352" s="183">
        <v>23</v>
      </c>
      <c r="E352" s="183">
        <v>16</v>
      </c>
      <c r="F352" s="183">
        <v>859</v>
      </c>
      <c r="G352" s="183">
        <v>18</v>
      </c>
      <c r="H352" s="183">
        <v>1057</v>
      </c>
      <c r="I352" s="183">
        <v>13</v>
      </c>
      <c r="J352" s="183">
        <v>53</v>
      </c>
      <c r="K352" s="183">
        <v>0</v>
      </c>
      <c r="L352" s="183">
        <v>0</v>
      </c>
      <c r="M352" s="183">
        <v>0</v>
      </c>
      <c r="N352" s="183">
        <v>783</v>
      </c>
      <c r="O352" s="183">
        <v>16</v>
      </c>
      <c r="P352" s="183">
        <v>2717</v>
      </c>
      <c r="Q352" s="183">
        <v>165</v>
      </c>
    </row>
    <row r="353" spans="1:17">
      <c r="A353" s="183" t="s">
        <v>2062</v>
      </c>
      <c r="B353" s="183" t="s">
        <v>705</v>
      </c>
      <c r="C353" s="183" t="s">
        <v>2372</v>
      </c>
      <c r="D353" s="183">
        <v>37</v>
      </c>
      <c r="E353" s="183">
        <v>38</v>
      </c>
      <c r="F353" s="183">
        <v>1669</v>
      </c>
      <c r="G353" s="183">
        <v>334</v>
      </c>
      <c r="H353" s="183">
        <v>663</v>
      </c>
      <c r="I353" s="183">
        <v>119</v>
      </c>
      <c r="J353" s="183">
        <v>53</v>
      </c>
      <c r="K353" s="183">
        <v>5</v>
      </c>
      <c r="L353" s="183">
        <v>5</v>
      </c>
      <c r="M353" s="183">
        <v>543</v>
      </c>
      <c r="N353" s="183">
        <v>1532</v>
      </c>
      <c r="O353" s="183">
        <v>43</v>
      </c>
      <c r="P353" s="183">
        <v>4741</v>
      </c>
      <c r="Q353" s="183">
        <v>97</v>
      </c>
    </row>
    <row r="354" spans="1:17">
      <c r="A354" s="183" t="s">
        <v>2068</v>
      </c>
      <c r="B354" s="183" t="s">
        <v>1119</v>
      </c>
      <c r="C354" s="183" t="s">
        <v>2373</v>
      </c>
      <c r="D354" s="183">
        <v>16</v>
      </c>
      <c r="E354" s="183">
        <v>13</v>
      </c>
      <c r="F354" s="183">
        <v>506</v>
      </c>
      <c r="G354" s="183">
        <v>206</v>
      </c>
      <c r="H354" s="183">
        <v>0</v>
      </c>
      <c r="I354" s="183">
        <v>37</v>
      </c>
      <c r="J354" s="183">
        <v>53</v>
      </c>
      <c r="K354" s="183">
        <v>0</v>
      </c>
      <c r="L354" s="183">
        <v>0</v>
      </c>
      <c r="M354" s="183">
        <v>0</v>
      </c>
      <c r="N354" s="183">
        <v>0</v>
      </c>
      <c r="O354" s="183">
        <v>13</v>
      </c>
      <c r="P354" s="183">
        <v>712</v>
      </c>
      <c r="Q354" s="183">
        <v>53</v>
      </c>
    </row>
    <row r="355" spans="1:17">
      <c r="A355" s="183" t="s">
        <v>2062</v>
      </c>
      <c r="B355" s="183" t="s">
        <v>887</v>
      </c>
      <c r="C355" s="183" t="s">
        <v>2374</v>
      </c>
      <c r="D355" s="183">
        <v>207</v>
      </c>
      <c r="E355" s="183">
        <v>208</v>
      </c>
      <c r="F355" s="183">
        <v>10955</v>
      </c>
      <c r="G355" s="183">
        <v>53</v>
      </c>
      <c r="H355" s="183">
        <v>573</v>
      </c>
      <c r="I355" s="183">
        <v>298</v>
      </c>
      <c r="J355" s="183">
        <v>53</v>
      </c>
      <c r="K355" s="183">
        <v>0</v>
      </c>
      <c r="L355" s="183">
        <v>0</v>
      </c>
      <c r="M355" s="183">
        <v>0</v>
      </c>
      <c r="N355" s="183">
        <v>0</v>
      </c>
      <c r="O355" s="183">
        <v>208</v>
      </c>
      <c r="P355" s="183">
        <v>11581</v>
      </c>
      <c r="Q355" s="183">
        <v>56</v>
      </c>
    </row>
    <row r="356" spans="1:17">
      <c r="A356" s="183" t="s">
        <v>2078</v>
      </c>
      <c r="B356" s="183" t="s">
        <v>1421</v>
      </c>
      <c r="C356" s="183" t="s">
        <v>2375</v>
      </c>
      <c r="D356" s="183">
        <v>20</v>
      </c>
      <c r="E356" s="183">
        <v>19</v>
      </c>
      <c r="F356" s="183">
        <v>891</v>
      </c>
      <c r="G356" s="183">
        <v>120</v>
      </c>
      <c r="H356" s="183">
        <v>0</v>
      </c>
      <c r="I356" s="183">
        <v>6</v>
      </c>
      <c r="J356" s="183">
        <v>53</v>
      </c>
      <c r="K356" s="183">
        <v>0</v>
      </c>
      <c r="L356" s="183">
        <v>0</v>
      </c>
      <c r="M356" s="183">
        <v>0</v>
      </c>
      <c r="N356" s="183">
        <v>4309</v>
      </c>
      <c r="O356" s="183">
        <v>19</v>
      </c>
      <c r="P356" s="183">
        <v>5320</v>
      </c>
      <c r="Q356" s="183">
        <v>278</v>
      </c>
    </row>
    <row r="357" spans="1:17">
      <c r="A357" s="183" t="s">
        <v>2062</v>
      </c>
      <c r="B357" s="183" t="s">
        <v>265</v>
      </c>
      <c r="C357" s="183" t="s">
        <v>2011</v>
      </c>
      <c r="D357" s="183">
        <v>14</v>
      </c>
      <c r="E357" s="183">
        <v>16</v>
      </c>
      <c r="F357" s="183">
        <v>842</v>
      </c>
      <c r="G357" s="183">
        <v>2</v>
      </c>
      <c r="H357" s="183">
        <v>0</v>
      </c>
      <c r="I357" s="183">
        <v>25</v>
      </c>
      <c r="J357" s="183">
        <v>53</v>
      </c>
      <c r="K357" s="183">
        <v>0</v>
      </c>
      <c r="L357" s="183">
        <v>0</v>
      </c>
      <c r="M357" s="183">
        <v>0</v>
      </c>
      <c r="N357" s="183">
        <v>0</v>
      </c>
      <c r="O357" s="183">
        <v>16</v>
      </c>
      <c r="P357" s="183">
        <v>844</v>
      </c>
      <c r="Q357" s="183">
        <v>53</v>
      </c>
    </row>
    <row r="358" spans="1:17">
      <c r="A358" s="183" t="s">
        <v>2068</v>
      </c>
      <c r="B358" s="183" t="s">
        <v>1077</v>
      </c>
      <c r="C358" s="183" t="s">
        <v>2376</v>
      </c>
      <c r="D358" s="183">
        <v>7</v>
      </c>
      <c r="E358" s="183">
        <v>7</v>
      </c>
      <c r="F358" s="183">
        <v>254</v>
      </c>
      <c r="G358" s="183">
        <v>140</v>
      </c>
      <c r="H358" s="183">
        <v>551</v>
      </c>
      <c r="I358" s="183">
        <v>18</v>
      </c>
      <c r="J358" s="183">
        <v>54</v>
      </c>
      <c r="K358" s="183">
        <v>0</v>
      </c>
      <c r="L358" s="183">
        <v>0</v>
      </c>
      <c r="M358" s="183">
        <v>0</v>
      </c>
      <c r="N358" s="183">
        <v>1944</v>
      </c>
      <c r="O358" s="183">
        <v>7</v>
      </c>
      <c r="P358" s="183">
        <v>2889</v>
      </c>
      <c r="Q358" s="183">
        <v>397</v>
      </c>
    </row>
    <row r="359" spans="1:17">
      <c r="A359" s="183" t="s">
        <v>2062</v>
      </c>
      <c r="B359" s="183" t="s">
        <v>254</v>
      </c>
      <c r="C359" s="183" t="s">
        <v>2377</v>
      </c>
      <c r="D359" s="183">
        <v>70</v>
      </c>
      <c r="E359" s="183">
        <v>67</v>
      </c>
      <c r="F359" s="183">
        <v>3581</v>
      </c>
      <c r="G359" s="183">
        <v>78</v>
      </c>
      <c r="H359" s="183">
        <v>50</v>
      </c>
      <c r="I359" s="183">
        <v>173</v>
      </c>
      <c r="J359" s="183">
        <v>54</v>
      </c>
      <c r="K359" s="183">
        <v>5</v>
      </c>
      <c r="L359" s="183">
        <v>4</v>
      </c>
      <c r="M359" s="183">
        <v>201</v>
      </c>
      <c r="N359" s="183">
        <v>14</v>
      </c>
      <c r="O359" s="183">
        <v>71</v>
      </c>
      <c r="P359" s="183">
        <v>3924</v>
      </c>
      <c r="Q359" s="183">
        <v>52</v>
      </c>
    </row>
    <row r="360" spans="1:17">
      <c r="A360" s="183" t="s">
        <v>2068</v>
      </c>
      <c r="B360" s="183" t="s">
        <v>1165</v>
      </c>
      <c r="C360" s="183" t="s">
        <v>2378</v>
      </c>
      <c r="D360" s="183">
        <v>29</v>
      </c>
      <c r="E360" s="183">
        <v>26</v>
      </c>
      <c r="F360" s="183">
        <v>1429</v>
      </c>
      <c r="G360" s="183">
        <v>3</v>
      </c>
      <c r="H360" s="183">
        <v>0</v>
      </c>
      <c r="I360" s="183">
        <v>40</v>
      </c>
      <c r="J360" s="183">
        <v>54</v>
      </c>
      <c r="K360" s="183">
        <v>0</v>
      </c>
      <c r="L360" s="183">
        <v>0</v>
      </c>
      <c r="M360" s="183">
        <v>0</v>
      </c>
      <c r="N360" s="183">
        <v>3596</v>
      </c>
      <c r="O360" s="183">
        <v>26</v>
      </c>
      <c r="P360" s="183">
        <v>5028</v>
      </c>
      <c r="Q360" s="183">
        <v>191</v>
      </c>
    </row>
    <row r="361" spans="1:17">
      <c r="A361" s="183" t="s">
        <v>2062</v>
      </c>
      <c r="B361" s="183" t="s">
        <v>151</v>
      </c>
      <c r="C361" s="183" t="s">
        <v>150</v>
      </c>
      <c r="D361" s="183">
        <v>705</v>
      </c>
      <c r="E361" s="183">
        <v>775</v>
      </c>
      <c r="F361" s="183">
        <v>41877</v>
      </c>
      <c r="G361" s="183">
        <v>281</v>
      </c>
      <c r="H361" s="183">
        <v>965</v>
      </c>
      <c r="I361" s="183">
        <v>896</v>
      </c>
      <c r="J361" s="183">
        <v>54</v>
      </c>
      <c r="K361" s="183">
        <v>272</v>
      </c>
      <c r="L361" s="183">
        <v>239</v>
      </c>
      <c r="M361" s="183">
        <v>26692</v>
      </c>
      <c r="N361" s="183">
        <v>36933</v>
      </c>
      <c r="O361" s="183">
        <v>1014</v>
      </c>
      <c r="P361" s="183">
        <v>106748</v>
      </c>
      <c r="Q361" s="183">
        <v>79</v>
      </c>
    </row>
    <row r="362" spans="1:17">
      <c r="A362" s="183" t="s">
        <v>2068</v>
      </c>
      <c r="B362" s="183" t="s">
        <v>1302</v>
      </c>
      <c r="C362" s="183" t="s">
        <v>2379</v>
      </c>
      <c r="D362" s="183">
        <v>97</v>
      </c>
      <c r="E362" s="183">
        <v>57</v>
      </c>
      <c r="F362" s="183">
        <v>2863</v>
      </c>
      <c r="G362" s="183">
        <v>174</v>
      </c>
      <c r="H362" s="183">
        <v>0</v>
      </c>
      <c r="I362" s="183">
        <v>40</v>
      </c>
      <c r="J362" s="183">
        <v>54</v>
      </c>
      <c r="K362" s="183">
        <v>0</v>
      </c>
      <c r="L362" s="183">
        <v>0</v>
      </c>
      <c r="M362" s="183">
        <v>0</v>
      </c>
      <c r="N362" s="183">
        <v>111</v>
      </c>
      <c r="O362" s="183">
        <v>57</v>
      </c>
      <c r="P362" s="183">
        <v>3148</v>
      </c>
      <c r="Q362" s="183">
        <v>56</v>
      </c>
    </row>
    <row r="363" spans="1:17">
      <c r="A363" s="183" t="s">
        <v>2062</v>
      </c>
      <c r="B363" s="183" t="s">
        <v>473</v>
      </c>
      <c r="C363" s="183" t="s">
        <v>472</v>
      </c>
      <c r="D363" s="183">
        <v>21</v>
      </c>
      <c r="E363" s="183">
        <v>25</v>
      </c>
      <c r="F363" s="183">
        <v>1295</v>
      </c>
      <c r="G363" s="183">
        <v>63</v>
      </c>
      <c r="H363" s="183">
        <v>13</v>
      </c>
      <c r="I363" s="183">
        <v>23</v>
      </c>
      <c r="J363" s="183">
        <v>54</v>
      </c>
      <c r="K363" s="183">
        <v>4</v>
      </c>
      <c r="L363" s="183">
        <v>5</v>
      </c>
      <c r="M363" s="183">
        <v>250</v>
      </c>
      <c r="N363" s="183">
        <v>1138</v>
      </c>
      <c r="O363" s="183">
        <v>30</v>
      </c>
      <c r="P363" s="183">
        <v>2759</v>
      </c>
      <c r="Q363" s="183">
        <v>84</v>
      </c>
    </row>
    <row r="364" spans="1:17">
      <c r="A364" s="183" t="s">
        <v>2062</v>
      </c>
      <c r="B364" s="183" t="s">
        <v>92</v>
      </c>
      <c r="C364" s="183" t="s">
        <v>91</v>
      </c>
      <c r="D364" s="183">
        <v>34</v>
      </c>
      <c r="E364" s="183">
        <v>32</v>
      </c>
      <c r="F364" s="183">
        <v>1515</v>
      </c>
      <c r="G364" s="183">
        <v>223</v>
      </c>
      <c r="H364" s="183">
        <v>835</v>
      </c>
      <c r="I364" s="183">
        <v>53</v>
      </c>
      <c r="J364" s="183">
        <v>54</v>
      </c>
      <c r="K364" s="183">
        <v>2</v>
      </c>
      <c r="L364" s="183">
        <v>5</v>
      </c>
      <c r="M364" s="183">
        <v>55</v>
      </c>
      <c r="N364" s="183">
        <v>30</v>
      </c>
      <c r="O364" s="183">
        <v>37</v>
      </c>
      <c r="P364" s="183">
        <v>2658</v>
      </c>
      <c r="Q364" s="183">
        <v>70</v>
      </c>
    </row>
    <row r="365" spans="1:17">
      <c r="A365" s="183" t="s">
        <v>2062</v>
      </c>
      <c r="B365" s="183" t="s">
        <v>236</v>
      </c>
      <c r="C365" s="183" t="s">
        <v>2380</v>
      </c>
      <c r="D365" s="183">
        <v>24</v>
      </c>
      <c r="E365" s="183">
        <v>18</v>
      </c>
      <c r="F365" s="183">
        <v>952</v>
      </c>
      <c r="G365" s="183">
        <v>19</v>
      </c>
      <c r="H365" s="183">
        <v>32</v>
      </c>
      <c r="I365" s="183">
        <v>11</v>
      </c>
      <c r="J365" s="183">
        <v>54</v>
      </c>
      <c r="K365" s="183">
        <v>2</v>
      </c>
      <c r="L365" s="183">
        <v>1</v>
      </c>
      <c r="M365" s="183">
        <v>171</v>
      </c>
      <c r="N365" s="183">
        <v>32</v>
      </c>
      <c r="O365" s="183">
        <v>19</v>
      </c>
      <c r="P365" s="183">
        <v>1206</v>
      </c>
      <c r="Q365" s="183">
        <v>55</v>
      </c>
    </row>
    <row r="366" spans="1:17">
      <c r="A366" s="183" t="s">
        <v>2062</v>
      </c>
      <c r="B366" s="183" t="s">
        <v>393</v>
      </c>
      <c r="C366" s="183" t="s">
        <v>2381</v>
      </c>
      <c r="D366" s="183">
        <v>23</v>
      </c>
      <c r="E366" s="183">
        <v>22</v>
      </c>
      <c r="F366" s="183">
        <v>1187</v>
      </c>
      <c r="G366" s="183">
        <v>3</v>
      </c>
      <c r="H366" s="183">
        <v>17</v>
      </c>
      <c r="I366" s="183">
        <v>59</v>
      </c>
      <c r="J366" s="183">
        <v>55</v>
      </c>
      <c r="K366" s="183">
        <v>0</v>
      </c>
      <c r="L366" s="183">
        <v>0</v>
      </c>
      <c r="M366" s="183">
        <v>34</v>
      </c>
      <c r="N366" s="183">
        <v>81</v>
      </c>
      <c r="O366" s="183">
        <v>22</v>
      </c>
      <c r="P366" s="183">
        <v>1322</v>
      </c>
      <c r="Q366" s="183">
        <v>59</v>
      </c>
    </row>
    <row r="367" spans="1:17">
      <c r="A367" s="183" t="s">
        <v>2062</v>
      </c>
      <c r="B367" s="183" t="s">
        <v>769</v>
      </c>
      <c r="C367" s="183" t="s">
        <v>2382</v>
      </c>
      <c r="D367" s="183">
        <v>207</v>
      </c>
      <c r="E367" s="183">
        <v>210</v>
      </c>
      <c r="F367" s="183">
        <v>11574</v>
      </c>
      <c r="G367" s="183">
        <v>33</v>
      </c>
      <c r="H367" s="183">
        <v>175</v>
      </c>
      <c r="I367" s="183">
        <v>2865</v>
      </c>
      <c r="J367" s="183">
        <v>55</v>
      </c>
      <c r="K367" s="183">
        <v>2</v>
      </c>
      <c r="L367" s="183">
        <v>6</v>
      </c>
      <c r="M367" s="183">
        <v>120</v>
      </c>
      <c r="N367" s="183">
        <v>38</v>
      </c>
      <c r="O367" s="183">
        <v>215</v>
      </c>
      <c r="P367" s="183">
        <v>11940</v>
      </c>
      <c r="Q367" s="183">
        <v>55</v>
      </c>
    </row>
    <row r="368" spans="1:17">
      <c r="A368" s="183" t="s">
        <v>2068</v>
      </c>
      <c r="B368" s="183" t="s">
        <v>1307</v>
      </c>
      <c r="C368" s="183" t="s">
        <v>1306</v>
      </c>
      <c r="D368" s="183">
        <v>114</v>
      </c>
      <c r="E368" s="183">
        <v>64</v>
      </c>
      <c r="F368" s="183">
        <v>1862</v>
      </c>
      <c r="G368" s="183">
        <v>1646</v>
      </c>
      <c r="H368" s="183">
        <v>4280</v>
      </c>
      <c r="I368" s="183">
        <v>623</v>
      </c>
      <c r="J368" s="183">
        <v>55</v>
      </c>
      <c r="K368" s="183">
        <v>0</v>
      </c>
      <c r="L368" s="183">
        <v>0</v>
      </c>
      <c r="M368" s="183">
        <v>0</v>
      </c>
      <c r="N368" s="183">
        <v>972</v>
      </c>
      <c r="O368" s="183">
        <v>64</v>
      </c>
      <c r="P368" s="183">
        <v>8760</v>
      </c>
      <c r="Q368" s="183">
        <v>137</v>
      </c>
    </row>
    <row r="369" spans="1:17">
      <c r="A369" s="183" t="s">
        <v>2062</v>
      </c>
      <c r="B369" s="183" t="s">
        <v>701</v>
      </c>
      <c r="C369" s="183" t="s">
        <v>2383</v>
      </c>
      <c r="D369" s="183">
        <v>37</v>
      </c>
      <c r="E369" s="183">
        <v>27</v>
      </c>
      <c r="F369" s="183">
        <v>896</v>
      </c>
      <c r="G369" s="183">
        <v>593</v>
      </c>
      <c r="H369" s="183">
        <v>3359</v>
      </c>
      <c r="I369" s="183">
        <v>21</v>
      </c>
      <c r="J369" s="183">
        <v>55</v>
      </c>
      <c r="K369" s="183">
        <v>0</v>
      </c>
      <c r="L369" s="183">
        <v>0</v>
      </c>
      <c r="M369" s="183">
        <v>0</v>
      </c>
      <c r="N369" s="183">
        <v>2733</v>
      </c>
      <c r="O369" s="183">
        <v>27</v>
      </c>
      <c r="P369" s="183">
        <v>7581</v>
      </c>
      <c r="Q369" s="183">
        <v>281</v>
      </c>
    </row>
    <row r="370" spans="1:17">
      <c r="A370" s="183" t="s">
        <v>2062</v>
      </c>
      <c r="B370" s="183" t="s">
        <v>451</v>
      </c>
      <c r="C370" s="183" t="s">
        <v>2384</v>
      </c>
      <c r="D370" s="183">
        <v>31</v>
      </c>
      <c r="E370" s="183">
        <v>28</v>
      </c>
      <c r="F370" s="183">
        <v>1548</v>
      </c>
      <c r="G370" s="183">
        <v>7</v>
      </c>
      <c r="H370" s="183">
        <v>1932</v>
      </c>
      <c r="I370" s="183">
        <v>30</v>
      </c>
      <c r="J370" s="183">
        <v>55</v>
      </c>
      <c r="K370" s="183">
        <v>0</v>
      </c>
      <c r="L370" s="183">
        <v>0</v>
      </c>
      <c r="M370" s="183">
        <v>0</v>
      </c>
      <c r="N370" s="183">
        <v>4027</v>
      </c>
      <c r="O370" s="183">
        <v>28</v>
      </c>
      <c r="P370" s="183">
        <v>7514</v>
      </c>
      <c r="Q370" s="183">
        <v>267</v>
      </c>
    </row>
    <row r="371" spans="1:17">
      <c r="A371" s="183" t="s">
        <v>2062</v>
      </c>
      <c r="B371" s="183" t="s">
        <v>315</v>
      </c>
      <c r="C371" s="183" t="s">
        <v>2385</v>
      </c>
      <c r="D371" s="183">
        <v>18</v>
      </c>
      <c r="E371" s="183">
        <v>16</v>
      </c>
      <c r="F371" s="183">
        <v>712</v>
      </c>
      <c r="G371" s="183">
        <v>166</v>
      </c>
      <c r="H371" s="183">
        <v>1157</v>
      </c>
      <c r="I371" s="183">
        <v>19</v>
      </c>
      <c r="J371" s="183">
        <v>55</v>
      </c>
      <c r="K371" s="183">
        <v>0</v>
      </c>
      <c r="L371" s="183">
        <v>0</v>
      </c>
      <c r="M371" s="183">
        <v>0</v>
      </c>
      <c r="N371" s="183">
        <v>2436</v>
      </c>
      <c r="O371" s="183">
        <v>16</v>
      </c>
      <c r="P371" s="183">
        <v>4471</v>
      </c>
      <c r="Q371" s="183">
        <v>279</v>
      </c>
    </row>
    <row r="372" spans="1:17">
      <c r="A372" s="183" t="s">
        <v>2068</v>
      </c>
      <c r="B372" s="183" t="s">
        <v>1274</v>
      </c>
      <c r="C372" s="183" t="s">
        <v>2386</v>
      </c>
      <c r="D372" s="183">
        <v>52</v>
      </c>
      <c r="E372" s="183">
        <v>29</v>
      </c>
      <c r="F372" s="183">
        <v>1597</v>
      </c>
      <c r="G372" s="183">
        <v>17</v>
      </c>
      <c r="H372" s="183">
        <v>3034</v>
      </c>
      <c r="I372" s="183">
        <v>18</v>
      </c>
      <c r="J372" s="183">
        <v>55</v>
      </c>
      <c r="K372" s="183">
        <v>0</v>
      </c>
      <c r="L372" s="183">
        <v>0</v>
      </c>
      <c r="M372" s="183">
        <v>0</v>
      </c>
      <c r="N372" s="183">
        <v>906</v>
      </c>
      <c r="O372" s="183">
        <v>29</v>
      </c>
      <c r="P372" s="183">
        <v>5554</v>
      </c>
      <c r="Q372" s="183">
        <v>189</v>
      </c>
    </row>
    <row r="373" spans="1:17">
      <c r="A373" s="183" t="s">
        <v>2068</v>
      </c>
      <c r="B373" s="183" t="s">
        <v>1121</v>
      </c>
      <c r="C373" s="183" t="s">
        <v>2387</v>
      </c>
      <c r="D373" s="183">
        <v>16</v>
      </c>
      <c r="E373" s="183">
        <v>16</v>
      </c>
      <c r="F373" s="183">
        <v>908</v>
      </c>
      <c r="G373" s="183">
        <v>3</v>
      </c>
      <c r="H373" s="183">
        <v>6</v>
      </c>
      <c r="I373" s="183">
        <v>22</v>
      </c>
      <c r="J373" s="183">
        <v>56</v>
      </c>
      <c r="K373" s="183">
        <v>0</v>
      </c>
      <c r="L373" s="183">
        <v>0</v>
      </c>
      <c r="M373" s="183">
        <v>0</v>
      </c>
      <c r="N373" s="183">
        <v>0</v>
      </c>
      <c r="O373" s="183">
        <v>16</v>
      </c>
      <c r="P373" s="183">
        <v>917</v>
      </c>
      <c r="Q373" s="183">
        <v>57</v>
      </c>
    </row>
    <row r="374" spans="1:17">
      <c r="A374" s="183" t="s">
        <v>2062</v>
      </c>
      <c r="B374" s="183" t="s">
        <v>96</v>
      </c>
      <c r="C374" s="183" t="s">
        <v>2388</v>
      </c>
      <c r="D374" s="183">
        <v>354</v>
      </c>
      <c r="E374" s="183">
        <v>345</v>
      </c>
      <c r="F374" s="183">
        <v>19269</v>
      </c>
      <c r="G374" s="183">
        <v>131</v>
      </c>
      <c r="H374" s="183">
        <v>2499</v>
      </c>
      <c r="I374" s="183">
        <v>2358</v>
      </c>
      <c r="J374" s="183">
        <v>56</v>
      </c>
      <c r="K374" s="183">
        <v>40</v>
      </c>
      <c r="L374" s="183">
        <v>36</v>
      </c>
      <c r="M374" s="183">
        <v>5298</v>
      </c>
      <c r="N374" s="183">
        <v>945</v>
      </c>
      <c r="O374" s="183">
        <v>381</v>
      </c>
      <c r="P374" s="183">
        <v>28142</v>
      </c>
      <c r="Q374" s="183">
        <v>60</v>
      </c>
    </row>
    <row r="375" spans="1:17">
      <c r="A375" s="183" t="s">
        <v>2078</v>
      </c>
      <c r="B375" s="183" t="s">
        <v>1548</v>
      </c>
      <c r="C375" s="183" t="s">
        <v>2389</v>
      </c>
      <c r="D375" s="183">
        <v>74</v>
      </c>
      <c r="E375" s="183">
        <v>54</v>
      </c>
      <c r="F375" s="183">
        <v>3024</v>
      </c>
      <c r="G375" s="183">
        <v>11</v>
      </c>
      <c r="H375" s="183">
        <v>3605</v>
      </c>
      <c r="I375" s="183">
        <v>124</v>
      </c>
      <c r="J375" s="183">
        <v>56</v>
      </c>
      <c r="K375" s="183">
        <v>0</v>
      </c>
      <c r="L375" s="183">
        <v>0</v>
      </c>
      <c r="M375" s="183">
        <v>0</v>
      </c>
      <c r="N375" s="183">
        <v>3757</v>
      </c>
      <c r="O375" s="183">
        <v>54</v>
      </c>
      <c r="P375" s="183">
        <v>10397</v>
      </c>
      <c r="Q375" s="183">
        <v>191</v>
      </c>
    </row>
    <row r="376" spans="1:17">
      <c r="A376" s="183" t="s">
        <v>2068</v>
      </c>
      <c r="B376" s="183" t="s">
        <v>1117</v>
      </c>
      <c r="C376" s="183" t="s">
        <v>2390</v>
      </c>
      <c r="D376" s="183">
        <v>80</v>
      </c>
      <c r="E376" s="183">
        <v>91</v>
      </c>
      <c r="F376" s="183">
        <v>5060</v>
      </c>
      <c r="G376" s="183">
        <v>21</v>
      </c>
      <c r="H376" s="183">
        <v>228</v>
      </c>
      <c r="I376" s="183">
        <v>171</v>
      </c>
      <c r="J376" s="183">
        <v>56</v>
      </c>
      <c r="K376" s="183">
        <v>0</v>
      </c>
      <c r="L376" s="183">
        <v>0</v>
      </c>
      <c r="M376" s="183">
        <v>0</v>
      </c>
      <c r="N376" s="183">
        <v>0</v>
      </c>
      <c r="O376" s="183">
        <v>91</v>
      </c>
      <c r="P376" s="183">
        <v>5309</v>
      </c>
      <c r="Q376" s="183">
        <v>58</v>
      </c>
    </row>
    <row r="377" spans="1:17">
      <c r="A377" s="183" t="s">
        <v>2078</v>
      </c>
      <c r="B377" s="183" t="s">
        <v>1544</v>
      </c>
      <c r="C377" s="183" t="s">
        <v>2391</v>
      </c>
      <c r="D377" s="183">
        <v>59</v>
      </c>
      <c r="E377" s="183">
        <v>36</v>
      </c>
      <c r="F377" s="183">
        <v>1992</v>
      </c>
      <c r="G377" s="183">
        <v>1</v>
      </c>
      <c r="H377" s="183">
        <v>4558</v>
      </c>
      <c r="I377" s="183">
        <v>49</v>
      </c>
      <c r="J377" s="183">
        <v>56</v>
      </c>
      <c r="K377" s="183">
        <v>0</v>
      </c>
      <c r="L377" s="183">
        <v>0</v>
      </c>
      <c r="M377" s="183">
        <v>0</v>
      </c>
      <c r="N377" s="183">
        <v>2142</v>
      </c>
      <c r="O377" s="183">
        <v>36</v>
      </c>
      <c r="P377" s="183">
        <v>8693</v>
      </c>
      <c r="Q377" s="183">
        <v>243</v>
      </c>
    </row>
    <row r="378" spans="1:17">
      <c r="A378" s="183" t="s">
        <v>2062</v>
      </c>
      <c r="B378" s="183" t="s">
        <v>908</v>
      </c>
      <c r="C378" s="183" t="s">
        <v>2392</v>
      </c>
      <c r="D378" s="183">
        <v>151</v>
      </c>
      <c r="E378" s="183">
        <v>124</v>
      </c>
      <c r="F378" s="183">
        <v>4523</v>
      </c>
      <c r="G378" s="183">
        <v>2367</v>
      </c>
      <c r="H378" s="183">
        <v>7981</v>
      </c>
      <c r="I378" s="183">
        <v>834</v>
      </c>
      <c r="J378" s="183">
        <v>56</v>
      </c>
      <c r="K378" s="183">
        <v>17</v>
      </c>
      <c r="L378" s="183">
        <v>16</v>
      </c>
      <c r="M378" s="183">
        <v>1565</v>
      </c>
      <c r="N378" s="183">
        <v>359</v>
      </c>
      <c r="O378" s="183">
        <v>140</v>
      </c>
      <c r="P378" s="183">
        <v>16795</v>
      </c>
      <c r="Q378" s="183">
        <v>109</v>
      </c>
    </row>
    <row r="379" spans="1:17">
      <c r="A379" s="183" t="s">
        <v>2062</v>
      </c>
      <c r="B379" s="183" t="s">
        <v>709</v>
      </c>
      <c r="C379" s="183" t="s">
        <v>2393</v>
      </c>
      <c r="D379" s="183">
        <v>30</v>
      </c>
      <c r="E379" s="183">
        <v>22</v>
      </c>
      <c r="F379" s="183">
        <v>1095</v>
      </c>
      <c r="G379" s="183">
        <v>151</v>
      </c>
      <c r="H379" s="183">
        <v>495</v>
      </c>
      <c r="I379" s="183">
        <v>29</v>
      </c>
      <c r="J379" s="183">
        <v>56</v>
      </c>
      <c r="K379" s="183">
        <v>0</v>
      </c>
      <c r="L379" s="183">
        <v>0</v>
      </c>
      <c r="M379" s="183">
        <v>0</v>
      </c>
      <c r="N379" s="183">
        <v>233</v>
      </c>
      <c r="O379" s="183">
        <v>22</v>
      </c>
      <c r="P379" s="183">
        <v>1974</v>
      </c>
      <c r="Q379" s="183">
        <v>89</v>
      </c>
    </row>
    <row r="380" spans="1:17">
      <c r="A380" s="183" t="s">
        <v>2062</v>
      </c>
      <c r="B380" s="183" t="s">
        <v>832</v>
      </c>
      <c r="C380" s="183" t="s">
        <v>831</v>
      </c>
      <c r="D380" s="183">
        <v>74</v>
      </c>
      <c r="E380" s="183">
        <v>78</v>
      </c>
      <c r="F380" s="183">
        <v>2859</v>
      </c>
      <c r="G380" s="183">
        <v>1460</v>
      </c>
      <c r="H380" s="183">
        <v>1111</v>
      </c>
      <c r="I380" s="183">
        <v>48</v>
      </c>
      <c r="J380" s="183">
        <v>56</v>
      </c>
      <c r="K380" s="183">
        <v>0</v>
      </c>
      <c r="L380" s="183">
        <v>0</v>
      </c>
      <c r="M380" s="183">
        <v>0</v>
      </c>
      <c r="N380" s="183">
        <v>497</v>
      </c>
      <c r="O380" s="183">
        <v>78</v>
      </c>
      <c r="P380" s="183">
        <v>5927</v>
      </c>
      <c r="Q380" s="183">
        <v>76</v>
      </c>
    </row>
    <row r="381" spans="1:17">
      <c r="A381" s="183" t="s">
        <v>2068</v>
      </c>
      <c r="B381" s="183" t="s">
        <v>1191</v>
      </c>
      <c r="C381" s="183" t="s">
        <v>2394</v>
      </c>
      <c r="D381" s="183">
        <v>22</v>
      </c>
      <c r="E381" s="183">
        <v>14</v>
      </c>
      <c r="F381" s="183">
        <v>729</v>
      </c>
      <c r="G381" s="183">
        <v>96</v>
      </c>
      <c r="H381" s="183">
        <v>960</v>
      </c>
      <c r="I381" s="183">
        <v>10</v>
      </c>
      <c r="J381" s="183">
        <v>57</v>
      </c>
      <c r="K381" s="183">
        <v>0</v>
      </c>
      <c r="L381" s="183">
        <v>0</v>
      </c>
      <c r="M381" s="183">
        <v>0</v>
      </c>
      <c r="N381" s="183">
        <v>19</v>
      </c>
      <c r="O381" s="183">
        <v>14</v>
      </c>
      <c r="P381" s="183">
        <v>1804</v>
      </c>
      <c r="Q381" s="183">
        <v>125</v>
      </c>
    </row>
    <row r="382" spans="1:17">
      <c r="A382" s="183" t="s">
        <v>2062</v>
      </c>
      <c r="B382" s="183" t="s">
        <v>725</v>
      </c>
      <c r="C382" s="183" t="s">
        <v>2395</v>
      </c>
      <c r="D382" s="183">
        <v>47</v>
      </c>
      <c r="E382" s="183">
        <v>37</v>
      </c>
      <c r="F382" s="183">
        <v>2104</v>
      </c>
      <c r="G382" s="183">
        <v>11</v>
      </c>
      <c r="H382" s="183">
        <v>419</v>
      </c>
      <c r="I382" s="183">
        <v>74</v>
      </c>
      <c r="J382" s="183">
        <v>57</v>
      </c>
      <c r="K382" s="183">
        <v>0</v>
      </c>
      <c r="L382" s="183">
        <v>0</v>
      </c>
      <c r="M382" s="183">
        <v>0</v>
      </c>
      <c r="N382" s="183">
        <v>67</v>
      </c>
      <c r="O382" s="183">
        <v>37</v>
      </c>
      <c r="P382" s="183">
        <v>2601</v>
      </c>
      <c r="Q382" s="183">
        <v>69</v>
      </c>
    </row>
    <row r="383" spans="1:17">
      <c r="A383" s="183" t="s">
        <v>2062</v>
      </c>
      <c r="B383" s="183" t="s">
        <v>620</v>
      </c>
      <c r="C383" s="183" t="s">
        <v>2396</v>
      </c>
      <c r="D383" s="183">
        <v>46</v>
      </c>
      <c r="E383" s="183">
        <v>49</v>
      </c>
      <c r="F383" s="183">
        <v>1924</v>
      </c>
      <c r="G383" s="183">
        <v>862</v>
      </c>
      <c r="H383" s="183">
        <v>838</v>
      </c>
      <c r="I383" s="183">
        <v>48</v>
      </c>
      <c r="J383" s="183">
        <v>57</v>
      </c>
      <c r="K383" s="183">
        <v>3</v>
      </c>
      <c r="L383" s="183">
        <v>2</v>
      </c>
      <c r="M383" s="183">
        <v>116</v>
      </c>
      <c r="N383" s="183">
        <v>1288</v>
      </c>
      <c r="O383" s="183">
        <v>51</v>
      </c>
      <c r="P383" s="183">
        <v>5028</v>
      </c>
      <c r="Q383" s="183">
        <v>96</v>
      </c>
    </row>
    <row r="384" spans="1:17">
      <c r="A384" s="183" t="s">
        <v>2068</v>
      </c>
      <c r="B384" s="183" t="s">
        <v>1300</v>
      </c>
      <c r="C384" s="183" t="s">
        <v>2397</v>
      </c>
      <c r="D384" s="183">
        <v>98</v>
      </c>
      <c r="E384" s="183">
        <v>70</v>
      </c>
      <c r="F384" s="183">
        <v>3941</v>
      </c>
      <c r="G384" s="183">
        <v>38</v>
      </c>
      <c r="H384" s="183">
        <v>2856</v>
      </c>
      <c r="I384" s="183">
        <v>99</v>
      </c>
      <c r="J384" s="183">
        <v>57</v>
      </c>
      <c r="K384" s="183">
        <v>0</v>
      </c>
      <c r="L384" s="183">
        <v>0</v>
      </c>
      <c r="M384" s="183">
        <v>0</v>
      </c>
      <c r="N384" s="183">
        <v>151</v>
      </c>
      <c r="O384" s="183">
        <v>70</v>
      </c>
      <c r="P384" s="183">
        <v>6986</v>
      </c>
      <c r="Q384" s="183">
        <v>100</v>
      </c>
    </row>
    <row r="385" spans="1:17">
      <c r="A385" s="183" t="s">
        <v>2062</v>
      </c>
      <c r="B385" s="183" t="s">
        <v>521</v>
      </c>
      <c r="C385" s="183" t="s">
        <v>520</v>
      </c>
      <c r="D385" s="183">
        <v>33</v>
      </c>
      <c r="E385" s="183">
        <v>33</v>
      </c>
      <c r="F385" s="183">
        <v>1880</v>
      </c>
      <c r="G385" s="183">
        <v>1</v>
      </c>
      <c r="H385" s="183">
        <v>0</v>
      </c>
      <c r="I385" s="183">
        <v>64</v>
      </c>
      <c r="J385" s="183">
        <v>57</v>
      </c>
      <c r="K385" s="183">
        <v>0</v>
      </c>
      <c r="L385" s="183">
        <v>0</v>
      </c>
      <c r="M385" s="183">
        <v>0</v>
      </c>
      <c r="N385" s="183">
        <v>174</v>
      </c>
      <c r="O385" s="183">
        <v>33</v>
      </c>
      <c r="P385" s="183">
        <v>2055</v>
      </c>
      <c r="Q385" s="183">
        <v>62</v>
      </c>
    </row>
    <row r="386" spans="1:17">
      <c r="A386" s="183" t="s">
        <v>2068</v>
      </c>
      <c r="B386" s="183" t="s">
        <v>1160</v>
      </c>
      <c r="C386" s="183" t="s">
        <v>2398</v>
      </c>
      <c r="D386" s="183">
        <v>39</v>
      </c>
      <c r="E386" s="183">
        <v>47</v>
      </c>
      <c r="F386" s="183">
        <v>2611</v>
      </c>
      <c r="G386" s="183">
        <v>57</v>
      </c>
      <c r="H386" s="183">
        <v>0</v>
      </c>
      <c r="I386" s="183">
        <v>105</v>
      </c>
      <c r="J386" s="183">
        <v>57</v>
      </c>
      <c r="K386" s="183">
        <v>0</v>
      </c>
      <c r="L386" s="183">
        <v>0</v>
      </c>
      <c r="M386" s="183">
        <v>0</v>
      </c>
      <c r="N386" s="183">
        <v>23</v>
      </c>
      <c r="O386" s="183">
        <v>47</v>
      </c>
      <c r="P386" s="183">
        <v>2691</v>
      </c>
      <c r="Q386" s="183">
        <v>57</v>
      </c>
    </row>
    <row r="387" spans="1:17">
      <c r="A387" s="183" t="s">
        <v>2062</v>
      </c>
      <c r="B387" s="183" t="s">
        <v>113</v>
      </c>
      <c r="C387" s="183" t="s">
        <v>2399</v>
      </c>
      <c r="D387" s="183">
        <v>30</v>
      </c>
      <c r="E387" s="183">
        <v>30</v>
      </c>
      <c r="F387" s="183">
        <v>1703</v>
      </c>
      <c r="G387" s="183">
        <v>3</v>
      </c>
      <c r="H387" s="183">
        <v>1</v>
      </c>
      <c r="I387" s="183">
        <v>30</v>
      </c>
      <c r="J387" s="183">
        <v>57</v>
      </c>
      <c r="K387" s="183">
        <v>3</v>
      </c>
      <c r="L387" s="183">
        <v>5</v>
      </c>
      <c r="M387" s="183">
        <v>304</v>
      </c>
      <c r="N387" s="183">
        <v>7279</v>
      </c>
      <c r="O387" s="183">
        <v>35</v>
      </c>
      <c r="P387" s="183">
        <v>9290</v>
      </c>
      <c r="Q387" s="183">
        <v>259</v>
      </c>
    </row>
    <row r="388" spans="1:17">
      <c r="A388" s="183" t="s">
        <v>2068</v>
      </c>
      <c r="B388" s="183" t="s">
        <v>1123</v>
      </c>
      <c r="C388" s="183" t="s">
        <v>2400</v>
      </c>
      <c r="D388" s="183">
        <v>13</v>
      </c>
      <c r="E388" s="183">
        <v>10</v>
      </c>
      <c r="F388" s="183">
        <v>573</v>
      </c>
      <c r="G388" s="183">
        <v>1</v>
      </c>
      <c r="H388" s="183">
        <v>798</v>
      </c>
      <c r="I388" s="183">
        <v>9</v>
      </c>
      <c r="J388" s="183">
        <v>57</v>
      </c>
      <c r="K388" s="183">
        <v>0</v>
      </c>
      <c r="L388" s="183">
        <v>0</v>
      </c>
      <c r="M388" s="183">
        <v>0</v>
      </c>
      <c r="N388" s="183">
        <v>0</v>
      </c>
      <c r="O388" s="183">
        <v>10</v>
      </c>
      <c r="P388" s="183">
        <v>1372</v>
      </c>
      <c r="Q388" s="183">
        <v>135</v>
      </c>
    </row>
    <row r="389" spans="1:17">
      <c r="A389" s="183" t="s">
        <v>2062</v>
      </c>
      <c r="B389" s="183" t="s">
        <v>180</v>
      </c>
      <c r="C389" s="183" t="s">
        <v>2401</v>
      </c>
      <c r="D389" s="183">
        <v>91</v>
      </c>
      <c r="E389" s="183">
        <v>85</v>
      </c>
      <c r="F389" s="183">
        <v>4875</v>
      </c>
      <c r="G389" s="183">
        <v>64</v>
      </c>
      <c r="H389" s="183">
        <v>0</v>
      </c>
      <c r="I389" s="183">
        <v>603</v>
      </c>
      <c r="J389" s="183">
        <v>58</v>
      </c>
      <c r="K389" s="183">
        <v>7</v>
      </c>
      <c r="L389" s="183">
        <v>7</v>
      </c>
      <c r="M389" s="183">
        <v>502</v>
      </c>
      <c r="N389" s="183">
        <v>644</v>
      </c>
      <c r="O389" s="183">
        <v>92</v>
      </c>
      <c r="P389" s="183">
        <v>6085</v>
      </c>
      <c r="Q389" s="183">
        <v>61</v>
      </c>
    </row>
    <row r="390" spans="1:17">
      <c r="A390" s="183" t="s">
        <v>2062</v>
      </c>
      <c r="B390" s="183" t="s">
        <v>491</v>
      </c>
      <c r="C390" s="183" t="s">
        <v>2402</v>
      </c>
      <c r="D390" s="183">
        <v>12</v>
      </c>
      <c r="E390" s="183">
        <v>12</v>
      </c>
      <c r="F390" s="183">
        <v>727</v>
      </c>
      <c r="G390" s="183">
        <v>0</v>
      </c>
      <c r="H390" s="183">
        <v>8</v>
      </c>
      <c r="I390" s="183">
        <v>11</v>
      </c>
      <c r="J390" s="183">
        <v>58</v>
      </c>
      <c r="K390" s="183">
        <v>0</v>
      </c>
      <c r="L390" s="183">
        <v>0</v>
      </c>
      <c r="M390" s="183">
        <v>0</v>
      </c>
      <c r="N390" s="183">
        <v>387</v>
      </c>
      <c r="O390" s="183">
        <v>12</v>
      </c>
      <c r="P390" s="183">
        <v>1122</v>
      </c>
      <c r="Q390" s="183">
        <v>90</v>
      </c>
    </row>
    <row r="391" spans="1:17">
      <c r="A391" s="183" t="s">
        <v>2062</v>
      </c>
      <c r="B391" s="183" t="s">
        <v>795</v>
      </c>
      <c r="C391" s="183" t="s">
        <v>2403</v>
      </c>
      <c r="D391" s="183">
        <v>93</v>
      </c>
      <c r="E391" s="183">
        <v>94</v>
      </c>
      <c r="F391" s="183">
        <v>5238</v>
      </c>
      <c r="G391" s="183">
        <v>210</v>
      </c>
      <c r="H391" s="183">
        <v>0</v>
      </c>
      <c r="I391" s="183">
        <v>614</v>
      </c>
      <c r="J391" s="183">
        <v>58</v>
      </c>
      <c r="K391" s="183">
        <v>8</v>
      </c>
      <c r="L391" s="183">
        <v>6</v>
      </c>
      <c r="M391" s="183">
        <v>736</v>
      </c>
      <c r="N391" s="183">
        <v>6417</v>
      </c>
      <c r="O391" s="183">
        <v>100</v>
      </c>
      <c r="P391" s="183">
        <v>12601</v>
      </c>
      <c r="Q391" s="183">
        <v>118</v>
      </c>
    </row>
    <row r="392" spans="1:17">
      <c r="A392" s="183" t="s">
        <v>2078</v>
      </c>
      <c r="B392" s="183" t="s">
        <v>1433</v>
      </c>
      <c r="C392" s="183" t="s">
        <v>2404</v>
      </c>
      <c r="D392" s="183">
        <v>32</v>
      </c>
      <c r="E392" s="183">
        <v>31</v>
      </c>
      <c r="F392" s="183">
        <v>880</v>
      </c>
      <c r="G392" s="183">
        <v>896</v>
      </c>
      <c r="H392" s="183">
        <v>386</v>
      </c>
      <c r="I392" s="183">
        <v>132</v>
      </c>
      <c r="J392" s="183">
        <v>58</v>
      </c>
      <c r="K392" s="183">
        <v>0</v>
      </c>
      <c r="L392" s="183">
        <v>0</v>
      </c>
      <c r="M392" s="183">
        <v>0</v>
      </c>
      <c r="N392" s="183">
        <v>5984</v>
      </c>
      <c r="O392" s="183">
        <v>31</v>
      </c>
      <c r="P392" s="183">
        <v>8146</v>
      </c>
      <c r="Q392" s="183">
        <v>264</v>
      </c>
    </row>
    <row r="393" spans="1:17">
      <c r="A393" s="183" t="s">
        <v>2068</v>
      </c>
      <c r="B393" s="183" t="s">
        <v>1255</v>
      </c>
      <c r="C393" s="183" t="s">
        <v>1254</v>
      </c>
      <c r="D393" s="183">
        <v>39</v>
      </c>
      <c r="E393" s="183">
        <v>28</v>
      </c>
      <c r="F393" s="183">
        <v>1611</v>
      </c>
      <c r="G393" s="183">
        <v>7</v>
      </c>
      <c r="H393" s="183">
        <v>3256</v>
      </c>
      <c r="I393" s="183">
        <v>26</v>
      </c>
      <c r="J393" s="183">
        <v>58</v>
      </c>
      <c r="K393" s="183">
        <v>0</v>
      </c>
      <c r="L393" s="183">
        <v>0</v>
      </c>
      <c r="M393" s="183">
        <v>0</v>
      </c>
      <c r="N393" s="183">
        <v>9008</v>
      </c>
      <c r="O393" s="183">
        <v>28</v>
      </c>
      <c r="P393" s="183">
        <v>13882</v>
      </c>
      <c r="Q393" s="183">
        <v>496</v>
      </c>
    </row>
    <row r="394" spans="1:17">
      <c r="A394" s="183" t="s">
        <v>2068</v>
      </c>
      <c r="B394" s="183" t="s">
        <v>1195</v>
      </c>
      <c r="C394" s="183" t="s">
        <v>1194</v>
      </c>
      <c r="D394" s="183">
        <v>17</v>
      </c>
      <c r="E394" s="183">
        <v>20</v>
      </c>
      <c r="F394" s="183">
        <v>1176</v>
      </c>
      <c r="G394" s="183">
        <v>5</v>
      </c>
      <c r="H394" s="183">
        <v>0</v>
      </c>
      <c r="I394" s="183">
        <v>15</v>
      </c>
      <c r="J394" s="183">
        <v>58</v>
      </c>
      <c r="K394" s="183">
        <v>0</v>
      </c>
      <c r="L394" s="183">
        <v>0</v>
      </c>
      <c r="M394" s="183">
        <v>0</v>
      </c>
      <c r="N394" s="183">
        <v>6421</v>
      </c>
      <c r="O394" s="183">
        <v>20</v>
      </c>
      <c r="P394" s="183">
        <v>7602</v>
      </c>
      <c r="Q394" s="183">
        <v>375</v>
      </c>
    </row>
    <row r="395" spans="1:17">
      <c r="A395" s="183" t="s">
        <v>2062</v>
      </c>
      <c r="B395" s="183" t="s">
        <v>848</v>
      </c>
      <c r="C395" s="183" t="s">
        <v>2405</v>
      </c>
      <c r="D395" s="183">
        <v>107</v>
      </c>
      <c r="E395" s="183">
        <v>100</v>
      </c>
      <c r="F395" s="183">
        <v>1710</v>
      </c>
      <c r="G395" s="183">
        <v>4100</v>
      </c>
      <c r="H395" s="183">
        <v>1398</v>
      </c>
      <c r="I395" s="183">
        <v>82</v>
      </c>
      <c r="J395" s="183">
        <v>58</v>
      </c>
      <c r="K395" s="183">
        <v>74</v>
      </c>
      <c r="L395" s="183">
        <v>71</v>
      </c>
      <c r="M395" s="183">
        <v>2730</v>
      </c>
      <c r="N395" s="183">
        <v>0</v>
      </c>
      <c r="O395" s="183">
        <v>171</v>
      </c>
      <c r="P395" s="183">
        <v>9938</v>
      </c>
      <c r="Q395" s="183">
        <v>42</v>
      </c>
    </row>
    <row r="396" spans="1:17">
      <c r="A396" s="183" t="s">
        <v>2062</v>
      </c>
      <c r="B396" s="183" t="s">
        <v>539</v>
      </c>
      <c r="C396" s="183" t="s">
        <v>2406</v>
      </c>
      <c r="D396" s="183">
        <v>24</v>
      </c>
      <c r="E396" s="183">
        <v>20</v>
      </c>
      <c r="F396" s="183">
        <v>1179</v>
      </c>
      <c r="G396" s="183">
        <v>1</v>
      </c>
      <c r="H396" s="183">
        <v>537</v>
      </c>
      <c r="I396" s="183">
        <v>60</v>
      </c>
      <c r="J396" s="183">
        <v>58</v>
      </c>
      <c r="K396" s="183">
        <v>0</v>
      </c>
      <c r="L396" s="183">
        <v>0</v>
      </c>
      <c r="M396" s="183">
        <v>0</v>
      </c>
      <c r="N396" s="183">
        <v>0</v>
      </c>
      <c r="O396" s="183">
        <v>20</v>
      </c>
      <c r="P396" s="183">
        <v>1717</v>
      </c>
      <c r="Q396" s="183">
        <v>85</v>
      </c>
    </row>
    <row r="397" spans="1:17">
      <c r="A397" s="183" t="s">
        <v>2062</v>
      </c>
      <c r="B397" s="183" t="s">
        <v>836</v>
      </c>
      <c r="C397" s="183" t="s">
        <v>2407</v>
      </c>
      <c r="D397" s="183">
        <v>39</v>
      </c>
      <c r="E397" s="183">
        <v>31</v>
      </c>
      <c r="F397" s="183">
        <v>848</v>
      </c>
      <c r="G397" s="183">
        <v>961</v>
      </c>
      <c r="H397" s="183">
        <v>3883</v>
      </c>
      <c r="I397" s="183">
        <v>20</v>
      </c>
      <c r="J397" s="183">
        <v>58</v>
      </c>
      <c r="K397" s="183">
        <v>13</v>
      </c>
      <c r="L397" s="183">
        <v>14</v>
      </c>
      <c r="M397" s="183">
        <v>876</v>
      </c>
      <c r="N397" s="183">
        <v>954</v>
      </c>
      <c r="O397" s="183">
        <v>46</v>
      </c>
      <c r="P397" s="183">
        <v>7522</v>
      </c>
      <c r="Q397" s="183">
        <v>146</v>
      </c>
    </row>
    <row r="398" spans="1:17">
      <c r="A398" s="183" t="s">
        <v>2062</v>
      </c>
      <c r="B398" s="183" t="s">
        <v>343</v>
      </c>
      <c r="C398" s="183" t="s">
        <v>2408</v>
      </c>
      <c r="D398" s="183">
        <v>18</v>
      </c>
      <c r="E398" s="183">
        <v>23</v>
      </c>
      <c r="F398" s="183">
        <v>1354</v>
      </c>
      <c r="G398" s="183">
        <v>2</v>
      </c>
      <c r="H398" s="183">
        <v>0</v>
      </c>
      <c r="I398" s="183">
        <v>30</v>
      </c>
      <c r="J398" s="183">
        <v>59</v>
      </c>
      <c r="K398" s="183">
        <v>1</v>
      </c>
      <c r="L398" s="183">
        <v>1</v>
      </c>
      <c r="M398" s="183">
        <v>68</v>
      </c>
      <c r="N398" s="183">
        <v>3843</v>
      </c>
      <c r="O398" s="183">
        <v>24</v>
      </c>
      <c r="P398" s="183">
        <v>5267</v>
      </c>
      <c r="Q398" s="183">
        <v>215</v>
      </c>
    </row>
    <row r="399" spans="1:17">
      <c r="A399" s="183" t="s">
        <v>2062</v>
      </c>
      <c r="B399" s="183" t="s">
        <v>840</v>
      </c>
      <c r="C399" s="183" t="s">
        <v>2409</v>
      </c>
      <c r="D399" s="183">
        <v>89</v>
      </c>
      <c r="E399" s="183">
        <v>92</v>
      </c>
      <c r="F399" s="183">
        <v>2820</v>
      </c>
      <c r="G399" s="183">
        <v>2575</v>
      </c>
      <c r="H399" s="183">
        <v>0</v>
      </c>
      <c r="I399" s="183">
        <v>771</v>
      </c>
      <c r="J399" s="183">
        <v>59</v>
      </c>
      <c r="K399" s="183">
        <v>10</v>
      </c>
      <c r="L399" s="183">
        <v>10</v>
      </c>
      <c r="M399" s="183">
        <v>643</v>
      </c>
      <c r="N399" s="183">
        <v>5283</v>
      </c>
      <c r="O399" s="183">
        <v>102</v>
      </c>
      <c r="P399" s="183">
        <v>11321</v>
      </c>
      <c r="Q399" s="183">
        <v>104</v>
      </c>
    </row>
    <row r="400" spans="1:17">
      <c r="A400" s="183" t="s">
        <v>2078</v>
      </c>
      <c r="B400" s="183" t="s">
        <v>1472</v>
      </c>
      <c r="C400" s="183" t="s">
        <v>2410</v>
      </c>
      <c r="D400" s="183">
        <v>30</v>
      </c>
      <c r="E400" s="183">
        <v>20</v>
      </c>
      <c r="F400" s="183">
        <v>1192</v>
      </c>
      <c r="G400" s="183">
        <v>10</v>
      </c>
      <c r="H400" s="183">
        <v>1372</v>
      </c>
      <c r="I400" s="183">
        <v>67</v>
      </c>
      <c r="J400" s="183">
        <v>59</v>
      </c>
      <c r="K400" s="183">
        <v>0</v>
      </c>
      <c r="L400" s="183">
        <v>0</v>
      </c>
      <c r="M400" s="183">
        <v>0</v>
      </c>
      <c r="N400" s="183">
        <v>1439</v>
      </c>
      <c r="O400" s="183">
        <v>20</v>
      </c>
      <c r="P400" s="183">
        <v>4013</v>
      </c>
      <c r="Q400" s="183">
        <v>196</v>
      </c>
    </row>
    <row r="401" spans="1:17">
      <c r="A401" s="183" t="s">
        <v>2062</v>
      </c>
      <c r="B401" s="183" t="s">
        <v>668</v>
      </c>
      <c r="C401" s="183" t="s">
        <v>2411</v>
      </c>
      <c r="D401" s="183">
        <v>81</v>
      </c>
      <c r="E401" s="183">
        <v>82</v>
      </c>
      <c r="F401" s="183">
        <v>4763</v>
      </c>
      <c r="G401" s="183">
        <v>77</v>
      </c>
      <c r="H401" s="183">
        <v>152</v>
      </c>
      <c r="I401" s="183">
        <v>578</v>
      </c>
      <c r="J401" s="183">
        <v>59</v>
      </c>
      <c r="K401" s="183">
        <v>0</v>
      </c>
      <c r="L401" s="183">
        <v>0</v>
      </c>
      <c r="M401" s="183">
        <v>0</v>
      </c>
      <c r="N401" s="183">
        <v>1911</v>
      </c>
      <c r="O401" s="183">
        <v>82</v>
      </c>
      <c r="P401" s="183">
        <v>6903</v>
      </c>
      <c r="Q401" s="183">
        <v>84</v>
      </c>
    </row>
    <row r="402" spans="1:17">
      <c r="A402" s="183" t="s">
        <v>2078</v>
      </c>
      <c r="B402" s="183" t="s">
        <v>1532</v>
      </c>
      <c r="C402" s="183" t="s">
        <v>2412</v>
      </c>
      <c r="D402" s="183">
        <v>62</v>
      </c>
      <c r="E402" s="183">
        <v>42</v>
      </c>
      <c r="F402" s="183">
        <v>2516</v>
      </c>
      <c r="G402" s="183">
        <v>4</v>
      </c>
      <c r="H402" s="183">
        <v>2163</v>
      </c>
      <c r="I402" s="183">
        <v>106</v>
      </c>
      <c r="J402" s="183">
        <v>59</v>
      </c>
      <c r="K402" s="183">
        <v>0</v>
      </c>
      <c r="L402" s="183">
        <v>0</v>
      </c>
      <c r="M402" s="183">
        <v>0</v>
      </c>
      <c r="N402" s="183">
        <v>2393</v>
      </c>
      <c r="O402" s="183">
        <v>42</v>
      </c>
      <c r="P402" s="183">
        <v>7076</v>
      </c>
      <c r="Q402" s="183">
        <v>167</v>
      </c>
    </row>
    <row r="403" spans="1:17">
      <c r="A403" s="183" t="s">
        <v>2078</v>
      </c>
      <c r="B403" s="183" t="s">
        <v>1498</v>
      </c>
      <c r="C403" s="183" t="s">
        <v>2413</v>
      </c>
      <c r="D403" s="183">
        <v>68</v>
      </c>
      <c r="E403" s="183">
        <v>57</v>
      </c>
      <c r="F403" s="183">
        <v>3379</v>
      </c>
      <c r="G403" s="183">
        <v>12</v>
      </c>
      <c r="H403" s="183">
        <v>915</v>
      </c>
      <c r="I403" s="183">
        <v>73</v>
      </c>
      <c r="J403" s="183">
        <v>59</v>
      </c>
      <c r="K403" s="183">
        <v>0</v>
      </c>
      <c r="L403" s="183">
        <v>0</v>
      </c>
      <c r="M403" s="183">
        <v>0</v>
      </c>
      <c r="N403" s="183">
        <v>760</v>
      </c>
      <c r="O403" s="183">
        <v>57</v>
      </c>
      <c r="P403" s="183">
        <v>5066</v>
      </c>
      <c r="Q403" s="183">
        <v>88</v>
      </c>
    </row>
    <row r="404" spans="1:17">
      <c r="A404" s="183" t="s">
        <v>2062</v>
      </c>
      <c r="B404" s="183" t="s">
        <v>785</v>
      </c>
      <c r="C404" s="183" t="s">
        <v>784</v>
      </c>
      <c r="D404" s="183">
        <v>50</v>
      </c>
      <c r="E404" s="183">
        <v>40</v>
      </c>
      <c r="F404" s="183">
        <v>2080</v>
      </c>
      <c r="G404" s="183">
        <v>288</v>
      </c>
      <c r="H404" s="183">
        <v>3468</v>
      </c>
      <c r="I404" s="183">
        <v>174</v>
      </c>
      <c r="J404" s="183">
        <v>59</v>
      </c>
      <c r="K404" s="183">
        <v>0</v>
      </c>
      <c r="L404" s="183">
        <v>0</v>
      </c>
      <c r="M404" s="183">
        <v>1401</v>
      </c>
      <c r="N404" s="183">
        <v>3383</v>
      </c>
      <c r="O404" s="183">
        <v>40</v>
      </c>
      <c r="P404" s="183">
        <v>10620</v>
      </c>
      <c r="Q404" s="183">
        <v>230</v>
      </c>
    </row>
    <row r="405" spans="1:17">
      <c r="A405" s="183" t="s">
        <v>2062</v>
      </c>
      <c r="B405" s="183" t="s">
        <v>153</v>
      </c>
      <c r="C405" s="183" t="s">
        <v>2414</v>
      </c>
      <c r="D405" s="183">
        <v>21</v>
      </c>
      <c r="E405" s="183">
        <v>21</v>
      </c>
      <c r="F405" s="183">
        <v>1231</v>
      </c>
      <c r="G405" s="183">
        <v>12</v>
      </c>
      <c r="H405" s="183">
        <v>1568</v>
      </c>
      <c r="I405" s="183">
        <v>26</v>
      </c>
      <c r="J405" s="183">
        <v>59</v>
      </c>
      <c r="K405" s="183">
        <v>31</v>
      </c>
      <c r="L405" s="183">
        <v>28</v>
      </c>
      <c r="M405" s="183">
        <v>2765</v>
      </c>
      <c r="N405" s="183">
        <v>492</v>
      </c>
      <c r="O405" s="183">
        <v>49</v>
      </c>
      <c r="P405" s="183">
        <v>6068</v>
      </c>
      <c r="Q405" s="183">
        <v>68</v>
      </c>
    </row>
    <row r="406" spans="1:17">
      <c r="A406" s="183" t="s">
        <v>2062</v>
      </c>
      <c r="B406" s="183" t="s">
        <v>238</v>
      </c>
      <c r="C406" s="183" t="s">
        <v>2415</v>
      </c>
      <c r="D406" s="183">
        <v>13</v>
      </c>
      <c r="E406" s="183">
        <v>13</v>
      </c>
      <c r="F406" s="183">
        <v>671</v>
      </c>
      <c r="G406" s="183">
        <v>106</v>
      </c>
      <c r="H406" s="183">
        <v>0</v>
      </c>
      <c r="I406" s="183">
        <v>11</v>
      </c>
      <c r="J406" s="183">
        <v>60</v>
      </c>
      <c r="K406" s="183">
        <v>8</v>
      </c>
      <c r="L406" s="183">
        <v>9</v>
      </c>
      <c r="M406" s="183">
        <v>349</v>
      </c>
      <c r="N406" s="183">
        <v>213</v>
      </c>
      <c r="O406" s="183">
        <v>22</v>
      </c>
      <c r="P406" s="183">
        <v>1339</v>
      </c>
      <c r="Q406" s="183">
        <v>46</v>
      </c>
    </row>
    <row r="407" spans="1:17">
      <c r="A407" s="183" t="s">
        <v>2062</v>
      </c>
      <c r="B407" s="183" t="s">
        <v>600</v>
      </c>
      <c r="C407" s="183" t="s">
        <v>2416</v>
      </c>
      <c r="D407" s="183">
        <v>20</v>
      </c>
      <c r="E407" s="183">
        <v>19</v>
      </c>
      <c r="F407" s="183">
        <v>761</v>
      </c>
      <c r="G407" s="183">
        <v>360</v>
      </c>
      <c r="H407" s="183">
        <v>700</v>
      </c>
      <c r="I407" s="183">
        <v>12</v>
      </c>
      <c r="J407" s="183">
        <v>60</v>
      </c>
      <c r="K407" s="183">
        <v>4</v>
      </c>
      <c r="L407" s="183">
        <v>3</v>
      </c>
      <c r="M407" s="183">
        <v>440</v>
      </c>
      <c r="N407" s="183">
        <v>1386</v>
      </c>
      <c r="O407" s="183">
        <v>22</v>
      </c>
      <c r="P407" s="183">
        <v>3647</v>
      </c>
      <c r="Q407" s="183">
        <v>146</v>
      </c>
    </row>
    <row r="408" spans="1:17">
      <c r="A408" s="183" t="s">
        <v>2068</v>
      </c>
      <c r="B408" s="183" t="s">
        <v>1231</v>
      </c>
      <c r="C408" s="183" t="s">
        <v>2417</v>
      </c>
      <c r="D408" s="183">
        <v>35</v>
      </c>
      <c r="E408" s="183">
        <v>24</v>
      </c>
      <c r="F408" s="183">
        <v>817</v>
      </c>
      <c r="G408" s="183">
        <v>644</v>
      </c>
      <c r="H408" s="183">
        <v>266</v>
      </c>
      <c r="I408" s="183">
        <v>28</v>
      </c>
      <c r="J408" s="183">
        <v>60</v>
      </c>
      <c r="K408" s="183">
        <v>0</v>
      </c>
      <c r="L408" s="183">
        <v>0</v>
      </c>
      <c r="M408" s="183">
        <v>0</v>
      </c>
      <c r="N408" s="183">
        <v>2697</v>
      </c>
      <c r="O408" s="183">
        <v>24</v>
      </c>
      <c r="P408" s="183">
        <v>4424</v>
      </c>
      <c r="Q408" s="183">
        <v>182</v>
      </c>
    </row>
    <row r="409" spans="1:17">
      <c r="A409" s="183" t="s">
        <v>2078</v>
      </c>
      <c r="B409" s="183" t="s">
        <v>1366</v>
      </c>
      <c r="C409" s="183" t="s">
        <v>2418</v>
      </c>
      <c r="D409" s="183">
        <v>12</v>
      </c>
      <c r="E409" s="183">
        <v>16</v>
      </c>
      <c r="F409" s="183">
        <v>673</v>
      </c>
      <c r="G409" s="183">
        <v>277</v>
      </c>
      <c r="H409" s="183">
        <v>173</v>
      </c>
      <c r="I409" s="183">
        <v>24</v>
      </c>
      <c r="J409" s="183">
        <v>61</v>
      </c>
      <c r="K409" s="183">
        <v>0</v>
      </c>
      <c r="L409" s="183">
        <v>0</v>
      </c>
      <c r="M409" s="183">
        <v>0</v>
      </c>
      <c r="N409" s="183">
        <v>3646</v>
      </c>
      <c r="O409" s="183">
        <v>16</v>
      </c>
      <c r="P409" s="183">
        <v>4769</v>
      </c>
      <c r="Q409" s="183">
        <v>306</v>
      </c>
    </row>
    <row r="410" spans="1:17">
      <c r="A410" s="183" t="s">
        <v>2062</v>
      </c>
      <c r="B410" s="183" t="s">
        <v>624</v>
      </c>
      <c r="C410" s="183" t="s">
        <v>2419</v>
      </c>
      <c r="D410" s="183">
        <v>58</v>
      </c>
      <c r="E410" s="183">
        <v>60</v>
      </c>
      <c r="F410" s="183">
        <v>3608</v>
      </c>
      <c r="G410" s="183">
        <v>2</v>
      </c>
      <c r="H410" s="183">
        <v>7</v>
      </c>
      <c r="I410" s="183">
        <v>66</v>
      </c>
      <c r="J410" s="183">
        <v>61</v>
      </c>
      <c r="K410" s="183">
        <v>35</v>
      </c>
      <c r="L410" s="183">
        <v>38</v>
      </c>
      <c r="M410" s="183">
        <v>2840</v>
      </c>
      <c r="N410" s="183">
        <v>2965</v>
      </c>
      <c r="O410" s="183">
        <v>98</v>
      </c>
      <c r="P410" s="183">
        <v>9422</v>
      </c>
      <c r="Q410" s="183">
        <v>67</v>
      </c>
    </row>
    <row r="411" spans="1:17">
      <c r="A411" s="183" t="s">
        <v>2078</v>
      </c>
      <c r="B411" s="183" t="s">
        <v>1492</v>
      </c>
      <c r="C411" s="183" t="s">
        <v>2420</v>
      </c>
      <c r="D411" s="183">
        <v>74</v>
      </c>
      <c r="E411" s="183">
        <v>78</v>
      </c>
      <c r="F411" s="183">
        <v>3293</v>
      </c>
      <c r="G411" s="183">
        <v>1418</v>
      </c>
      <c r="H411" s="183">
        <v>347</v>
      </c>
      <c r="I411" s="183">
        <v>1112</v>
      </c>
      <c r="J411" s="183">
        <v>61</v>
      </c>
      <c r="K411" s="183">
        <v>0</v>
      </c>
      <c r="L411" s="183">
        <v>0</v>
      </c>
      <c r="M411" s="183">
        <v>0</v>
      </c>
      <c r="N411" s="183">
        <v>1798</v>
      </c>
      <c r="O411" s="183">
        <v>78</v>
      </c>
      <c r="P411" s="183">
        <v>6856</v>
      </c>
      <c r="Q411" s="183">
        <v>88</v>
      </c>
    </row>
    <row r="412" spans="1:17">
      <c r="A412" s="183" t="s">
        <v>2068</v>
      </c>
      <c r="B412" s="183" t="s">
        <v>1109</v>
      </c>
      <c r="C412" s="183" t="s">
        <v>2421</v>
      </c>
      <c r="D412" s="183">
        <v>32</v>
      </c>
      <c r="E412" s="183">
        <v>32</v>
      </c>
      <c r="F412" s="183">
        <v>1955</v>
      </c>
      <c r="G412" s="183">
        <v>6</v>
      </c>
      <c r="H412" s="183">
        <v>7</v>
      </c>
      <c r="I412" s="183">
        <v>36</v>
      </c>
      <c r="J412" s="183">
        <v>61</v>
      </c>
      <c r="K412" s="183">
        <v>0</v>
      </c>
      <c r="L412" s="183">
        <v>0</v>
      </c>
      <c r="M412" s="183">
        <v>0</v>
      </c>
      <c r="N412" s="183">
        <v>448</v>
      </c>
      <c r="O412" s="183">
        <v>32</v>
      </c>
      <c r="P412" s="183">
        <v>2416</v>
      </c>
      <c r="Q412" s="183">
        <v>75</v>
      </c>
    </row>
    <row r="413" spans="1:17">
      <c r="A413" s="183" t="s">
        <v>2062</v>
      </c>
      <c r="B413" s="183" t="s">
        <v>638</v>
      </c>
      <c r="C413" s="183" t="s">
        <v>2422</v>
      </c>
      <c r="D413" s="183">
        <v>108</v>
      </c>
      <c r="E413" s="183">
        <v>106</v>
      </c>
      <c r="F413" s="183">
        <v>4763</v>
      </c>
      <c r="G413" s="183">
        <v>1664</v>
      </c>
      <c r="H413" s="183">
        <v>5310</v>
      </c>
      <c r="I413" s="183">
        <v>89</v>
      </c>
      <c r="J413" s="183">
        <v>61</v>
      </c>
      <c r="K413" s="183">
        <v>1</v>
      </c>
      <c r="L413" s="183">
        <v>1</v>
      </c>
      <c r="M413" s="183">
        <v>76</v>
      </c>
      <c r="N413" s="183">
        <v>5040</v>
      </c>
      <c r="O413" s="183">
        <v>107</v>
      </c>
      <c r="P413" s="183">
        <v>16853</v>
      </c>
      <c r="Q413" s="183">
        <v>157</v>
      </c>
    </row>
    <row r="414" spans="1:17">
      <c r="A414" s="183" t="s">
        <v>2062</v>
      </c>
      <c r="B414" s="183" t="s">
        <v>740</v>
      </c>
      <c r="C414" s="183" t="s">
        <v>2423</v>
      </c>
      <c r="D414" s="183">
        <v>61</v>
      </c>
      <c r="E414" s="183">
        <v>59</v>
      </c>
      <c r="F414" s="183">
        <v>3580</v>
      </c>
      <c r="G414" s="183">
        <v>4</v>
      </c>
      <c r="H414" s="183">
        <v>1412</v>
      </c>
      <c r="I414" s="183">
        <v>67</v>
      </c>
      <c r="J414" s="183">
        <v>61</v>
      </c>
      <c r="K414" s="183">
        <v>26</v>
      </c>
      <c r="L414" s="183">
        <v>23</v>
      </c>
      <c r="M414" s="183">
        <v>2439</v>
      </c>
      <c r="N414" s="183">
        <v>3519</v>
      </c>
      <c r="O414" s="183">
        <v>82</v>
      </c>
      <c r="P414" s="183">
        <v>10954</v>
      </c>
      <c r="Q414" s="183">
        <v>104</v>
      </c>
    </row>
    <row r="415" spans="1:17">
      <c r="A415" s="183" t="s">
        <v>2062</v>
      </c>
      <c r="B415" s="183" t="s">
        <v>135</v>
      </c>
      <c r="C415" s="183" t="s">
        <v>2424</v>
      </c>
      <c r="D415" s="183">
        <v>45</v>
      </c>
      <c r="E415" s="183">
        <v>52</v>
      </c>
      <c r="F415" s="183">
        <v>3143</v>
      </c>
      <c r="G415" s="183">
        <v>7</v>
      </c>
      <c r="H415" s="183">
        <v>0</v>
      </c>
      <c r="I415" s="183">
        <v>47</v>
      </c>
      <c r="J415" s="183">
        <v>61</v>
      </c>
      <c r="K415" s="183">
        <v>0</v>
      </c>
      <c r="L415" s="183">
        <v>0</v>
      </c>
      <c r="M415" s="183">
        <v>0</v>
      </c>
      <c r="N415" s="183">
        <v>4650</v>
      </c>
      <c r="O415" s="183">
        <v>52</v>
      </c>
      <c r="P415" s="183">
        <v>7800</v>
      </c>
      <c r="Q415" s="183">
        <v>150</v>
      </c>
    </row>
    <row r="416" spans="1:17">
      <c r="A416" s="183" t="s">
        <v>2062</v>
      </c>
      <c r="B416" s="183" t="s">
        <v>117</v>
      </c>
      <c r="C416" s="183" t="s">
        <v>2425</v>
      </c>
      <c r="D416" s="183">
        <v>67</v>
      </c>
      <c r="E416" s="183">
        <v>72</v>
      </c>
      <c r="F416" s="183">
        <v>3271</v>
      </c>
      <c r="G416" s="183">
        <v>1162</v>
      </c>
      <c r="H416" s="183">
        <v>0</v>
      </c>
      <c r="I416" s="183">
        <v>45</v>
      </c>
      <c r="J416" s="183">
        <v>61</v>
      </c>
      <c r="K416" s="183">
        <v>15</v>
      </c>
      <c r="L416" s="183">
        <v>13</v>
      </c>
      <c r="M416" s="183">
        <v>131</v>
      </c>
      <c r="N416" s="183">
        <v>45</v>
      </c>
      <c r="O416" s="183">
        <v>86</v>
      </c>
      <c r="P416" s="183">
        <v>4609</v>
      </c>
      <c r="Q416" s="183">
        <v>52</v>
      </c>
    </row>
    <row r="417" spans="1:17">
      <c r="A417" s="183" t="s">
        <v>2062</v>
      </c>
      <c r="B417" s="183" t="s">
        <v>838</v>
      </c>
      <c r="C417" s="183" t="s">
        <v>2426</v>
      </c>
      <c r="D417" s="183">
        <v>66</v>
      </c>
      <c r="E417" s="183">
        <v>57</v>
      </c>
      <c r="F417" s="183">
        <v>3456</v>
      </c>
      <c r="G417" s="183">
        <v>0</v>
      </c>
      <c r="H417" s="183">
        <v>2499</v>
      </c>
      <c r="I417" s="183">
        <v>66</v>
      </c>
      <c r="J417" s="183">
        <v>61</v>
      </c>
      <c r="K417" s="183">
        <v>0</v>
      </c>
      <c r="L417" s="183">
        <v>0</v>
      </c>
      <c r="M417" s="183">
        <v>0</v>
      </c>
      <c r="N417" s="183">
        <v>2350</v>
      </c>
      <c r="O417" s="183">
        <v>57</v>
      </c>
      <c r="P417" s="183">
        <v>8305</v>
      </c>
      <c r="Q417" s="183">
        <v>146</v>
      </c>
    </row>
    <row r="418" spans="1:17">
      <c r="A418" s="183" t="s">
        <v>2068</v>
      </c>
      <c r="B418" s="183" t="s">
        <v>1115</v>
      </c>
      <c r="C418" s="183" t="s">
        <v>2427</v>
      </c>
      <c r="D418" s="183">
        <v>23</v>
      </c>
      <c r="E418" s="183">
        <v>22</v>
      </c>
      <c r="F418" s="183">
        <v>1366</v>
      </c>
      <c r="G418" s="183">
        <v>18</v>
      </c>
      <c r="H418" s="183">
        <v>0</v>
      </c>
      <c r="I418" s="183">
        <v>78</v>
      </c>
      <c r="J418" s="183">
        <v>62</v>
      </c>
      <c r="K418" s="183">
        <v>0</v>
      </c>
      <c r="L418" s="183">
        <v>0</v>
      </c>
      <c r="M418" s="183">
        <v>0</v>
      </c>
      <c r="N418" s="183">
        <v>0</v>
      </c>
      <c r="O418" s="183">
        <v>22</v>
      </c>
      <c r="P418" s="183">
        <v>1384</v>
      </c>
      <c r="Q418" s="183">
        <v>62</v>
      </c>
    </row>
    <row r="419" spans="1:17">
      <c r="A419" s="183" t="s">
        <v>2078</v>
      </c>
      <c r="B419" s="183" t="s">
        <v>1398</v>
      </c>
      <c r="C419" s="183" t="s">
        <v>2428</v>
      </c>
      <c r="D419" s="183">
        <v>24</v>
      </c>
      <c r="E419" s="183">
        <v>24</v>
      </c>
      <c r="F419" s="183">
        <v>1490</v>
      </c>
      <c r="G419" s="183">
        <v>10</v>
      </c>
      <c r="H419" s="183">
        <v>39</v>
      </c>
      <c r="I419" s="183">
        <v>22</v>
      </c>
      <c r="J419" s="183">
        <v>62</v>
      </c>
      <c r="K419" s="183">
        <v>0</v>
      </c>
      <c r="L419" s="183">
        <v>0</v>
      </c>
      <c r="M419" s="183">
        <v>0</v>
      </c>
      <c r="N419" s="183">
        <v>2006</v>
      </c>
      <c r="O419" s="183">
        <v>24</v>
      </c>
      <c r="P419" s="183">
        <v>3545</v>
      </c>
      <c r="Q419" s="183">
        <v>147</v>
      </c>
    </row>
    <row r="420" spans="1:17">
      <c r="A420" s="183" t="s">
        <v>2078</v>
      </c>
      <c r="B420" s="183" t="s">
        <v>1783</v>
      </c>
      <c r="C420" s="183" t="s">
        <v>2429</v>
      </c>
      <c r="D420" s="183">
        <v>58</v>
      </c>
      <c r="E420" s="183">
        <v>43</v>
      </c>
      <c r="F420" s="183">
        <v>2630</v>
      </c>
      <c r="G420" s="183">
        <v>28</v>
      </c>
      <c r="H420" s="183">
        <v>1303</v>
      </c>
      <c r="I420" s="183">
        <v>31</v>
      </c>
      <c r="J420" s="183">
        <v>62</v>
      </c>
      <c r="K420" s="183">
        <v>0</v>
      </c>
      <c r="L420" s="183">
        <v>0</v>
      </c>
      <c r="M420" s="183">
        <v>0</v>
      </c>
      <c r="N420" s="183">
        <v>1092</v>
      </c>
      <c r="O420" s="183">
        <v>43</v>
      </c>
      <c r="P420" s="183">
        <v>5053</v>
      </c>
      <c r="Q420" s="183">
        <v>119</v>
      </c>
    </row>
    <row r="421" spans="1:17">
      <c r="A421" s="183" t="s">
        <v>2062</v>
      </c>
      <c r="B421" s="183" t="s">
        <v>719</v>
      </c>
      <c r="C421" s="183" t="s">
        <v>2430</v>
      </c>
      <c r="D421" s="183">
        <v>48</v>
      </c>
      <c r="E421" s="183">
        <v>29</v>
      </c>
      <c r="F421" s="183">
        <v>1833</v>
      </c>
      <c r="G421" s="183">
        <v>1</v>
      </c>
      <c r="H421" s="183">
        <v>4078</v>
      </c>
      <c r="I421" s="183">
        <v>62</v>
      </c>
      <c r="J421" s="183">
        <v>62</v>
      </c>
      <c r="K421" s="183">
        <v>0</v>
      </c>
      <c r="L421" s="183">
        <v>0</v>
      </c>
      <c r="M421" s="183">
        <v>0</v>
      </c>
      <c r="N421" s="183">
        <v>61</v>
      </c>
      <c r="O421" s="183">
        <v>29</v>
      </c>
      <c r="P421" s="183">
        <v>5973</v>
      </c>
      <c r="Q421" s="183">
        <v>203</v>
      </c>
    </row>
    <row r="422" spans="1:17">
      <c r="A422" s="183" t="s">
        <v>2062</v>
      </c>
      <c r="B422" s="183" t="s">
        <v>801</v>
      </c>
      <c r="C422" s="183" t="s">
        <v>2431</v>
      </c>
      <c r="D422" s="183">
        <v>53</v>
      </c>
      <c r="E422" s="183">
        <v>37</v>
      </c>
      <c r="F422" s="183">
        <v>1458</v>
      </c>
      <c r="G422" s="183">
        <v>866</v>
      </c>
      <c r="H422" s="183">
        <v>1812</v>
      </c>
      <c r="I422" s="183">
        <v>41</v>
      </c>
      <c r="J422" s="183">
        <v>62</v>
      </c>
      <c r="K422" s="183">
        <v>0</v>
      </c>
      <c r="L422" s="183">
        <v>0</v>
      </c>
      <c r="M422" s="183">
        <v>0</v>
      </c>
      <c r="N422" s="183">
        <v>0</v>
      </c>
      <c r="O422" s="183">
        <v>37</v>
      </c>
      <c r="P422" s="183">
        <v>4136</v>
      </c>
      <c r="Q422" s="183">
        <v>111</v>
      </c>
    </row>
    <row r="423" spans="1:17">
      <c r="A423" s="183" t="s">
        <v>2062</v>
      </c>
      <c r="B423" s="183" t="s">
        <v>33</v>
      </c>
      <c r="C423" s="183" t="s">
        <v>2432</v>
      </c>
      <c r="D423" s="183">
        <v>766</v>
      </c>
      <c r="E423" s="183">
        <v>893</v>
      </c>
      <c r="F423" s="183">
        <v>55330</v>
      </c>
      <c r="G423" s="183">
        <v>755</v>
      </c>
      <c r="H423" s="183">
        <v>0</v>
      </c>
      <c r="I423" s="183">
        <v>22927</v>
      </c>
      <c r="J423" s="183">
        <v>63</v>
      </c>
      <c r="K423" s="183">
        <v>46</v>
      </c>
      <c r="L423" s="183">
        <v>40</v>
      </c>
      <c r="M423" s="183">
        <v>1709</v>
      </c>
      <c r="N423" s="183">
        <v>3739</v>
      </c>
      <c r="O423" s="183">
        <v>933</v>
      </c>
      <c r="P423" s="183">
        <v>61533</v>
      </c>
      <c r="Q423" s="183">
        <v>64</v>
      </c>
    </row>
    <row r="424" spans="1:17">
      <c r="A424" s="183" t="s">
        <v>2078</v>
      </c>
      <c r="B424" s="183" t="s">
        <v>1482</v>
      </c>
      <c r="C424" s="183" t="s">
        <v>2433</v>
      </c>
      <c r="D424" s="183">
        <v>123</v>
      </c>
      <c r="E424" s="183">
        <v>132</v>
      </c>
      <c r="F424" s="183">
        <v>8301</v>
      </c>
      <c r="G424" s="183">
        <v>22</v>
      </c>
      <c r="H424" s="183">
        <v>529</v>
      </c>
      <c r="I424" s="183">
        <v>326</v>
      </c>
      <c r="J424" s="183">
        <v>63</v>
      </c>
      <c r="K424" s="183">
        <v>0</v>
      </c>
      <c r="L424" s="183">
        <v>0</v>
      </c>
      <c r="M424" s="183">
        <v>0</v>
      </c>
      <c r="N424" s="183">
        <v>2660</v>
      </c>
      <c r="O424" s="183">
        <v>132</v>
      </c>
      <c r="P424" s="183">
        <v>11512</v>
      </c>
      <c r="Q424" s="183">
        <v>87</v>
      </c>
    </row>
    <row r="425" spans="1:17">
      <c r="A425" s="183" t="s">
        <v>2062</v>
      </c>
      <c r="B425" s="183" t="s">
        <v>672</v>
      </c>
      <c r="C425" s="183" t="s">
        <v>2434</v>
      </c>
      <c r="D425" s="183">
        <v>42</v>
      </c>
      <c r="E425" s="183">
        <v>36</v>
      </c>
      <c r="F425" s="183">
        <v>2291</v>
      </c>
      <c r="G425" s="183">
        <v>0</v>
      </c>
      <c r="H425" s="183">
        <v>2100</v>
      </c>
      <c r="I425" s="183">
        <v>43</v>
      </c>
      <c r="J425" s="183">
        <v>63</v>
      </c>
      <c r="K425" s="183">
        <v>0</v>
      </c>
      <c r="L425" s="183">
        <v>0</v>
      </c>
      <c r="M425" s="183">
        <v>0</v>
      </c>
      <c r="N425" s="183">
        <v>2418</v>
      </c>
      <c r="O425" s="183">
        <v>36</v>
      </c>
      <c r="P425" s="183">
        <v>6809</v>
      </c>
      <c r="Q425" s="183">
        <v>187</v>
      </c>
    </row>
    <row r="426" spans="1:17">
      <c r="A426" s="183" t="s">
        <v>2062</v>
      </c>
      <c r="B426" s="183" t="s">
        <v>129</v>
      </c>
      <c r="C426" s="183" t="s">
        <v>2435</v>
      </c>
      <c r="D426" s="183">
        <v>45</v>
      </c>
      <c r="E426" s="183">
        <v>42</v>
      </c>
      <c r="F426" s="183">
        <v>2103</v>
      </c>
      <c r="G426" s="183">
        <v>501</v>
      </c>
      <c r="H426" s="183">
        <v>81</v>
      </c>
      <c r="I426" s="183">
        <v>34</v>
      </c>
      <c r="J426" s="183">
        <v>63</v>
      </c>
      <c r="K426" s="183">
        <v>0</v>
      </c>
      <c r="L426" s="183">
        <v>0</v>
      </c>
      <c r="M426" s="183">
        <v>0</v>
      </c>
      <c r="N426" s="183">
        <v>6118</v>
      </c>
      <c r="O426" s="183">
        <v>42</v>
      </c>
      <c r="P426" s="183">
        <v>8803</v>
      </c>
      <c r="Q426" s="183">
        <v>212</v>
      </c>
    </row>
    <row r="427" spans="1:17">
      <c r="A427" s="183" t="s">
        <v>2062</v>
      </c>
      <c r="B427" s="183" t="s">
        <v>447</v>
      </c>
      <c r="C427" s="183" t="s">
        <v>2436</v>
      </c>
      <c r="D427" s="183">
        <v>21</v>
      </c>
      <c r="E427" s="183">
        <v>21</v>
      </c>
      <c r="F427" s="183">
        <v>1325</v>
      </c>
      <c r="G427" s="183">
        <v>1</v>
      </c>
      <c r="H427" s="183">
        <v>0</v>
      </c>
      <c r="I427" s="183">
        <v>11</v>
      </c>
      <c r="J427" s="183">
        <v>63</v>
      </c>
      <c r="K427" s="183">
        <v>15</v>
      </c>
      <c r="L427" s="183">
        <v>14</v>
      </c>
      <c r="M427" s="183">
        <v>953</v>
      </c>
      <c r="N427" s="183">
        <v>365</v>
      </c>
      <c r="O427" s="183">
        <v>35</v>
      </c>
      <c r="P427" s="183">
        <v>2644</v>
      </c>
      <c r="Q427" s="183">
        <v>48</v>
      </c>
    </row>
    <row r="428" spans="1:17">
      <c r="A428" s="183" t="s">
        <v>2062</v>
      </c>
      <c r="B428" s="183" t="s">
        <v>664</v>
      </c>
      <c r="C428" s="183" t="s">
        <v>2437</v>
      </c>
      <c r="D428" s="183">
        <v>20</v>
      </c>
      <c r="E428" s="183">
        <v>17</v>
      </c>
      <c r="F428" s="183">
        <v>1103</v>
      </c>
      <c r="G428" s="183">
        <v>2</v>
      </c>
      <c r="H428" s="183">
        <v>0</v>
      </c>
      <c r="I428" s="183">
        <v>18</v>
      </c>
      <c r="J428" s="183">
        <v>63</v>
      </c>
      <c r="K428" s="183">
        <v>0</v>
      </c>
      <c r="L428" s="183">
        <v>0</v>
      </c>
      <c r="M428" s="183">
        <v>0</v>
      </c>
      <c r="N428" s="183">
        <v>740</v>
      </c>
      <c r="O428" s="183">
        <v>17</v>
      </c>
      <c r="P428" s="183">
        <v>1845</v>
      </c>
      <c r="Q428" s="183">
        <v>106</v>
      </c>
    </row>
    <row r="429" spans="1:17">
      <c r="A429" s="183" t="s">
        <v>2068</v>
      </c>
      <c r="B429" s="183" t="s">
        <v>1228</v>
      </c>
      <c r="C429" s="183" t="s">
        <v>2174</v>
      </c>
      <c r="D429" s="183">
        <v>79</v>
      </c>
      <c r="E429" s="183">
        <v>70</v>
      </c>
      <c r="F429" s="183">
        <v>4469</v>
      </c>
      <c r="G429" s="183">
        <v>19</v>
      </c>
      <c r="H429" s="183">
        <v>3956</v>
      </c>
      <c r="I429" s="183">
        <v>115</v>
      </c>
      <c r="J429" s="183">
        <v>64</v>
      </c>
      <c r="K429" s="183">
        <v>0</v>
      </c>
      <c r="L429" s="183">
        <v>0</v>
      </c>
      <c r="M429" s="183">
        <v>0</v>
      </c>
      <c r="N429" s="183">
        <v>34676</v>
      </c>
      <c r="O429" s="183">
        <v>70</v>
      </c>
      <c r="P429" s="183">
        <v>43120</v>
      </c>
      <c r="Q429" s="183">
        <v>619</v>
      </c>
    </row>
    <row r="430" spans="1:17">
      <c r="A430" s="183" t="s">
        <v>2068</v>
      </c>
      <c r="B430" s="183" t="s">
        <v>994</v>
      </c>
      <c r="C430" s="183" t="s">
        <v>2438</v>
      </c>
      <c r="D430" s="183">
        <v>17</v>
      </c>
      <c r="E430" s="183">
        <v>17</v>
      </c>
      <c r="F430" s="183">
        <v>1110</v>
      </c>
      <c r="G430" s="183">
        <v>7</v>
      </c>
      <c r="H430" s="183">
        <v>3</v>
      </c>
      <c r="I430" s="183">
        <v>21</v>
      </c>
      <c r="J430" s="183">
        <v>64</v>
      </c>
      <c r="K430" s="183">
        <v>0</v>
      </c>
      <c r="L430" s="183">
        <v>0</v>
      </c>
      <c r="M430" s="183">
        <v>0</v>
      </c>
      <c r="N430" s="183">
        <v>5419</v>
      </c>
      <c r="O430" s="183">
        <v>17</v>
      </c>
      <c r="P430" s="183">
        <v>6539</v>
      </c>
      <c r="Q430" s="183">
        <v>375</v>
      </c>
    </row>
    <row r="431" spans="1:17">
      <c r="A431" s="183" t="s">
        <v>2062</v>
      </c>
      <c r="B431" s="183" t="s">
        <v>781</v>
      </c>
      <c r="C431" s="183" t="s">
        <v>2439</v>
      </c>
      <c r="D431" s="183">
        <v>80</v>
      </c>
      <c r="E431" s="183">
        <v>73</v>
      </c>
      <c r="F431" s="183">
        <v>4619</v>
      </c>
      <c r="G431" s="183">
        <v>79</v>
      </c>
      <c r="H431" s="183">
        <v>0</v>
      </c>
      <c r="I431" s="183">
        <v>376</v>
      </c>
      <c r="J431" s="183">
        <v>64</v>
      </c>
      <c r="K431" s="183">
        <v>0</v>
      </c>
      <c r="L431" s="183">
        <v>0</v>
      </c>
      <c r="M431" s="183">
        <v>0</v>
      </c>
      <c r="N431" s="183">
        <v>0</v>
      </c>
      <c r="O431" s="183">
        <v>73</v>
      </c>
      <c r="P431" s="183">
        <v>4698</v>
      </c>
      <c r="Q431" s="183">
        <v>64</v>
      </c>
    </row>
    <row r="432" spans="1:17">
      <c r="A432" s="183" t="s">
        <v>2062</v>
      </c>
      <c r="B432" s="183" t="s">
        <v>2440</v>
      </c>
      <c r="C432" s="183" t="s">
        <v>2441</v>
      </c>
      <c r="D432" s="183">
        <v>28</v>
      </c>
      <c r="E432" s="183">
        <v>26</v>
      </c>
      <c r="F432" s="183">
        <v>1648</v>
      </c>
      <c r="G432" s="183">
        <v>0</v>
      </c>
      <c r="H432" s="183">
        <v>6</v>
      </c>
      <c r="I432" s="183">
        <v>31</v>
      </c>
      <c r="J432" s="183">
        <v>64</v>
      </c>
      <c r="K432" s="183">
        <v>0</v>
      </c>
      <c r="L432" s="183">
        <v>0</v>
      </c>
      <c r="M432" s="183">
        <v>0</v>
      </c>
      <c r="N432" s="183">
        <v>1133</v>
      </c>
      <c r="O432" s="183">
        <v>26</v>
      </c>
      <c r="P432" s="183">
        <v>2787</v>
      </c>
      <c r="Q432" s="183">
        <v>108</v>
      </c>
    </row>
    <row r="433" spans="1:17">
      <c r="A433" s="183" t="s">
        <v>2062</v>
      </c>
      <c r="B433" s="183" t="s">
        <v>842</v>
      </c>
      <c r="C433" s="183" t="s">
        <v>2442</v>
      </c>
      <c r="D433" s="183">
        <v>56</v>
      </c>
      <c r="E433" s="183">
        <v>38</v>
      </c>
      <c r="F433" s="183">
        <v>1228</v>
      </c>
      <c r="G433" s="183">
        <v>1200</v>
      </c>
      <c r="H433" s="183">
        <v>1672</v>
      </c>
      <c r="I433" s="183">
        <v>44</v>
      </c>
      <c r="J433" s="183">
        <v>64</v>
      </c>
      <c r="K433" s="183">
        <v>0</v>
      </c>
      <c r="L433" s="183">
        <v>0</v>
      </c>
      <c r="M433" s="183">
        <v>0</v>
      </c>
      <c r="N433" s="183">
        <v>5662</v>
      </c>
      <c r="O433" s="183">
        <v>38</v>
      </c>
      <c r="P433" s="183">
        <v>9762</v>
      </c>
      <c r="Q433" s="183">
        <v>259</v>
      </c>
    </row>
    <row r="434" spans="1:17">
      <c r="A434" s="183" t="s">
        <v>2078</v>
      </c>
      <c r="B434" s="183" t="s">
        <v>1404</v>
      </c>
      <c r="C434" s="183" t="s">
        <v>2028</v>
      </c>
      <c r="D434" s="183">
        <v>42</v>
      </c>
      <c r="E434" s="183">
        <v>37</v>
      </c>
      <c r="F434" s="183">
        <v>2340</v>
      </c>
      <c r="G434" s="183">
        <v>16</v>
      </c>
      <c r="H434" s="183">
        <v>0</v>
      </c>
      <c r="I434" s="183">
        <v>42</v>
      </c>
      <c r="J434" s="183">
        <v>64</v>
      </c>
      <c r="K434" s="183">
        <v>0</v>
      </c>
      <c r="L434" s="183">
        <v>0</v>
      </c>
      <c r="M434" s="183">
        <v>0</v>
      </c>
      <c r="N434" s="183">
        <v>7809</v>
      </c>
      <c r="O434" s="183">
        <v>37</v>
      </c>
      <c r="P434" s="183">
        <v>10165</v>
      </c>
      <c r="Q434" s="183">
        <v>277</v>
      </c>
    </row>
    <row r="435" spans="1:17">
      <c r="A435" s="183" t="s">
        <v>2062</v>
      </c>
      <c r="B435" s="183" t="s">
        <v>527</v>
      </c>
      <c r="C435" s="183" t="s">
        <v>2443</v>
      </c>
      <c r="D435" s="183">
        <v>54</v>
      </c>
      <c r="E435" s="183">
        <v>51</v>
      </c>
      <c r="F435" s="183">
        <v>3102</v>
      </c>
      <c r="G435" s="183">
        <v>164</v>
      </c>
      <c r="H435" s="183">
        <v>217</v>
      </c>
      <c r="I435" s="183">
        <v>733</v>
      </c>
      <c r="J435" s="183">
        <v>64</v>
      </c>
      <c r="K435" s="183">
        <v>0</v>
      </c>
      <c r="L435" s="183">
        <v>0</v>
      </c>
      <c r="M435" s="183">
        <v>0</v>
      </c>
      <c r="N435" s="183">
        <v>118</v>
      </c>
      <c r="O435" s="183">
        <v>51</v>
      </c>
      <c r="P435" s="183">
        <v>3601</v>
      </c>
      <c r="Q435" s="183">
        <v>71</v>
      </c>
    </row>
    <row r="436" spans="1:17">
      <c r="A436" s="183" t="s">
        <v>2068</v>
      </c>
      <c r="B436" s="183" t="s">
        <v>1001</v>
      </c>
      <c r="C436" s="183" t="s">
        <v>1921</v>
      </c>
      <c r="D436" s="183">
        <v>49</v>
      </c>
      <c r="E436" s="183">
        <v>59</v>
      </c>
      <c r="F436" s="183">
        <v>3629</v>
      </c>
      <c r="G436" s="183">
        <v>132</v>
      </c>
      <c r="H436" s="183">
        <v>0</v>
      </c>
      <c r="I436" s="183">
        <v>54</v>
      </c>
      <c r="J436" s="183">
        <v>64</v>
      </c>
      <c r="K436" s="183">
        <v>0</v>
      </c>
      <c r="L436" s="183">
        <v>0</v>
      </c>
      <c r="M436" s="183">
        <v>0</v>
      </c>
      <c r="N436" s="183">
        <v>355</v>
      </c>
      <c r="O436" s="183">
        <v>59</v>
      </c>
      <c r="P436" s="183">
        <v>4116</v>
      </c>
      <c r="Q436" s="183">
        <v>70</v>
      </c>
    </row>
    <row r="437" spans="1:17">
      <c r="A437" s="183" t="s">
        <v>2062</v>
      </c>
      <c r="B437" s="183" t="s">
        <v>373</v>
      </c>
      <c r="C437" s="183" t="s">
        <v>2444</v>
      </c>
      <c r="D437" s="183">
        <v>26</v>
      </c>
      <c r="E437" s="183">
        <v>24</v>
      </c>
      <c r="F437" s="183">
        <v>1499</v>
      </c>
      <c r="G437" s="183">
        <v>2</v>
      </c>
      <c r="H437" s="183">
        <v>0</v>
      </c>
      <c r="I437" s="183">
        <v>16</v>
      </c>
      <c r="J437" s="183">
        <v>64</v>
      </c>
      <c r="K437" s="183">
        <v>0</v>
      </c>
      <c r="L437" s="183">
        <v>0</v>
      </c>
      <c r="M437" s="183">
        <v>0</v>
      </c>
      <c r="N437" s="183">
        <v>2228</v>
      </c>
      <c r="O437" s="183">
        <v>24</v>
      </c>
      <c r="P437" s="183">
        <v>3729</v>
      </c>
      <c r="Q437" s="183">
        <v>158</v>
      </c>
    </row>
    <row r="438" spans="1:17">
      <c r="A438" s="183" t="s">
        <v>2062</v>
      </c>
      <c r="B438" s="183" t="s">
        <v>543</v>
      </c>
      <c r="C438" s="183" t="s">
        <v>1969</v>
      </c>
      <c r="D438" s="183">
        <v>12</v>
      </c>
      <c r="E438" s="183">
        <v>15</v>
      </c>
      <c r="F438" s="183">
        <v>932</v>
      </c>
      <c r="G438" s="183">
        <v>6</v>
      </c>
      <c r="H438" s="183">
        <v>1</v>
      </c>
      <c r="I438" s="183">
        <v>14</v>
      </c>
      <c r="J438" s="183">
        <v>64</v>
      </c>
      <c r="K438" s="183">
        <v>0</v>
      </c>
      <c r="L438" s="183">
        <v>0</v>
      </c>
      <c r="M438" s="183">
        <v>0</v>
      </c>
      <c r="N438" s="183">
        <v>1919</v>
      </c>
      <c r="O438" s="183">
        <v>15</v>
      </c>
      <c r="P438" s="183">
        <v>2858</v>
      </c>
      <c r="Q438" s="183">
        <v>194</v>
      </c>
    </row>
    <row r="439" spans="1:17">
      <c r="A439" s="183" t="s">
        <v>2062</v>
      </c>
      <c r="B439" s="183" t="s">
        <v>220</v>
      </c>
      <c r="C439" s="183" t="s">
        <v>2445</v>
      </c>
      <c r="D439" s="183">
        <v>47</v>
      </c>
      <c r="E439" s="183">
        <v>48</v>
      </c>
      <c r="F439" s="183">
        <v>3125</v>
      </c>
      <c r="G439" s="183">
        <v>26</v>
      </c>
      <c r="H439" s="183">
        <v>98</v>
      </c>
      <c r="I439" s="183">
        <v>84</v>
      </c>
      <c r="J439" s="183">
        <v>65</v>
      </c>
      <c r="K439" s="183">
        <v>0</v>
      </c>
      <c r="L439" s="183">
        <v>0</v>
      </c>
      <c r="M439" s="183">
        <v>49</v>
      </c>
      <c r="N439" s="183">
        <v>5878</v>
      </c>
      <c r="O439" s="183">
        <v>49</v>
      </c>
      <c r="P439" s="183">
        <v>9176</v>
      </c>
      <c r="Q439" s="183">
        <v>188</v>
      </c>
    </row>
    <row r="440" spans="1:17">
      <c r="A440" s="183" t="s">
        <v>2062</v>
      </c>
      <c r="B440" s="183" t="s">
        <v>363</v>
      </c>
      <c r="C440" s="183" t="s">
        <v>2446</v>
      </c>
      <c r="D440" s="183">
        <v>19</v>
      </c>
      <c r="E440" s="183">
        <v>21</v>
      </c>
      <c r="F440" s="183">
        <v>1384</v>
      </c>
      <c r="G440" s="183">
        <v>2</v>
      </c>
      <c r="H440" s="183">
        <v>7</v>
      </c>
      <c r="I440" s="183">
        <v>71</v>
      </c>
      <c r="J440" s="183">
        <v>65</v>
      </c>
      <c r="K440" s="183">
        <v>0</v>
      </c>
      <c r="L440" s="183">
        <v>0</v>
      </c>
      <c r="M440" s="183">
        <v>17</v>
      </c>
      <c r="N440" s="183">
        <v>610</v>
      </c>
      <c r="O440" s="183">
        <v>22</v>
      </c>
      <c r="P440" s="183">
        <v>2020</v>
      </c>
      <c r="Q440" s="183">
        <v>93</v>
      </c>
    </row>
    <row r="441" spans="1:17">
      <c r="A441" s="183" t="s">
        <v>2068</v>
      </c>
      <c r="B441" s="183" t="s">
        <v>1069</v>
      </c>
      <c r="C441" s="183" t="s">
        <v>2447</v>
      </c>
      <c r="D441" s="183">
        <v>20</v>
      </c>
      <c r="E441" s="183">
        <v>16</v>
      </c>
      <c r="F441" s="183">
        <v>1021</v>
      </c>
      <c r="G441" s="183">
        <v>20</v>
      </c>
      <c r="H441" s="183">
        <v>554</v>
      </c>
      <c r="I441" s="183">
        <v>41</v>
      </c>
      <c r="J441" s="183">
        <v>65</v>
      </c>
      <c r="K441" s="183">
        <v>0</v>
      </c>
      <c r="L441" s="183">
        <v>0</v>
      </c>
      <c r="M441" s="183">
        <v>0</v>
      </c>
      <c r="N441" s="183">
        <v>2</v>
      </c>
      <c r="O441" s="183">
        <v>16</v>
      </c>
      <c r="P441" s="183">
        <v>1597</v>
      </c>
      <c r="Q441" s="183">
        <v>100</v>
      </c>
    </row>
    <row r="442" spans="1:17">
      <c r="A442" s="183" t="s">
        <v>2068</v>
      </c>
      <c r="B442" s="183" t="s">
        <v>1804</v>
      </c>
      <c r="C442" s="183" t="s">
        <v>2448</v>
      </c>
      <c r="D442" s="183">
        <v>15</v>
      </c>
      <c r="E442" s="183">
        <v>11</v>
      </c>
      <c r="F442" s="183">
        <v>525</v>
      </c>
      <c r="G442" s="183">
        <v>219</v>
      </c>
      <c r="H442" s="183">
        <v>988</v>
      </c>
      <c r="I442" s="183">
        <v>20</v>
      </c>
      <c r="J442" s="183">
        <v>65</v>
      </c>
      <c r="K442" s="183">
        <v>0</v>
      </c>
      <c r="L442" s="183">
        <v>0</v>
      </c>
      <c r="M442" s="183">
        <v>0</v>
      </c>
      <c r="N442" s="183">
        <v>0</v>
      </c>
      <c r="O442" s="183">
        <v>11</v>
      </c>
      <c r="P442" s="183">
        <v>1732</v>
      </c>
      <c r="Q442" s="183">
        <v>152</v>
      </c>
    </row>
    <row r="443" spans="1:17">
      <c r="A443" s="183" t="s">
        <v>2068</v>
      </c>
      <c r="B443" s="183" t="s">
        <v>966</v>
      </c>
      <c r="C443" s="183" t="s">
        <v>2449</v>
      </c>
      <c r="D443" s="183">
        <v>36</v>
      </c>
      <c r="E443" s="183">
        <v>36</v>
      </c>
      <c r="F443" s="183">
        <v>2346</v>
      </c>
      <c r="G443" s="183">
        <v>9</v>
      </c>
      <c r="H443" s="183">
        <v>0</v>
      </c>
      <c r="I443" s="183">
        <v>26</v>
      </c>
      <c r="J443" s="183">
        <v>65</v>
      </c>
      <c r="K443" s="183">
        <v>0</v>
      </c>
      <c r="L443" s="183">
        <v>0</v>
      </c>
      <c r="M443" s="183">
        <v>0</v>
      </c>
      <c r="N443" s="183">
        <v>2122</v>
      </c>
      <c r="O443" s="183">
        <v>36</v>
      </c>
      <c r="P443" s="183">
        <v>4477</v>
      </c>
      <c r="Q443" s="183">
        <v>124</v>
      </c>
    </row>
    <row r="444" spans="1:17">
      <c r="A444" s="183" t="s">
        <v>2062</v>
      </c>
      <c r="B444" s="183" t="s">
        <v>646</v>
      </c>
      <c r="C444" s="183" t="s">
        <v>2450</v>
      </c>
      <c r="D444" s="183">
        <v>21</v>
      </c>
      <c r="E444" s="183">
        <v>23</v>
      </c>
      <c r="F444" s="183">
        <v>1488</v>
      </c>
      <c r="G444" s="183">
        <v>13</v>
      </c>
      <c r="H444" s="183">
        <v>0</v>
      </c>
      <c r="I444" s="183">
        <v>18</v>
      </c>
      <c r="J444" s="183">
        <v>65</v>
      </c>
      <c r="K444" s="183">
        <v>0</v>
      </c>
      <c r="L444" s="183">
        <v>0</v>
      </c>
      <c r="M444" s="183">
        <v>0</v>
      </c>
      <c r="N444" s="183">
        <v>1914</v>
      </c>
      <c r="O444" s="183">
        <v>23</v>
      </c>
      <c r="P444" s="183">
        <v>3415</v>
      </c>
      <c r="Q444" s="183">
        <v>148</v>
      </c>
    </row>
    <row r="445" spans="1:17">
      <c r="A445" s="183" t="s">
        <v>2062</v>
      </c>
      <c r="B445" s="183" t="s">
        <v>820</v>
      </c>
      <c r="C445" s="183" t="s">
        <v>2451</v>
      </c>
      <c r="D445" s="183">
        <v>131</v>
      </c>
      <c r="E445" s="183">
        <v>114</v>
      </c>
      <c r="F445" s="183">
        <v>4989</v>
      </c>
      <c r="G445" s="183">
        <v>2606</v>
      </c>
      <c r="H445" s="183">
        <v>2053</v>
      </c>
      <c r="I445" s="183">
        <v>1920</v>
      </c>
      <c r="J445" s="183">
        <v>66</v>
      </c>
      <c r="K445" s="183">
        <v>2</v>
      </c>
      <c r="L445" s="183">
        <v>1</v>
      </c>
      <c r="M445" s="183">
        <v>249</v>
      </c>
      <c r="N445" s="183">
        <v>7244</v>
      </c>
      <c r="O445" s="183">
        <v>115</v>
      </c>
      <c r="P445" s="183">
        <v>17141</v>
      </c>
      <c r="Q445" s="183">
        <v>146</v>
      </c>
    </row>
    <row r="446" spans="1:17">
      <c r="A446" s="183" t="s">
        <v>2078</v>
      </c>
      <c r="B446" s="183" t="s">
        <v>1374</v>
      </c>
      <c r="C446" s="183" t="s">
        <v>2452</v>
      </c>
      <c r="D446" s="183">
        <v>24</v>
      </c>
      <c r="E446" s="183">
        <v>25</v>
      </c>
      <c r="F446" s="183">
        <v>1634</v>
      </c>
      <c r="G446" s="183">
        <v>17</v>
      </c>
      <c r="H446" s="183">
        <v>1</v>
      </c>
      <c r="I446" s="183">
        <v>47</v>
      </c>
      <c r="J446" s="183">
        <v>66</v>
      </c>
      <c r="K446" s="183">
        <v>0</v>
      </c>
      <c r="L446" s="183">
        <v>0</v>
      </c>
      <c r="M446" s="183">
        <v>0</v>
      </c>
      <c r="N446" s="183">
        <v>5017</v>
      </c>
      <c r="O446" s="183">
        <v>25</v>
      </c>
      <c r="P446" s="183">
        <v>6669</v>
      </c>
      <c r="Q446" s="183">
        <v>267</v>
      </c>
    </row>
    <row r="447" spans="1:17">
      <c r="A447" s="183" t="s">
        <v>2062</v>
      </c>
      <c r="B447" s="183" t="s">
        <v>165</v>
      </c>
      <c r="C447" s="183" t="s">
        <v>1960</v>
      </c>
      <c r="D447" s="183">
        <v>12</v>
      </c>
      <c r="E447" s="183">
        <v>13</v>
      </c>
      <c r="F447" s="183">
        <v>702</v>
      </c>
      <c r="G447" s="183">
        <v>157</v>
      </c>
      <c r="H447" s="183">
        <v>54</v>
      </c>
      <c r="I447" s="183">
        <v>7</v>
      </c>
      <c r="J447" s="183">
        <v>66</v>
      </c>
      <c r="K447" s="183">
        <v>1</v>
      </c>
      <c r="L447" s="183">
        <v>1</v>
      </c>
      <c r="M447" s="183">
        <v>146</v>
      </c>
      <c r="N447" s="183">
        <v>0</v>
      </c>
      <c r="O447" s="183">
        <v>14</v>
      </c>
      <c r="P447" s="183">
        <v>1059</v>
      </c>
      <c r="Q447" s="183">
        <v>67</v>
      </c>
    </row>
    <row r="448" spans="1:17">
      <c r="A448" s="183" t="s">
        <v>2068</v>
      </c>
      <c r="B448" s="183" t="s">
        <v>1200</v>
      </c>
      <c r="C448" s="183" t="s">
        <v>2453</v>
      </c>
      <c r="D448" s="183">
        <v>28</v>
      </c>
      <c r="E448" s="183">
        <v>22</v>
      </c>
      <c r="F448" s="183">
        <v>975</v>
      </c>
      <c r="G448" s="183">
        <v>499</v>
      </c>
      <c r="H448" s="183">
        <v>18</v>
      </c>
      <c r="I448" s="183">
        <v>21</v>
      </c>
      <c r="J448" s="183">
        <v>66</v>
      </c>
      <c r="K448" s="183">
        <v>0</v>
      </c>
      <c r="L448" s="183">
        <v>0</v>
      </c>
      <c r="M448" s="183">
        <v>0</v>
      </c>
      <c r="N448" s="183">
        <v>3334</v>
      </c>
      <c r="O448" s="183">
        <v>22</v>
      </c>
      <c r="P448" s="183">
        <v>4826</v>
      </c>
      <c r="Q448" s="183">
        <v>217</v>
      </c>
    </row>
    <row r="449" spans="1:17">
      <c r="A449" s="183" t="s">
        <v>2062</v>
      </c>
      <c r="B449" s="183" t="s">
        <v>226</v>
      </c>
      <c r="C449" s="183" t="s">
        <v>2454</v>
      </c>
      <c r="D449" s="183">
        <v>20</v>
      </c>
      <c r="E449" s="183">
        <v>19</v>
      </c>
      <c r="F449" s="183">
        <v>1230</v>
      </c>
      <c r="G449" s="183">
        <v>7</v>
      </c>
      <c r="H449" s="183">
        <v>0</v>
      </c>
      <c r="I449" s="183">
        <v>23</v>
      </c>
      <c r="J449" s="183">
        <v>66</v>
      </c>
      <c r="K449" s="183">
        <v>0</v>
      </c>
      <c r="L449" s="183">
        <v>0</v>
      </c>
      <c r="M449" s="183">
        <v>0</v>
      </c>
      <c r="N449" s="183">
        <v>521</v>
      </c>
      <c r="O449" s="183">
        <v>19</v>
      </c>
      <c r="P449" s="183">
        <v>1758</v>
      </c>
      <c r="Q449" s="183">
        <v>93</v>
      </c>
    </row>
    <row r="450" spans="1:17">
      <c r="A450" s="183" t="s">
        <v>2062</v>
      </c>
      <c r="B450" s="183" t="s">
        <v>157</v>
      </c>
      <c r="C450" s="183" t="s">
        <v>2455</v>
      </c>
      <c r="D450" s="183">
        <v>40</v>
      </c>
      <c r="E450" s="183">
        <v>39</v>
      </c>
      <c r="F450" s="183">
        <v>2599</v>
      </c>
      <c r="G450" s="183">
        <v>1</v>
      </c>
      <c r="H450" s="183">
        <v>0</v>
      </c>
      <c r="I450" s="183">
        <v>82</v>
      </c>
      <c r="J450" s="183">
        <v>66</v>
      </c>
      <c r="K450" s="183">
        <v>0</v>
      </c>
      <c r="L450" s="183">
        <v>0</v>
      </c>
      <c r="M450" s="183">
        <v>0</v>
      </c>
      <c r="N450" s="183">
        <v>20</v>
      </c>
      <c r="O450" s="183">
        <v>39</v>
      </c>
      <c r="P450" s="183">
        <v>2620</v>
      </c>
      <c r="Q450" s="183">
        <v>66</v>
      </c>
    </row>
    <row r="451" spans="1:17">
      <c r="A451" s="183" t="s">
        <v>2062</v>
      </c>
      <c r="B451" s="183" t="s">
        <v>74</v>
      </c>
      <c r="C451" s="183" t="s">
        <v>2456</v>
      </c>
      <c r="D451" s="183">
        <v>101</v>
      </c>
      <c r="E451" s="183">
        <v>119</v>
      </c>
      <c r="F451" s="183">
        <v>594</v>
      </c>
      <c r="G451" s="183">
        <v>7221</v>
      </c>
      <c r="H451" s="183">
        <v>0</v>
      </c>
      <c r="I451" s="183">
        <v>166</v>
      </c>
      <c r="J451" s="183">
        <v>66</v>
      </c>
      <c r="K451" s="183">
        <v>12</v>
      </c>
      <c r="L451" s="183">
        <v>12</v>
      </c>
      <c r="M451" s="183">
        <v>260</v>
      </c>
      <c r="N451" s="183">
        <v>0</v>
      </c>
      <c r="O451" s="183">
        <v>131</v>
      </c>
      <c r="P451" s="183">
        <v>8075</v>
      </c>
      <c r="Q451" s="183">
        <v>60</v>
      </c>
    </row>
    <row r="452" spans="1:17">
      <c r="A452" s="183" t="s">
        <v>2062</v>
      </c>
      <c r="B452" s="183" t="s">
        <v>24</v>
      </c>
      <c r="C452" s="183" t="s">
        <v>2457</v>
      </c>
      <c r="D452" s="183">
        <v>504</v>
      </c>
      <c r="E452" s="183">
        <v>474</v>
      </c>
      <c r="F452" s="183">
        <v>28547</v>
      </c>
      <c r="G452" s="183">
        <v>3432</v>
      </c>
      <c r="H452" s="183">
        <v>2030</v>
      </c>
      <c r="I452" s="183">
        <v>929</v>
      </c>
      <c r="J452" s="183">
        <v>67</v>
      </c>
      <c r="K452" s="183">
        <v>122</v>
      </c>
      <c r="L452" s="183">
        <v>114</v>
      </c>
      <c r="M452" s="183">
        <v>12733</v>
      </c>
      <c r="N452" s="183">
        <v>1357</v>
      </c>
      <c r="O452" s="183">
        <v>588</v>
      </c>
      <c r="P452" s="183">
        <v>48099</v>
      </c>
      <c r="Q452" s="183">
        <v>60</v>
      </c>
    </row>
    <row r="453" spans="1:17">
      <c r="A453" s="183" t="s">
        <v>2062</v>
      </c>
      <c r="B453" s="183" t="s">
        <v>883</v>
      </c>
      <c r="C453" s="183" t="s">
        <v>2458</v>
      </c>
      <c r="D453" s="183">
        <v>210</v>
      </c>
      <c r="E453" s="183">
        <v>203</v>
      </c>
      <c r="F453" s="183">
        <v>8156</v>
      </c>
      <c r="G453" s="183">
        <v>5459</v>
      </c>
      <c r="H453" s="183">
        <v>4059</v>
      </c>
      <c r="I453" s="183">
        <v>844</v>
      </c>
      <c r="J453" s="183">
        <v>67</v>
      </c>
      <c r="K453" s="183">
        <v>3</v>
      </c>
      <c r="L453" s="183">
        <v>3</v>
      </c>
      <c r="M453" s="183">
        <v>74</v>
      </c>
      <c r="N453" s="183">
        <v>145</v>
      </c>
      <c r="O453" s="183">
        <v>206</v>
      </c>
      <c r="P453" s="183">
        <v>17893</v>
      </c>
      <c r="Q453" s="183">
        <v>87</v>
      </c>
    </row>
    <row r="454" spans="1:17">
      <c r="A454" s="183" t="s">
        <v>2078</v>
      </c>
      <c r="B454" s="183" t="s">
        <v>1395</v>
      </c>
      <c r="C454" s="183" t="s">
        <v>2459</v>
      </c>
      <c r="D454" s="183">
        <v>30</v>
      </c>
      <c r="E454" s="183">
        <v>29</v>
      </c>
      <c r="F454" s="183">
        <v>1947</v>
      </c>
      <c r="G454" s="183">
        <v>9</v>
      </c>
      <c r="H454" s="183">
        <v>0</v>
      </c>
      <c r="I454" s="183">
        <v>35</v>
      </c>
      <c r="J454" s="183">
        <v>67</v>
      </c>
      <c r="K454" s="183">
        <v>0</v>
      </c>
      <c r="L454" s="183">
        <v>0</v>
      </c>
      <c r="M454" s="183">
        <v>0</v>
      </c>
      <c r="N454" s="183">
        <v>1107</v>
      </c>
      <c r="O454" s="183">
        <v>29</v>
      </c>
      <c r="P454" s="183">
        <v>3063</v>
      </c>
      <c r="Q454" s="183">
        <v>106</v>
      </c>
    </row>
    <row r="455" spans="1:17">
      <c r="A455" s="183" t="s">
        <v>2062</v>
      </c>
      <c r="B455" s="183" t="s">
        <v>742</v>
      </c>
      <c r="C455" s="183" t="s">
        <v>2460</v>
      </c>
      <c r="D455" s="183">
        <v>50</v>
      </c>
      <c r="E455" s="183">
        <v>43</v>
      </c>
      <c r="F455" s="183">
        <v>2705</v>
      </c>
      <c r="G455" s="183">
        <v>186</v>
      </c>
      <c r="H455" s="183">
        <v>2345</v>
      </c>
      <c r="I455" s="183">
        <v>116</v>
      </c>
      <c r="J455" s="183">
        <v>67</v>
      </c>
      <c r="K455" s="183">
        <v>3</v>
      </c>
      <c r="L455" s="183">
        <v>3</v>
      </c>
      <c r="M455" s="183">
        <v>310</v>
      </c>
      <c r="N455" s="183">
        <v>60</v>
      </c>
      <c r="O455" s="183">
        <v>46</v>
      </c>
      <c r="P455" s="183">
        <v>5606</v>
      </c>
      <c r="Q455" s="183">
        <v>115</v>
      </c>
    </row>
    <row r="456" spans="1:17">
      <c r="A456" s="183" t="s">
        <v>2062</v>
      </c>
      <c r="B456" s="183" t="s">
        <v>799</v>
      </c>
      <c r="C456" s="183" t="s">
        <v>2461</v>
      </c>
      <c r="D456" s="183">
        <v>99</v>
      </c>
      <c r="E456" s="183">
        <v>101</v>
      </c>
      <c r="F456" s="183">
        <v>6676</v>
      </c>
      <c r="G456" s="183">
        <v>142</v>
      </c>
      <c r="H456" s="183">
        <v>6</v>
      </c>
      <c r="I456" s="183">
        <v>81</v>
      </c>
      <c r="J456" s="183">
        <v>67</v>
      </c>
      <c r="K456" s="183">
        <v>4</v>
      </c>
      <c r="L456" s="183">
        <v>5</v>
      </c>
      <c r="M456" s="183">
        <v>310</v>
      </c>
      <c r="N456" s="183">
        <v>142</v>
      </c>
      <c r="O456" s="183">
        <v>106</v>
      </c>
      <c r="P456" s="183">
        <v>7276</v>
      </c>
      <c r="Q456" s="183">
        <v>65</v>
      </c>
    </row>
    <row r="457" spans="1:17">
      <c r="A457" s="183" t="s">
        <v>2078</v>
      </c>
      <c r="B457" s="183" t="s">
        <v>1335</v>
      </c>
      <c r="C457" s="183" t="s">
        <v>2462</v>
      </c>
      <c r="D457" s="183">
        <v>25</v>
      </c>
      <c r="E457" s="183">
        <v>23</v>
      </c>
      <c r="F457" s="183">
        <v>1511</v>
      </c>
      <c r="G457" s="183">
        <v>4</v>
      </c>
      <c r="H457" s="183">
        <v>0</v>
      </c>
      <c r="I457" s="183">
        <v>7</v>
      </c>
      <c r="J457" s="183">
        <v>67</v>
      </c>
      <c r="K457" s="183">
        <v>0</v>
      </c>
      <c r="L457" s="183">
        <v>0</v>
      </c>
      <c r="M457" s="183">
        <v>0</v>
      </c>
      <c r="N457" s="183">
        <v>4870</v>
      </c>
      <c r="O457" s="183">
        <v>23</v>
      </c>
      <c r="P457" s="183">
        <v>6385</v>
      </c>
      <c r="Q457" s="183">
        <v>283</v>
      </c>
    </row>
    <row r="458" spans="1:17">
      <c r="A458" s="183" t="s">
        <v>2062</v>
      </c>
      <c r="B458" s="183" t="s">
        <v>208</v>
      </c>
      <c r="C458" s="183" t="s">
        <v>2463</v>
      </c>
      <c r="D458" s="183">
        <v>19</v>
      </c>
      <c r="E458" s="183">
        <v>22</v>
      </c>
      <c r="F458" s="183">
        <v>1499</v>
      </c>
      <c r="G458" s="183">
        <v>0</v>
      </c>
      <c r="H458" s="183">
        <v>5</v>
      </c>
      <c r="I458" s="183">
        <v>26</v>
      </c>
      <c r="J458" s="183">
        <v>68</v>
      </c>
      <c r="K458" s="183">
        <v>1</v>
      </c>
      <c r="L458" s="183">
        <v>1</v>
      </c>
      <c r="M458" s="183">
        <v>103</v>
      </c>
      <c r="N458" s="183">
        <v>1644</v>
      </c>
      <c r="O458" s="183">
        <v>23</v>
      </c>
      <c r="P458" s="183">
        <v>3251</v>
      </c>
      <c r="Q458" s="183">
        <v>136</v>
      </c>
    </row>
    <row r="459" spans="1:17">
      <c r="A459" s="183" t="s">
        <v>2062</v>
      </c>
      <c r="B459" s="183" t="s">
        <v>1657</v>
      </c>
      <c r="C459" s="183" t="s">
        <v>2464</v>
      </c>
      <c r="D459" s="183">
        <v>17</v>
      </c>
      <c r="E459" s="183">
        <v>19</v>
      </c>
      <c r="F459" s="183">
        <v>810</v>
      </c>
      <c r="G459" s="183">
        <v>471</v>
      </c>
      <c r="H459" s="183">
        <v>420</v>
      </c>
      <c r="I459" s="183">
        <v>18</v>
      </c>
      <c r="J459" s="183">
        <v>68</v>
      </c>
      <c r="K459" s="183">
        <v>0</v>
      </c>
      <c r="L459" s="183">
        <v>0</v>
      </c>
      <c r="M459" s="183">
        <v>0</v>
      </c>
      <c r="N459" s="183">
        <v>375</v>
      </c>
      <c r="O459" s="183">
        <v>19</v>
      </c>
      <c r="P459" s="183">
        <v>2076</v>
      </c>
      <c r="Q459" s="183">
        <v>111</v>
      </c>
    </row>
    <row r="460" spans="1:17">
      <c r="A460" s="183" t="s">
        <v>2078</v>
      </c>
      <c r="B460" s="183" t="s">
        <v>1476</v>
      </c>
      <c r="C460" s="183" t="s">
        <v>2465</v>
      </c>
      <c r="D460" s="183">
        <v>36</v>
      </c>
      <c r="E460" s="183">
        <v>21</v>
      </c>
      <c r="F460" s="183">
        <v>1070</v>
      </c>
      <c r="G460" s="183">
        <v>394</v>
      </c>
      <c r="H460" s="183">
        <v>340</v>
      </c>
      <c r="I460" s="183">
        <v>35</v>
      </c>
      <c r="J460" s="183">
        <v>68</v>
      </c>
      <c r="K460" s="183">
        <v>0</v>
      </c>
      <c r="L460" s="183">
        <v>0</v>
      </c>
      <c r="M460" s="183">
        <v>0</v>
      </c>
      <c r="N460" s="183">
        <v>7333</v>
      </c>
      <c r="O460" s="183">
        <v>21</v>
      </c>
      <c r="P460" s="183">
        <v>9137</v>
      </c>
      <c r="Q460" s="183">
        <v>426</v>
      </c>
    </row>
    <row r="461" spans="1:17">
      <c r="A461" s="183" t="s">
        <v>2068</v>
      </c>
      <c r="B461" s="183" t="s">
        <v>1177</v>
      </c>
      <c r="C461" s="183" t="s">
        <v>2466</v>
      </c>
      <c r="D461" s="183">
        <v>30</v>
      </c>
      <c r="E461" s="183">
        <v>35</v>
      </c>
      <c r="F461" s="183">
        <v>1745</v>
      </c>
      <c r="G461" s="183">
        <v>655</v>
      </c>
      <c r="H461" s="183">
        <v>0</v>
      </c>
      <c r="I461" s="183">
        <v>98</v>
      </c>
      <c r="J461" s="183">
        <v>68</v>
      </c>
      <c r="K461" s="183">
        <v>0</v>
      </c>
      <c r="L461" s="183">
        <v>0</v>
      </c>
      <c r="M461" s="183">
        <v>0</v>
      </c>
      <c r="N461" s="183">
        <v>0</v>
      </c>
      <c r="O461" s="183">
        <v>35</v>
      </c>
      <c r="P461" s="183">
        <v>2400</v>
      </c>
      <c r="Q461" s="183">
        <v>68</v>
      </c>
    </row>
    <row r="462" spans="1:17">
      <c r="A462" s="183" t="s">
        <v>2078</v>
      </c>
      <c r="B462" s="183" t="s">
        <v>1516</v>
      </c>
      <c r="C462" s="183" t="s">
        <v>2467</v>
      </c>
      <c r="D462" s="183">
        <v>81</v>
      </c>
      <c r="E462" s="183">
        <v>60</v>
      </c>
      <c r="F462" s="183">
        <v>4071</v>
      </c>
      <c r="G462" s="183">
        <v>15</v>
      </c>
      <c r="H462" s="183">
        <v>564</v>
      </c>
      <c r="I462" s="183">
        <v>138</v>
      </c>
      <c r="J462" s="183">
        <v>68</v>
      </c>
      <c r="K462" s="183">
        <v>0</v>
      </c>
      <c r="L462" s="183">
        <v>0</v>
      </c>
      <c r="M462" s="183">
        <v>0</v>
      </c>
      <c r="N462" s="183">
        <v>8606</v>
      </c>
      <c r="O462" s="183">
        <v>60</v>
      </c>
      <c r="P462" s="183">
        <v>13256</v>
      </c>
      <c r="Q462" s="183">
        <v>220</v>
      </c>
    </row>
    <row r="463" spans="1:17">
      <c r="A463" s="183" t="s">
        <v>2062</v>
      </c>
      <c r="B463" s="183" t="s">
        <v>1685</v>
      </c>
      <c r="C463" s="183" t="s">
        <v>2468</v>
      </c>
      <c r="D463" s="183">
        <v>22</v>
      </c>
      <c r="E463" s="183">
        <v>23</v>
      </c>
      <c r="F463" s="183">
        <v>1507</v>
      </c>
      <c r="G463" s="183">
        <v>38</v>
      </c>
      <c r="H463" s="183">
        <v>0</v>
      </c>
      <c r="I463" s="183">
        <v>20</v>
      </c>
      <c r="J463" s="183">
        <v>68</v>
      </c>
      <c r="K463" s="183">
        <v>0</v>
      </c>
      <c r="L463" s="183">
        <v>0</v>
      </c>
      <c r="M463" s="183">
        <v>18</v>
      </c>
      <c r="N463" s="183">
        <v>97</v>
      </c>
      <c r="O463" s="183">
        <v>23</v>
      </c>
      <c r="P463" s="183">
        <v>1660</v>
      </c>
      <c r="Q463" s="183">
        <v>72</v>
      </c>
    </row>
    <row r="464" spans="1:17">
      <c r="A464" s="183" t="s">
        <v>2078</v>
      </c>
      <c r="B464" s="183" t="s">
        <v>1346</v>
      </c>
      <c r="C464" s="183" t="s">
        <v>2469</v>
      </c>
      <c r="D464" s="183">
        <v>29</v>
      </c>
      <c r="E464" s="183">
        <v>33</v>
      </c>
      <c r="F464" s="183">
        <v>2252</v>
      </c>
      <c r="G464" s="183">
        <v>0</v>
      </c>
      <c r="H464" s="183">
        <v>4</v>
      </c>
      <c r="I464" s="183">
        <v>66</v>
      </c>
      <c r="J464" s="183">
        <v>68</v>
      </c>
      <c r="K464" s="183">
        <v>0</v>
      </c>
      <c r="L464" s="183">
        <v>0</v>
      </c>
      <c r="M464" s="183">
        <v>0</v>
      </c>
      <c r="N464" s="183">
        <v>315</v>
      </c>
      <c r="O464" s="183">
        <v>33</v>
      </c>
      <c r="P464" s="183">
        <v>2571</v>
      </c>
      <c r="Q464" s="183">
        <v>77</v>
      </c>
    </row>
    <row r="465" spans="1:17">
      <c r="A465" s="183" t="s">
        <v>2062</v>
      </c>
      <c r="B465" s="183" t="s">
        <v>640</v>
      </c>
      <c r="C465" s="183" t="s">
        <v>2470</v>
      </c>
      <c r="D465" s="183">
        <v>60</v>
      </c>
      <c r="E465" s="183">
        <v>62</v>
      </c>
      <c r="F465" s="183">
        <v>2933</v>
      </c>
      <c r="G465" s="183">
        <v>1261</v>
      </c>
      <c r="H465" s="183">
        <v>949</v>
      </c>
      <c r="I465" s="183">
        <v>66</v>
      </c>
      <c r="J465" s="183">
        <v>68</v>
      </c>
      <c r="K465" s="183">
        <v>60</v>
      </c>
      <c r="L465" s="183">
        <v>90</v>
      </c>
      <c r="M465" s="183">
        <v>641</v>
      </c>
      <c r="N465" s="183">
        <v>0</v>
      </c>
      <c r="O465" s="183">
        <v>152</v>
      </c>
      <c r="P465" s="183">
        <v>5784</v>
      </c>
      <c r="Q465" s="183">
        <v>34</v>
      </c>
    </row>
    <row r="466" spans="1:17">
      <c r="A466" s="183" t="s">
        <v>2062</v>
      </c>
      <c r="B466" s="183" t="s">
        <v>127</v>
      </c>
      <c r="C466" s="183" t="s">
        <v>2471</v>
      </c>
      <c r="D466" s="183">
        <v>47</v>
      </c>
      <c r="E466" s="183">
        <v>41</v>
      </c>
      <c r="F466" s="183">
        <v>2762</v>
      </c>
      <c r="G466" s="183">
        <v>2</v>
      </c>
      <c r="H466" s="183">
        <v>0</v>
      </c>
      <c r="I466" s="183">
        <v>28</v>
      </c>
      <c r="J466" s="183">
        <v>68</v>
      </c>
      <c r="K466" s="183">
        <v>0</v>
      </c>
      <c r="L466" s="183">
        <v>0</v>
      </c>
      <c r="M466" s="183">
        <v>0</v>
      </c>
      <c r="N466" s="183">
        <v>7</v>
      </c>
      <c r="O466" s="183">
        <v>41</v>
      </c>
      <c r="P466" s="183">
        <v>2771</v>
      </c>
      <c r="Q466" s="183">
        <v>68</v>
      </c>
    </row>
    <row r="467" spans="1:17">
      <c r="A467" s="183" t="s">
        <v>2062</v>
      </c>
      <c r="B467" s="183" t="s">
        <v>670</v>
      </c>
      <c r="C467" s="183" t="s">
        <v>2472</v>
      </c>
      <c r="D467" s="183">
        <v>44</v>
      </c>
      <c r="E467" s="183">
        <v>41</v>
      </c>
      <c r="F467" s="183">
        <v>2589</v>
      </c>
      <c r="G467" s="183">
        <v>207</v>
      </c>
      <c r="H467" s="183">
        <v>385</v>
      </c>
      <c r="I467" s="183">
        <v>35</v>
      </c>
      <c r="J467" s="183">
        <v>68</v>
      </c>
      <c r="K467" s="183">
        <v>0</v>
      </c>
      <c r="L467" s="183">
        <v>0</v>
      </c>
      <c r="M467" s="183">
        <v>0</v>
      </c>
      <c r="N467" s="183">
        <v>0</v>
      </c>
      <c r="O467" s="183">
        <v>41</v>
      </c>
      <c r="P467" s="183">
        <v>3181</v>
      </c>
      <c r="Q467" s="183">
        <v>77</v>
      </c>
    </row>
    <row r="468" spans="1:17">
      <c r="A468" s="183" t="s">
        <v>2062</v>
      </c>
      <c r="B468" s="183" t="s">
        <v>1658</v>
      </c>
      <c r="C468" s="183" t="s">
        <v>1998</v>
      </c>
      <c r="D468" s="183">
        <v>8</v>
      </c>
      <c r="E468" s="183">
        <v>16</v>
      </c>
      <c r="F468" s="183">
        <v>671</v>
      </c>
      <c r="G468" s="183">
        <v>437</v>
      </c>
      <c r="H468" s="183">
        <v>18</v>
      </c>
      <c r="I468" s="183">
        <v>34</v>
      </c>
      <c r="J468" s="183">
        <v>69</v>
      </c>
      <c r="K468" s="183">
        <v>1</v>
      </c>
      <c r="L468" s="183">
        <v>1</v>
      </c>
      <c r="M468" s="183">
        <v>121</v>
      </c>
      <c r="N468" s="183">
        <v>4636</v>
      </c>
      <c r="O468" s="183">
        <v>17</v>
      </c>
      <c r="P468" s="183">
        <v>5883</v>
      </c>
      <c r="Q468" s="183">
        <v>348</v>
      </c>
    </row>
    <row r="469" spans="1:17">
      <c r="A469" s="183" t="s">
        <v>2062</v>
      </c>
      <c r="B469" s="183" t="s">
        <v>604</v>
      </c>
      <c r="C469" s="183" t="s">
        <v>2473</v>
      </c>
      <c r="D469" s="183">
        <v>88</v>
      </c>
      <c r="E469" s="183">
        <v>89</v>
      </c>
      <c r="F469" s="183">
        <v>6124</v>
      </c>
      <c r="G469" s="183">
        <v>18</v>
      </c>
      <c r="H469" s="183">
        <v>0</v>
      </c>
      <c r="I469" s="183">
        <v>128</v>
      </c>
      <c r="J469" s="183">
        <v>69</v>
      </c>
      <c r="K469" s="183">
        <v>5</v>
      </c>
      <c r="L469" s="183">
        <v>4</v>
      </c>
      <c r="M469" s="183">
        <v>701</v>
      </c>
      <c r="N469" s="183">
        <v>22416</v>
      </c>
      <c r="O469" s="183">
        <v>93</v>
      </c>
      <c r="P469" s="183">
        <v>29259</v>
      </c>
      <c r="Q469" s="183">
        <v>308</v>
      </c>
    </row>
    <row r="470" spans="1:17">
      <c r="A470" s="183" t="s">
        <v>2078</v>
      </c>
      <c r="B470" s="183" t="s">
        <v>1538</v>
      </c>
      <c r="C470" s="183" t="s">
        <v>2474</v>
      </c>
      <c r="D470" s="183">
        <v>84</v>
      </c>
      <c r="E470" s="183">
        <v>69</v>
      </c>
      <c r="F470" s="183">
        <v>4728</v>
      </c>
      <c r="G470" s="183">
        <v>21</v>
      </c>
      <c r="H470" s="183">
        <v>0</v>
      </c>
      <c r="I470" s="183">
        <v>98</v>
      </c>
      <c r="J470" s="183">
        <v>69</v>
      </c>
      <c r="K470" s="183">
        <v>0</v>
      </c>
      <c r="L470" s="183">
        <v>0</v>
      </c>
      <c r="M470" s="183">
        <v>0</v>
      </c>
      <c r="N470" s="183">
        <v>5377</v>
      </c>
      <c r="O470" s="183">
        <v>69</v>
      </c>
      <c r="P470" s="183">
        <v>10126</v>
      </c>
      <c r="Q470" s="183">
        <v>147</v>
      </c>
    </row>
    <row r="471" spans="1:17">
      <c r="A471" s="183" t="s">
        <v>2078</v>
      </c>
      <c r="B471" s="183" t="s">
        <v>1512</v>
      </c>
      <c r="C471" s="183" t="s">
        <v>2475</v>
      </c>
      <c r="D471" s="183">
        <v>51</v>
      </c>
      <c r="E471" s="183">
        <v>39</v>
      </c>
      <c r="F471" s="183">
        <v>2676</v>
      </c>
      <c r="G471" s="183">
        <v>7</v>
      </c>
      <c r="H471" s="183">
        <v>0</v>
      </c>
      <c r="I471" s="183">
        <v>68</v>
      </c>
      <c r="J471" s="183">
        <v>69</v>
      </c>
      <c r="K471" s="183">
        <v>0</v>
      </c>
      <c r="L471" s="183">
        <v>0</v>
      </c>
      <c r="M471" s="183">
        <v>0</v>
      </c>
      <c r="N471" s="183">
        <v>3391</v>
      </c>
      <c r="O471" s="183">
        <v>39</v>
      </c>
      <c r="P471" s="183">
        <v>6074</v>
      </c>
      <c r="Q471" s="183">
        <v>156</v>
      </c>
    </row>
    <row r="472" spans="1:17">
      <c r="A472" s="183" t="s">
        <v>2078</v>
      </c>
      <c r="B472" s="183" t="s">
        <v>1504</v>
      </c>
      <c r="C472" s="183" t="s">
        <v>2476</v>
      </c>
      <c r="D472" s="183">
        <v>73</v>
      </c>
      <c r="E472" s="183">
        <v>60</v>
      </c>
      <c r="F472" s="183">
        <v>4128</v>
      </c>
      <c r="G472" s="183">
        <v>19</v>
      </c>
      <c r="H472" s="183">
        <v>0</v>
      </c>
      <c r="I472" s="183">
        <v>901</v>
      </c>
      <c r="J472" s="183">
        <v>69</v>
      </c>
      <c r="K472" s="183">
        <v>0</v>
      </c>
      <c r="L472" s="183">
        <v>0</v>
      </c>
      <c r="M472" s="183">
        <v>0</v>
      </c>
      <c r="N472" s="183">
        <v>9294</v>
      </c>
      <c r="O472" s="183">
        <v>60</v>
      </c>
      <c r="P472" s="183">
        <v>13441</v>
      </c>
      <c r="Q472" s="183">
        <v>224</v>
      </c>
    </row>
    <row r="473" spans="1:17">
      <c r="A473" s="183" t="s">
        <v>2062</v>
      </c>
      <c r="B473" s="183" t="s">
        <v>411</v>
      </c>
      <c r="C473" s="183" t="s">
        <v>2477</v>
      </c>
      <c r="D473" s="183">
        <v>27</v>
      </c>
      <c r="E473" s="183">
        <v>25</v>
      </c>
      <c r="F473" s="183">
        <v>1763</v>
      </c>
      <c r="G473" s="183">
        <v>3</v>
      </c>
      <c r="H473" s="183">
        <v>0</v>
      </c>
      <c r="I473" s="183">
        <v>47</v>
      </c>
      <c r="J473" s="183">
        <v>69</v>
      </c>
      <c r="K473" s="183">
        <v>5</v>
      </c>
      <c r="L473" s="183">
        <v>6</v>
      </c>
      <c r="M473" s="183">
        <v>1491</v>
      </c>
      <c r="N473" s="183">
        <v>150</v>
      </c>
      <c r="O473" s="183">
        <v>31</v>
      </c>
      <c r="P473" s="183">
        <v>3407</v>
      </c>
      <c r="Q473" s="183">
        <v>61</v>
      </c>
    </row>
    <row r="474" spans="1:17">
      <c r="A474" s="183" t="s">
        <v>2062</v>
      </c>
      <c r="B474" s="183" t="s">
        <v>291</v>
      </c>
      <c r="C474" s="183" t="s">
        <v>1977</v>
      </c>
      <c r="D474" s="183">
        <v>16</v>
      </c>
      <c r="E474" s="183">
        <v>16</v>
      </c>
      <c r="F474" s="183">
        <v>1083</v>
      </c>
      <c r="G474" s="183">
        <v>11</v>
      </c>
      <c r="H474" s="183">
        <v>0</v>
      </c>
      <c r="I474" s="183">
        <v>7</v>
      </c>
      <c r="J474" s="183">
        <v>69</v>
      </c>
      <c r="K474" s="183">
        <v>1</v>
      </c>
      <c r="L474" s="183">
        <v>0</v>
      </c>
      <c r="M474" s="183">
        <v>169</v>
      </c>
      <c r="N474" s="183">
        <v>4351</v>
      </c>
      <c r="O474" s="183">
        <v>16</v>
      </c>
      <c r="P474" s="183">
        <v>5614</v>
      </c>
      <c r="Q474" s="183">
        <v>340</v>
      </c>
    </row>
    <row r="475" spans="1:17">
      <c r="A475" s="183" t="s">
        <v>2062</v>
      </c>
      <c r="B475" s="183" t="s">
        <v>230</v>
      </c>
      <c r="C475" s="183" t="s">
        <v>1952</v>
      </c>
      <c r="D475" s="183">
        <v>22</v>
      </c>
      <c r="E475" s="183">
        <v>20</v>
      </c>
      <c r="F475" s="183">
        <v>1352</v>
      </c>
      <c r="G475" s="183">
        <v>45</v>
      </c>
      <c r="H475" s="183">
        <v>0</v>
      </c>
      <c r="I475" s="183">
        <v>69</v>
      </c>
      <c r="J475" s="183">
        <v>69</v>
      </c>
      <c r="K475" s="183">
        <v>0</v>
      </c>
      <c r="L475" s="183">
        <v>0</v>
      </c>
      <c r="M475" s="183">
        <v>0</v>
      </c>
      <c r="N475" s="183">
        <v>3812</v>
      </c>
      <c r="O475" s="183">
        <v>20</v>
      </c>
      <c r="P475" s="183">
        <v>5209</v>
      </c>
      <c r="Q475" s="183">
        <v>259</v>
      </c>
    </row>
    <row r="476" spans="1:17">
      <c r="A476" s="183" t="s">
        <v>2062</v>
      </c>
      <c r="B476" s="183" t="s">
        <v>1682</v>
      </c>
      <c r="C476" s="183" t="s">
        <v>2478</v>
      </c>
      <c r="D476" s="183">
        <v>17</v>
      </c>
      <c r="E476" s="183">
        <v>16</v>
      </c>
      <c r="F476" s="183">
        <v>1135</v>
      </c>
      <c r="G476" s="183">
        <v>3</v>
      </c>
      <c r="H476" s="183">
        <v>4</v>
      </c>
      <c r="I476" s="183">
        <v>28</v>
      </c>
      <c r="J476" s="183">
        <v>70</v>
      </c>
      <c r="K476" s="183">
        <v>1</v>
      </c>
      <c r="L476" s="183">
        <v>0</v>
      </c>
      <c r="M476" s="183">
        <v>29</v>
      </c>
      <c r="N476" s="183">
        <v>1919</v>
      </c>
      <c r="O476" s="183">
        <v>17</v>
      </c>
      <c r="P476" s="183">
        <v>3090</v>
      </c>
      <c r="Q476" s="183">
        <v>185</v>
      </c>
    </row>
    <row r="477" spans="1:17">
      <c r="A477" s="183" t="s">
        <v>2062</v>
      </c>
      <c r="B477" s="183" t="s">
        <v>773</v>
      </c>
      <c r="C477" s="183" t="s">
        <v>2479</v>
      </c>
      <c r="D477" s="183">
        <v>149</v>
      </c>
      <c r="E477" s="183">
        <v>164</v>
      </c>
      <c r="F477" s="183">
        <v>11169</v>
      </c>
      <c r="G477" s="183">
        <v>527</v>
      </c>
      <c r="H477" s="183">
        <v>36</v>
      </c>
      <c r="I477" s="183">
        <v>2680</v>
      </c>
      <c r="J477" s="183">
        <v>71</v>
      </c>
      <c r="K477" s="183">
        <v>0</v>
      </c>
      <c r="L477" s="183">
        <v>0</v>
      </c>
      <c r="M477" s="183">
        <v>0</v>
      </c>
      <c r="N477" s="183">
        <v>1005</v>
      </c>
      <c r="O477" s="183">
        <v>164</v>
      </c>
      <c r="P477" s="183">
        <v>12737</v>
      </c>
      <c r="Q477" s="183">
        <v>78</v>
      </c>
    </row>
    <row r="478" spans="1:17">
      <c r="A478" s="183" t="s">
        <v>2062</v>
      </c>
      <c r="B478" s="183" t="s">
        <v>47</v>
      </c>
      <c r="C478" s="183" t="s">
        <v>2480</v>
      </c>
      <c r="D478" s="183">
        <v>95</v>
      </c>
      <c r="E478" s="183">
        <v>89</v>
      </c>
      <c r="F478" s="183">
        <v>6208</v>
      </c>
      <c r="G478" s="183">
        <v>67</v>
      </c>
      <c r="H478" s="183">
        <v>81</v>
      </c>
      <c r="I478" s="183">
        <v>279</v>
      </c>
      <c r="J478" s="183">
        <v>71</v>
      </c>
      <c r="K478" s="183">
        <v>1</v>
      </c>
      <c r="L478" s="183">
        <v>1</v>
      </c>
      <c r="M478" s="183">
        <v>194</v>
      </c>
      <c r="N478" s="183">
        <v>13620</v>
      </c>
      <c r="O478" s="183">
        <v>90</v>
      </c>
      <c r="P478" s="183">
        <v>20170</v>
      </c>
      <c r="Q478" s="183">
        <v>223</v>
      </c>
    </row>
    <row r="479" spans="1:17">
      <c r="A479" s="183" t="s">
        <v>2062</v>
      </c>
      <c r="B479" s="183" t="s">
        <v>194</v>
      </c>
      <c r="C479" s="183" t="s">
        <v>2481</v>
      </c>
      <c r="D479" s="183">
        <v>43</v>
      </c>
      <c r="E479" s="183">
        <v>39</v>
      </c>
      <c r="F479" s="183">
        <v>2733</v>
      </c>
      <c r="G479" s="183">
        <v>40</v>
      </c>
      <c r="H479" s="183">
        <v>2</v>
      </c>
      <c r="I479" s="183">
        <v>62</v>
      </c>
      <c r="J479" s="183">
        <v>71</v>
      </c>
      <c r="K479" s="183">
        <v>7</v>
      </c>
      <c r="L479" s="183">
        <v>6</v>
      </c>
      <c r="M479" s="183">
        <v>261</v>
      </c>
      <c r="N479" s="183">
        <v>476</v>
      </c>
      <c r="O479" s="183">
        <v>45</v>
      </c>
      <c r="P479" s="183">
        <v>3512</v>
      </c>
      <c r="Q479" s="183">
        <v>72</v>
      </c>
    </row>
    <row r="480" spans="1:17">
      <c r="A480" s="183" t="s">
        <v>2062</v>
      </c>
      <c r="B480" s="183" t="s">
        <v>356</v>
      </c>
      <c r="C480" s="183" t="s">
        <v>2482</v>
      </c>
      <c r="D480" s="183">
        <v>41</v>
      </c>
      <c r="E480" s="183">
        <v>40</v>
      </c>
      <c r="F480" s="183">
        <v>2864</v>
      </c>
      <c r="G480" s="183">
        <v>3</v>
      </c>
      <c r="H480" s="183">
        <v>53</v>
      </c>
      <c r="I480" s="183">
        <v>64</v>
      </c>
      <c r="J480" s="183">
        <v>71</v>
      </c>
      <c r="K480" s="183">
        <v>1</v>
      </c>
      <c r="L480" s="183">
        <v>1</v>
      </c>
      <c r="M480" s="183">
        <v>74</v>
      </c>
      <c r="N480" s="183">
        <v>1228</v>
      </c>
      <c r="O480" s="183">
        <v>41</v>
      </c>
      <c r="P480" s="183">
        <v>4222</v>
      </c>
      <c r="Q480" s="183">
        <v>100</v>
      </c>
    </row>
    <row r="481" spans="1:17">
      <c r="A481" s="183" t="s">
        <v>2068</v>
      </c>
      <c r="B481" s="183" t="s">
        <v>1269</v>
      </c>
      <c r="C481" s="183" t="s">
        <v>2483</v>
      </c>
      <c r="D481" s="183">
        <v>50</v>
      </c>
      <c r="E481" s="183">
        <v>33</v>
      </c>
      <c r="F481" s="183">
        <v>2321</v>
      </c>
      <c r="G481" s="183">
        <v>22</v>
      </c>
      <c r="H481" s="183">
        <v>0</v>
      </c>
      <c r="I481" s="183">
        <v>25</v>
      </c>
      <c r="J481" s="183">
        <v>71</v>
      </c>
      <c r="K481" s="183">
        <v>0</v>
      </c>
      <c r="L481" s="183">
        <v>0</v>
      </c>
      <c r="M481" s="183">
        <v>0</v>
      </c>
      <c r="N481" s="183">
        <v>1902</v>
      </c>
      <c r="O481" s="183">
        <v>33</v>
      </c>
      <c r="P481" s="183">
        <v>4245</v>
      </c>
      <c r="Q481" s="183">
        <v>129</v>
      </c>
    </row>
    <row r="482" spans="1:17">
      <c r="A482" s="183" t="s">
        <v>2062</v>
      </c>
      <c r="B482" s="183" t="s">
        <v>415</v>
      </c>
      <c r="C482" s="183" t="s">
        <v>2484</v>
      </c>
      <c r="D482" s="183">
        <v>33</v>
      </c>
      <c r="E482" s="183">
        <v>31</v>
      </c>
      <c r="F482" s="183">
        <v>2201</v>
      </c>
      <c r="G482" s="183">
        <v>2</v>
      </c>
      <c r="H482" s="183">
        <v>0</v>
      </c>
      <c r="I482" s="183">
        <v>27</v>
      </c>
      <c r="J482" s="183">
        <v>71</v>
      </c>
      <c r="K482" s="183">
        <v>0</v>
      </c>
      <c r="L482" s="183">
        <v>0</v>
      </c>
      <c r="M482" s="183">
        <v>0</v>
      </c>
      <c r="N482" s="183">
        <v>1664</v>
      </c>
      <c r="O482" s="183">
        <v>31</v>
      </c>
      <c r="P482" s="183">
        <v>3867</v>
      </c>
      <c r="Q482" s="183">
        <v>125</v>
      </c>
    </row>
    <row r="483" spans="1:17">
      <c r="A483" s="183" t="s">
        <v>2062</v>
      </c>
      <c r="B483" s="183" t="s">
        <v>507</v>
      </c>
      <c r="C483" s="183" t="s">
        <v>506</v>
      </c>
      <c r="D483" s="183">
        <v>57</v>
      </c>
      <c r="E483" s="183">
        <v>51</v>
      </c>
      <c r="F483" s="183">
        <v>2465</v>
      </c>
      <c r="G483" s="183">
        <v>1161</v>
      </c>
      <c r="H483" s="183">
        <v>1483</v>
      </c>
      <c r="I483" s="183">
        <v>82</v>
      </c>
      <c r="J483" s="183">
        <v>71</v>
      </c>
      <c r="K483" s="183">
        <v>78</v>
      </c>
      <c r="L483" s="183">
        <v>73</v>
      </c>
      <c r="M483" s="183">
        <v>7112</v>
      </c>
      <c r="N483" s="183">
        <v>7090</v>
      </c>
      <c r="O483" s="183">
        <v>123</v>
      </c>
      <c r="P483" s="183">
        <v>19311</v>
      </c>
      <c r="Q483" s="183">
        <v>99</v>
      </c>
    </row>
    <row r="484" spans="1:17">
      <c r="A484" s="183" t="s">
        <v>2062</v>
      </c>
      <c r="B484" s="183" t="s">
        <v>533</v>
      </c>
      <c r="C484" s="183" t="s">
        <v>2485</v>
      </c>
      <c r="D484" s="183">
        <v>50</v>
      </c>
      <c r="E484" s="183">
        <v>53</v>
      </c>
      <c r="F484" s="183">
        <v>2494</v>
      </c>
      <c r="G484" s="183">
        <v>1293</v>
      </c>
      <c r="H484" s="183">
        <v>0</v>
      </c>
      <c r="I484" s="183">
        <v>175</v>
      </c>
      <c r="J484" s="183">
        <v>71</v>
      </c>
      <c r="K484" s="183">
        <v>0</v>
      </c>
      <c r="L484" s="183">
        <v>0</v>
      </c>
      <c r="M484" s="183">
        <v>0</v>
      </c>
      <c r="N484" s="183">
        <v>588</v>
      </c>
      <c r="O484" s="183">
        <v>53</v>
      </c>
      <c r="P484" s="183">
        <v>4375</v>
      </c>
      <c r="Q484" s="183">
        <v>82</v>
      </c>
    </row>
    <row r="485" spans="1:17">
      <c r="A485" s="183" t="s">
        <v>2062</v>
      </c>
      <c r="B485" s="183" t="s">
        <v>305</v>
      </c>
      <c r="C485" s="183" t="s">
        <v>2486</v>
      </c>
      <c r="D485" s="183">
        <v>55</v>
      </c>
      <c r="E485" s="183">
        <v>58</v>
      </c>
      <c r="F485" s="183">
        <v>2835</v>
      </c>
      <c r="G485" s="183">
        <v>1233</v>
      </c>
      <c r="H485" s="183">
        <v>2</v>
      </c>
      <c r="I485" s="183">
        <v>73</v>
      </c>
      <c r="J485" s="183">
        <v>71</v>
      </c>
      <c r="K485" s="183">
        <v>0</v>
      </c>
      <c r="L485" s="183">
        <v>0</v>
      </c>
      <c r="M485" s="183">
        <v>0</v>
      </c>
      <c r="N485" s="183">
        <v>66</v>
      </c>
      <c r="O485" s="183">
        <v>58</v>
      </c>
      <c r="P485" s="183">
        <v>4136</v>
      </c>
      <c r="Q485" s="183">
        <v>72</v>
      </c>
    </row>
    <row r="486" spans="1:17">
      <c r="A486" s="183" t="s">
        <v>2062</v>
      </c>
      <c r="B486" s="183" t="s">
        <v>549</v>
      </c>
      <c r="C486" s="183" t="s">
        <v>2487</v>
      </c>
      <c r="D486" s="183">
        <v>24</v>
      </c>
      <c r="E486" s="183">
        <v>22</v>
      </c>
      <c r="F486" s="183">
        <v>1182</v>
      </c>
      <c r="G486" s="183">
        <v>371</v>
      </c>
      <c r="H486" s="183">
        <v>480</v>
      </c>
      <c r="I486" s="183">
        <v>24</v>
      </c>
      <c r="J486" s="183">
        <v>71</v>
      </c>
      <c r="K486" s="183">
        <v>0</v>
      </c>
      <c r="L486" s="183">
        <v>0</v>
      </c>
      <c r="M486" s="183">
        <v>0</v>
      </c>
      <c r="N486" s="183">
        <v>2244</v>
      </c>
      <c r="O486" s="183">
        <v>22</v>
      </c>
      <c r="P486" s="183">
        <v>4277</v>
      </c>
      <c r="Q486" s="183">
        <v>196</v>
      </c>
    </row>
    <row r="487" spans="1:17">
      <c r="A487" s="183" t="s">
        <v>2062</v>
      </c>
      <c r="B487" s="183" t="s">
        <v>650</v>
      </c>
      <c r="C487" s="183" t="s">
        <v>1982</v>
      </c>
      <c r="D487" s="183">
        <v>14</v>
      </c>
      <c r="E487" s="183">
        <v>23</v>
      </c>
      <c r="F487" s="183">
        <v>1617</v>
      </c>
      <c r="G487" s="183">
        <v>33</v>
      </c>
      <c r="H487" s="183">
        <v>2100</v>
      </c>
      <c r="I487" s="183">
        <v>12</v>
      </c>
      <c r="J487" s="183">
        <v>71</v>
      </c>
      <c r="K487" s="183">
        <v>0</v>
      </c>
      <c r="L487" s="183">
        <v>0</v>
      </c>
      <c r="M487" s="183">
        <v>0</v>
      </c>
      <c r="N487" s="183">
        <v>2644</v>
      </c>
      <c r="O487" s="183">
        <v>23</v>
      </c>
      <c r="P487" s="183">
        <v>6394</v>
      </c>
      <c r="Q487" s="183">
        <v>276</v>
      </c>
    </row>
    <row r="488" spans="1:17">
      <c r="A488" s="183" t="s">
        <v>2062</v>
      </c>
      <c r="B488" s="183" t="s">
        <v>385</v>
      </c>
      <c r="C488" s="183" t="s">
        <v>2488</v>
      </c>
      <c r="D488" s="183">
        <v>4</v>
      </c>
      <c r="E488" s="183">
        <v>9</v>
      </c>
      <c r="F488" s="183">
        <v>575</v>
      </c>
      <c r="G488" s="183">
        <v>80</v>
      </c>
      <c r="H488" s="183">
        <v>1642</v>
      </c>
      <c r="I488" s="183">
        <v>107</v>
      </c>
      <c r="J488" s="183">
        <v>72</v>
      </c>
      <c r="K488" s="183">
        <v>0</v>
      </c>
      <c r="L488" s="183">
        <v>0</v>
      </c>
      <c r="M488" s="183">
        <v>240</v>
      </c>
      <c r="N488" s="183">
        <v>977</v>
      </c>
      <c r="O488" s="183">
        <v>9</v>
      </c>
      <c r="P488" s="183">
        <v>3514</v>
      </c>
      <c r="Q488" s="183">
        <v>358</v>
      </c>
    </row>
    <row r="489" spans="1:17">
      <c r="A489" s="183" t="s">
        <v>2062</v>
      </c>
      <c r="B489" s="183" t="s">
        <v>765</v>
      </c>
      <c r="C489" s="183" t="s">
        <v>2489</v>
      </c>
      <c r="D489" s="183">
        <v>56</v>
      </c>
      <c r="E489" s="183">
        <v>46</v>
      </c>
      <c r="F489" s="183">
        <v>3239</v>
      </c>
      <c r="G489" s="183">
        <v>88</v>
      </c>
      <c r="H489" s="183">
        <v>0</v>
      </c>
      <c r="I489" s="183">
        <v>125</v>
      </c>
      <c r="J489" s="183">
        <v>72</v>
      </c>
      <c r="K489" s="183">
        <v>4</v>
      </c>
      <c r="L489" s="183">
        <v>4</v>
      </c>
      <c r="M489" s="183">
        <v>169</v>
      </c>
      <c r="N489" s="183">
        <v>239</v>
      </c>
      <c r="O489" s="183">
        <v>51</v>
      </c>
      <c r="P489" s="183">
        <v>3735</v>
      </c>
      <c r="Q489" s="183">
        <v>70</v>
      </c>
    </row>
    <row r="490" spans="1:17">
      <c r="A490" s="183" t="s">
        <v>2062</v>
      </c>
      <c r="B490" s="183" t="s">
        <v>525</v>
      </c>
      <c r="C490" s="183" t="s">
        <v>2490</v>
      </c>
      <c r="D490" s="183">
        <v>14</v>
      </c>
      <c r="E490" s="183">
        <v>14</v>
      </c>
      <c r="F490" s="183">
        <v>538</v>
      </c>
      <c r="G490" s="183">
        <v>443</v>
      </c>
      <c r="H490" s="183">
        <v>678</v>
      </c>
      <c r="I490" s="183">
        <v>22</v>
      </c>
      <c r="J490" s="183">
        <v>72</v>
      </c>
      <c r="K490" s="183">
        <v>0</v>
      </c>
      <c r="L490" s="183">
        <v>0</v>
      </c>
      <c r="M490" s="183">
        <v>0</v>
      </c>
      <c r="N490" s="183">
        <v>485</v>
      </c>
      <c r="O490" s="183">
        <v>14</v>
      </c>
      <c r="P490" s="183">
        <v>2144</v>
      </c>
      <c r="Q490" s="183">
        <v>156</v>
      </c>
    </row>
    <row r="491" spans="1:17">
      <c r="A491" s="183" t="s">
        <v>2062</v>
      </c>
      <c r="B491" s="183" t="s">
        <v>933</v>
      </c>
      <c r="C491" s="183" t="s">
        <v>2491</v>
      </c>
      <c r="D491" s="183">
        <v>1245</v>
      </c>
      <c r="E491" s="183">
        <v>1494</v>
      </c>
      <c r="F491" s="183">
        <v>106585</v>
      </c>
      <c r="G491" s="183">
        <v>1226</v>
      </c>
      <c r="H491" s="183">
        <v>299</v>
      </c>
      <c r="I491" s="183">
        <v>35058</v>
      </c>
      <c r="J491" s="183">
        <v>72</v>
      </c>
      <c r="K491" s="183">
        <v>128</v>
      </c>
      <c r="L491" s="183">
        <v>113</v>
      </c>
      <c r="M491" s="183">
        <v>6804</v>
      </c>
      <c r="N491" s="183">
        <v>1120</v>
      </c>
      <c r="O491" s="183">
        <v>1607</v>
      </c>
      <c r="P491" s="183">
        <v>116034</v>
      </c>
      <c r="Q491" s="183">
        <v>68</v>
      </c>
    </row>
    <row r="492" spans="1:17">
      <c r="A492" s="183" t="s">
        <v>2068</v>
      </c>
      <c r="B492" s="183" t="s">
        <v>1265</v>
      </c>
      <c r="C492" s="183" t="s">
        <v>2492</v>
      </c>
      <c r="D492" s="183">
        <v>55</v>
      </c>
      <c r="E492" s="183">
        <v>33</v>
      </c>
      <c r="F492" s="183">
        <v>1399</v>
      </c>
      <c r="G492" s="183">
        <v>986</v>
      </c>
      <c r="H492" s="183">
        <v>2139</v>
      </c>
      <c r="I492" s="183">
        <v>46</v>
      </c>
      <c r="J492" s="183">
        <v>72</v>
      </c>
      <c r="K492" s="183">
        <v>0</v>
      </c>
      <c r="L492" s="183">
        <v>0</v>
      </c>
      <c r="M492" s="183">
        <v>0</v>
      </c>
      <c r="N492" s="183">
        <v>0</v>
      </c>
      <c r="O492" s="183">
        <v>33</v>
      </c>
      <c r="P492" s="183">
        <v>4524</v>
      </c>
      <c r="Q492" s="183">
        <v>136</v>
      </c>
    </row>
    <row r="493" spans="1:17">
      <c r="A493" s="183" t="s">
        <v>2078</v>
      </c>
      <c r="B493" s="183" t="s">
        <v>1412</v>
      </c>
      <c r="C493" s="183" t="s">
        <v>1934</v>
      </c>
      <c r="D493" s="183">
        <v>16</v>
      </c>
      <c r="E493" s="183">
        <v>15</v>
      </c>
      <c r="F493" s="183">
        <v>1047</v>
      </c>
      <c r="G493" s="183">
        <v>27</v>
      </c>
      <c r="H493" s="183">
        <v>0</v>
      </c>
      <c r="I493" s="183">
        <v>12</v>
      </c>
      <c r="J493" s="183">
        <v>72</v>
      </c>
      <c r="K493" s="183">
        <v>0</v>
      </c>
      <c r="L493" s="183">
        <v>0</v>
      </c>
      <c r="M493" s="183">
        <v>0</v>
      </c>
      <c r="N493" s="183">
        <v>1518</v>
      </c>
      <c r="O493" s="183">
        <v>15</v>
      </c>
      <c r="P493" s="183">
        <v>2592</v>
      </c>
      <c r="Q493" s="183">
        <v>173</v>
      </c>
    </row>
    <row r="494" spans="1:17">
      <c r="A494" s="183" t="s">
        <v>2062</v>
      </c>
      <c r="B494" s="183" t="s">
        <v>206</v>
      </c>
      <c r="C494" s="183" t="s">
        <v>1975</v>
      </c>
      <c r="D494" s="183">
        <v>12</v>
      </c>
      <c r="E494" s="183">
        <v>12</v>
      </c>
      <c r="F494" s="183">
        <v>865</v>
      </c>
      <c r="G494" s="183">
        <v>1</v>
      </c>
      <c r="H494" s="183">
        <v>0</v>
      </c>
      <c r="I494" s="183">
        <v>8</v>
      </c>
      <c r="J494" s="183">
        <v>72</v>
      </c>
      <c r="K494" s="183">
        <v>4</v>
      </c>
      <c r="L494" s="183">
        <v>5</v>
      </c>
      <c r="M494" s="183">
        <v>142</v>
      </c>
      <c r="N494" s="183">
        <v>5417</v>
      </c>
      <c r="O494" s="183">
        <v>17</v>
      </c>
      <c r="P494" s="183">
        <v>6425</v>
      </c>
      <c r="Q494" s="183">
        <v>379</v>
      </c>
    </row>
    <row r="495" spans="1:17">
      <c r="A495" s="183" t="s">
        <v>2062</v>
      </c>
      <c r="B495" s="183" t="s">
        <v>572</v>
      </c>
      <c r="C495" s="183" t="s">
        <v>2493</v>
      </c>
      <c r="D495" s="183">
        <v>40</v>
      </c>
      <c r="E495" s="183">
        <v>30</v>
      </c>
      <c r="F495" s="183">
        <v>1322</v>
      </c>
      <c r="G495" s="183">
        <v>869</v>
      </c>
      <c r="H495" s="183">
        <v>2682</v>
      </c>
      <c r="I495" s="183">
        <v>177</v>
      </c>
      <c r="J495" s="183">
        <v>73</v>
      </c>
      <c r="K495" s="183">
        <v>2</v>
      </c>
      <c r="L495" s="183">
        <v>2</v>
      </c>
      <c r="M495" s="183">
        <v>143</v>
      </c>
      <c r="N495" s="183">
        <v>5082</v>
      </c>
      <c r="O495" s="183">
        <v>32</v>
      </c>
      <c r="P495" s="183">
        <v>10098</v>
      </c>
      <c r="Q495" s="183">
        <v>308</v>
      </c>
    </row>
    <row r="496" spans="1:17">
      <c r="A496" s="183" t="s">
        <v>2078</v>
      </c>
      <c r="B496" s="183" t="s">
        <v>1462</v>
      </c>
      <c r="C496" s="183" t="s">
        <v>2494</v>
      </c>
      <c r="D496" s="183">
        <v>72</v>
      </c>
      <c r="E496" s="183">
        <v>69</v>
      </c>
      <c r="F496" s="183">
        <v>5036</v>
      </c>
      <c r="G496" s="183">
        <v>2</v>
      </c>
      <c r="H496" s="183">
        <v>119</v>
      </c>
      <c r="I496" s="183">
        <v>192</v>
      </c>
      <c r="J496" s="183">
        <v>73</v>
      </c>
      <c r="K496" s="183">
        <v>0</v>
      </c>
      <c r="L496" s="183">
        <v>0</v>
      </c>
      <c r="M496" s="183">
        <v>0</v>
      </c>
      <c r="N496" s="183">
        <v>3017</v>
      </c>
      <c r="O496" s="183">
        <v>69</v>
      </c>
      <c r="P496" s="183">
        <v>8174</v>
      </c>
      <c r="Q496" s="183">
        <v>118</v>
      </c>
    </row>
    <row r="497" spans="1:17">
      <c r="A497" s="183" t="s">
        <v>2078</v>
      </c>
      <c r="B497" s="183" t="s">
        <v>1378</v>
      </c>
      <c r="C497" s="183" t="s">
        <v>2495</v>
      </c>
      <c r="D497" s="183">
        <v>6</v>
      </c>
      <c r="E497" s="183">
        <v>5</v>
      </c>
      <c r="F497" s="183">
        <v>398</v>
      </c>
      <c r="G497" s="183">
        <v>0</v>
      </c>
      <c r="H497" s="183">
        <v>0</v>
      </c>
      <c r="I497" s="183">
        <v>10</v>
      </c>
      <c r="J497" s="183">
        <v>73</v>
      </c>
      <c r="K497" s="183">
        <v>0</v>
      </c>
      <c r="L497" s="183">
        <v>0</v>
      </c>
      <c r="M497" s="183">
        <v>0</v>
      </c>
      <c r="N497" s="183">
        <v>1949</v>
      </c>
      <c r="O497" s="183">
        <v>5</v>
      </c>
      <c r="P497" s="183">
        <v>2347</v>
      </c>
      <c r="Q497" s="183">
        <v>432</v>
      </c>
    </row>
    <row r="498" spans="1:17">
      <c r="A498" s="183" t="s">
        <v>2062</v>
      </c>
      <c r="B498" s="183" t="s">
        <v>582</v>
      </c>
      <c r="C498" s="183" t="s">
        <v>2496</v>
      </c>
      <c r="D498" s="183">
        <v>71</v>
      </c>
      <c r="E498" s="183">
        <v>71</v>
      </c>
      <c r="F498" s="183">
        <v>4852</v>
      </c>
      <c r="G498" s="183">
        <v>360</v>
      </c>
      <c r="H498" s="183">
        <v>1428</v>
      </c>
      <c r="I498" s="183">
        <v>61</v>
      </c>
      <c r="J498" s="183">
        <v>73</v>
      </c>
      <c r="K498" s="183">
        <v>118</v>
      </c>
      <c r="L498" s="183">
        <v>93</v>
      </c>
      <c r="M498" s="183">
        <v>5095</v>
      </c>
      <c r="N498" s="183">
        <v>0</v>
      </c>
      <c r="O498" s="183">
        <v>164</v>
      </c>
      <c r="P498" s="183">
        <v>11735</v>
      </c>
      <c r="Q498" s="183">
        <v>40</v>
      </c>
    </row>
    <row r="499" spans="1:17">
      <c r="A499" s="183" t="s">
        <v>2068</v>
      </c>
      <c r="B499" s="183" t="s">
        <v>1005</v>
      </c>
      <c r="C499" s="183" t="s">
        <v>1004</v>
      </c>
      <c r="D499" s="183">
        <v>8</v>
      </c>
      <c r="E499" s="183">
        <v>6</v>
      </c>
      <c r="F499" s="183">
        <v>323</v>
      </c>
      <c r="G499" s="183">
        <v>124</v>
      </c>
      <c r="H499" s="183">
        <v>784</v>
      </c>
      <c r="I499" s="183">
        <v>6</v>
      </c>
      <c r="J499" s="183">
        <v>73</v>
      </c>
      <c r="K499" s="183">
        <v>0</v>
      </c>
      <c r="L499" s="183">
        <v>0</v>
      </c>
      <c r="M499" s="183">
        <v>0</v>
      </c>
      <c r="N499" s="183">
        <v>1183</v>
      </c>
      <c r="O499" s="183">
        <v>6</v>
      </c>
      <c r="P499" s="183">
        <v>2414</v>
      </c>
      <c r="Q499" s="183">
        <v>393</v>
      </c>
    </row>
    <row r="500" spans="1:17">
      <c r="A500" s="183" t="s">
        <v>2078</v>
      </c>
      <c r="B500" s="183" t="s">
        <v>1525</v>
      </c>
      <c r="C500" s="183" t="s">
        <v>2497</v>
      </c>
      <c r="D500" s="183">
        <v>51</v>
      </c>
      <c r="E500" s="183">
        <v>38</v>
      </c>
      <c r="F500" s="183">
        <v>2769</v>
      </c>
      <c r="G500" s="183">
        <v>18</v>
      </c>
      <c r="H500" s="183">
        <v>0</v>
      </c>
      <c r="I500" s="183">
        <v>106</v>
      </c>
      <c r="J500" s="183">
        <v>74</v>
      </c>
      <c r="K500" s="183">
        <v>0</v>
      </c>
      <c r="L500" s="183">
        <v>0</v>
      </c>
      <c r="M500" s="183">
        <v>0</v>
      </c>
      <c r="N500" s="183">
        <v>2846</v>
      </c>
      <c r="O500" s="183">
        <v>38</v>
      </c>
      <c r="P500" s="183">
        <v>5633</v>
      </c>
      <c r="Q500" s="183">
        <v>149</v>
      </c>
    </row>
    <row r="501" spans="1:17">
      <c r="A501" s="183" t="s">
        <v>2062</v>
      </c>
      <c r="B501" s="183" t="s">
        <v>489</v>
      </c>
      <c r="C501" s="183" t="s">
        <v>2498</v>
      </c>
      <c r="D501" s="183">
        <v>17</v>
      </c>
      <c r="E501" s="183">
        <v>16</v>
      </c>
      <c r="F501" s="183">
        <v>1183</v>
      </c>
      <c r="G501" s="183">
        <v>1</v>
      </c>
      <c r="H501" s="183">
        <v>0</v>
      </c>
      <c r="I501" s="183">
        <v>37</v>
      </c>
      <c r="J501" s="183">
        <v>74</v>
      </c>
      <c r="K501" s="183">
        <v>0</v>
      </c>
      <c r="L501" s="183">
        <v>0</v>
      </c>
      <c r="M501" s="183">
        <v>0</v>
      </c>
      <c r="N501" s="183">
        <v>46</v>
      </c>
      <c r="O501" s="183">
        <v>16</v>
      </c>
      <c r="P501" s="183">
        <v>1230</v>
      </c>
      <c r="Q501" s="183">
        <v>77</v>
      </c>
    </row>
    <row r="502" spans="1:17">
      <c r="A502" s="183" t="s">
        <v>2062</v>
      </c>
      <c r="B502" s="183" t="s">
        <v>409</v>
      </c>
      <c r="C502" s="183" t="s">
        <v>408</v>
      </c>
      <c r="D502" s="183">
        <v>93</v>
      </c>
      <c r="E502" s="183">
        <v>82</v>
      </c>
      <c r="F502" s="183">
        <v>975</v>
      </c>
      <c r="G502" s="183">
        <v>5110</v>
      </c>
      <c r="H502" s="183">
        <v>6085</v>
      </c>
      <c r="I502" s="183">
        <v>273</v>
      </c>
      <c r="J502" s="183">
        <v>74</v>
      </c>
      <c r="K502" s="183">
        <v>0</v>
      </c>
      <c r="L502" s="183">
        <v>0</v>
      </c>
      <c r="M502" s="183">
        <v>0</v>
      </c>
      <c r="N502" s="183">
        <v>2777</v>
      </c>
      <c r="O502" s="183">
        <v>82</v>
      </c>
      <c r="P502" s="183">
        <v>14947</v>
      </c>
      <c r="Q502" s="183">
        <v>182</v>
      </c>
    </row>
    <row r="503" spans="1:17">
      <c r="A503" s="183" t="s">
        <v>2062</v>
      </c>
      <c r="B503" s="183" t="s">
        <v>107</v>
      </c>
      <c r="C503" s="183" t="s">
        <v>2499</v>
      </c>
      <c r="D503" s="183">
        <v>42</v>
      </c>
      <c r="E503" s="183">
        <v>41</v>
      </c>
      <c r="F503" s="183">
        <v>3011</v>
      </c>
      <c r="G503" s="183">
        <v>2</v>
      </c>
      <c r="H503" s="183">
        <v>424</v>
      </c>
      <c r="I503" s="183">
        <v>66</v>
      </c>
      <c r="J503" s="183">
        <v>74</v>
      </c>
      <c r="K503" s="183">
        <v>4</v>
      </c>
      <c r="L503" s="183">
        <v>3</v>
      </c>
      <c r="M503" s="183">
        <v>471</v>
      </c>
      <c r="N503" s="183">
        <v>7604</v>
      </c>
      <c r="O503" s="183">
        <v>44</v>
      </c>
      <c r="P503" s="183">
        <v>11512</v>
      </c>
      <c r="Q503" s="183">
        <v>253</v>
      </c>
    </row>
    <row r="504" spans="1:17">
      <c r="A504" s="183" t="s">
        <v>2062</v>
      </c>
      <c r="B504" s="183" t="s">
        <v>632</v>
      </c>
      <c r="C504" s="183" t="s">
        <v>2500</v>
      </c>
      <c r="D504" s="183">
        <v>32</v>
      </c>
      <c r="E504" s="183">
        <v>35</v>
      </c>
      <c r="F504" s="183">
        <v>2601</v>
      </c>
      <c r="G504" s="183">
        <v>2</v>
      </c>
      <c r="H504" s="183">
        <v>1</v>
      </c>
      <c r="I504" s="183">
        <v>42</v>
      </c>
      <c r="J504" s="183">
        <v>74</v>
      </c>
      <c r="K504" s="183">
        <v>22</v>
      </c>
      <c r="L504" s="183">
        <v>19</v>
      </c>
      <c r="M504" s="183">
        <v>3951</v>
      </c>
      <c r="N504" s="183">
        <v>8435</v>
      </c>
      <c r="O504" s="183">
        <v>54</v>
      </c>
      <c r="P504" s="183">
        <v>14990</v>
      </c>
      <c r="Q504" s="183">
        <v>204</v>
      </c>
    </row>
    <row r="505" spans="1:17">
      <c r="A505" s="183" t="s">
        <v>2062</v>
      </c>
      <c r="B505" s="183" t="s">
        <v>427</v>
      </c>
      <c r="C505" s="183" t="s">
        <v>1932</v>
      </c>
      <c r="D505" s="183">
        <v>21</v>
      </c>
      <c r="E505" s="183">
        <v>20</v>
      </c>
      <c r="F505" s="183">
        <v>1415</v>
      </c>
      <c r="G505" s="183">
        <v>69</v>
      </c>
      <c r="H505" s="183">
        <v>55</v>
      </c>
      <c r="I505" s="183">
        <v>15</v>
      </c>
      <c r="J505" s="183">
        <v>74</v>
      </c>
      <c r="K505" s="183">
        <v>0</v>
      </c>
      <c r="L505" s="183">
        <v>0</v>
      </c>
      <c r="M505" s="183">
        <v>0</v>
      </c>
      <c r="N505" s="183">
        <v>0</v>
      </c>
      <c r="O505" s="183">
        <v>20</v>
      </c>
      <c r="P505" s="183">
        <v>1539</v>
      </c>
      <c r="Q505" s="183">
        <v>77</v>
      </c>
    </row>
    <row r="506" spans="1:17">
      <c r="A506" s="183" t="s">
        <v>2062</v>
      </c>
      <c r="B506" s="183" t="s">
        <v>299</v>
      </c>
      <c r="C506" s="183" t="s">
        <v>2501</v>
      </c>
      <c r="D506" s="183">
        <v>27</v>
      </c>
      <c r="E506" s="183">
        <v>28</v>
      </c>
      <c r="F506" s="183">
        <v>2138</v>
      </c>
      <c r="G506" s="183">
        <v>1</v>
      </c>
      <c r="H506" s="183">
        <v>2</v>
      </c>
      <c r="I506" s="183">
        <v>78</v>
      </c>
      <c r="J506" s="183">
        <v>75</v>
      </c>
      <c r="K506" s="183">
        <v>1</v>
      </c>
      <c r="L506" s="183">
        <v>0</v>
      </c>
      <c r="M506" s="183">
        <v>214</v>
      </c>
      <c r="N506" s="183">
        <v>1558</v>
      </c>
      <c r="O506" s="183">
        <v>29</v>
      </c>
      <c r="P506" s="183">
        <v>3913</v>
      </c>
      <c r="Q506" s="183">
        <v>128</v>
      </c>
    </row>
    <row r="507" spans="1:17">
      <c r="A507" s="183" t="s">
        <v>2062</v>
      </c>
      <c r="B507" s="183" t="s">
        <v>341</v>
      </c>
      <c r="C507" s="183" t="s">
        <v>2502</v>
      </c>
      <c r="D507" s="183">
        <v>27</v>
      </c>
      <c r="E507" s="183">
        <v>24</v>
      </c>
      <c r="F507" s="183">
        <v>1305</v>
      </c>
      <c r="G507" s="183">
        <v>497</v>
      </c>
      <c r="H507" s="183">
        <v>785</v>
      </c>
      <c r="I507" s="183">
        <v>83</v>
      </c>
      <c r="J507" s="183">
        <v>75</v>
      </c>
      <c r="K507" s="183">
        <v>0</v>
      </c>
      <c r="L507" s="183">
        <v>0</v>
      </c>
      <c r="M507" s="183">
        <v>0</v>
      </c>
      <c r="N507" s="183">
        <v>80</v>
      </c>
      <c r="O507" s="183">
        <v>24</v>
      </c>
      <c r="P507" s="183">
        <v>2667</v>
      </c>
      <c r="Q507" s="183">
        <v>110</v>
      </c>
    </row>
    <row r="508" spans="1:17">
      <c r="A508" s="183" t="s">
        <v>2078</v>
      </c>
      <c r="B508" s="183" t="s">
        <v>1585</v>
      </c>
      <c r="C508" s="183" t="s">
        <v>2503</v>
      </c>
      <c r="D508" s="183">
        <v>375</v>
      </c>
      <c r="E508" s="183">
        <v>314</v>
      </c>
      <c r="F508" s="183">
        <v>11866</v>
      </c>
      <c r="G508" s="183">
        <v>11799</v>
      </c>
      <c r="H508" s="183">
        <v>14330</v>
      </c>
      <c r="I508" s="183">
        <v>1603</v>
      </c>
      <c r="J508" s="183">
        <v>75</v>
      </c>
      <c r="K508" s="183">
        <v>0</v>
      </c>
      <c r="L508" s="183">
        <v>0</v>
      </c>
      <c r="M508" s="183">
        <v>0</v>
      </c>
      <c r="N508" s="183">
        <v>75148</v>
      </c>
      <c r="O508" s="183">
        <v>314</v>
      </c>
      <c r="P508" s="183">
        <v>113143</v>
      </c>
      <c r="Q508" s="183">
        <v>360</v>
      </c>
    </row>
    <row r="509" spans="1:17">
      <c r="A509" s="183" t="s">
        <v>2078</v>
      </c>
      <c r="B509" s="183" t="s">
        <v>1583</v>
      </c>
      <c r="C509" s="183" t="s">
        <v>2504</v>
      </c>
      <c r="D509" s="183">
        <v>178</v>
      </c>
      <c r="E509" s="183">
        <v>132</v>
      </c>
      <c r="F509" s="183">
        <v>9890</v>
      </c>
      <c r="G509" s="183">
        <v>17</v>
      </c>
      <c r="H509" s="183">
        <v>10</v>
      </c>
      <c r="I509" s="183">
        <v>1480</v>
      </c>
      <c r="J509" s="183">
        <v>75</v>
      </c>
      <c r="K509" s="183">
        <v>0</v>
      </c>
      <c r="L509" s="183">
        <v>0</v>
      </c>
      <c r="M509" s="183">
        <v>0</v>
      </c>
      <c r="N509" s="183">
        <v>1543</v>
      </c>
      <c r="O509" s="183">
        <v>132</v>
      </c>
      <c r="P509" s="183">
        <v>11460</v>
      </c>
      <c r="Q509" s="183">
        <v>87</v>
      </c>
    </row>
    <row r="510" spans="1:17">
      <c r="A510" s="183" t="s">
        <v>2062</v>
      </c>
      <c r="B510" s="183" t="s">
        <v>789</v>
      </c>
      <c r="C510" s="183" t="s">
        <v>2505</v>
      </c>
      <c r="D510" s="183">
        <v>905</v>
      </c>
      <c r="E510" s="183">
        <v>862</v>
      </c>
      <c r="F510" s="183">
        <v>35464</v>
      </c>
      <c r="G510" s="183">
        <v>29154</v>
      </c>
      <c r="H510" s="183">
        <v>44024</v>
      </c>
      <c r="I510" s="183">
        <v>11002</v>
      </c>
      <c r="J510" s="183">
        <v>75</v>
      </c>
      <c r="K510" s="183">
        <v>179</v>
      </c>
      <c r="L510" s="183">
        <v>147</v>
      </c>
      <c r="M510" s="183">
        <v>24591</v>
      </c>
      <c r="N510" s="183">
        <v>1979</v>
      </c>
      <c r="O510" s="183">
        <v>1008</v>
      </c>
      <c r="P510" s="183">
        <v>135212</v>
      </c>
      <c r="Q510" s="183">
        <v>110</v>
      </c>
    </row>
    <row r="511" spans="1:17">
      <c r="A511" s="183" t="s">
        <v>2062</v>
      </c>
      <c r="B511" s="183" t="s">
        <v>297</v>
      </c>
      <c r="C511" s="183" t="s">
        <v>1950</v>
      </c>
      <c r="D511" s="183">
        <v>21</v>
      </c>
      <c r="E511" s="183">
        <v>20</v>
      </c>
      <c r="F511" s="183">
        <v>1474</v>
      </c>
      <c r="G511" s="183">
        <v>2</v>
      </c>
      <c r="H511" s="183">
        <v>12</v>
      </c>
      <c r="I511" s="183">
        <v>27</v>
      </c>
      <c r="J511" s="183">
        <v>75</v>
      </c>
      <c r="K511" s="183">
        <v>8</v>
      </c>
      <c r="L511" s="183">
        <v>6</v>
      </c>
      <c r="M511" s="183">
        <v>426</v>
      </c>
      <c r="N511" s="183">
        <v>3905</v>
      </c>
      <c r="O511" s="183">
        <v>26</v>
      </c>
      <c r="P511" s="183">
        <v>5819</v>
      </c>
      <c r="Q511" s="183">
        <v>211</v>
      </c>
    </row>
    <row r="512" spans="1:17">
      <c r="A512" s="183" t="s">
        <v>2062</v>
      </c>
      <c r="B512" s="183" t="s">
        <v>834</v>
      </c>
      <c r="C512" s="183" t="s">
        <v>2506</v>
      </c>
      <c r="D512" s="183">
        <v>204</v>
      </c>
      <c r="E512" s="183">
        <v>180</v>
      </c>
      <c r="F512" s="183">
        <v>743</v>
      </c>
      <c r="G512" s="183">
        <v>12755</v>
      </c>
      <c r="H512" s="183">
        <v>8848</v>
      </c>
      <c r="I512" s="183">
        <v>506</v>
      </c>
      <c r="J512" s="183">
        <v>75</v>
      </c>
      <c r="K512" s="183">
        <v>0</v>
      </c>
      <c r="L512" s="183">
        <v>0</v>
      </c>
      <c r="M512" s="183">
        <v>0</v>
      </c>
      <c r="N512" s="183">
        <v>3513</v>
      </c>
      <c r="O512" s="183">
        <v>180</v>
      </c>
      <c r="P512" s="183">
        <v>25859</v>
      </c>
      <c r="Q512" s="183">
        <v>144</v>
      </c>
    </row>
    <row r="513" spans="1:17">
      <c r="A513" s="183" t="s">
        <v>2062</v>
      </c>
      <c r="B513" s="183" t="s">
        <v>367</v>
      </c>
      <c r="C513" s="183" t="s">
        <v>2507</v>
      </c>
      <c r="D513" s="183">
        <v>25</v>
      </c>
      <c r="E513" s="183">
        <v>24</v>
      </c>
      <c r="F513" s="183">
        <v>1841</v>
      </c>
      <c r="G513" s="183">
        <v>9</v>
      </c>
      <c r="H513" s="183">
        <v>293</v>
      </c>
      <c r="I513" s="183">
        <v>47</v>
      </c>
      <c r="J513" s="183">
        <v>76</v>
      </c>
      <c r="K513" s="183">
        <v>1</v>
      </c>
      <c r="L513" s="183">
        <v>2</v>
      </c>
      <c r="M513" s="183">
        <v>868</v>
      </c>
      <c r="N513" s="183">
        <v>4466</v>
      </c>
      <c r="O513" s="183">
        <v>26</v>
      </c>
      <c r="P513" s="183">
        <v>7477</v>
      </c>
      <c r="Q513" s="183">
        <v>251</v>
      </c>
    </row>
    <row r="514" spans="1:17">
      <c r="A514" s="183" t="s">
        <v>2068</v>
      </c>
      <c r="B514" s="183" t="s">
        <v>1087</v>
      </c>
      <c r="C514" s="183" t="s">
        <v>2508</v>
      </c>
      <c r="D514" s="183">
        <v>23</v>
      </c>
      <c r="E514" s="183">
        <v>22</v>
      </c>
      <c r="F514" s="183">
        <v>1642</v>
      </c>
      <c r="G514" s="183">
        <v>13</v>
      </c>
      <c r="H514" s="183">
        <v>0</v>
      </c>
      <c r="I514" s="183">
        <v>47</v>
      </c>
      <c r="J514" s="183">
        <v>76</v>
      </c>
      <c r="K514" s="183">
        <v>0</v>
      </c>
      <c r="L514" s="183">
        <v>0</v>
      </c>
      <c r="M514" s="183">
        <v>0</v>
      </c>
      <c r="N514" s="183">
        <v>0</v>
      </c>
      <c r="O514" s="183">
        <v>22</v>
      </c>
      <c r="P514" s="183">
        <v>1655</v>
      </c>
      <c r="Q514" s="183">
        <v>76</v>
      </c>
    </row>
    <row r="515" spans="1:17">
      <c r="A515" s="183" t="s">
        <v>2062</v>
      </c>
      <c r="B515" s="183" t="s">
        <v>729</v>
      </c>
      <c r="C515" s="183" t="s">
        <v>2509</v>
      </c>
      <c r="D515" s="183">
        <v>187</v>
      </c>
      <c r="E515" s="183">
        <v>188</v>
      </c>
      <c r="F515" s="183">
        <v>14221</v>
      </c>
      <c r="G515" s="183">
        <v>101</v>
      </c>
      <c r="H515" s="183">
        <v>54</v>
      </c>
      <c r="I515" s="183">
        <v>1452</v>
      </c>
      <c r="J515" s="183">
        <v>76</v>
      </c>
      <c r="K515" s="183">
        <v>0</v>
      </c>
      <c r="L515" s="183">
        <v>0</v>
      </c>
      <c r="M515" s="183">
        <v>157</v>
      </c>
      <c r="N515" s="183">
        <v>861</v>
      </c>
      <c r="O515" s="183">
        <v>188</v>
      </c>
      <c r="P515" s="183">
        <v>15394</v>
      </c>
      <c r="Q515" s="183">
        <v>81</v>
      </c>
    </row>
    <row r="516" spans="1:17">
      <c r="A516" s="183" t="s">
        <v>2062</v>
      </c>
      <c r="B516" s="183" t="s">
        <v>580</v>
      </c>
      <c r="C516" s="183" t="s">
        <v>2510</v>
      </c>
      <c r="D516" s="183">
        <v>61</v>
      </c>
      <c r="E516" s="183">
        <v>58</v>
      </c>
      <c r="F516" s="183">
        <v>4384</v>
      </c>
      <c r="G516" s="183">
        <v>20</v>
      </c>
      <c r="H516" s="183">
        <v>922</v>
      </c>
      <c r="I516" s="183">
        <v>216</v>
      </c>
      <c r="J516" s="183">
        <v>76</v>
      </c>
      <c r="K516" s="183">
        <v>2</v>
      </c>
      <c r="L516" s="183">
        <v>3</v>
      </c>
      <c r="M516" s="183">
        <v>236</v>
      </c>
      <c r="N516" s="183">
        <v>625</v>
      </c>
      <c r="O516" s="183">
        <v>61</v>
      </c>
      <c r="P516" s="183">
        <v>6187</v>
      </c>
      <c r="Q516" s="183">
        <v>98</v>
      </c>
    </row>
    <row r="517" spans="1:17">
      <c r="A517" s="183" t="s">
        <v>2078</v>
      </c>
      <c r="B517" s="183" t="s">
        <v>1568</v>
      </c>
      <c r="C517" s="183" t="s">
        <v>2511</v>
      </c>
      <c r="D517" s="183">
        <v>111</v>
      </c>
      <c r="E517" s="183">
        <v>88</v>
      </c>
      <c r="F517" s="183">
        <v>6692</v>
      </c>
      <c r="G517" s="183">
        <v>17</v>
      </c>
      <c r="H517" s="183">
        <v>1</v>
      </c>
      <c r="I517" s="183">
        <v>207</v>
      </c>
      <c r="J517" s="183">
        <v>76</v>
      </c>
      <c r="K517" s="183">
        <v>0</v>
      </c>
      <c r="L517" s="183">
        <v>0</v>
      </c>
      <c r="M517" s="183">
        <v>0</v>
      </c>
      <c r="N517" s="183">
        <v>5218</v>
      </c>
      <c r="O517" s="183">
        <v>88</v>
      </c>
      <c r="P517" s="183">
        <v>11928</v>
      </c>
      <c r="Q517" s="183">
        <v>136</v>
      </c>
    </row>
    <row r="518" spans="1:17">
      <c r="A518" s="183" t="s">
        <v>2062</v>
      </c>
      <c r="B518" s="183" t="s">
        <v>660</v>
      </c>
      <c r="C518" s="183" t="s">
        <v>2512</v>
      </c>
      <c r="D518" s="183">
        <v>47</v>
      </c>
      <c r="E518" s="183">
        <v>41</v>
      </c>
      <c r="F518" s="183">
        <v>3160</v>
      </c>
      <c r="G518" s="183">
        <v>3</v>
      </c>
      <c r="H518" s="183">
        <v>13</v>
      </c>
      <c r="I518" s="183">
        <v>73</v>
      </c>
      <c r="J518" s="183">
        <v>76</v>
      </c>
      <c r="K518" s="183">
        <v>6</v>
      </c>
      <c r="L518" s="183">
        <v>4</v>
      </c>
      <c r="M518" s="183">
        <v>757</v>
      </c>
      <c r="N518" s="183">
        <v>2855</v>
      </c>
      <c r="O518" s="183">
        <v>46</v>
      </c>
      <c r="P518" s="183">
        <v>6788</v>
      </c>
      <c r="Q518" s="183">
        <v>132</v>
      </c>
    </row>
    <row r="519" spans="1:17">
      <c r="A519" s="183" t="s">
        <v>2062</v>
      </c>
      <c r="B519" s="183" t="s">
        <v>246</v>
      </c>
      <c r="C519" s="183" t="s">
        <v>2513</v>
      </c>
      <c r="D519" s="183">
        <v>36</v>
      </c>
      <c r="E519" s="183">
        <v>44</v>
      </c>
      <c r="F519" s="183">
        <v>3316</v>
      </c>
      <c r="G519" s="183">
        <v>0</v>
      </c>
      <c r="H519" s="183">
        <v>16</v>
      </c>
      <c r="I519" s="183">
        <v>56</v>
      </c>
      <c r="J519" s="183">
        <v>76</v>
      </c>
      <c r="K519" s="183">
        <v>17</v>
      </c>
      <c r="L519" s="183">
        <v>12</v>
      </c>
      <c r="M519" s="183">
        <v>1165</v>
      </c>
      <c r="N519" s="183">
        <v>1138</v>
      </c>
      <c r="O519" s="183">
        <v>56</v>
      </c>
      <c r="P519" s="183">
        <v>5635</v>
      </c>
      <c r="Q519" s="183">
        <v>80</v>
      </c>
    </row>
    <row r="520" spans="1:17">
      <c r="A520" s="183" t="s">
        <v>2062</v>
      </c>
      <c r="B520" s="183" t="s">
        <v>303</v>
      </c>
      <c r="C520" s="183" t="s">
        <v>2514</v>
      </c>
      <c r="D520" s="183">
        <v>21</v>
      </c>
      <c r="E520" s="183">
        <v>18</v>
      </c>
      <c r="F520" s="183">
        <v>1370</v>
      </c>
      <c r="G520" s="183">
        <v>1</v>
      </c>
      <c r="H520" s="183">
        <v>0</v>
      </c>
      <c r="I520" s="183">
        <v>28</v>
      </c>
      <c r="J520" s="183">
        <v>76</v>
      </c>
      <c r="K520" s="183">
        <v>0</v>
      </c>
      <c r="L520" s="183">
        <v>0</v>
      </c>
      <c r="M520" s="183">
        <v>0</v>
      </c>
      <c r="N520" s="183">
        <v>1734</v>
      </c>
      <c r="O520" s="183">
        <v>18</v>
      </c>
      <c r="P520" s="183">
        <v>3105</v>
      </c>
      <c r="Q520" s="183">
        <v>173</v>
      </c>
    </row>
    <row r="521" spans="1:17">
      <c r="A521" s="183" t="s">
        <v>2062</v>
      </c>
      <c r="B521" s="183" t="s">
        <v>929</v>
      </c>
      <c r="C521" s="183" t="s">
        <v>2515</v>
      </c>
      <c r="D521" s="183">
        <v>456</v>
      </c>
      <c r="E521" s="183">
        <v>437</v>
      </c>
      <c r="F521" s="183">
        <v>3012</v>
      </c>
      <c r="G521" s="183">
        <v>30323</v>
      </c>
      <c r="H521" s="183">
        <v>459</v>
      </c>
      <c r="I521" s="183">
        <v>696</v>
      </c>
      <c r="J521" s="183">
        <v>76</v>
      </c>
      <c r="K521" s="183">
        <v>523</v>
      </c>
      <c r="L521" s="183">
        <v>364</v>
      </c>
      <c r="M521" s="183">
        <v>25630</v>
      </c>
      <c r="N521" s="183">
        <v>2146</v>
      </c>
      <c r="O521" s="183">
        <v>801</v>
      </c>
      <c r="P521" s="183">
        <v>61570</v>
      </c>
      <c r="Q521" s="183">
        <v>45</v>
      </c>
    </row>
    <row r="522" spans="1:17">
      <c r="A522" s="183" t="s">
        <v>2068</v>
      </c>
      <c r="B522" s="183" t="s">
        <v>1026</v>
      </c>
      <c r="C522" s="183" t="s">
        <v>2516</v>
      </c>
      <c r="D522" s="183">
        <v>8</v>
      </c>
      <c r="E522" s="183">
        <v>7</v>
      </c>
      <c r="F522" s="183">
        <v>523</v>
      </c>
      <c r="G522" s="183">
        <v>18</v>
      </c>
      <c r="H522" s="183">
        <v>714</v>
      </c>
      <c r="I522" s="183">
        <v>17</v>
      </c>
      <c r="J522" s="183">
        <v>77</v>
      </c>
      <c r="K522" s="183">
        <v>0</v>
      </c>
      <c r="L522" s="183">
        <v>0</v>
      </c>
      <c r="M522" s="183">
        <v>0</v>
      </c>
      <c r="N522" s="183">
        <v>2478</v>
      </c>
      <c r="O522" s="183">
        <v>7</v>
      </c>
      <c r="P522" s="183">
        <v>3733</v>
      </c>
      <c r="Q522" s="183">
        <v>533</v>
      </c>
    </row>
    <row r="523" spans="1:17">
      <c r="A523" s="183" t="s">
        <v>2062</v>
      </c>
      <c r="B523" s="183" t="s">
        <v>870</v>
      </c>
      <c r="C523" s="183" t="s">
        <v>869</v>
      </c>
      <c r="D523" s="183">
        <v>108</v>
      </c>
      <c r="E523" s="183">
        <v>39</v>
      </c>
      <c r="F523" s="183">
        <v>0</v>
      </c>
      <c r="G523" s="183">
        <v>3044</v>
      </c>
      <c r="H523" s="183">
        <v>1908</v>
      </c>
      <c r="I523" s="183">
        <v>138</v>
      </c>
      <c r="J523" s="183">
        <v>77</v>
      </c>
      <c r="K523" s="183">
        <v>0</v>
      </c>
      <c r="L523" s="183">
        <v>0</v>
      </c>
      <c r="M523" s="183">
        <v>0</v>
      </c>
      <c r="N523" s="183">
        <v>2104</v>
      </c>
      <c r="O523" s="183">
        <v>39</v>
      </c>
      <c r="P523" s="183">
        <v>7056</v>
      </c>
      <c r="Q523" s="183">
        <v>179</v>
      </c>
    </row>
    <row r="524" spans="1:17">
      <c r="A524" s="183" t="s">
        <v>2078</v>
      </c>
      <c r="B524" s="183" t="s">
        <v>1588</v>
      </c>
      <c r="C524" s="183" t="s">
        <v>573</v>
      </c>
      <c r="D524" s="183">
        <v>209</v>
      </c>
      <c r="E524" s="183">
        <v>126</v>
      </c>
      <c r="F524" s="183">
        <v>8123</v>
      </c>
      <c r="G524" s="183">
        <v>1585</v>
      </c>
      <c r="H524" s="183">
        <v>15604</v>
      </c>
      <c r="I524" s="183">
        <v>661</v>
      </c>
      <c r="J524" s="183">
        <v>77</v>
      </c>
      <c r="K524" s="183">
        <v>0</v>
      </c>
      <c r="L524" s="183">
        <v>0</v>
      </c>
      <c r="M524" s="183">
        <v>0</v>
      </c>
      <c r="N524" s="183">
        <v>2228</v>
      </c>
      <c r="O524" s="183">
        <v>126</v>
      </c>
      <c r="P524" s="183">
        <v>27540</v>
      </c>
      <c r="Q524" s="183">
        <v>218</v>
      </c>
    </row>
    <row r="525" spans="1:17">
      <c r="A525" s="183" t="s">
        <v>2078</v>
      </c>
      <c r="B525" s="183" t="s">
        <v>1555</v>
      </c>
      <c r="C525" s="183" t="s">
        <v>2517</v>
      </c>
      <c r="D525" s="183">
        <v>66</v>
      </c>
      <c r="E525" s="183">
        <v>42</v>
      </c>
      <c r="F525" s="183">
        <v>2504</v>
      </c>
      <c r="G525" s="183">
        <v>764</v>
      </c>
      <c r="H525" s="183">
        <v>928</v>
      </c>
      <c r="I525" s="183">
        <v>125</v>
      </c>
      <c r="J525" s="183">
        <v>77</v>
      </c>
      <c r="K525" s="183">
        <v>0</v>
      </c>
      <c r="L525" s="183">
        <v>0</v>
      </c>
      <c r="M525" s="183">
        <v>0</v>
      </c>
      <c r="N525" s="183">
        <v>0</v>
      </c>
      <c r="O525" s="183">
        <v>42</v>
      </c>
      <c r="P525" s="183">
        <v>4196</v>
      </c>
      <c r="Q525" s="183">
        <v>99</v>
      </c>
    </row>
    <row r="526" spans="1:17">
      <c r="A526" s="183" t="s">
        <v>2078</v>
      </c>
      <c r="B526" s="183" t="s">
        <v>1494</v>
      </c>
      <c r="C526" s="183" t="s">
        <v>2518</v>
      </c>
      <c r="D526" s="183">
        <v>68</v>
      </c>
      <c r="E526" s="183">
        <v>53</v>
      </c>
      <c r="F526" s="183">
        <v>4119</v>
      </c>
      <c r="G526" s="183">
        <v>18</v>
      </c>
      <c r="H526" s="183">
        <v>49</v>
      </c>
      <c r="I526" s="183">
        <v>84</v>
      </c>
      <c r="J526" s="183">
        <v>78</v>
      </c>
      <c r="K526" s="183">
        <v>0</v>
      </c>
      <c r="L526" s="183">
        <v>0</v>
      </c>
      <c r="M526" s="183">
        <v>0</v>
      </c>
      <c r="N526" s="183">
        <v>9929</v>
      </c>
      <c r="O526" s="183">
        <v>53</v>
      </c>
      <c r="P526" s="183">
        <v>14115</v>
      </c>
      <c r="Q526" s="183">
        <v>268</v>
      </c>
    </row>
    <row r="527" spans="1:17">
      <c r="A527" s="183" t="s">
        <v>2062</v>
      </c>
      <c r="B527" s="183" t="s">
        <v>354</v>
      </c>
      <c r="C527" s="183" t="s">
        <v>2519</v>
      </c>
      <c r="D527" s="183">
        <v>27</v>
      </c>
      <c r="E527" s="183">
        <v>27</v>
      </c>
      <c r="F527" s="183">
        <v>2115</v>
      </c>
      <c r="G527" s="183">
        <v>18</v>
      </c>
      <c r="H527" s="183">
        <v>36</v>
      </c>
      <c r="I527" s="183">
        <v>22</v>
      </c>
      <c r="J527" s="183">
        <v>78</v>
      </c>
      <c r="K527" s="183">
        <v>52</v>
      </c>
      <c r="L527" s="183">
        <v>54</v>
      </c>
      <c r="M527" s="183">
        <v>3351</v>
      </c>
      <c r="N527" s="183">
        <v>11570</v>
      </c>
      <c r="O527" s="183">
        <v>81</v>
      </c>
      <c r="P527" s="183">
        <v>17090</v>
      </c>
      <c r="Q527" s="183">
        <v>169</v>
      </c>
    </row>
    <row r="528" spans="1:17">
      <c r="A528" s="183" t="s">
        <v>2062</v>
      </c>
      <c r="B528" s="183" t="s">
        <v>381</v>
      </c>
      <c r="C528" s="183" t="s">
        <v>2520</v>
      </c>
      <c r="D528" s="183">
        <v>57</v>
      </c>
      <c r="E528" s="183">
        <v>58</v>
      </c>
      <c r="F528" s="183">
        <v>4584</v>
      </c>
      <c r="G528" s="183">
        <v>53</v>
      </c>
      <c r="H528" s="183">
        <v>43</v>
      </c>
      <c r="I528" s="183">
        <v>642</v>
      </c>
      <c r="J528" s="183">
        <v>79</v>
      </c>
      <c r="K528" s="183">
        <v>5</v>
      </c>
      <c r="L528" s="183">
        <v>5</v>
      </c>
      <c r="M528" s="183">
        <v>296</v>
      </c>
      <c r="N528" s="183">
        <v>2554</v>
      </c>
      <c r="O528" s="183">
        <v>64</v>
      </c>
      <c r="P528" s="183">
        <v>7530</v>
      </c>
      <c r="Q528" s="183">
        <v>113</v>
      </c>
    </row>
    <row r="529" spans="1:17">
      <c r="A529" s="183" t="s">
        <v>2062</v>
      </c>
      <c r="B529" s="183" t="s">
        <v>248</v>
      </c>
      <c r="C529" s="183" t="s">
        <v>2521</v>
      </c>
      <c r="D529" s="183">
        <v>14</v>
      </c>
      <c r="E529" s="183">
        <v>11</v>
      </c>
      <c r="F529" s="183">
        <v>893</v>
      </c>
      <c r="G529" s="183">
        <v>2</v>
      </c>
      <c r="H529" s="183">
        <v>200</v>
      </c>
      <c r="I529" s="183">
        <v>45</v>
      </c>
      <c r="J529" s="183">
        <v>79</v>
      </c>
      <c r="K529" s="183">
        <v>1</v>
      </c>
      <c r="L529" s="183">
        <v>1</v>
      </c>
      <c r="M529" s="183">
        <v>148</v>
      </c>
      <c r="N529" s="183">
        <v>400</v>
      </c>
      <c r="O529" s="183">
        <v>12</v>
      </c>
      <c r="P529" s="183">
        <v>1643</v>
      </c>
      <c r="Q529" s="183">
        <v>122</v>
      </c>
    </row>
    <row r="530" spans="1:17">
      <c r="A530" s="183" t="s">
        <v>2078</v>
      </c>
      <c r="B530" s="183" t="s">
        <v>1488</v>
      </c>
      <c r="C530" s="183" t="s">
        <v>2522</v>
      </c>
      <c r="D530" s="183">
        <v>55</v>
      </c>
      <c r="E530" s="183">
        <v>40</v>
      </c>
      <c r="F530" s="183">
        <v>3106</v>
      </c>
      <c r="G530" s="183">
        <v>26</v>
      </c>
      <c r="H530" s="183">
        <v>224</v>
      </c>
      <c r="I530" s="183">
        <v>36</v>
      </c>
      <c r="J530" s="183">
        <v>79</v>
      </c>
      <c r="K530" s="183">
        <v>0</v>
      </c>
      <c r="L530" s="183">
        <v>0</v>
      </c>
      <c r="M530" s="183">
        <v>0</v>
      </c>
      <c r="N530" s="183">
        <v>8321</v>
      </c>
      <c r="O530" s="183">
        <v>40</v>
      </c>
      <c r="P530" s="183">
        <v>11677</v>
      </c>
      <c r="Q530" s="183">
        <v>294</v>
      </c>
    </row>
    <row r="531" spans="1:17">
      <c r="A531" s="183" t="s">
        <v>2078</v>
      </c>
      <c r="B531" s="183" t="s">
        <v>1400</v>
      </c>
      <c r="C531" s="183" t="s">
        <v>2523</v>
      </c>
      <c r="D531" s="183">
        <v>27</v>
      </c>
      <c r="E531" s="183">
        <v>25</v>
      </c>
      <c r="F531" s="183">
        <v>1914</v>
      </c>
      <c r="G531" s="183">
        <v>21</v>
      </c>
      <c r="H531" s="183">
        <v>6</v>
      </c>
      <c r="I531" s="183">
        <v>82</v>
      </c>
      <c r="J531" s="183">
        <v>79</v>
      </c>
      <c r="K531" s="183">
        <v>0</v>
      </c>
      <c r="L531" s="183">
        <v>0</v>
      </c>
      <c r="M531" s="183">
        <v>0</v>
      </c>
      <c r="N531" s="183">
        <v>5540</v>
      </c>
      <c r="O531" s="183">
        <v>25</v>
      </c>
      <c r="P531" s="183">
        <v>7481</v>
      </c>
      <c r="Q531" s="183">
        <v>304</v>
      </c>
    </row>
    <row r="532" spans="1:17">
      <c r="A532" s="183" t="s">
        <v>2068</v>
      </c>
      <c r="B532" s="183" t="s">
        <v>1173</v>
      </c>
      <c r="C532" s="183" t="s">
        <v>2524</v>
      </c>
      <c r="D532" s="183">
        <v>34</v>
      </c>
      <c r="E532" s="183">
        <v>29</v>
      </c>
      <c r="F532" s="183">
        <v>1668</v>
      </c>
      <c r="G532" s="183">
        <v>632</v>
      </c>
      <c r="H532" s="183">
        <v>0</v>
      </c>
      <c r="I532" s="183">
        <v>37</v>
      </c>
      <c r="J532" s="183">
        <v>79</v>
      </c>
      <c r="K532" s="183">
        <v>0</v>
      </c>
      <c r="L532" s="183">
        <v>0</v>
      </c>
      <c r="M532" s="183">
        <v>0</v>
      </c>
      <c r="N532" s="183">
        <v>3477</v>
      </c>
      <c r="O532" s="183">
        <v>29</v>
      </c>
      <c r="P532" s="183">
        <v>5777</v>
      </c>
      <c r="Q532" s="183">
        <v>199</v>
      </c>
    </row>
    <row r="533" spans="1:17">
      <c r="A533" s="183" t="s">
        <v>2062</v>
      </c>
      <c r="B533" s="183" t="s">
        <v>892</v>
      </c>
      <c r="C533" s="183" t="s">
        <v>2525</v>
      </c>
      <c r="D533" s="183">
        <v>139</v>
      </c>
      <c r="E533" s="183">
        <v>97</v>
      </c>
      <c r="F533" s="183">
        <v>7614</v>
      </c>
      <c r="G533" s="183">
        <v>35</v>
      </c>
      <c r="H533" s="183">
        <v>1596</v>
      </c>
      <c r="I533" s="183">
        <v>261</v>
      </c>
      <c r="J533" s="183">
        <v>79</v>
      </c>
      <c r="K533" s="183">
        <v>7</v>
      </c>
      <c r="L533" s="183">
        <v>7</v>
      </c>
      <c r="M533" s="183">
        <v>685</v>
      </c>
      <c r="N533" s="183">
        <v>3630</v>
      </c>
      <c r="O533" s="183">
        <v>104</v>
      </c>
      <c r="P533" s="183">
        <v>13560</v>
      </c>
      <c r="Q533" s="183">
        <v>123</v>
      </c>
    </row>
    <row r="534" spans="1:17">
      <c r="A534" s="183" t="s">
        <v>2062</v>
      </c>
      <c r="B534" s="183" t="s">
        <v>614</v>
      </c>
      <c r="C534" s="183" t="s">
        <v>613</v>
      </c>
      <c r="D534" s="183">
        <v>28</v>
      </c>
      <c r="E534" s="183">
        <v>25</v>
      </c>
      <c r="F534" s="183">
        <v>1965</v>
      </c>
      <c r="G534" s="183">
        <v>26</v>
      </c>
      <c r="H534" s="183">
        <v>2</v>
      </c>
      <c r="I534" s="183">
        <v>14</v>
      </c>
      <c r="J534" s="183">
        <v>79</v>
      </c>
      <c r="K534" s="183">
        <v>0</v>
      </c>
      <c r="L534" s="183">
        <v>0</v>
      </c>
      <c r="M534" s="183">
        <v>0</v>
      </c>
      <c r="N534" s="183">
        <v>532</v>
      </c>
      <c r="O534" s="183">
        <v>25</v>
      </c>
      <c r="P534" s="183">
        <v>2525</v>
      </c>
      <c r="Q534" s="183">
        <v>100</v>
      </c>
    </row>
    <row r="535" spans="1:17">
      <c r="A535" s="183" t="s">
        <v>2062</v>
      </c>
      <c r="B535" s="183" t="s">
        <v>244</v>
      </c>
      <c r="C535" s="183" t="s">
        <v>2526</v>
      </c>
      <c r="D535" s="183">
        <v>119</v>
      </c>
      <c r="E535" s="183">
        <v>127</v>
      </c>
      <c r="F535" s="183">
        <v>10194</v>
      </c>
      <c r="G535" s="183">
        <v>34</v>
      </c>
      <c r="H535" s="183">
        <v>0</v>
      </c>
      <c r="I535" s="183">
        <v>515</v>
      </c>
      <c r="J535" s="183">
        <v>80</v>
      </c>
      <c r="K535" s="183">
        <v>2</v>
      </c>
      <c r="L535" s="183">
        <v>2</v>
      </c>
      <c r="M535" s="183">
        <v>297</v>
      </c>
      <c r="N535" s="183">
        <v>1405</v>
      </c>
      <c r="O535" s="183">
        <v>129</v>
      </c>
      <c r="P535" s="183">
        <v>11930</v>
      </c>
      <c r="Q535" s="183">
        <v>90</v>
      </c>
    </row>
    <row r="536" spans="1:17">
      <c r="A536" s="183" t="s">
        <v>2062</v>
      </c>
      <c r="B536" s="183" t="s">
        <v>228</v>
      </c>
      <c r="C536" s="183" t="s">
        <v>2527</v>
      </c>
      <c r="D536" s="183">
        <v>31</v>
      </c>
      <c r="E536" s="183">
        <v>30</v>
      </c>
      <c r="F536" s="183">
        <v>2435</v>
      </c>
      <c r="G536" s="183">
        <v>8</v>
      </c>
      <c r="H536" s="183">
        <v>0</v>
      </c>
      <c r="I536" s="183">
        <v>49</v>
      </c>
      <c r="J536" s="183">
        <v>80</v>
      </c>
      <c r="K536" s="183">
        <v>1</v>
      </c>
      <c r="L536" s="183">
        <v>2</v>
      </c>
      <c r="M536" s="183">
        <v>176</v>
      </c>
      <c r="N536" s="183">
        <v>2562</v>
      </c>
      <c r="O536" s="183">
        <v>32</v>
      </c>
      <c r="P536" s="183">
        <v>5181</v>
      </c>
      <c r="Q536" s="183">
        <v>156</v>
      </c>
    </row>
    <row r="537" spans="1:17">
      <c r="A537" s="183" t="s">
        <v>2078</v>
      </c>
      <c r="B537" s="183" t="s">
        <v>1563</v>
      </c>
      <c r="C537" s="183" t="s">
        <v>2528</v>
      </c>
      <c r="D537" s="183">
        <v>92</v>
      </c>
      <c r="E537" s="183">
        <v>64</v>
      </c>
      <c r="F537" s="183">
        <v>5014</v>
      </c>
      <c r="G537" s="183">
        <v>81</v>
      </c>
      <c r="H537" s="183">
        <v>8</v>
      </c>
      <c r="I537" s="183">
        <v>70</v>
      </c>
      <c r="J537" s="183">
        <v>80</v>
      </c>
      <c r="K537" s="183">
        <v>0</v>
      </c>
      <c r="L537" s="183">
        <v>0</v>
      </c>
      <c r="M537" s="183">
        <v>0</v>
      </c>
      <c r="N537" s="183">
        <v>6330</v>
      </c>
      <c r="O537" s="183">
        <v>64</v>
      </c>
      <c r="P537" s="183">
        <v>11433</v>
      </c>
      <c r="Q537" s="183">
        <v>179</v>
      </c>
    </row>
    <row r="538" spans="1:17">
      <c r="A538" s="183" t="s">
        <v>2062</v>
      </c>
      <c r="B538" s="183" t="s">
        <v>523</v>
      </c>
      <c r="C538" s="183" t="s">
        <v>2529</v>
      </c>
      <c r="D538" s="183">
        <v>26</v>
      </c>
      <c r="E538" s="183">
        <v>25</v>
      </c>
      <c r="F538" s="183">
        <v>1983</v>
      </c>
      <c r="G538" s="183">
        <v>4</v>
      </c>
      <c r="H538" s="183">
        <v>91</v>
      </c>
      <c r="I538" s="183">
        <v>42</v>
      </c>
      <c r="J538" s="183">
        <v>81</v>
      </c>
      <c r="K538" s="183">
        <v>1</v>
      </c>
      <c r="L538" s="183">
        <v>1</v>
      </c>
      <c r="M538" s="183">
        <v>255</v>
      </c>
      <c r="N538" s="183">
        <v>5604</v>
      </c>
      <c r="O538" s="183">
        <v>26</v>
      </c>
      <c r="P538" s="183">
        <v>7937</v>
      </c>
      <c r="Q538" s="183">
        <v>300</v>
      </c>
    </row>
    <row r="539" spans="1:17">
      <c r="A539" s="183" t="s">
        <v>2062</v>
      </c>
      <c r="B539" s="183" t="s">
        <v>86</v>
      </c>
      <c r="C539" s="183" t="s">
        <v>2530</v>
      </c>
      <c r="D539" s="183">
        <v>100</v>
      </c>
      <c r="E539" s="183">
        <v>97</v>
      </c>
      <c r="F539" s="183">
        <v>7819</v>
      </c>
      <c r="G539" s="183">
        <v>43</v>
      </c>
      <c r="H539" s="183">
        <v>89</v>
      </c>
      <c r="I539" s="183">
        <v>139</v>
      </c>
      <c r="J539" s="183">
        <v>81</v>
      </c>
      <c r="K539" s="183">
        <v>0</v>
      </c>
      <c r="L539" s="183">
        <v>0</v>
      </c>
      <c r="M539" s="183">
        <v>0</v>
      </c>
      <c r="N539" s="183">
        <v>18285</v>
      </c>
      <c r="O539" s="183">
        <v>97</v>
      </c>
      <c r="P539" s="183">
        <v>26236</v>
      </c>
      <c r="Q539" s="183">
        <v>271</v>
      </c>
    </row>
    <row r="540" spans="1:17">
      <c r="A540" s="183" t="s">
        <v>2062</v>
      </c>
      <c r="B540" s="183" t="s">
        <v>711</v>
      </c>
      <c r="C540" s="183" t="s">
        <v>2531</v>
      </c>
      <c r="D540" s="183">
        <v>72</v>
      </c>
      <c r="E540" s="183">
        <v>57</v>
      </c>
      <c r="F540" s="183">
        <v>4592</v>
      </c>
      <c r="G540" s="183">
        <v>9</v>
      </c>
      <c r="H540" s="183">
        <v>37</v>
      </c>
      <c r="I540" s="183">
        <v>78</v>
      </c>
      <c r="J540" s="183">
        <v>81</v>
      </c>
      <c r="K540" s="183">
        <v>1</v>
      </c>
      <c r="L540" s="183">
        <v>1</v>
      </c>
      <c r="M540" s="183">
        <v>135</v>
      </c>
      <c r="N540" s="183">
        <v>31</v>
      </c>
      <c r="O540" s="183">
        <v>58</v>
      </c>
      <c r="P540" s="183">
        <v>4804</v>
      </c>
      <c r="Q540" s="183">
        <v>81</v>
      </c>
    </row>
    <row r="541" spans="1:17">
      <c r="A541" s="183" t="s">
        <v>2068</v>
      </c>
      <c r="B541" s="183" t="s">
        <v>1252</v>
      </c>
      <c r="C541" s="183" t="s">
        <v>2532</v>
      </c>
      <c r="D541" s="183">
        <v>55</v>
      </c>
      <c r="E541" s="183">
        <v>48</v>
      </c>
      <c r="F541" s="183">
        <v>3481</v>
      </c>
      <c r="G541" s="183">
        <v>354</v>
      </c>
      <c r="H541" s="183">
        <v>403</v>
      </c>
      <c r="I541" s="183">
        <v>52</v>
      </c>
      <c r="J541" s="183">
        <v>81</v>
      </c>
      <c r="K541" s="183">
        <v>0</v>
      </c>
      <c r="L541" s="183">
        <v>0</v>
      </c>
      <c r="M541" s="183">
        <v>0</v>
      </c>
      <c r="N541" s="183">
        <v>93</v>
      </c>
      <c r="O541" s="183">
        <v>48</v>
      </c>
      <c r="P541" s="183">
        <v>4331</v>
      </c>
      <c r="Q541" s="183">
        <v>91</v>
      </c>
    </row>
    <row r="542" spans="1:17">
      <c r="A542" s="183" t="s">
        <v>2068</v>
      </c>
      <c r="B542" s="183" t="s">
        <v>1189</v>
      </c>
      <c r="C542" s="183" t="s">
        <v>2533</v>
      </c>
      <c r="D542" s="183">
        <v>48</v>
      </c>
      <c r="E542" s="183">
        <v>38</v>
      </c>
      <c r="F542" s="183">
        <v>3068</v>
      </c>
      <c r="G542" s="183">
        <v>45</v>
      </c>
      <c r="H542" s="183">
        <v>2</v>
      </c>
      <c r="I542" s="183">
        <v>68</v>
      </c>
      <c r="J542" s="183">
        <v>82</v>
      </c>
      <c r="K542" s="183">
        <v>0</v>
      </c>
      <c r="L542" s="183">
        <v>0</v>
      </c>
      <c r="M542" s="183">
        <v>0</v>
      </c>
      <c r="N542" s="183">
        <v>6360</v>
      </c>
      <c r="O542" s="183">
        <v>38</v>
      </c>
      <c r="P542" s="183">
        <v>9475</v>
      </c>
      <c r="Q542" s="183">
        <v>250</v>
      </c>
    </row>
    <row r="543" spans="1:17">
      <c r="A543" s="183" t="s">
        <v>2062</v>
      </c>
      <c r="B543" s="183" t="s">
        <v>529</v>
      </c>
      <c r="C543" s="183" t="s">
        <v>2534</v>
      </c>
      <c r="D543" s="183">
        <v>59</v>
      </c>
      <c r="E543" s="183">
        <v>62</v>
      </c>
      <c r="F543" s="183">
        <v>4968</v>
      </c>
      <c r="G543" s="183">
        <v>81</v>
      </c>
      <c r="H543" s="183">
        <v>32</v>
      </c>
      <c r="I543" s="183">
        <v>367</v>
      </c>
      <c r="J543" s="183">
        <v>82</v>
      </c>
      <c r="K543" s="183">
        <v>0</v>
      </c>
      <c r="L543" s="183">
        <v>0</v>
      </c>
      <c r="M543" s="183">
        <v>0</v>
      </c>
      <c r="N543" s="183">
        <v>772</v>
      </c>
      <c r="O543" s="183">
        <v>62</v>
      </c>
      <c r="P543" s="183">
        <v>5853</v>
      </c>
      <c r="Q543" s="183">
        <v>95</v>
      </c>
    </row>
    <row r="544" spans="1:17">
      <c r="A544" s="183" t="s">
        <v>2062</v>
      </c>
      <c r="B544" s="183" t="s">
        <v>333</v>
      </c>
      <c r="C544" s="183" t="s">
        <v>2535</v>
      </c>
      <c r="D544" s="183">
        <v>6</v>
      </c>
      <c r="E544" s="183">
        <v>5</v>
      </c>
      <c r="F544" s="183">
        <v>383</v>
      </c>
      <c r="G544" s="183">
        <v>4</v>
      </c>
      <c r="H544" s="183">
        <v>0</v>
      </c>
      <c r="I544" s="183">
        <v>5</v>
      </c>
      <c r="J544" s="183">
        <v>82</v>
      </c>
      <c r="K544" s="183">
        <v>1</v>
      </c>
      <c r="L544" s="183">
        <v>1</v>
      </c>
      <c r="M544" s="183">
        <v>76</v>
      </c>
      <c r="N544" s="183">
        <v>1396</v>
      </c>
      <c r="O544" s="183">
        <v>6</v>
      </c>
      <c r="P544" s="183">
        <v>1859</v>
      </c>
      <c r="Q544" s="183">
        <v>304</v>
      </c>
    </row>
    <row r="545" spans="1:17">
      <c r="A545" s="183" t="s">
        <v>2062</v>
      </c>
      <c r="B545" s="183" t="s">
        <v>323</v>
      </c>
      <c r="C545" s="183" t="s">
        <v>2536</v>
      </c>
      <c r="D545" s="183">
        <v>13</v>
      </c>
      <c r="E545" s="183">
        <v>12</v>
      </c>
      <c r="F545" s="183">
        <v>1004</v>
      </c>
      <c r="G545" s="183">
        <v>4</v>
      </c>
      <c r="H545" s="183">
        <v>0</v>
      </c>
      <c r="I545" s="183">
        <v>17</v>
      </c>
      <c r="J545" s="183">
        <v>82</v>
      </c>
      <c r="K545" s="183">
        <v>0</v>
      </c>
      <c r="L545" s="183">
        <v>0</v>
      </c>
      <c r="M545" s="183">
        <v>0</v>
      </c>
      <c r="N545" s="183">
        <v>1093</v>
      </c>
      <c r="O545" s="183">
        <v>12</v>
      </c>
      <c r="P545" s="183">
        <v>2101</v>
      </c>
      <c r="Q545" s="183">
        <v>171</v>
      </c>
    </row>
    <row r="546" spans="1:17">
      <c r="A546" s="183" t="s">
        <v>2062</v>
      </c>
      <c r="B546" s="183" t="s">
        <v>2537</v>
      </c>
      <c r="C546" s="183" t="s">
        <v>2538</v>
      </c>
      <c r="D546" s="183">
        <v>14</v>
      </c>
      <c r="E546" s="183">
        <v>14</v>
      </c>
      <c r="F546" s="183">
        <v>1169</v>
      </c>
      <c r="G546" s="183">
        <v>16</v>
      </c>
      <c r="H546" s="183">
        <v>1168</v>
      </c>
      <c r="I546" s="183">
        <v>14</v>
      </c>
      <c r="J546" s="183">
        <v>82</v>
      </c>
      <c r="K546" s="183">
        <v>0</v>
      </c>
      <c r="L546" s="183">
        <v>0</v>
      </c>
      <c r="M546" s="183">
        <v>0</v>
      </c>
      <c r="N546" s="183">
        <v>1011</v>
      </c>
      <c r="O546" s="183">
        <v>14</v>
      </c>
      <c r="P546" s="183">
        <v>3364</v>
      </c>
      <c r="Q546" s="183">
        <v>233</v>
      </c>
    </row>
    <row r="547" spans="1:17">
      <c r="A547" s="183" t="s">
        <v>2068</v>
      </c>
      <c r="B547" s="183" t="s">
        <v>963</v>
      </c>
      <c r="C547" s="183" t="s">
        <v>2539</v>
      </c>
      <c r="D547" s="183">
        <v>43</v>
      </c>
      <c r="E547" s="183">
        <v>39</v>
      </c>
      <c r="F547" s="183">
        <v>1950</v>
      </c>
      <c r="G547" s="183">
        <v>1263</v>
      </c>
      <c r="H547" s="183">
        <v>1478</v>
      </c>
      <c r="I547" s="183">
        <v>38</v>
      </c>
      <c r="J547" s="183">
        <v>82</v>
      </c>
      <c r="K547" s="183">
        <v>0</v>
      </c>
      <c r="L547" s="183">
        <v>0</v>
      </c>
      <c r="M547" s="183">
        <v>0</v>
      </c>
      <c r="N547" s="183">
        <v>1526</v>
      </c>
      <c r="O547" s="183">
        <v>39</v>
      </c>
      <c r="P547" s="183">
        <v>6217</v>
      </c>
      <c r="Q547" s="183">
        <v>159</v>
      </c>
    </row>
    <row r="548" spans="1:17">
      <c r="A548" s="183" t="s">
        <v>2062</v>
      </c>
      <c r="B548" s="183" t="s">
        <v>30</v>
      </c>
      <c r="C548" s="183" t="s">
        <v>2540</v>
      </c>
      <c r="D548" s="183">
        <v>270</v>
      </c>
      <c r="E548" s="183">
        <v>202</v>
      </c>
      <c r="F548" s="183">
        <v>13934</v>
      </c>
      <c r="G548" s="183">
        <v>2733</v>
      </c>
      <c r="H548" s="183">
        <v>4029</v>
      </c>
      <c r="I548" s="183">
        <v>436</v>
      </c>
      <c r="J548" s="183">
        <v>83</v>
      </c>
      <c r="K548" s="183">
        <v>77</v>
      </c>
      <c r="L548" s="183">
        <v>63</v>
      </c>
      <c r="M548" s="183">
        <v>10782</v>
      </c>
      <c r="N548" s="183">
        <v>4598</v>
      </c>
      <c r="O548" s="183">
        <v>265</v>
      </c>
      <c r="P548" s="183">
        <v>36076</v>
      </c>
      <c r="Q548" s="183">
        <v>95</v>
      </c>
    </row>
    <row r="549" spans="1:17">
      <c r="A549" s="183" t="s">
        <v>2062</v>
      </c>
      <c r="B549" s="183" t="s">
        <v>27</v>
      </c>
      <c r="C549" s="183" t="s">
        <v>2541</v>
      </c>
      <c r="D549" s="183">
        <v>1529</v>
      </c>
      <c r="E549" s="183">
        <v>1626</v>
      </c>
      <c r="F549" s="183">
        <v>133510</v>
      </c>
      <c r="G549" s="183">
        <v>1465</v>
      </c>
      <c r="H549" s="183">
        <v>972</v>
      </c>
      <c r="I549" s="183">
        <v>26765</v>
      </c>
      <c r="J549" s="183">
        <v>83</v>
      </c>
      <c r="K549" s="183">
        <v>220</v>
      </c>
      <c r="L549" s="183">
        <v>185</v>
      </c>
      <c r="M549" s="183">
        <v>14441</v>
      </c>
      <c r="N549" s="183">
        <v>100797</v>
      </c>
      <c r="O549" s="183">
        <v>1811</v>
      </c>
      <c r="P549" s="183">
        <v>251185</v>
      </c>
      <c r="Q549" s="183">
        <v>131</v>
      </c>
    </row>
    <row r="550" spans="1:17">
      <c r="A550" s="183" t="s">
        <v>2062</v>
      </c>
      <c r="B550" s="183" t="s">
        <v>139</v>
      </c>
      <c r="C550" s="183" t="s">
        <v>2542</v>
      </c>
      <c r="D550" s="183">
        <v>64</v>
      </c>
      <c r="E550" s="183">
        <v>49</v>
      </c>
      <c r="F550" s="183">
        <v>4038</v>
      </c>
      <c r="G550" s="183">
        <v>50</v>
      </c>
      <c r="H550" s="183">
        <v>4</v>
      </c>
      <c r="I550" s="183">
        <v>547</v>
      </c>
      <c r="J550" s="183">
        <v>83</v>
      </c>
      <c r="K550" s="183">
        <v>35</v>
      </c>
      <c r="L550" s="183">
        <v>23</v>
      </c>
      <c r="M550" s="183">
        <v>434</v>
      </c>
      <c r="N550" s="183">
        <v>12262</v>
      </c>
      <c r="O550" s="183">
        <v>72</v>
      </c>
      <c r="P550" s="183">
        <v>16788</v>
      </c>
      <c r="Q550" s="183">
        <v>228</v>
      </c>
    </row>
    <row r="551" spans="1:17">
      <c r="A551" s="183" t="s">
        <v>2062</v>
      </c>
      <c r="B551" s="183" t="s">
        <v>2543</v>
      </c>
      <c r="C551" s="183" t="s">
        <v>2544</v>
      </c>
      <c r="D551" s="183">
        <v>13</v>
      </c>
      <c r="E551" s="183">
        <v>10</v>
      </c>
      <c r="F551" s="183">
        <v>818</v>
      </c>
      <c r="G551" s="183">
        <v>0</v>
      </c>
      <c r="H551" s="183">
        <v>387</v>
      </c>
      <c r="I551" s="183">
        <v>12</v>
      </c>
      <c r="J551" s="183">
        <v>83</v>
      </c>
      <c r="K551" s="183">
        <v>0</v>
      </c>
      <c r="L551" s="183">
        <v>0</v>
      </c>
      <c r="M551" s="183">
        <v>0</v>
      </c>
      <c r="N551" s="183">
        <v>0</v>
      </c>
      <c r="O551" s="183">
        <v>10</v>
      </c>
      <c r="P551" s="183">
        <v>1205</v>
      </c>
      <c r="Q551" s="183">
        <v>122</v>
      </c>
    </row>
    <row r="552" spans="1:17">
      <c r="A552" s="183" t="s">
        <v>2062</v>
      </c>
      <c r="B552" s="183" t="s">
        <v>616</v>
      </c>
      <c r="C552" s="183" t="s">
        <v>615</v>
      </c>
      <c r="D552" s="183">
        <v>29</v>
      </c>
      <c r="E552" s="183">
        <v>23</v>
      </c>
      <c r="F552" s="183">
        <v>1209</v>
      </c>
      <c r="G552" s="183">
        <v>715</v>
      </c>
      <c r="H552" s="183">
        <v>0</v>
      </c>
      <c r="I552" s="183">
        <v>29</v>
      </c>
      <c r="J552" s="183">
        <v>83</v>
      </c>
      <c r="K552" s="183">
        <v>2</v>
      </c>
      <c r="L552" s="183">
        <v>1</v>
      </c>
      <c r="M552" s="183">
        <v>269</v>
      </c>
      <c r="N552" s="183">
        <v>4192</v>
      </c>
      <c r="O552" s="183">
        <v>24</v>
      </c>
      <c r="P552" s="183">
        <v>6385</v>
      </c>
      <c r="Q552" s="183">
        <v>250</v>
      </c>
    </row>
    <row r="553" spans="1:17">
      <c r="A553" s="183" t="s">
        <v>2062</v>
      </c>
      <c r="B553" s="183" t="s">
        <v>115</v>
      </c>
      <c r="C553" s="183" t="s">
        <v>2545</v>
      </c>
      <c r="D553" s="183">
        <v>62</v>
      </c>
      <c r="E553" s="183">
        <v>54</v>
      </c>
      <c r="F553" s="183">
        <v>4457</v>
      </c>
      <c r="G553" s="183">
        <v>34</v>
      </c>
      <c r="H553" s="183">
        <v>0</v>
      </c>
      <c r="I553" s="183">
        <v>45</v>
      </c>
      <c r="J553" s="183">
        <v>83</v>
      </c>
      <c r="K553" s="183">
        <v>92</v>
      </c>
      <c r="L553" s="183">
        <v>72</v>
      </c>
      <c r="M553" s="183">
        <v>22440</v>
      </c>
      <c r="N553" s="183">
        <v>14923</v>
      </c>
      <c r="O553" s="183">
        <v>126</v>
      </c>
      <c r="P553" s="183">
        <v>41854</v>
      </c>
      <c r="Q553" s="183">
        <v>155</v>
      </c>
    </row>
    <row r="554" spans="1:17">
      <c r="A554" s="183" t="s">
        <v>2062</v>
      </c>
      <c r="B554" s="183" t="s">
        <v>493</v>
      </c>
      <c r="C554" s="183" t="s">
        <v>2546</v>
      </c>
      <c r="D554" s="183">
        <v>49</v>
      </c>
      <c r="E554" s="183">
        <v>49</v>
      </c>
      <c r="F554" s="183">
        <v>4081</v>
      </c>
      <c r="G554" s="183">
        <v>25</v>
      </c>
      <c r="H554" s="183">
        <v>28</v>
      </c>
      <c r="I554" s="183">
        <v>446</v>
      </c>
      <c r="J554" s="183">
        <v>84</v>
      </c>
      <c r="K554" s="183">
        <v>0</v>
      </c>
      <c r="L554" s="183">
        <v>0</v>
      </c>
      <c r="M554" s="183">
        <v>0</v>
      </c>
      <c r="N554" s="183">
        <v>6</v>
      </c>
      <c r="O554" s="183">
        <v>49</v>
      </c>
      <c r="P554" s="183">
        <v>4140</v>
      </c>
      <c r="Q554" s="183">
        <v>84</v>
      </c>
    </row>
    <row r="555" spans="1:17">
      <c r="A555" s="183" t="s">
        <v>2078</v>
      </c>
      <c r="B555" s="183" t="s">
        <v>1542</v>
      </c>
      <c r="C555" s="183" t="s">
        <v>2547</v>
      </c>
      <c r="D555" s="183">
        <v>125</v>
      </c>
      <c r="E555" s="183">
        <v>105</v>
      </c>
      <c r="F555" s="183">
        <v>6480</v>
      </c>
      <c r="G555" s="183">
        <v>2347</v>
      </c>
      <c r="H555" s="183">
        <v>1460</v>
      </c>
      <c r="I555" s="183">
        <v>287</v>
      </c>
      <c r="J555" s="183">
        <v>84</v>
      </c>
      <c r="K555" s="183">
        <v>0</v>
      </c>
      <c r="L555" s="183">
        <v>0</v>
      </c>
      <c r="M555" s="183">
        <v>0</v>
      </c>
      <c r="N555" s="183">
        <v>6960</v>
      </c>
      <c r="O555" s="183">
        <v>105</v>
      </c>
      <c r="P555" s="183">
        <v>17247</v>
      </c>
      <c r="Q555" s="183">
        <v>164</v>
      </c>
    </row>
    <row r="556" spans="1:17">
      <c r="A556" s="183" t="s">
        <v>2062</v>
      </c>
      <c r="B556" s="183" t="s">
        <v>761</v>
      </c>
      <c r="C556" s="183" t="s">
        <v>2548</v>
      </c>
      <c r="D556" s="183">
        <v>72</v>
      </c>
      <c r="E556" s="183">
        <v>62</v>
      </c>
      <c r="F556" s="183">
        <v>5164</v>
      </c>
      <c r="G556" s="183">
        <v>17</v>
      </c>
      <c r="H556" s="183">
        <v>77</v>
      </c>
      <c r="I556" s="183">
        <v>92</v>
      </c>
      <c r="J556" s="183">
        <v>84</v>
      </c>
      <c r="K556" s="183">
        <v>0</v>
      </c>
      <c r="L556" s="183">
        <v>0</v>
      </c>
      <c r="M556" s="183">
        <v>0</v>
      </c>
      <c r="N556" s="183">
        <v>78</v>
      </c>
      <c r="O556" s="183">
        <v>62</v>
      </c>
      <c r="P556" s="183">
        <v>5336</v>
      </c>
      <c r="Q556" s="183">
        <v>86</v>
      </c>
    </row>
    <row r="557" spans="1:17">
      <c r="A557" s="183" t="s">
        <v>2062</v>
      </c>
      <c r="B557" s="183" t="s">
        <v>896</v>
      </c>
      <c r="C557" s="183" t="s">
        <v>2549</v>
      </c>
      <c r="D557" s="183">
        <v>107</v>
      </c>
      <c r="E557" s="183">
        <v>96</v>
      </c>
      <c r="F557" s="183">
        <v>8050</v>
      </c>
      <c r="G557" s="183">
        <v>80</v>
      </c>
      <c r="H557" s="183">
        <v>0</v>
      </c>
      <c r="I557" s="183">
        <v>450</v>
      </c>
      <c r="J557" s="183">
        <v>84</v>
      </c>
      <c r="K557" s="183">
        <v>0</v>
      </c>
      <c r="L557" s="183">
        <v>0</v>
      </c>
      <c r="M557" s="183">
        <v>0</v>
      </c>
      <c r="N557" s="183">
        <v>833</v>
      </c>
      <c r="O557" s="183">
        <v>96</v>
      </c>
      <c r="P557" s="183">
        <v>8963</v>
      </c>
      <c r="Q557" s="183">
        <v>93</v>
      </c>
    </row>
    <row r="558" spans="1:17">
      <c r="A558" s="183" t="s">
        <v>2068</v>
      </c>
      <c r="B558" s="183" t="s">
        <v>1257</v>
      </c>
      <c r="C558" s="183" t="s">
        <v>1256</v>
      </c>
      <c r="D558" s="183">
        <v>37</v>
      </c>
      <c r="E558" s="183">
        <v>18</v>
      </c>
      <c r="F558" s="183">
        <v>924</v>
      </c>
      <c r="G558" s="183">
        <v>615</v>
      </c>
      <c r="H558" s="183">
        <v>434</v>
      </c>
      <c r="I558" s="183">
        <v>28</v>
      </c>
      <c r="J558" s="183">
        <v>84</v>
      </c>
      <c r="K558" s="183">
        <v>0</v>
      </c>
      <c r="L558" s="183">
        <v>0</v>
      </c>
      <c r="M558" s="183">
        <v>0</v>
      </c>
      <c r="N558" s="183">
        <v>3311</v>
      </c>
      <c r="O558" s="183">
        <v>18</v>
      </c>
      <c r="P558" s="183">
        <v>5284</v>
      </c>
      <c r="Q558" s="183">
        <v>289</v>
      </c>
    </row>
    <row r="559" spans="1:17">
      <c r="A559" s="183" t="s">
        <v>2062</v>
      </c>
      <c r="B559" s="183" t="s">
        <v>590</v>
      </c>
      <c r="C559" s="183" t="s">
        <v>2550</v>
      </c>
      <c r="D559" s="183">
        <v>128</v>
      </c>
      <c r="E559" s="183">
        <v>121</v>
      </c>
      <c r="F559" s="183">
        <v>3430</v>
      </c>
      <c r="G559" s="183">
        <v>6870</v>
      </c>
      <c r="H559" s="183">
        <v>0</v>
      </c>
      <c r="I559" s="183">
        <v>472</v>
      </c>
      <c r="J559" s="183">
        <v>85</v>
      </c>
      <c r="K559" s="183">
        <v>12</v>
      </c>
      <c r="L559" s="183">
        <v>10</v>
      </c>
      <c r="M559" s="183">
        <v>1404</v>
      </c>
      <c r="N559" s="183">
        <v>189</v>
      </c>
      <c r="O559" s="183">
        <v>131</v>
      </c>
      <c r="P559" s="183">
        <v>11893</v>
      </c>
      <c r="Q559" s="183">
        <v>80</v>
      </c>
    </row>
    <row r="560" spans="1:17">
      <c r="A560" s="183" t="s">
        <v>2068</v>
      </c>
      <c r="B560" s="183" t="s">
        <v>1056</v>
      </c>
      <c r="C560" s="183" t="s">
        <v>2551</v>
      </c>
      <c r="D560" s="183">
        <v>15</v>
      </c>
      <c r="E560" s="183">
        <v>23</v>
      </c>
      <c r="F560" s="183">
        <v>1928</v>
      </c>
      <c r="G560" s="183">
        <v>1</v>
      </c>
      <c r="H560" s="183">
        <v>299</v>
      </c>
      <c r="I560" s="183">
        <v>142</v>
      </c>
      <c r="J560" s="183">
        <v>85</v>
      </c>
      <c r="K560" s="183">
        <v>0</v>
      </c>
      <c r="L560" s="183">
        <v>0</v>
      </c>
      <c r="M560" s="183">
        <v>0</v>
      </c>
      <c r="N560" s="183">
        <v>59</v>
      </c>
      <c r="O560" s="183">
        <v>23</v>
      </c>
      <c r="P560" s="183">
        <v>2287</v>
      </c>
      <c r="Q560" s="183">
        <v>101</v>
      </c>
    </row>
    <row r="561" spans="1:17">
      <c r="A561" s="183" t="s">
        <v>2062</v>
      </c>
      <c r="B561" s="183" t="s">
        <v>51</v>
      </c>
      <c r="C561" s="183" t="s">
        <v>2552</v>
      </c>
      <c r="D561" s="183">
        <v>74</v>
      </c>
      <c r="E561" s="183">
        <v>78</v>
      </c>
      <c r="F561" s="183">
        <v>6593</v>
      </c>
      <c r="G561" s="183">
        <v>13</v>
      </c>
      <c r="H561" s="183">
        <v>0</v>
      </c>
      <c r="I561" s="183">
        <v>1424</v>
      </c>
      <c r="J561" s="183">
        <v>85</v>
      </c>
      <c r="K561" s="183">
        <v>61</v>
      </c>
      <c r="L561" s="183">
        <v>50</v>
      </c>
      <c r="M561" s="183">
        <v>3251</v>
      </c>
      <c r="N561" s="183">
        <v>7</v>
      </c>
      <c r="O561" s="183">
        <v>128</v>
      </c>
      <c r="P561" s="183">
        <v>9864</v>
      </c>
      <c r="Q561" s="183">
        <v>52</v>
      </c>
    </row>
    <row r="562" spans="1:17">
      <c r="A562" s="183" t="s">
        <v>2078</v>
      </c>
      <c r="B562" s="183" t="s">
        <v>1520</v>
      </c>
      <c r="C562" s="183" t="s">
        <v>2553</v>
      </c>
      <c r="D562" s="183">
        <v>166</v>
      </c>
      <c r="E562" s="183">
        <v>156</v>
      </c>
      <c r="F562" s="183">
        <v>13450</v>
      </c>
      <c r="G562" s="183">
        <v>50</v>
      </c>
      <c r="H562" s="183">
        <v>113</v>
      </c>
      <c r="I562" s="183">
        <v>1155</v>
      </c>
      <c r="J562" s="183">
        <v>86</v>
      </c>
      <c r="K562" s="183">
        <v>0</v>
      </c>
      <c r="L562" s="183">
        <v>0</v>
      </c>
      <c r="M562" s="183">
        <v>0</v>
      </c>
      <c r="N562" s="183">
        <v>42712</v>
      </c>
      <c r="O562" s="183">
        <v>156</v>
      </c>
      <c r="P562" s="183">
        <v>56325</v>
      </c>
      <c r="Q562" s="183">
        <v>361</v>
      </c>
    </row>
    <row r="563" spans="1:17">
      <c r="A563" s="183" t="s">
        <v>2078</v>
      </c>
      <c r="B563" s="183" t="s">
        <v>1460</v>
      </c>
      <c r="C563" s="183" t="s">
        <v>2554</v>
      </c>
      <c r="D563" s="183">
        <v>51</v>
      </c>
      <c r="E563" s="183">
        <v>49</v>
      </c>
      <c r="F563" s="183">
        <v>4207</v>
      </c>
      <c r="G563" s="183">
        <v>15</v>
      </c>
      <c r="H563" s="183">
        <v>0</v>
      </c>
      <c r="I563" s="183">
        <v>57</v>
      </c>
      <c r="J563" s="183">
        <v>86</v>
      </c>
      <c r="K563" s="183">
        <v>0</v>
      </c>
      <c r="L563" s="183">
        <v>0</v>
      </c>
      <c r="M563" s="183">
        <v>0</v>
      </c>
      <c r="N563" s="183">
        <v>3441</v>
      </c>
      <c r="O563" s="183">
        <v>49</v>
      </c>
      <c r="P563" s="183">
        <v>7663</v>
      </c>
      <c r="Q563" s="183">
        <v>155</v>
      </c>
    </row>
    <row r="564" spans="1:17">
      <c r="A564" s="183" t="s">
        <v>2078</v>
      </c>
      <c r="B564" s="183" t="s">
        <v>1514</v>
      </c>
      <c r="C564" s="183" t="s">
        <v>2555</v>
      </c>
      <c r="D564" s="183">
        <v>79</v>
      </c>
      <c r="E564" s="183">
        <v>66</v>
      </c>
      <c r="F564" s="183">
        <v>5659</v>
      </c>
      <c r="G564" s="183">
        <v>22</v>
      </c>
      <c r="H564" s="183">
        <v>4</v>
      </c>
      <c r="I564" s="183">
        <v>87</v>
      </c>
      <c r="J564" s="183">
        <v>86</v>
      </c>
      <c r="K564" s="183">
        <v>0</v>
      </c>
      <c r="L564" s="183">
        <v>0</v>
      </c>
      <c r="M564" s="183">
        <v>0</v>
      </c>
      <c r="N564" s="183">
        <v>2401</v>
      </c>
      <c r="O564" s="183">
        <v>66</v>
      </c>
      <c r="P564" s="183">
        <v>8086</v>
      </c>
      <c r="Q564" s="183">
        <v>122</v>
      </c>
    </row>
    <row r="565" spans="1:17">
      <c r="A565" s="183" t="s">
        <v>2078</v>
      </c>
      <c r="B565" s="183" t="s">
        <v>1490</v>
      </c>
      <c r="C565" s="183" t="s">
        <v>2556</v>
      </c>
      <c r="D565" s="183">
        <v>46</v>
      </c>
      <c r="E565" s="183">
        <v>33</v>
      </c>
      <c r="F565" s="183">
        <v>2796</v>
      </c>
      <c r="G565" s="183">
        <v>11</v>
      </c>
      <c r="H565" s="183">
        <v>0</v>
      </c>
      <c r="I565" s="183">
        <v>27</v>
      </c>
      <c r="J565" s="183">
        <v>86</v>
      </c>
      <c r="K565" s="183">
        <v>0</v>
      </c>
      <c r="L565" s="183">
        <v>0</v>
      </c>
      <c r="M565" s="183">
        <v>0</v>
      </c>
      <c r="N565" s="183">
        <v>2168</v>
      </c>
      <c r="O565" s="183">
        <v>33</v>
      </c>
      <c r="P565" s="183">
        <v>4975</v>
      </c>
      <c r="Q565" s="183">
        <v>152</v>
      </c>
    </row>
    <row r="566" spans="1:17">
      <c r="A566" s="183" t="s">
        <v>2062</v>
      </c>
      <c r="B566" s="183" t="s">
        <v>202</v>
      </c>
      <c r="C566" s="183" t="s">
        <v>2557</v>
      </c>
      <c r="D566" s="183">
        <v>28</v>
      </c>
      <c r="E566" s="183">
        <v>23</v>
      </c>
      <c r="F566" s="183">
        <v>1237</v>
      </c>
      <c r="G566" s="183">
        <v>761</v>
      </c>
      <c r="H566" s="183">
        <v>0</v>
      </c>
      <c r="I566" s="183">
        <v>26</v>
      </c>
      <c r="J566" s="183">
        <v>86</v>
      </c>
      <c r="K566" s="183">
        <v>0</v>
      </c>
      <c r="L566" s="183">
        <v>0</v>
      </c>
      <c r="M566" s="183">
        <v>0</v>
      </c>
      <c r="N566" s="183">
        <v>6330</v>
      </c>
      <c r="O566" s="183">
        <v>23</v>
      </c>
      <c r="P566" s="183">
        <v>8328</v>
      </c>
      <c r="Q566" s="183">
        <v>358</v>
      </c>
    </row>
    <row r="567" spans="1:17">
      <c r="A567" s="183" t="s">
        <v>2062</v>
      </c>
      <c r="B567" s="183" t="s">
        <v>319</v>
      </c>
      <c r="C567" s="183" t="s">
        <v>2558</v>
      </c>
      <c r="D567" s="183">
        <v>189</v>
      </c>
      <c r="E567" s="183">
        <v>187</v>
      </c>
      <c r="F567" s="183">
        <v>16567</v>
      </c>
      <c r="G567" s="183">
        <v>123</v>
      </c>
      <c r="H567" s="183">
        <v>0</v>
      </c>
      <c r="I567" s="183">
        <v>1505</v>
      </c>
      <c r="J567" s="183">
        <v>89</v>
      </c>
      <c r="K567" s="183">
        <v>18</v>
      </c>
      <c r="L567" s="183">
        <v>16</v>
      </c>
      <c r="M567" s="183">
        <v>807</v>
      </c>
      <c r="N567" s="183">
        <v>19578</v>
      </c>
      <c r="O567" s="183">
        <v>203</v>
      </c>
      <c r="P567" s="183">
        <v>37075</v>
      </c>
      <c r="Q567" s="183">
        <v>178</v>
      </c>
    </row>
    <row r="568" spans="1:17">
      <c r="A568" s="183" t="s">
        <v>2062</v>
      </c>
      <c r="B568" s="183" t="s">
        <v>2559</v>
      </c>
      <c r="C568" s="183" t="s">
        <v>2560</v>
      </c>
      <c r="D568" s="183">
        <v>54</v>
      </c>
      <c r="E568" s="183">
        <v>54</v>
      </c>
      <c r="F568" s="183">
        <v>800</v>
      </c>
      <c r="G568" s="183">
        <v>4020</v>
      </c>
      <c r="H568" s="183">
        <v>0</v>
      </c>
      <c r="I568" s="183">
        <v>81</v>
      </c>
      <c r="J568" s="183">
        <v>89</v>
      </c>
      <c r="K568" s="183">
        <v>0</v>
      </c>
      <c r="L568" s="183">
        <v>0</v>
      </c>
      <c r="M568" s="183">
        <v>0</v>
      </c>
      <c r="N568" s="183">
        <v>989</v>
      </c>
      <c r="O568" s="183">
        <v>54</v>
      </c>
      <c r="P568" s="183">
        <v>5809</v>
      </c>
      <c r="Q568" s="183">
        <v>108</v>
      </c>
    </row>
    <row r="569" spans="1:17">
      <c r="A569" s="183" t="s">
        <v>2068</v>
      </c>
      <c r="B569" s="183" t="s">
        <v>1051</v>
      </c>
      <c r="C569" s="183" t="s">
        <v>2561</v>
      </c>
      <c r="D569" s="183">
        <v>25</v>
      </c>
      <c r="E569" s="183">
        <v>18</v>
      </c>
      <c r="F569" s="183">
        <v>1589</v>
      </c>
      <c r="G569" s="183">
        <v>0</v>
      </c>
      <c r="H569" s="183">
        <v>1908</v>
      </c>
      <c r="I569" s="183">
        <v>7</v>
      </c>
      <c r="J569" s="183">
        <v>90</v>
      </c>
      <c r="K569" s="183">
        <v>0</v>
      </c>
      <c r="L569" s="183">
        <v>0</v>
      </c>
      <c r="M569" s="183">
        <v>0</v>
      </c>
      <c r="N569" s="183">
        <v>1559</v>
      </c>
      <c r="O569" s="183">
        <v>18</v>
      </c>
      <c r="P569" s="183">
        <v>5056</v>
      </c>
      <c r="Q569" s="183">
        <v>285</v>
      </c>
    </row>
    <row r="570" spans="1:17">
      <c r="A570" s="183" t="s">
        <v>2078</v>
      </c>
      <c r="B570" s="183" t="s">
        <v>1340</v>
      </c>
      <c r="C570" s="183" t="s">
        <v>2562</v>
      </c>
      <c r="D570" s="183">
        <v>27</v>
      </c>
      <c r="E570" s="183">
        <v>26</v>
      </c>
      <c r="F570" s="183">
        <v>2402</v>
      </c>
      <c r="G570" s="183">
        <v>2</v>
      </c>
      <c r="H570" s="183">
        <v>0</v>
      </c>
      <c r="I570" s="183">
        <v>20</v>
      </c>
      <c r="J570" s="183">
        <v>91</v>
      </c>
      <c r="K570" s="183">
        <v>0</v>
      </c>
      <c r="L570" s="183">
        <v>0</v>
      </c>
      <c r="M570" s="183">
        <v>0</v>
      </c>
      <c r="N570" s="183">
        <v>158</v>
      </c>
      <c r="O570" s="183">
        <v>26</v>
      </c>
      <c r="P570" s="183">
        <v>2562</v>
      </c>
      <c r="Q570" s="183">
        <v>97</v>
      </c>
    </row>
    <row r="571" spans="1:17">
      <c r="A571" s="183" t="s">
        <v>2062</v>
      </c>
      <c r="B571" s="183" t="s">
        <v>198</v>
      </c>
      <c r="C571" s="183" t="s">
        <v>2563</v>
      </c>
      <c r="D571" s="183">
        <v>65</v>
      </c>
      <c r="E571" s="183">
        <v>62</v>
      </c>
      <c r="F571" s="183">
        <v>3789</v>
      </c>
      <c r="G571" s="183">
        <v>1869</v>
      </c>
      <c r="H571" s="183">
        <v>1723</v>
      </c>
      <c r="I571" s="183">
        <v>54</v>
      </c>
      <c r="J571" s="183">
        <v>91</v>
      </c>
      <c r="K571" s="183">
        <v>32</v>
      </c>
      <c r="L571" s="183">
        <v>32</v>
      </c>
      <c r="M571" s="183">
        <v>1899</v>
      </c>
      <c r="N571" s="183">
        <v>4334</v>
      </c>
      <c r="O571" s="183">
        <v>94</v>
      </c>
      <c r="P571" s="183">
        <v>13614</v>
      </c>
      <c r="Q571" s="183">
        <v>124</v>
      </c>
    </row>
    <row r="572" spans="1:17">
      <c r="A572" s="183" t="s">
        <v>2078</v>
      </c>
      <c r="B572" s="183" t="s">
        <v>1331</v>
      </c>
      <c r="C572" s="183" t="s">
        <v>1984</v>
      </c>
      <c r="D572" s="183">
        <v>7</v>
      </c>
      <c r="E572" s="183">
        <v>7</v>
      </c>
      <c r="F572" s="183">
        <v>391</v>
      </c>
      <c r="G572" s="183">
        <v>218</v>
      </c>
      <c r="H572" s="183">
        <v>964</v>
      </c>
      <c r="I572" s="183">
        <v>6</v>
      </c>
      <c r="J572" s="183">
        <v>91</v>
      </c>
      <c r="K572" s="183">
        <v>0</v>
      </c>
      <c r="L572" s="183">
        <v>0</v>
      </c>
      <c r="M572" s="183">
        <v>0</v>
      </c>
      <c r="N572" s="183">
        <v>0</v>
      </c>
      <c r="O572" s="183">
        <v>7</v>
      </c>
      <c r="P572" s="183">
        <v>1573</v>
      </c>
      <c r="Q572" s="183">
        <v>234</v>
      </c>
    </row>
    <row r="573" spans="1:17">
      <c r="A573" s="183" t="s">
        <v>2062</v>
      </c>
      <c r="B573" s="183" t="s">
        <v>345</v>
      </c>
      <c r="C573" s="183" t="s">
        <v>2564</v>
      </c>
      <c r="D573" s="183">
        <v>24</v>
      </c>
      <c r="E573" s="183">
        <v>24</v>
      </c>
      <c r="F573" s="183">
        <v>2157</v>
      </c>
      <c r="G573" s="183">
        <v>3</v>
      </c>
      <c r="H573" s="183">
        <v>0</v>
      </c>
      <c r="I573" s="183">
        <v>27</v>
      </c>
      <c r="J573" s="183">
        <v>92</v>
      </c>
      <c r="K573" s="183">
        <v>0</v>
      </c>
      <c r="L573" s="183">
        <v>0</v>
      </c>
      <c r="M573" s="183">
        <v>58</v>
      </c>
      <c r="N573" s="183">
        <v>2055</v>
      </c>
      <c r="O573" s="183">
        <v>24</v>
      </c>
      <c r="P573" s="183">
        <v>4273</v>
      </c>
      <c r="Q573" s="183">
        <v>179</v>
      </c>
    </row>
    <row r="574" spans="1:17">
      <c r="A574" s="183" t="s">
        <v>2078</v>
      </c>
      <c r="B574" s="183" t="s">
        <v>1480</v>
      </c>
      <c r="C574" s="183" t="s">
        <v>2565</v>
      </c>
      <c r="D574" s="183">
        <v>60</v>
      </c>
      <c r="E574" s="183">
        <v>51</v>
      </c>
      <c r="F574" s="183">
        <v>4713</v>
      </c>
      <c r="G574" s="183">
        <v>1</v>
      </c>
      <c r="H574" s="183">
        <v>1</v>
      </c>
      <c r="I574" s="183">
        <v>109</v>
      </c>
      <c r="J574" s="183">
        <v>92</v>
      </c>
      <c r="K574" s="183">
        <v>0</v>
      </c>
      <c r="L574" s="183">
        <v>0</v>
      </c>
      <c r="M574" s="183">
        <v>0</v>
      </c>
      <c r="N574" s="183">
        <v>6472</v>
      </c>
      <c r="O574" s="183">
        <v>51</v>
      </c>
      <c r="P574" s="183">
        <v>11187</v>
      </c>
      <c r="Q574" s="183">
        <v>219</v>
      </c>
    </row>
    <row r="575" spans="1:17">
      <c r="A575" s="183" t="s">
        <v>2062</v>
      </c>
      <c r="B575" s="183" t="s">
        <v>846</v>
      </c>
      <c r="C575" s="183" t="s">
        <v>2566</v>
      </c>
      <c r="D575" s="183">
        <v>142</v>
      </c>
      <c r="E575" s="183">
        <v>110</v>
      </c>
      <c r="F575" s="183">
        <v>10059</v>
      </c>
      <c r="G575" s="183">
        <v>26</v>
      </c>
      <c r="H575" s="183">
        <v>1137</v>
      </c>
      <c r="I575" s="183">
        <v>123</v>
      </c>
      <c r="J575" s="183">
        <v>92</v>
      </c>
      <c r="K575" s="183">
        <v>12</v>
      </c>
      <c r="L575" s="183">
        <v>10</v>
      </c>
      <c r="M575" s="183">
        <v>1150</v>
      </c>
      <c r="N575" s="183">
        <v>23854</v>
      </c>
      <c r="O575" s="183">
        <v>120</v>
      </c>
      <c r="P575" s="183">
        <v>36226</v>
      </c>
      <c r="Q575" s="183">
        <v>293</v>
      </c>
    </row>
    <row r="576" spans="1:17">
      <c r="A576" s="183" t="s">
        <v>2078</v>
      </c>
      <c r="B576" s="183" t="s">
        <v>1329</v>
      </c>
      <c r="C576" s="183" t="s">
        <v>1328</v>
      </c>
      <c r="D576" s="183">
        <v>17</v>
      </c>
      <c r="E576" s="183">
        <v>16</v>
      </c>
      <c r="F576" s="183">
        <v>653</v>
      </c>
      <c r="G576" s="183">
        <v>813</v>
      </c>
      <c r="H576" s="183">
        <v>191</v>
      </c>
      <c r="I576" s="183">
        <v>6</v>
      </c>
      <c r="J576" s="183">
        <v>92</v>
      </c>
      <c r="K576" s="183">
        <v>0</v>
      </c>
      <c r="L576" s="183">
        <v>0</v>
      </c>
      <c r="M576" s="183">
        <v>0</v>
      </c>
      <c r="N576" s="183">
        <v>7445</v>
      </c>
      <c r="O576" s="183">
        <v>16</v>
      </c>
      <c r="P576" s="183">
        <v>9102</v>
      </c>
      <c r="Q576" s="183">
        <v>574</v>
      </c>
    </row>
    <row r="577" spans="1:17">
      <c r="A577" s="183" t="s">
        <v>2068</v>
      </c>
      <c r="B577" s="183" t="s">
        <v>1059</v>
      </c>
      <c r="C577" s="183" t="s">
        <v>1993</v>
      </c>
      <c r="D577" s="183">
        <v>10</v>
      </c>
      <c r="E577" s="183">
        <v>11</v>
      </c>
      <c r="F577" s="183">
        <v>1013</v>
      </c>
      <c r="G577" s="183">
        <v>26</v>
      </c>
      <c r="H577" s="183">
        <v>36</v>
      </c>
      <c r="I577" s="183">
        <v>107</v>
      </c>
      <c r="J577" s="183">
        <v>92</v>
      </c>
      <c r="K577" s="183">
        <v>0</v>
      </c>
      <c r="L577" s="183">
        <v>0</v>
      </c>
      <c r="M577" s="183">
        <v>0</v>
      </c>
      <c r="N577" s="183">
        <v>4758</v>
      </c>
      <c r="O577" s="183">
        <v>11</v>
      </c>
      <c r="P577" s="183">
        <v>5833</v>
      </c>
      <c r="Q577" s="183">
        <v>517</v>
      </c>
    </row>
    <row r="578" spans="1:17">
      <c r="A578" s="183" t="s">
        <v>2062</v>
      </c>
      <c r="B578" s="183" t="s">
        <v>914</v>
      </c>
      <c r="C578" s="183" t="s">
        <v>2567</v>
      </c>
      <c r="D578" s="183">
        <v>191</v>
      </c>
      <c r="E578" s="183">
        <v>125</v>
      </c>
      <c r="F578" s="183">
        <v>5796</v>
      </c>
      <c r="G578" s="183">
        <v>5817</v>
      </c>
      <c r="H578" s="183">
        <v>6127</v>
      </c>
      <c r="I578" s="183">
        <v>210</v>
      </c>
      <c r="J578" s="183">
        <v>93</v>
      </c>
      <c r="K578" s="183">
        <v>4</v>
      </c>
      <c r="L578" s="183">
        <v>5</v>
      </c>
      <c r="M578" s="183">
        <v>118</v>
      </c>
      <c r="N578" s="183">
        <v>3902</v>
      </c>
      <c r="O578" s="183">
        <v>130</v>
      </c>
      <c r="P578" s="183">
        <v>21760</v>
      </c>
      <c r="Q578" s="183">
        <v>167</v>
      </c>
    </row>
    <row r="579" spans="1:17">
      <c r="A579" s="183" t="s">
        <v>2062</v>
      </c>
      <c r="B579" s="183" t="s">
        <v>771</v>
      </c>
      <c r="C579" s="183" t="s">
        <v>2568</v>
      </c>
      <c r="D579" s="183">
        <v>73</v>
      </c>
      <c r="E579" s="183">
        <v>53</v>
      </c>
      <c r="F579" s="183">
        <v>4745</v>
      </c>
      <c r="G579" s="183">
        <v>271</v>
      </c>
      <c r="H579" s="183">
        <v>90</v>
      </c>
      <c r="I579" s="183">
        <v>141</v>
      </c>
      <c r="J579" s="183">
        <v>94</v>
      </c>
      <c r="K579" s="183">
        <v>23</v>
      </c>
      <c r="L579" s="183">
        <v>19</v>
      </c>
      <c r="M579" s="183">
        <v>2835</v>
      </c>
      <c r="N579" s="183">
        <v>11812</v>
      </c>
      <c r="O579" s="183">
        <v>72</v>
      </c>
      <c r="P579" s="183">
        <v>19753</v>
      </c>
      <c r="Q579" s="183">
        <v>234</v>
      </c>
    </row>
    <row r="580" spans="1:17">
      <c r="A580" s="183" t="s">
        <v>2068</v>
      </c>
      <c r="B580" s="183" t="s">
        <v>1148</v>
      </c>
      <c r="C580" s="183" t="s">
        <v>2569</v>
      </c>
      <c r="D580" s="183">
        <v>19</v>
      </c>
      <c r="E580" s="183">
        <v>16</v>
      </c>
      <c r="F580" s="183">
        <v>1258</v>
      </c>
      <c r="G580" s="183">
        <v>286</v>
      </c>
      <c r="H580" s="183">
        <v>461</v>
      </c>
      <c r="I580" s="183">
        <v>66</v>
      </c>
      <c r="J580" s="183">
        <v>94</v>
      </c>
      <c r="K580" s="183">
        <v>0</v>
      </c>
      <c r="L580" s="183">
        <v>0</v>
      </c>
      <c r="M580" s="183">
        <v>0</v>
      </c>
      <c r="N580" s="183">
        <v>1528</v>
      </c>
      <c r="O580" s="183">
        <v>16</v>
      </c>
      <c r="P580" s="183">
        <v>3533</v>
      </c>
      <c r="Q580" s="183">
        <v>215</v>
      </c>
    </row>
    <row r="581" spans="1:17">
      <c r="A581" s="183" t="s">
        <v>2078</v>
      </c>
      <c r="B581" s="183" t="s">
        <v>1326</v>
      </c>
      <c r="C581" s="183" t="s">
        <v>2570</v>
      </c>
      <c r="D581" s="183">
        <v>122</v>
      </c>
      <c r="E581" s="183">
        <v>64</v>
      </c>
      <c r="F581" s="183">
        <v>0</v>
      </c>
      <c r="G581" s="183">
        <v>6014</v>
      </c>
      <c r="H581" s="183">
        <v>346</v>
      </c>
      <c r="I581" s="183">
        <v>106</v>
      </c>
      <c r="J581" s="183">
        <v>94</v>
      </c>
      <c r="K581" s="183">
        <v>0</v>
      </c>
      <c r="L581" s="183">
        <v>0</v>
      </c>
      <c r="M581" s="183">
        <v>0</v>
      </c>
      <c r="N581" s="183">
        <v>129</v>
      </c>
      <c r="O581" s="183">
        <v>64</v>
      </c>
      <c r="P581" s="183">
        <v>6489</v>
      </c>
      <c r="Q581" s="183">
        <v>102</v>
      </c>
    </row>
    <row r="582" spans="1:17">
      <c r="A582" s="183" t="s">
        <v>2062</v>
      </c>
      <c r="B582" s="183" t="s">
        <v>644</v>
      </c>
      <c r="C582" s="183" t="s">
        <v>2571</v>
      </c>
      <c r="D582" s="183">
        <v>12</v>
      </c>
      <c r="E582" s="183">
        <v>18</v>
      </c>
      <c r="F582" s="183">
        <v>1645</v>
      </c>
      <c r="G582" s="183">
        <v>10</v>
      </c>
      <c r="H582" s="183">
        <v>4</v>
      </c>
      <c r="I582" s="183">
        <v>6</v>
      </c>
      <c r="J582" s="183">
        <v>94</v>
      </c>
      <c r="K582" s="183">
        <v>0</v>
      </c>
      <c r="L582" s="183">
        <v>0</v>
      </c>
      <c r="M582" s="183">
        <v>0</v>
      </c>
      <c r="N582" s="183">
        <v>2104</v>
      </c>
      <c r="O582" s="183">
        <v>18</v>
      </c>
      <c r="P582" s="183">
        <v>3763</v>
      </c>
      <c r="Q582" s="183">
        <v>214</v>
      </c>
    </row>
    <row r="583" spans="1:17">
      <c r="A583" s="183" t="s">
        <v>2062</v>
      </c>
      <c r="B583" s="183" t="s">
        <v>499</v>
      </c>
      <c r="C583" s="183" t="s">
        <v>2572</v>
      </c>
      <c r="D583" s="183">
        <v>43</v>
      </c>
      <c r="E583" s="183">
        <v>41</v>
      </c>
      <c r="F583" s="183">
        <v>3918</v>
      </c>
      <c r="G583" s="183">
        <v>21</v>
      </c>
      <c r="H583" s="183">
        <v>11</v>
      </c>
      <c r="I583" s="183">
        <v>287</v>
      </c>
      <c r="J583" s="183">
        <v>95</v>
      </c>
      <c r="K583" s="183">
        <v>3</v>
      </c>
      <c r="L583" s="183">
        <v>2</v>
      </c>
      <c r="M583" s="183">
        <v>331</v>
      </c>
      <c r="N583" s="183">
        <v>3256</v>
      </c>
      <c r="O583" s="183">
        <v>44</v>
      </c>
      <c r="P583" s="183">
        <v>7537</v>
      </c>
      <c r="Q583" s="183">
        <v>164</v>
      </c>
    </row>
    <row r="584" spans="1:17">
      <c r="A584" s="183" t="s">
        <v>2068</v>
      </c>
      <c r="B584" s="183" t="s">
        <v>1267</v>
      </c>
      <c r="C584" s="183" t="s">
        <v>573</v>
      </c>
      <c r="D584" s="183">
        <v>71</v>
      </c>
      <c r="E584" s="183">
        <v>51</v>
      </c>
      <c r="F584" s="183">
        <v>4800</v>
      </c>
      <c r="G584" s="183">
        <v>51</v>
      </c>
      <c r="H584" s="183">
        <v>1</v>
      </c>
      <c r="I584" s="183">
        <v>138</v>
      </c>
      <c r="J584" s="183">
        <v>95</v>
      </c>
      <c r="K584" s="183">
        <v>0</v>
      </c>
      <c r="L584" s="183">
        <v>0</v>
      </c>
      <c r="M584" s="183">
        <v>0</v>
      </c>
      <c r="N584" s="183">
        <v>1493</v>
      </c>
      <c r="O584" s="183">
        <v>51</v>
      </c>
      <c r="P584" s="183">
        <v>6345</v>
      </c>
      <c r="Q584" s="183">
        <v>124</v>
      </c>
    </row>
    <row r="585" spans="1:17">
      <c r="A585" s="183" t="s">
        <v>2068</v>
      </c>
      <c r="B585" s="183" t="s">
        <v>1018</v>
      </c>
      <c r="C585" s="183" t="s">
        <v>2573</v>
      </c>
      <c r="D585" s="183">
        <v>16</v>
      </c>
      <c r="E585" s="183">
        <v>14</v>
      </c>
      <c r="F585" s="183">
        <v>996</v>
      </c>
      <c r="G585" s="183">
        <v>317</v>
      </c>
      <c r="H585" s="183">
        <v>288</v>
      </c>
      <c r="I585" s="183">
        <v>37</v>
      </c>
      <c r="J585" s="183">
        <v>96</v>
      </c>
      <c r="K585" s="183">
        <v>0</v>
      </c>
      <c r="L585" s="183">
        <v>0</v>
      </c>
      <c r="M585" s="183">
        <v>0</v>
      </c>
      <c r="N585" s="183">
        <v>388</v>
      </c>
      <c r="O585" s="183">
        <v>14</v>
      </c>
      <c r="P585" s="183">
        <v>1989</v>
      </c>
      <c r="Q585" s="183">
        <v>145</v>
      </c>
    </row>
    <row r="586" spans="1:17">
      <c r="A586" s="183" t="s">
        <v>2062</v>
      </c>
      <c r="B586" s="183" t="s">
        <v>763</v>
      </c>
      <c r="C586" s="183" t="s">
        <v>2574</v>
      </c>
      <c r="D586" s="183">
        <v>82</v>
      </c>
      <c r="E586" s="183">
        <v>62</v>
      </c>
      <c r="F586" s="183">
        <v>5879</v>
      </c>
      <c r="G586" s="183">
        <v>108</v>
      </c>
      <c r="H586" s="183">
        <v>2948</v>
      </c>
      <c r="I586" s="183">
        <v>93</v>
      </c>
      <c r="J586" s="183">
        <v>96</v>
      </c>
      <c r="K586" s="183">
        <v>0</v>
      </c>
      <c r="L586" s="183">
        <v>0</v>
      </c>
      <c r="M586" s="183">
        <v>0</v>
      </c>
      <c r="N586" s="183">
        <v>178</v>
      </c>
      <c r="O586" s="183">
        <v>62</v>
      </c>
      <c r="P586" s="183">
        <v>9113</v>
      </c>
      <c r="Q586" s="183">
        <v>147</v>
      </c>
    </row>
    <row r="587" spans="1:17">
      <c r="A587" s="183" t="s">
        <v>2062</v>
      </c>
      <c r="B587" s="183" t="s">
        <v>678</v>
      </c>
      <c r="C587" s="183" t="s">
        <v>2575</v>
      </c>
      <c r="D587" s="183">
        <v>66</v>
      </c>
      <c r="E587" s="183">
        <v>65</v>
      </c>
      <c r="F587" s="183">
        <v>1798</v>
      </c>
      <c r="G587" s="183">
        <v>4539</v>
      </c>
      <c r="H587" s="183">
        <v>0</v>
      </c>
      <c r="I587" s="183">
        <v>82</v>
      </c>
      <c r="J587" s="183">
        <v>97</v>
      </c>
      <c r="K587" s="183">
        <v>0</v>
      </c>
      <c r="L587" s="183">
        <v>0</v>
      </c>
      <c r="M587" s="183">
        <v>85</v>
      </c>
      <c r="N587" s="183">
        <v>1228</v>
      </c>
      <c r="O587" s="183">
        <v>66</v>
      </c>
      <c r="P587" s="183">
        <v>7650</v>
      </c>
      <c r="Q587" s="183">
        <v>115</v>
      </c>
    </row>
    <row r="588" spans="1:17">
      <c r="A588" s="183" t="s">
        <v>2068</v>
      </c>
      <c r="B588" s="183" t="s">
        <v>1022</v>
      </c>
      <c r="C588" s="183" t="s">
        <v>2576</v>
      </c>
      <c r="D588" s="183">
        <v>16</v>
      </c>
      <c r="E588" s="183">
        <v>17</v>
      </c>
      <c r="F588" s="183">
        <v>1665</v>
      </c>
      <c r="G588" s="183">
        <v>3</v>
      </c>
      <c r="H588" s="183">
        <v>123</v>
      </c>
      <c r="I588" s="183">
        <v>39</v>
      </c>
      <c r="J588" s="183">
        <v>97</v>
      </c>
      <c r="K588" s="183">
        <v>0</v>
      </c>
      <c r="L588" s="183">
        <v>0</v>
      </c>
      <c r="M588" s="183">
        <v>0</v>
      </c>
      <c r="N588" s="183">
        <v>0</v>
      </c>
      <c r="O588" s="183">
        <v>17</v>
      </c>
      <c r="P588" s="183">
        <v>1791</v>
      </c>
      <c r="Q588" s="183">
        <v>104</v>
      </c>
    </row>
    <row r="589" spans="1:17">
      <c r="A589" s="183" t="s">
        <v>2078</v>
      </c>
      <c r="B589" s="183" t="s">
        <v>1508</v>
      </c>
      <c r="C589" s="183" t="s">
        <v>2577</v>
      </c>
      <c r="D589" s="183">
        <v>44</v>
      </c>
      <c r="E589" s="183">
        <v>30</v>
      </c>
      <c r="F589" s="183">
        <v>2941</v>
      </c>
      <c r="G589" s="183">
        <v>4</v>
      </c>
      <c r="H589" s="183">
        <v>3</v>
      </c>
      <c r="I589" s="183">
        <v>30</v>
      </c>
      <c r="J589" s="183">
        <v>97</v>
      </c>
      <c r="K589" s="183">
        <v>0</v>
      </c>
      <c r="L589" s="183">
        <v>0</v>
      </c>
      <c r="M589" s="183">
        <v>0</v>
      </c>
      <c r="N589" s="183">
        <v>416</v>
      </c>
      <c r="O589" s="183">
        <v>30</v>
      </c>
      <c r="P589" s="183">
        <v>3364</v>
      </c>
      <c r="Q589" s="183">
        <v>111</v>
      </c>
    </row>
    <row r="590" spans="1:17">
      <c r="A590" s="183" t="s">
        <v>2062</v>
      </c>
      <c r="B590" s="183" t="s">
        <v>699</v>
      </c>
      <c r="C590" s="183" t="s">
        <v>1929</v>
      </c>
      <c r="D590" s="183">
        <v>17</v>
      </c>
      <c r="E590" s="183">
        <v>25</v>
      </c>
      <c r="F590" s="183">
        <v>2374</v>
      </c>
      <c r="G590" s="183">
        <v>3</v>
      </c>
      <c r="H590" s="183">
        <v>2044</v>
      </c>
      <c r="I590" s="183">
        <v>32</v>
      </c>
      <c r="J590" s="183">
        <v>97</v>
      </c>
      <c r="K590" s="183">
        <v>1</v>
      </c>
      <c r="L590" s="183">
        <v>0</v>
      </c>
      <c r="M590" s="183">
        <v>0</v>
      </c>
      <c r="N590" s="183">
        <v>28</v>
      </c>
      <c r="O590" s="183">
        <v>25</v>
      </c>
      <c r="P590" s="183">
        <v>4449</v>
      </c>
      <c r="Q590" s="183">
        <v>181</v>
      </c>
    </row>
    <row r="591" spans="1:17">
      <c r="A591" s="183" t="s">
        <v>2062</v>
      </c>
      <c r="B591" s="183" t="s">
        <v>143</v>
      </c>
      <c r="C591" s="183" t="s">
        <v>2578</v>
      </c>
      <c r="D591" s="183">
        <v>45</v>
      </c>
      <c r="E591" s="183">
        <v>44</v>
      </c>
      <c r="F591" s="183">
        <v>3067</v>
      </c>
      <c r="G591" s="183">
        <v>1283</v>
      </c>
      <c r="H591" s="183">
        <v>980</v>
      </c>
      <c r="I591" s="183">
        <v>67</v>
      </c>
      <c r="J591" s="183">
        <v>98</v>
      </c>
      <c r="K591" s="183">
        <v>0</v>
      </c>
      <c r="L591" s="183">
        <v>0</v>
      </c>
      <c r="M591" s="183">
        <v>15</v>
      </c>
      <c r="N591" s="183">
        <v>6269</v>
      </c>
      <c r="O591" s="183">
        <v>45</v>
      </c>
      <c r="P591" s="183">
        <v>11614</v>
      </c>
      <c r="Q591" s="183">
        <v>260</v>
      </c>
    </row>
    <row r="592" spans="1:17">
      <c r="A592" s="183" t="s">
        <v>2078</v>
      </c>
      <c r="B592" s="183" t="s">
        <v>1416</v>
      </c>
      <c r="C592" s="183" t="s">
        <v>2579</v>
      </c>
      <c r="D592" s="183">
        <v>41</v>
      </c>
      <c r="E592" s="183">
        <v>44</v>
      </c>
      <c r="F592" s="183">
        <v>4317</v>
      </c>
      <c r="G592" s="183">
        <v>7</v>
      </c>
      <c r="H592" s="183">
        <v>0</v>
      </c>
      <c r="I592" s="183">
        <v>76</v>
      </c>
      <c r="J592" s="183">
        <v>98</v>
      </c>
      <c r="K592" s="183">
        <v>0</v>
      </c>
      <c r="L592" s="183">
        <v>0</v>
      </c>
      <c r="M592" s="183">
        <v>0</v>
      </c>
      <c r="N592" s="183">
        <v>39</v>
      </c>
      <c r="O592" s="183">
        <v>44</v>
      </c>
      <c r="P592" s="183">
        <v>4363</v>
      </c>
      <c r="Q592" s="183">
        <v>99</v>
      </c>
    </row>
    <row r="593" spans="1:17">
      <c r="A593" s="183" t="s">
        <v>2078</v>
      </c>
      <c r="B593" s="183" t="s">
        <v>1322</v>
      </c>
      <c r="C593" s="183" t="s">
        <v>1155</v>
      </c>
      <c r="D593" s="183">
        <v>51</v>
      </c>
      <c r="E593" s="183">
        <v>58</v>
      </c>
      <c r="F593" s="183">
        <v>5508</v>
      </c>
      <c r="G593" s="183">
        <v>158</v>
      </c>
      <c r="H593" s="183">
        <v>25</v>
      </c>
      <c r="I593" s="183">
        <v>51</v>
      </c>
      <c r="J593" s="183">
        <v>98</v>
      </c>
      <c r="K593" s="183">
        <v>0</v>
      </c>
      <c r="L593" s="183">
        <v>0</v>
      </c>
      <c r="M593" s="183">
        <v>0</v>
      </c>
      <c r="N593" s="183">
        <v>1976</v>
      </c>
      <c r="O593" s="183">
        <v>58</v>
      </c>
      <c r="P593" s="183">
        <v>7667</v>
      </c>
      <c r="Q593" s="183">
        <v>133</v>
      </c>
    </row>
    <row r="594" spans="1:17">
      <c r="A594" s="183" t="s">
        <v>2062</v>
      </c>
      <c r="B594" s="183" t="s">
        <v>559</v>
      </c>
      <c r="C594" s="183" t="s">
        <v>2580</v>
      </c>
      <c r="D594" s="183">
        <v>46</v>
      </c>
      <c r="E594" s="183">
        <v>46</v>
      </c>
      <c r="F594" s="183">
        <v>4462</v>
      </c>
      <c r="G594" s="183">
        <v>18</v>
      </c>
      <c r="H594" s="183">
        <v>1</v>
      </c>
      <c r="I594" s="183">
        <v>72</v>
      </c>
      <c r="J594" s="183">
        <v>98</v>
      </c>
      <c r="K594" s="183">
        <v>0</v>
      </c>
      <c r="L594" s="183">
        <v>0</v>
      </c>
      <c r="M594" s="183">
        <v>0</v>
      </c>
      <c r="N594" s="183">
        <v>1070</v>
      </c>
      <c r="O594" s="183">
        <v>46</v>
      </c>
      <c r="P594" s="183">
        <v>5551</v>
      </c>
      <c r="Q594" s="183">
        <v>122</v>
      </c>
    </row>
    <row r="595" spans="1:17">
      <c r="A595" s="183" t="s">
        <v>2062</v>
      </c>
      <c r="B595" s="183" t="s">
        <v>369</v>
      </c>
      <c r="C595" s="183" t="s">
        <v>368</v>
      </c>
      <c r="D595" s="183">
        <v>7</v>
      </c>
      <c r="E595" s="183">
        <v>25</v>
      </c>
      <c r="F595" s="183">
        <v>2414</v>
      </c>
      <c r="G595" s="183">
        <v>46</v>
      </c>
      <c r="H595" s="183">
        <v>0</v>
      </c>
      <c r="I595" s="183">
        <v>26</v>
      </c>
      <c r="J595" s="183">
        <v>98</v>
      </c>
      <c r="K595" s="183">
        <v>0</v>
      </c>
      <c r="L595" s="183">
        <v>1</v>
      </c>
      <c r="M595" s="183">
        <v>0</v>
      </c>
      <c r="N595" s="183">
        <v>0</v>
      </c>
      <c r="O595" s="183">
        <v>26</v>
      </c>
      <c r="P595" s="183">
        <v>2460</v>
      </c>
      <c r="Q595" s="183">
        <v>95</v>
      </c>
    </row>
    <row r="596" spans="1:17">
      <c r="A596" s="183" t="s">
        <v>2078</v>
      </c>
      <c r="B596" s="183" t="s">
        <v>1506</v>
      </c>
      <c r="C596" s="183" t="s">
        <v>2581</v>
      </c>
      <c r="D596" s="183">
        <v>46</v>
      </c>
      <c r="E596" s="183">
        <v>34</v>
      </c>
      <c r="F596" s="183">
        <v>2540</v>
      </c>
      <c r="G596" s="183">
        <v>826</v>
      </c>
      <c r="H596" s="183">
        <v>532</v>
      </c>
      <c r="I596" s="183">
        <v>71</v>
      </c>
      <c r="J596" s="183">
        <v>99</v>
      </c>
      <c r="K596" s="183">
        <v>0</v>
      </c>
      <c r="L596" s="183">
        <v>0</v>
      </c>
      <c r="M596" s="183">
        <v>0</v>
      </c>
      <c r="N596" s="183">
        <v>1931</v>
      </c>
      <c r="O596" s="183">
        <v>34</v>
      </c>
      <c r="P596" s="183">
        <v>5829</v>
      </c>
      <c r="Q596" s="183">
        <v>172</v>
      </c>
    </row>
    <row r="597" spans="1:17">
      <c r="A597" s="183" t="s">
        <v>2078</v>
      </c>
      <c r="B597" s="183" t="s">
        <v>1364</v>
      </c>
      <c r="C597" s="183" t="s">
        <v>2582</v>
      </c>
      <c r="D597" s="183">
        <v>1</v>
      </c>
      <c r="E597" s="183">
        <v>1</v>
      </c>
      <c r="F597" s="183">
        <v>100</v>
      </c>
      <c r="G597" s="183">
        <v>0</v>
      </c>
      <c r="H597" s="183">
        <v>0</v>
      </c>
      <c r="I597" s="183">
        <v>0</v>
      </c>
      <c r="J597" s="183">
        <v>100</v>
      </c>
      <c r="K597" s="183">
        <v>0</v>
      </c>
      <c r="L597" s="183">
        <v>0</v>
      </c>
      <c r="M597" s="183">
        <v>0</v>
      </c>
      <c r="N597" s="183">
        <v>0</v>
      </c>
      <c r="O597" s="183">
        <v>1</v>
      </c>
      <c r="P597" s="183">
        <v>100</v>
      </c>
      <c r="Q597" s="183">
        <v>100</v>
      </c>
    </row>
    <row r="598" spans="1:17">
      <c r="A598" s="183" t="s">
        <v>2078</v>
      </c>
      <c r="B598" s="183" t="s">
        <v>1557</v>
      </c>
      <c r="C598" s="183" t="s">
        <v>2030</v>
      </c>
      <c r="D598" s="183">
        <v>60</v>
      </c>
      <c r="E598" s="183">
        <v>39</v>
      </c>
      <c r="F598" s="183">
        <v>3439</v>
      </c>
      <c r="G598" s="183">
        <v>457</v>
      </c>
      <c r="H598" s="183">
        <v>0</v>
      </c>
      <c r="I598" s="183">
        <v>188</v>
      </c>
      <c r="J598" s="183">
        <v>100</v>
      </c>
      <c r="K598" s="183">
        <v>0</v>
      </c>
      <c r="L598" s="183">
        <v>0</v>
      </c>
      <c r="M598" s="183">
        <v>0</v>
      </c>
      <c r="N598" s="183">
        <v>10173</v>
      </c>
      <c r="O598" s="183">
        <v>39</v>
      </c>
      <c r="P598" s="183">
        <v>14069</v>
      </c>
      <c r="Q598" s="183">
        <v>359</v>
      </c>
    </row>
    <row r="599" spans="1:17">
      <c r="A599" s="183" t="s">
        <v>2062</v>
      </c>
      <c r="B599" s="183" t="s">
        <v>662</v>
      </c>
      <c r="C599" s="183" t="s">
        <v>1931</v>
      </c>
      <c r="D599" s="183">
        <v>41</v>
      </c>
      <c r="E599" s="183">
        <v>39</v>
      </c>
      <c r="F599" s="183">
        <v>3986</v>
      </c>
      <c r="G599" s="183">
        <v>4</v>
      </c>
      <c r="H599" s="183">
        <v>0</v>
      </c>
      <c r="I599" s="183">
        <v>40</v>
      </c>
      <c r="J599" s="183">
        <v>101</v>
      </c>
      <c r="K599" s="183">
        <v>2</v>
      </c>
      <c r="L599" s="183">
        <v>2</v>
      </c>
      <c r="M599" s="183">
        <v>75</v>
      </c>
      <c r="N599" s="183">
        <v>7</v>
      </c>
      <c r="O599" s="183">
        <v>41</v>
      </c>
      <c r="P599" s="183">
        <v>4072</v>
      </c>
      <c r="Q599" s="183">
        <v>97</v>
      </c>
    </row>
    <row r="600" spans="1:17">
      <c r="A600" s="183" t="s">
        <v>2062</v>
      </c>
      <c r="B600" s="183" t="s">
        <v>805</v>
      </c>
      <c r="C600" s="183" t="s">
        <v>2583</v>
      </c>
      <c r="D600" s="183">
        <v>54</v>
      </c>
      <c r="E600" s="183">
        <v>54</v>
      </c>
      <c r="F600" s="183">
        <v>5475</v>
      </c>
      <c r="G600" s="183">
        <v>66</v>
      </c>
      <c r="H600" s="183">
        <v>0</v>
      </c>
      <c r="I600" s="183">
        <v>153</v>
      </c>
      <c r="J600" s="183">
        <v>103</v>
      </c>
      <c r="K600" s="183">
        <v>1</v>
      </c>
      <c r="L600" s="183">
        <v>1</v>
      </c>
      <c r="M600" s="183">
        <v>43</v>
      </c>
      <c r="N600" s="183">
        <v>6574</v>
      </c>
      <c r="O600" s="183">
        <v>54</v>
      </c>
      <c r="P600" s="183">
        <v>12158</v>
      </c>
      <c r="Q600" s="183">
        <v>223</v>
      </c>
    </row>
    <row r="601" spans="1:17">
      <c r="A601" s="183" t="s">
        <v>2062</v>
      </c>
      <c r="B601" s="183" t="s">
        <v>433</v>
      </c>
      <c r="C601" s="183" t="s">
        <v>2584</v>
      </c>
      <c r="D601" s="183">
        <v>51</v>
      </c>
      <c r="E601" s="183">
        <v>41</v>
      </c>
      <c r="F601" s="183">
        <v>4175</v>
      </c>
      <c r="G601" s="183">
        <v>102</v>
      </c>
      <c r="H601" s="183">
        <v>0</v>
      </c>
      <c r="I601" s="183">
        <v>139</v>
      </c>
      <c r="J601" s="183">
        <v>103</v>
      </c>
      <c r="K601" s="183">
        <v>0</v>
      </c>
      <c r="L601" s="183">
        <v>0</v>
      </c>
      <c r="M601" s="183">
        <v>0</v>
      </c>
      <c r="N601" s="183">
        <v>255</v>
      </c>
      <c r="O601" s="183">
        <v>41</v>
      </c>
      <c r="P601" s="183">
        <v>4532</v>
      </c>
      <c r="Q601" s="183">
        <v>109</v>
      </c>
    </row>
    <row r="602" spans="1:17">
      <c r="A602" s="183" t="s">
        <v>2062</v>
      </c>
      <c r="B602" s="183" t="s">
        <v>161</v>
      </c>
      <c r="C602" s="183" t="s">
        <v>2585</v>
      </c>
      <c r="D602" s="183">
        <v>75</v>
      </c>
      <c r="E602" s="183">
        <v>81</v>
      </c>
      <c r="F602" s="183">
        <v>4369</v>
      </c>
      <c r="G602" s="183">
        <v>3980</v>
      </c>
      <c r="H602" s="183">
        <v>0</v>
      </c>
      <c r="I602" s="183">
        <v>125</v>
      </c>
      <c r="J602" s="183">
        <v>103</v>
      </c>
      <c r="K602" s="183">
        <v>1</v>
      </c>
      <c r="L602" s="183">
        <v>1</v>
      </c>
      <c r="M602" s="183">
        <v>36</v>
      </c>
      <c r="N602" s="183">
        <v>3916</v>
      </c>
      <c r="O602" s="183">
        <v>82</v>
      </c>
      <c r="P602" s="183">
        <v>12301</v>
      </c>
      <c r="Q602" s="183">
        <v>150</v>
      </c>
    </row>
    <row r="603" spans="1:17">
      <c r="A603" s="183" t="s">
        <v>2062</v>
      </c>
      <c r="B603" s="183" t="s">
        <v>145</v>
      </c>
      <c r="C603" s="183" t="s">
        <v>2586</v>
      </c>
      <c r="D603" s="183">
        <v>11</v>
      </c>
      <c r="E603" s="183">
        <v>16</v>
      </c>
      <c r="F603" s="183">
        <v>1265</v>
      </c>
      <c r="G603" s="183">
        <v>385</v>
      </c>
      <c r="H603" s="183">
        <v>214</v>
      </c>
      <c r="I603" s="183">
        <v>22</v>
      </c>
      <c r="J603" s="183">
        <v>103</v>
      </c>
      <c r="K603" s="183">
        <v>0</v>
      </c>
      <c r="L603" s="183">
        <v>0</v>
      </c>
      <c r="M603" s="183">
        <v>0</v>
      </c>
      <c r="N603" s="183">
        <v>864</v>
      </c>
      <c r="O603" s="183">
        <v>16</v>
      </c>
      <c r="P603" s="183">
        <v>2728</v>
      </c>
      <c r="Q603" s="183">
        <v>171</v>
      </c>
    </row>
    <row r="604" spans="1:17">
      <c r="A604" s="183" t="s">
        <v>2062</v>
      </c>
      <c r="B604" s="183" t="s">
        <v>537</v>
      </c>
      <c r="C604" s="183" t="s">
        <v>2015</v>
      </c>
      <c r="D604" s="183">
        <v>10</v>
      </c>
      <c r="E604" s="183">
        <v>20</v>
      </c>
      <c r="F604" s="183">
        <v>1807</v>
      </c>
      <c r="G604" s="183">
        <v>203</v>
      </c>
      <c r="H604" s="183">
        <v>0</v>
      </c>
      <c r="I604" s="183">
        <v>221</v>
      </c>
      <c r="J604" s="183">
        <v>103</v>
      </c>
      <c r="K604" s="183">
        <v>0</v>
      </c>
      <c r="L604" s="183">
        <v>0</v>
      </c>
      <c r="M604" s="183">
        <v>0</v>
      </c>
      <c r="N604" s="183">
        <v>5101</v>
      </c>
      <c r="O604" s="183">
        <v>20</v>
      </c>
      <c r="P604" s="183">
        <v>7111</v>
      </c>
      <c r="Q604" s="183">
        <v>363</v>
      </c>
    </row>
    <row r="605" spans="1:17">
      <c r="A605" s="183" t="s">
        <v>2062</v>
      </c>
      <c r="B605" s="183" t="s">
        <v>481</v>
      </c>
      <c r="C605" s="183" t="s">
        <v>2587</v>
      </c>
      <c r="D605" s="183">
        <v>16</v>
      </c>
      <c r="E605" s="183">
        <v>15</v>
      </c>
      <c r="F605" s="183">
        <v>861</v>
      </c>
      <c r="G605" s="183">
        <v>721</v>
      </c>
      <c r="H605" s="183">
        <v>0</v>
      </c>
      <c r="I605" s="183">
        <v>45</v>
      </c>
      <c r="J605" s="183">
        <v>104</v>
      </c>
      <c r="K605" s="183">
        <v>0</v>
      </c>
      <c r="L605" s="183">
        <v>0</v>
      </c>
      <c r="M605" s="183">
        <v>0</v>
      </c>
      <c r="N605" s="183">
        <v>998</v>
      </c>
      <c r="O605" s="183">
        <v>15</v>
      </c>
      <c r="P605" s="183">
        <v>2580</v>
      </c>
      <c r="Q605" s="183">
        <v>170</v>
      </c>
    </row>
    <row r="606" spans="1:17">
      <c r="A606" s="183" t="s">
        <v>2062</v>
      </c>
      <c r="B606" s="183" t="s">
        <v>147</v>
      </c>
      <c r="C606" s="183" t="s">
        <v>2588</v>
      </c>
      <c r="D606" s="183">
        <v>17</v>
      </c>
      <c r="E606" s="183">
        <v>17</v>
      </c>
      <c r="F606" s="183">
        <v>1796</v>
      </c>
      <c r="G606" s="183">
        <v>0</v>
      </c>
      <c r="H606" s="183">
        <v>0</v>
      </c>
      <c r="I606" s="183">
        <v>37</v>
      </c>
      <c r="J606" s="183">
        <v>104</v>
      </c>
      <c r="K606" s="183">
        <v>1</v>
      </c>
      <c r="L606" s="183">
        <v>1</v>
      </c>
      <c r="M606" s="183">
        <v>45</v>
      </c>
      <c r="N606" s="183">
        <v>4177</v>
      </c>
      <c r="O606" s="183">
        <v>18</v>
      </c>
      <c r="P606" s="183">
        <v>6018</v>
      </c>
      <c r="Q606" s="183">
        <v>332</v>
      </c>
    </row>
    <row r="607" spans="1:17">
      <c r="A607" s="183" t="s">
        <v>2062</v>
      </c>
      <c r="B607" s="183" t="s">
        <v>375</v>
      </c>
      <c r="C607" s="183" t="s">
        <v>2357</v>
      </c>
      <c r="D607" s="183">
        <v>10</v>
      </c>
      <c r="E607" s="183">
        <v>8</v>
      </c>
      <c r="F607" s="183">
        <v>783</v>
      </c>
      <c r="G607" s="183">
        <v>10</v>
      </c>
      <c r="H607" s="183">
        <v>0</v>
      </c>
      <c r="I607" s="183">
        <v>24</v>
      </c>
      <c r="J607" s="183">
        <v>105</v>
      </c>
      <c r="K607" s="183">
        <v>2</v>
      </c>
      <c r="L607" s="183">
        <v>2</v>
      </c>
      <c r="M607" s="183">
        <v>454</v>
      </c>
      <c r="N607" s="183">
        <v>3893</v>
      </c>
      <c r="O607" s="183">
        <v>10</v>
      </c>
      <c r="P607" s="183">
        <v>5140</v>
      </c>
      <c r="Q607" s="183">
        <v>469</v>
      </c>
    </row>
    <row r="608" spans="1:17">
      <c r="A608" s="183" t="s">
        <v>2062</v>
      </c>
      <c r="B608" s="183" t="s">
        <v>721</v>
      </c>
      <c r="C608" s="183" t="s">
        <v>2589</v>
      </c>
      <c r="D608" s="183">
        <v>24</v>
      </c>
      <c r="E608" s="183">
        <v>17</v>
      </c>
      <c r="F608" s="183">
        <v>1759</v>
      </c>
      <c r="G608" s="183">
        <v>4</v>
      </c>
      <c r="H608" s="183">
        <v>0</v>
      </c>
      <c r="I608" s="183">
        <v>29</v>
      </c>
      <c r="J608" s="183">
        <v>105</v>
      </c>
      <c r="K608" s="183">
        <v>4</v>
      </c>
      <c r="L608" s="183">
        <v>6</v>
      </c>
      <c r="M608" s="183">
        <v>176</v>
      </c>
      <c r="N608" s="183">
        <v>26</v>
      </c>
      <c r="O608" s="183">
        <v>23</v>
      </c>
      <c r="P608" s="183">
        <v>1965</v>
      </c>
      <c r="Q608" s="183">
        <v>79</v>
      </c>
    </row>
    <row r="609" spans="1:17">
      <c r="A609" s="183" t="s">
        <v>2062</v>
      </c>
      <c r="B609" s="183" t="s">
        <v>501</v>
      </c>
      <c r="C609" s="183" t="s">
        <v>2590</v>
      </c>
      <c r="D609" s="183">
        <v>9</v>
      </c>
      <c r="E609" s="183">
        <v>22</v>
      </c>
      <c r="F609" s="183">
        <v>2235</v>
      </c>
      <c r="G609" s="183">
        <v>34</v>
      </c>
      <c r="H609" s="183">
        <v>0</v>
      </c>
      <c r="I609" s="183">
        <v>16</v>
      </c>
      <c r="J609" s="183">
        <v>105</v>
      </c>
      <c r="K609" s="183">
        <v>2</v>
      </c>
      <c r="L609" s="183">
        <v>6</v>
      </c>
      <c r="M609" s="183">
        <v>1593</v>
      </c>
      <c r="N609" s="183">
        <v>528</v>
      </c>
      <c r="O609" s="183">
        <v>28</v>
      </c>
      <c r="P609" s="183">
        <v>4390</v>
      </c>
      <c r="Q609" s="183">
        <v>100</v>
      </c>
    </row>
    <row r="610" spans="1:17">
      <c r="A610" s="183" t="s">
        <v>2062</v>
      </c>
      <c r="B610" s="183" t="s">
        <v>439</v>
      </c>
      <c r="C610" s="183" t="s">
        <v>2591</v>
      </c>
      <c r="D610" s="183">
        <v>40</v>
      </c>
      <c r="E610" s="183">
        <v>36</v>
      </c>
      <c r="F610" s="183">
        <v>3574</v>
      </c>
      <c r="G610" s="183">
        <v>262</v>
      </c>
      <c r="H610" s="183">
        <v>3</v>
      </c>
      <c r="I610" s="183">
        <v>90</v>
      </c>
      <c r="J610" s="183">
        <v>107</v>
      </c>
      <c r="K610" s="183">
        <v>0</v>
      </c>
      <c r="L610" s="183">
        <v>0</v>
      </c>
      <c r="M610" s="183">
        <v>74</v>
      </c>
      <c r="N610" s="183">
        <v>4884</v>
      </c>
      <c r="O610" s="183">
        <v>36</v>
      </c>
      <c r="P610" s="183">
        <v>8797</v>
      </c>
      <c r="Q610" s="183">
        <v>241</v>
      </c>
    </row>
    <row r="611" spans="1:17">
      <c r="A611" s="183" t="s">
        <v>2068</v>
      </c>
      <c r="B611" s="183" t="s">
        <v>990</v>
      </c>
      <c r="C611" s="183" t="s">
        <v>2196</v>
      </c>
      <c r="D611" s="183">
        <v>208</v>
      </c>
      <c r="E611" s="183">
        <v>210</v>
      </c>
      <c r="F611" s="183">
        <v>18398</v>
      </c>
      <c r="G611" s="183">
        <v>4282</v>
      </c>
      <c r="H611" s="183">
        <v>0</v>
      </c>
      <c r="I611" s="183">
        <v>1146</v>
      </c>
      <c r="J611" s="183">
        <v>108</v>
      </c>
      <c r="K611" s="183">
        <v>0</v>
      </c>
      <c r="L611" s="183">
        <v>0</v>
      </c>
      <c r="M611" s="183">
        <v>0</v>
      </c>
      <c r="N611" s="183">
        <v>14828</v>
      </c>
      <c r="O611" s="183">
        <v>210</v>
      </c>
      <c r="P611" s="183">
        <v>37508</v>
      </c>
      <c r="Q611" s="183">
        <v>179</v>
      </c>
    </row>
    <row r="612" spans="1:17">
      <c r="A612" s="183" t="s">
        <v>2062</v>
      </c>
      <c r="B612" s="183" t="s">
        <v>40</v>
      </c>
      <c r="C612" s="183" t="s">
        <v>2592</v>
      </c>
      <c r="D612" s="183">
        <v>152</v>
      </c>
      <c r="E612" s="183">
        <v>168</v>
      </c>
      <c r="F612" s="183">
        <v>18077</v>
      </c>
      <c r="G612" s="183">
        <v>63</v>
      </c>
      <c r="H612" s="183">
        <v>1809</v>
      </c>
      <c r="I612" s="183">
        <v>268</v>
      </c>
      <c r="J612" s="183">
        <v>108</v>
      </c>
      <c r="K612" s="183">
        <v>128</v>
      </c>
      <c r="L612" s="183">
        <v>96</v>
      </c>
      <c r="M612" s="183">
        <v>6562</v>
      </c>
      <c r="N612" s="183">
        <v>21773</v>
      </c>
      <c r="O612" s="183">
        <v>264</v>
      </c>
      <c r="P612" s="183">
        <v>48284</v>
      </c>
      <c r="Q612" s="183">
        <v>158</v>
      </c>
    </row>
    <row r="613" spans="1:17">
      <c r="A613" s="183" t="s">
        <v>2062</v>
      </c>
      <c r="B613" s="183" t="s">
        <v>733</v>
      </c>
      <c r="C613" s="183" t="s">
        <v>1956</v>
      </c>
      <c r="D613" s="183">
        <v>22</v>
      </c>
      <c r="E613" s="183">
        <v>17</v>
      </c>
      <c r="F613" s="183">
        <v>1482</v>
      </c>
      <c r="G613" s="183">
        <v>309</v>
      </c>
      <c r="H613" s="183">
        <v>1300</v>
      </c>
      <c r="I613" s="183">
        <v>25</v>
      </c>
      <c r="J613" s="183">
        <v>108</v>
      </c>
      <c r="K613" s="183">
        <v>0</v>
      </c>
      <c r="L613" s="183">
        <v>0</v>
      </c>
      <c r="M613" s="183">
        <v>295</v>
      </c>
      <c r="N613" s="183">
        <v>276</v>
      </c>
      <c r="O613" s="183">
        <v>17</v>
      </c>
      <c r="P613" s="183">
        <v>3662</v>
      </c>
      <c r="Q613" s="183">
        <v>201</v>
      </c>
    </row>
    <row r="614" spans="1:17">
      <c r="A614" s="183" t="s">
        <v>2078</v>
      </c>
      <c r="B614" s="183" t="s">
        <v>1319</v>
      </c>
      <c r="C614" s="183" t="s">
        <v>1318</v>
      </c>
      <c r="D614" s="183">
        <v>17</v>
      </c>
      <c r="E614" s="183">
        <v>15</v>
      </c>
      <c r="F614" s="183">
        <v>1331</v>
      </c>
      <c r="G614" s="183">
        <v>344</v>
      </c>
      <c r="H614" s="183">
        <v>1087</v>
      </c>
      <c r="I614" s="183">
        <v>23</v>
      </c>
      <c r="J614" s="183">
        <v>109</v>
      </c>
      <c r="K614" s="183">
        <v>0</v>
      </c>
      <c r="L614" s="183">
        <v>0</v>
      </c>
      <c r="M614" s="183">
        <v>0</v>
      </c>
      <c r="N614" s="183">
        <v>418</v>
      </c>
      <c r="O614" s="183">
        <v>15</v>
      </c>
      <c r="P614" s="183">
        <v>3180</v>
      </c>
      <c r="Q614" s="183">
        <v>206</v>
      </c>
    </row>
    <row r="615" spans="1:17">
      <c r="A615" s="183" t="s">
        <v>2062</v>
      </c>
      <c r="B615" s="183" t="s">
        <v>477</v>
      </c>
      <c r="C615" s="183" t="s">
        <v>2593</v>
      </c>
      <c r="D615" s="183">
        <v>37</v>
      </c>
      <c r="E615" s="183">
        <v>37</v>
      </c>
      <c r="F615" s="183">
        <v>504</v>
      </c>
      <c r="G615" s="183">
        <v>3578</v>
      </c>
      <c r="H615" s="183">
        <v>145</v>
      </c>
      <c r="I615" s="183">
        <v>37</v>
      </c>
      <c r="J615" s="183">
        <v>111</v>
      </c>
      <c r="K615" s="183">
        <v>28</v>
      </c>
      <c r="L615" s="183">
        <v>33</v>
      </c>
      <c r="M615" s="183">
        <v>361</v>
      </c>
      <c r="N615" s="183">
        <v>1271</v>
      </c>
      <c r="O615" s="183">
        <v>70</v>
      </c>
      <c r="P615" s="183">
        <v>5859</v>
      </c>
      <c r="Q615" s="183">
        <v>78</v>
      </c>
    </row>
    <row r="616" spans="1:17">
      <c r="A616" s="183" t="s">
        <v>2062</v>
      </c>
      <c r="B616" s="183" t="s">
        <v>779</v>
      </c>
      <c r="C616" s="183" t="s">
        <v>2594</v>
      </c>
      <c r="D616" s="183">
        <v>86</v>
      </c>
      <c r="E616" s="183">
        <v>47</v>
      </c>
      <c r="F616" s="183">
        <v>5280</v>
      </c>
      <c r="G616" s="183">
        <v>19</v>
      </c>
      <c r="H616" s="183">
        <v>0</v>
      </c>
      <c r="I616" s="183">
        <v>3699</v>
      </c>
      <c r="J616" s="183">
        <v>112</v>
      </c>
      <c r="K616" s="183">
        <v>10</v>
      </c>
      <c r="L616" s="183">
        <v>10</v>
      </c>
      <c r="M616" s="183">
        <v>460</v>
      </c>
      <c r="N616" s="183">
        <v>15592</v>
      </c>
      <c r="O616" s="183">
        <v>57</v>
      </c>
      <c r="P616" s="183">
        <v>21351</v>
      </c>
      <c r="Q616" s="183">
        <v>367</v>
      </c>
    </row>
    <row r="617" spans="1:17">
      <c r="A617" s="183" t="s">
        <v>2068</v>
      </c>
      <c r="B617" s="183" t="s">
        <v>970</v>
      </c>
      <c r="C617" s="183" t="s">
        <v>2595</v>
      </c>
      <c r="D617" s="183">
        <v>72</v>
      </c>
      <c r="E617" s="183">
        <v>75</v>
      </c>
      <c r="F617" s="183">
        <v>8337</v>
      </c>
      <c r="G617" s="183">
        <v>137</v>
      </c>
      <c r="H617" s="183">
        <v>599</v>
      </c>
      <c r="I617" s="183">
        <v>119</v>
      </c>
      <c r="J617" s="183">
        <v>113</v>
      </c>
      <c r="K617" s="183">
        <v>0</v>
      </c>
      <c r="L617" s="183">
        <v>0</v>
      </c>
      <c r="M617" s="183">
        <v>0</v>
      </c>
      <c r="N617" s="183">
        <v>1469</v>
      </c>
      <c r="O617" s="183">
        <v>75</v>
      </c>
      <c r="P617" s="183">
        <v>10542</v>
      </c>
      <c r="Q617" s="183">
        <v>141</v>
      </c>
    </row>
    <row r="618" spans="1:17">
      <c r="A618" s="183" t="s">
        <v>2062</v>
      </c>
      <c r="B618" s="183" t="s">
        <v>109</v>
      </c>
      <c r="C618" s="183" t="s">
        <v>2596</v>
      </c>
      <c r="D618" s="183">
        <v>24</v>
      </c>
      <c r="E618" s="183">
        <v>24</v>
      </c>
      <c r="F618" s="183">
        <v>1750</v>
      </c>
      <c r="G618" s="183">
        <v>1014</v>
      </c>
      <c r="H618" s="183">
        <v>1120</v>
      </c>
      <c r="I618" s="183">
        <v>16</v>
      </c>
      <c r="J618" s="183">
        <v>113</v>
      </c>
      <c r="K618" s="183">
        <v>0</v>
      </c>
      <c r="L618" s="183">
        <v>0</v>
      </c>
      <c r="M618" s="183">
        <v>0</v>
      </c>
      <c r="N618" s="183">
        <v>3799</v>
      </c>
      <c r="O618" s="183">
        <v>24</v>
      </c>
      <c r="P618" s="183">
        <v>7683</v>
      </c>
      <c r="Q618" s="183">
        <v>315</v>
      </c>
    </row>
    <row r="619" spans="1:17">
      <c r="A619" s="183" t="s">
        <v>2078</v>
      </c>
      <c r="B619" s="183" t="s">
        <v>1447</v>
      </c>
      <c r="C619" s="183" t="s">
        <v>2597</v>
      </c>
      <c r="D619" s="183">
        <v>40</v>
      </c>
      <c r="E619" s="183">
        <v>27</v>
      </c>
      <c r="F619" s="183">
        <v>3089</v>
      </c>
      <c r="G619" s="183">
        <v>8</v>
      </c>
      <c r="H619" s="183">
        <v>15</v>
      </c>
      <c r="I619" s="183">
        <v>48</v>
      </c>
      <c r="J619" s="183">
        <v>114</v>
      </c>
      <c r="K619" s="183">
        <v>0</v>
      </c>
      <c r="L619" s="183">
        <v>0</v>
      </c>
      <c r="M619" s="183">
        <v>0</v>
      </c>
      <c r="N619" s="183">
        <v>7121</v>
      </c>
      <c r="O619" s="183">
        <v>27</v>
      </c>
      <c r="P619" s="183">
        <v>10233</v>
      </c>
      <c r="Q619" s="183">
        <v>375</v>
      </c>
    </row>
    <row r="620" spans="1:17">
      <c r="A620" s="183" t="s">
        <v>2062</v>
      </c>
      <c r="B620" s="183" t="s">
        <v>1665</v>
      </c>
      <c r="C620" s="183" t="s">
        <v>2598</v>
      </c>
      <c r="D620" s="183">
        <v>22</v>
      </c>
      <c r="E620" s="183">
        <v>22</v>
      </c>
      <c r="F620" s="183">
        <v>2296</v>
      </c>
      <c r="G620" s="183">
        <v>309</v>
      </c>
      <c r="H620" s="183">
        <v>307</v>
      </c>
      <c r="I620" s="183">
        <v>205</v>
      </c>
      <c r="J620" s="183">
        <v>116</v>
      </c>
      <c r="K620" s="183">
        <v>0</v>
      </c>
      <c r="L620" s="183">
        <v>0</v>
      </c>
      <c r="M620" s="183">
        <v>6</v>
      </c>
      <c r="N620" s="183">
        <v>710</v>
      </c>
      <c r="O620" s="183">
        <v>23</v>
      </c>
      <c r="P620" s="183">
        <v>3628</v>
      </c>
      <c r="Q620" s="183">
        <v>160</v>
      </c>
    </row>
    <row r="621" spans="1:17">
      <c r="A621" s="183" t="s">
        <v>2062</v>
      </c>
      <c r="B621" s="183" t="s">
        <v>172</v>
      </c>
      <c r="C621" s="183" t="s">
        <v>2599</v>
      </c>
      <c r="D621" s="183">
        <v>45</v>
      </c>
      <c r="E621" s="183">
        <v>45</v>
      </c>
      <c r="F621" s="183">
        <v>4925</v>
      </c>
      <c r="G621" s="183">
        <v>330</v>
      </c>
      <c r="H621" s="183">
        <v>2</v>
      </c>
      <c r="I621" s="183">
        <v>37</v>
      </c>
      <c r="J621" s="183">
        <v>116</v>
      </c>
      <c r="K621" s="183">
        <v>10</v>
      </c>
      <c r="L621" s="183">
        <v>10</v>
      </c>
      <c r="M621" s="183">
        <v>689</v>
      </c>
      <c r="N621" s="183">
        <v>325</v>
      </c>
      <c r="O621" s="183">
        <v>55</v>
      </c>
      <c r="P621" s="183">
        <v>6271</v>
      </c>
      <c r="Q621" s="183">
        <v>101</v>
      </c>
    </row>
    <row r="622" spans="1:17">
      <c r="A622" s="183" t="s">
        <v>2062</v>
      </c>
      <c r="B622" s="183" t="s">
        <v>419</v>
      </c>
      <c r="C622" s="183" t="s">
        <v>1992</v>
      </c>
      <c r="D622" s="183">
        <v>5</v>
      </c>
      <c r="E622" s="183">
        <v>7</v>
      </c>
      <c r="F622" s="183">
        <v>825</v>
      </c>
      <c r="G622" s="183">
        <v>0</v>
      </c>
      <c r="H622" s="183">
        <v>0</v>
      </c>
      <c r="I622" s="183">
        <v>3</v>
      </c>
      <c r="J622" s="183">
        <v>116</v>
      </c>
      <c r="K622" s="183">
        <v>0</v>
      </c>
      <c r="L622" s="183">
        <v>0</v>
      </c>
      <c r="M622" s="183">
        <v>0</v>
      </c>
      <c r="N622" s="183">
        <v>2688</v>
      </c>
      <c r="O622" s="183">
        <v>7</v>
      </c>
      <c r="P622" s="183">
        <v>3513</v>
      </c>
      <c r="Q622" s="183">
        <v>492</v>
      </c>
    </row>
    <row r="623" spans="1:17">
      <c r="A623" s="183" t="s">
        <v>2062</v>
      </c>
      <c r="B623" s="183" t="s">
        <v>329</v>
      </c>
      <c r="C623" s="183" t="s">
        <v>2600</v>
      </c>
      <c r="D623" s="183">
        <v>12</v>
      </c>
      <c r="E623" s="183">
        <v>10</v>
      </c>
      <c r="F623" s="183">
        <v>1176</v>
      </c>
      <c r="G623" s="183">
        <v>7</v>
      </c>
      <c r="H623" s="183">
        <v>14</v>
      </c>
      <c r="I623" s="183">
        <v>25</v>
      </c>
      <c r="J623" s="183">
        <v>117</v>
      </c>
      <c r="K623" s="183">
        <v>1</v>
      </c>
      <c r="L623" s="183">
        <v>1</v>
      </c>
      <c r="M623" s="183">
        <v>94</v>
      </c>
      <c r="N623" s="183">
        <v>1774</v>
      </c>
      <c r="O623" s="183">
        <v>11</v>
      </c>
      <c r="P623" s="183">
        <v>3065</v>
      </c>
      <c r="Q623" s="183">
        <v>270</v>
      </c>
    </row>
    <row r="624" spans="1:17">
      <c r="A624" s="183" t="s">
        <v>2062</v>
      </c>
      <c r="B624" s="183" t="s">
        <v>63</v>
      </c>
      <c r="C624" s="183" t="s">
        <v>2601</v>
      </c>
      <c r="D624" s="183">
        <v>82</v>
      </c>
      <c r="E624" s="183">
        <v>103</v>
      </c>
      <c r="F624" s="183">
        <v>4688</v>
      </c>
      <c r="G624" s="183">
        <v>7414</v>
      </c>
      <c r="H624" s="183">
        <v>126</v>
      </c>
      <c r="I624" s="183">
        <v>237</v>
      </c>
      <c r="J624" s="183">
        <v>117</v>
      </c>
      <c r="K624" s="183">
        <v>27</v>
      </c>
      <c r="L624" s="183">
        <v>25</v>
      </c>
      <c r="M624" s="183">
        <v>889</v>
      </c>
      <c r="N624" s="183">
        <v>7183</v>
      </c>
      <c r="O624" s="183">
        <v>128</v>
      </c>
      <c r="P624" s="183">
        <v>20300</v>
      </c>
      <c r="Q624" s="183">
        <v>151</v>
      </c>
    </row>
    <row r="625" spans="1:17">
      <c r="A625" s="183" t="s">
        <v>2068</v>
      </c>
      <c r="B625" s="183" t="s">
        <v>1285</v>
      </c>
      <c r="C625" s="183" t="s">
        <v>2602</v>
      </c>
      <c r="D625" s="183">
        <v>71</v>
      </c>
      <c r="E625" s="183">
        <v>46</v>
      </c>
      <c r="F625" s="183">
        <v>5421</v>
      </c>
      <c r="G625" s="183">
        <v>2</v>
      </c>
      <c r="H625" s="183">
        <v>158</v>
      </c>
      <c r="I625" s="183">
        <v>71</v>
      </c>
      <c r="J625" s="183">
        <v>117</v>
      </c>
      <c r="K625" s="183">
        <v>0</v>
      </c>
      <c r="L625" s="183">
        <v>0</v>
      </c>
      <c r="M625" s="183">
        <v>0</v>
      </c>
      <c r="N625" s="183">
        <v>19547</v>
      </c>
      <c r="O625" s="183">
        <v>46</v>
      </c>
      <c r="P625" s="183">
        <v>25128</v>
      </c>
      <c r="Q625" s="183">
        <v>543</v>
      </c>
    </row>
    <row r="626" spans="1:17">
      <c r="A626" s="183" t="s">
        <v>2062</v>
      </c>
      <c r="B626" s="183" t="s">
        <v>495</v>
      </c>
      <c r="C626" s="183" t="s">
        <v>1983</v>
      </c>
      <c r="D626" s="183">
        <v>7</v>
      </c>
      <c r="E626" s="183">
        <v>6</v>
      </c>
      <c r="F626" s="183">
        <v>736</v>
      </c>
      <c r="G626" s="183">
        <v>0</v>
      </c>
      <c r="H626" s="183">
        <v>21</v>
      </c>
      <c r="I626" s="183">
        <v>9</v>
      </c>
      <c r="J626" s="183">
        <v>117</v>
      </c>
      <c r="K626" s="183">
        <v>0</v>
      </c>
      <c r="L626" s="183">
        <v>0</v>
      </c>
      <c r="M626" s="183">
        <v>0</v>
      </c>
      <c r="N626" s="183">
        <v>2389</v>
      </c>
      <c r="O626" s="183">
        <v>6</v>
      </c>
      <c r="P626" s="183">
        <v>3146</v>
      </c>
      <c r="Q626" s="183">
        <v>501</v>
      </c>
    </row>
    <row r="627" spans="1:17">
      <c r="A627" s="183" t="s">
        <v>2068</v>
      </c>
      <c r="B627" s="183" t="s">
        <v>953</v>
      </c>
      <c r="C627" s="183" t="s">
        <v>2027</v>
      </c>
      <c r="D627" s="183">
        <v>42</v>
      </c>
      <c r="E627" s="183">
        <v>40</v>
      </c>
      <c r="F627" s="183">
        <v>4434</v>
      </c>
      <c r="G627" s="183">
        <v>334</v>
      </c>
      <c r="H627" s="183">
        <v>126</v>
      </c>
      <c r="I627" s="183">
        <v>80</v>
      </c>
      <c r="J627" s="183">
        <v>118</v>
      </c>
      <c r="K627" s="183">
        <v>0</v>
      </c>
      <c r="L627" s="183">
        <v>0</v>
      </c>
      <c r="M627" s="183">
        <v>0</v>
      </c>
      <c r="N627" s="183">
        <v>2990</v>
      </c>
      <c r="O627" s="183">
        <v>40</v>
      </c>
      <c r="P627" s="183">
        <v>7884</v>
      </c>
      <c r="Q627" s="183">
        <v>195</v>
      </c>
    </row>
    <row r="628" spans="1:17">
      <c r="A628" s="183" t="s">
        <v>2062</v>
      </c>
      <c r="B628" s="183" t="s">
        <v>283</v>
      </c>
      <c r="C628" s="183" t="s">
        <v>2603</v>
      </c>
      <c r="D628" s="183">
        <v>11</v>
      </c>
      <c r="E628" s="183">
        <v>12</v>
      </c>
      <c r="F628" s="183">
        <v>1441</v>
      </c>
      <c r="G628" s="183">
        <v>1</v>
      </c>
      <c r="H628" s="183">
        <v>68</v>
      </c>
      <c r="I628" s="183">
        <v>63</v>
      </c>
      <c r="J628" s="183">
        <v>119</v>
      </c>
      <c r="K628" s="183">
        <v>0</v>
      </c>
      <c r="L628" s="183">
        <v>0</v>
      </c>
      <c r="M628" s="183">
        <v>13</v>
      </c>
      <c r="N628" s="183">
        <v>1457</v>
      </c>
      <c r="O628" s="183">
        <v>12</v>
      </c>
      <c r="P628" s="183">
        <v>2980</v>
      </c>
      <c r="Q628" s="183">
        <v>242</v>
      </c>
    </row>
    <row r="629" spans="1:17">
      <c r="A629" s="183" t="s">
        <v>2062</v>
      </c>
      <c r="B629" s="183" t="s">
        <v>497</v>
      </c>
      <c r="C629" s="183" t="s">
        <v>2604</v>
      </c>
      <c r="D629" s="183">
        <v>19</v>
      </c>
      <c r="E629" s="183">
        <v>17</v>
      </c>
      <c r="F629" s="183">
        <v>2037</v>
      </c>
      <c r="G629" s="183">
        <v>9</v>
      </c>
      <c r="H629" s="183">
        <v>1</v>
      </c>
      <c r="I629" s="183">
        <v>30</v>
      </c>
      <c r="J629" s="183">
        <v>119</v>
      </c>
      <c r="K629" s="183">
        <v>0</v>
      </c>
      <c r="L629" s="183">
        <v>0</v>
      </c>
      <c r="M629" s="183">
        <v>48</v>
      </c>
      <c r="N629" s="183">
        <v>1870</v>
      </c>
      <c r="O629" s="183">
        <v>17</v>
      </c>
      <c r="P629" s="183">
        <v>3965</v>
      </c>
      <c r="Q629" s="183">
        <v>228</v>
      </c>
    </row>
    <row r="630" spans="1:17">
      <c r="A630" s="183" t="s">
        <v>2062</v>
      </c>
      <c r="B630" s="183" t="s">
        <v>339</v>
      </c>
      <c r="C630" s="183" t="s">
        <v>2605</v>
      </c>
      <c r="D630" s="183">
        <v>23</v>
      </c>
      <c r="E630" s="183">
        <v>22</v>
      </c>
      <c r="F630" s="183">
        <v>2614</v>
      </c>
      <c r="G630" s="183">
        <v>21</v>
      </c>
      <c r="H630" s="183">
        <v>0</v>
      </c>
      <c r="I630" s="183">
        <v>42</v>
      </c>
      <c r="J630" s="183">
        <v>119</v>
      </c>
      <c r="K630" s="183">
        <v>0</v>
      </c>
      <c r="L630" s="183">
        <v>0</v>
      </c>
      <c r="M630" s="183">
        <v>78</v>
      </c>
      <c r="N630" s="183">
        <v>608</v>
      </c>
      <c r="O630" s="183">
        <v>22</v>
      </c>
      <c r="P630" s="183">
        <v>3321</v>
      </c>
      <c r="Q630" s="183">
        <v>146</v>
      </c>
    </row>
    <row r="631" spans="1:17">
      <c r="A631" s="183" t="s">
        <v>2062</v>
      </c>
      <c r="B631" s="183" t="s">
        <v>77</v>
      </c>
      <c r="C631" s="183" t="s">
        <v>2606</v>
      </c>
      <c r="D631" s="183">
        <v>34</v>
      </c>
      <c r="E631" s="183">
        <v>40</v>
      </c>
      <c r="F631" s="183">
        <v>2005</v>
      </c>
      <c r="G631" s="183">
        <v>2762</v>
      </c>
      <c r="H631" s="183">
        <v>0</v>
      </c>
      <c r="I631" s="183">
        <v>59</v>
      </c>
      <c r="J631" s="183">
        <v>119</v>
      </c>
      <c r="K631" s="183">
        <v>17</v>
      </c>
      <c r="L631" s="183">
        <v>27</v>
      </c>
      <c r="M631" s="183">
        <v>3263</v>
      </c>
      <c r="N631" s="183">
        <v>276</v>
      </c>
      <c r="O631" s="183">
        <v>67</v>
      </c>
      <c r="P631" s="183">
        <v>8306</v>
      </c>
      <c r="Q631" s="183">
        <v>76</v>
      </c>
    </row>
    <row r="632" spans="1:17">
      <c r="A632" s="183" t="s">
        <v>2062</v>
      </c>
      <c r="B632" s="183" t="s">
        <v>125</v>
      </c>
      <c r="C632" s="183" t="s">
        <v>2607</v>
      </c>
      <c r="D632" s="183">
        <v>24</v>
      </c>
      <c r="E632" s="183">
        <v>26</v>
      </c>
      <c r="F632" s="183">
        <v>3130</v>
      </c>
      <c r="G632" s="183">
        <v>18</v>
      </c>
      <c r="H632" s="183">
        <v>55</v>
      </c>
      <c r="I632" s="183">
        <v>411</v>
      </c>
      <c r="J632" s="183">
        <v>119</v>
      </c>
      <c r="K632" s="183">
        <v>1</v>
      </c>
      <c r="L632" s="183">
        <v>1</v>
      </c>
      <c r="M632" s="183">
        <v>165</v>
      </c>
      <c r="N632" s="183">
        <v>2240</v>
      </c>
      <c r="O632" s="183">
        <v>28</v>
      </c>
      <c r="P632" s="183">
        <v>5608</v>
      </c>
      <c r="Q632" s="183">
        <v>197</v>
      </c>
    </row>
    <row r="633" spans="1:17">
      <c r="A633" s="183" t="s">
        <v>2078</v>
      </c>
      <c r="B633" s="183" t="s">
        <v>1427</v>
      </c>
      <c r="C633" s="183" t="s">
        <v>2608</v>
      </c>
      <c r="D633" s="183">
        <v>27</v>
      </c>
      <c r="E633" s="183">
        <v>21</v>
      </c>
      <c r="F633" s="183">
        <v>2484</v>
      </c>
      <c r="G633" s="183">
        <v>7</v>
      </c>
      <c r="H633" s="183">
        <v>0</v>
      </c>
      <c r="I633" s="183">
        <v>62</v>
      </c>
      <c r="J633" s="183">
        <v>120</v>
      </c>
      <c r="K633" s="183">
        <v>0</v>
      </c>
      <c r="L633" s="183">
        <v>0</v>
      </c>
      <c r="M633" s="183">
        <v>0</v>
      </c>
      <c r="N633" s="183">
        <v>4031</v>
      </c>
      <c r="O633" s="183">
        <v>21</v>
      </c>
      <c r="P633" s="183">
        <v>6522</v>
      </c>
      <c r="Q633" s="183">
        <v>315</v>
      </c>
    </row>
    <row r="634" spans="1:17">
      <c r="A634" s="183" t="s">
        <v>2062</v>
      </c>
      <c r="B634" s="183" t="s">
        <v>487</v>
      </c>
      <c r="C634" s="183" t="s">
        <v>2609</v>
      </c>
      <c r="D634" s="183">
        <v>32</v>
      </c>
      <c r="E634" s="183">
        <v>27</v>
      </c>
      <c r="F634" s="183">
        <v>1019</v>
      </c>
      <c r="G634" s="183">
        <v>2326</v>
      </c>
      <c r="H634" s="183">
        <v>0</v>
      </c>
      <c r="I634" s="183">
        <v>42</v>
      </c>
      <c r="J634" s="183">
        <v>122</v>
      </c>
      <c r="K634" s="183">
        <v>0</v>
      </c>
      <c r="L634" s="183">
        <v>0</v>
      </c>
      <c r="M634" s="183">
        <v>0</v>
      </c>
      <c r="N634" s="183">
        <v>3158</v>
      </c>
      <c r="O634" s="183">
        <v>27</v>
      </c>
      <c r="P634" s="183">
        <v>6503</v>
      </c>
      <c r="Q634" s="183">
        <v>237</v>
      </c>
    </row>
    <row r="635" spans="1:17">
      <c r="A635" s="183" t="s">
        <v>2062</v>
      </c>
      <c r="B635" s="183" t="s">
        <v>204</v>
      </c>
      <c r="C635" s="183" t="s">
        <v>2610</v>
      </c>
      <c r="D635" s="183">
        <v>77</v>
      </c>
      <c r="E635" s="183">
        <v>62</v>
      </c>
      <c r="F635" s="183">
        <v>4114</v>
      </c>
      <c r="G635" s="183">
        <v>3517</v>
      </c>
      <c r="H635" s="183">
        <v>47</v>
      </c>
      <c r="I635" s="183">
        <v>1755</v>
      </c>
      <c r="J635" s="183">
        <v>123</v>
      </c>
      <c r="K635" s="183">
        <v>10</v>
      </c>
      <c r="L635" s="183">
        <v>11</v>
      </c>
      <c r="M635" s="183">
        <v>398</v>
      </c>
      <c r="N635" s="183">
        <v>3049</v>
      </c>
      <c r="O635" s="183">
        <v>73</v>
      </c>
      <c r="P635" s="183">
        <v>11125</v>
      </c>
      <c r="Q635" s="183">
        <v>146</v>
      </c>
    </row>
    <row r="636" spans="1:17">
      <c r="A636" s="183" t="s">
        <v>2062</v>
      </c>
      <c r="B636" s="183" t="s">
        <v>83</v>
      </c>
      <c r="C636" s="183" t="s">
        <v>82</v>
      </c>
      <c r="D636" s="183">
        <v>17</v>
      </c>
      <c r="E636" s="183">
        <v>19</v>
      </c>
      <c r="F636" s="183">
        <v>2077</v>
      </c>
      <c r="G636" s="183">
        <v>210</v>
      </c>
      <c r="H636" s="183">
        <v>2607</v>
      </c>
      <c r="I636" s="183">
        <v>32</v>
      </c>
      <c r="J636" s="183">
        <v>123</v>
      </c>
      <c r="K636" s="183">
        <v>0</v>
      </c>
      <c r="L636" s="183">
        <v>0</v>
      </c>
      <c r="M636" s="183">
        <v>0</v>
      </c>
      <c r="N636" s="183">
        <v>3450</v>
      </c>
      <c r="O636" s="183">
        <v>19</v>
      </c>
      <c r="P636" s="183">
        <v>8344</v>
      </c>
      <c r="Q636" s="183">
        <v>449</v>
      </c>
    </row>
    <row r="637" spans="1:17">
      <c r="A637" s="183" t="s">
        <v>2062</v>
      </c>
      <c r="B637" s="183" t="s">
        <v>252</v>
      </c>
      <c r="C637" s="183" t="s">
        <v>2611</v>
      </c>
      <c r="D637" s="183">
        <v>81</v>
      </c>
      <c r="E637" s="183">
        <v>71</v>
      </c>
      <c r="F637" s="183">
        <v>0</v>
      </c>
      <c r="G637" s="183">
        <v>9017</v>
      </c>
      <c r="H637" s="183">
        <v>337</v>
      </c>
      <c r="I637" s="183">
        <v>101</v>
      </c>
      <c r="J637" s="183">
        <v>126</v>
      </c>
      <c r="K637" s="183">
        <v>1</v>
      </c>
      <c r="L637" s="183">
        <v>1</v>
      </c>
      <c r="M637" s="183">
        <v>100</v>
      </c>
      <c r="N637" s="183">
        <v>417</v>
      </c>
      <c r="O637" s="183">
        <v>73</v>
      </c>
      <c r="P637" s="183">
        <v>9871</v>
      </c>
      <c r="Q637" s="183">
        <v>134</v>
      </c>
    </row>
    <row r="638" spans="1:17">
      <c r="A638" s="183" t="s">
        <v>2062</v>
      </c>
      <c r="B638" s="183" t="s">
        <v>658</v>
      </c>
      <c r="C638" s="183" t="s">
        <v>2612</v>
      </c>
      <c r="D638" s="183">
        <v>106</v>
      </c>
      <c r="E638" s="183">
        <v>99</v>
      </c>
      <c r="F638" s="183">
        <v>196</v>
      </c>
      <c r="G638" s="183">
        <v>12306</v>
      </c>
      <c r="H638" s="183">
        <v>86</v>
      </c>
      <c r="I638" s="183">
        <v>165</v>
      </c>
      <c r="J638" s="183">
        <v>126</v>
      </c>
      <c r="K638" s="183">
        <v>30</v>
      </c>
      <c r="L638" s="183">
        <v>29</v>
      </c>
      <c r="M638" s="183">
        <v>1647</v>
      </c>
      <c r="N638" s="183">
        <v>9839</v>
      </c>
      <c r="O638" s="183">
        <v>128</v>
      </c>
      <c r="P638" s="183">
        <v>24074</v>
      </c>
      <c r="Q638" s="183">
        <v>175</v>
      </c>
    </row>
    <row r="639" spans="1:17">
      <c r="A639" s="183" t="s">
        <v>2062</v>
      </c>
      <c r="B639" s="183" t="s">
        <v>174</v>
      </c>
      <c r="C639" s="183" t="s">
        <v>2613</v>
      </c>
      <c r="D639" s="183">
        <v>39</v>
      </c>
      <c r="E639" s="183">
        <v>33</v>
      </c>
      <c r="F639" s="183">
        <v>3102</v>
      </c>
      <c r="G639" s="183">
        <v>1114</v>
      </c>
      <c r="H639" s="183">
        <v>1752</v>
      </c>
      <c r="I639" s="183">
        <v>400</v>
      </c>
      <c r="J639" s="183">
        <v>127</v>
      </c>
      <c r="K639" s="183">
        <v>13</v>
      </c>
      <c r="L639" s="183">
        <v>10</v>
      </c>
      <c r="M639" s="183">
        <v>1116</v>
      </c>
      <c r="N639" s="183">
        <v>1334</v>
      </c>
      <c r="O639" s="183">
        <v>43</v>
      </c>
      <c r="P639" s="183">
        <v>8418</v>
      </c>
      <c r="Q639" s="183">
        <v>168</v>
      </c>
    </row>
    <row r="640" spans="1:17">
      <c r="A640" s="183" t="s">
        <v>2062</v>
      </c>
      <c r="B640" s="183" t="s">
        <v>137</v>
      </c>
      <c r="C640" s="183" t="s">
        <v>2614</v>
      </c>
      <c r="D640" s="183">
        <v>13</v>
      </c>
      <c r="E640" s="183">
        <v>18</v>
      </c>
      <c r="F640" s="183">
        <v>623</v>
      </c>
      <c r="G640" s="183">
        <v>1729</v>
      </c>
      <c r="H640" s="183">
        <v>1610</v>
      </c>
      <c r="I640" s="183">
        <v>20</v>
      </c>
      <c r="J640" s="183">
        <v>129</v>
      </c>
      <c r="K640" s="183">
        <v>5</v>
      </c>
      <c r="L640" s="183">
        <v>4</v>
      </c>
      <c r="M640" s="183">
        <v>638</v>
      </c>
      <c r="N640" s="183">
        <v>2627</v>
      </c>
      <c r="O640" s="183">
        <v>22</v>
      </c>
      <c r="P640" s="183">
        <v>7227</v>
      </c>
      <c r="Q640" s="183">
        <v>300</v>
      </c>
    </row>
    <row r="641" spans="1:17">
      <c r="A641" s="183" t="s">
        <v>2062</v>
      </c>
      <c r="B641" s="183" t="s">
        <v>163</v>
      </c>
      <c r="C641" s="183" t="s">
        <v>2615</v>
      </c>
      <c r="D641" s="183">
        <v>20</v>
      </c>
      <c r="E641" s="183">
        <v>21</v>
      </c>
      <c r="F641" s="183">
        <v>2697</v>
      </c>
      <c r="G641" s="183">
        <v>2</v>
      </c>
      <c r="H641" s="183">
        <v>0</v>
      </c>
      <c r="I641" s="183">
        <v>125</v>
      </c>
      <c r="J641" s="183">
        <v>130</v>
      </c>
      <c r="K641" s="183">
        <v>8</v>
      </c>
      <c r="L641" s="183">
        <v>7</v>
      </c>
      <c r="M641" s="183">
        <v>1363</v>
      </c>
      <c r="N641" s="183">
        <v>4994</v>
      </c>
      <c r="O641" s="183">
        <v>28</v>
      </c>
      <c r="P641" s="183">
        <v>9056</v>
      </c>
      <c r="Q641" s="183">
        <v>278</v>
      </c>
    </row>
    <row r="642" spans="1:17">
      <c r="A642" s="183" t="s">
        <v>2062</v>
      </c>
      <c r="B642" s="183" t="s">
        <v>437</v>
      </c>
      <c r="C642" s="183" t="s">
        <v>2616</v>
      </c>
      <c r="D642" s="183">
        <v>21</v>
      </c>
      <c r="E642" s="183">
        <v>23</v>
      </c>
      <c r="F642" s="183">
        <v>2975</v>
      </c>
      <c r="G642" s="183">
        <v>0</v>
      </c>
      <c r="H642" s="183">
        <v>64</v>
      </c>
      <c r="I642" s="183">
        <v>37</v>
      </c>
      <c r="J642" s="183">
        <v>130</v>
      </c>
      <c r="K642" s="183">
        <v>0</v>
      </c>
      <c r="L642" s="183">
        <v>0</v>
      </c>
      <c r="M642" s="183">
        <v>0</v>
      </c>
      <c r="N642" s="183">
        <v>62</v>
      </c>
      <c r="O642" s="183">
        <v>23</v>
      </c>
      <c r="P642" s="183">
        <v>3101</v>
      </c>
      <c r="Q642" s="183">
        <v>136</v>
      </c>
    </row>
    <row r="643" spans="1:17">
      <c r="A643" s="183" t="s">
        <v>2078</v>
      </c>
      <c r="B643" s="183" t="s">
        <v>1502</v>
      </c>
      <c r="C643" s="183" t="s">
        <v>2617</v>
      </c>
      <c r="D643" s="183">
        <v>45</v>
      </c>
      <c r="E643" s="183">
        <v>38</v>
      </c>
      <c r="F643" s="183">
        <v>4992</v>
      </c>
      <c r="G643" s="183">
        <v>4</v>
      </c>
      <c r="H643" s="183">
        <v>194</v>
      </c>
      <c r="I643" s="183">
        <v>153</v>
      </c>
      <c r="J643" s="183">
        <v>130</v>
      </c>
      <c r="K643" s="183">
        <v>0</v>
      </c>
      <c r="L643" s="183">
        <v>0</v>
      </c>
      <c r="M643" s="183">
        <v>0</v>
      </c>
      <c r="N643" s="183">
        <v>0</v>
      </c>
      <c r="O643" s="183">
        <v>38</v>
      </c>
      <c r="P643" s="183">
        <v>5190</v>
      </c>
      <c r="Q643" s="183">
        <v>136</v>
      </c>
    </row>
    <row r="644" spans="1:17">
      <c r="A644" s="183" t="s">
        <v>2078</v>
      </c>
      <c r="B644" s="183" t="s">
        <v>1376</v>
      </c>
      <c r="C644" s="183" t="s">
        <v>2036</v>
      </c>
      <c r="D644" s="183">
        <v>15</v>
      </c>
      <c r="E644" s="183">
        <v>12</v>
      </c>
      <c r="F644" s="183">
        <v>1604</v>
      </c>
      <c r="G644" s="183">
        <v>4</v>
      </c>
      <c r="H644" s="183">
        <v>0</v>
      </c>
      <c r="I644" s="183">
        <v>51</v>
      </c>
      <c r="J644" s="183">
        <v>131</v>
      </c>
      <c r="K644" s="183">
        <v>0</v>
      </c>
      <c r="L644" s="183">
        <v>0</v>
      </c>
      <c r="M644" s="183">
        <v>0</v>
      </c>
      <c r="N644" s="183">
        <v>2661</v>
      </c>
      <c r="O644" s="183">
        <v>12</v>
      </c>
      <c r="P644" s="183">
        <v>4269</v>
      </c>
      <c r="Q644" s="183">
        <v>347</v>
      </c>
    </row>
    <row r="645" spans="1:17">
      <c r="A645" s="183" t="s">
        <v>2068</v>
      </c>
      <c r="B645" s="183" t="s">
        <v>1233</v>
      </c>
      <c r="C645" s="183" t="s">
        <v>2618</v>
      </c>
      <c r="D645" s="183">
        <v>40</v>
      </c>
      <c r="E645" s="183">
        <v>26</v>
      </c>
      <c r="F645" s="183">
        <v>3462</v>
      </c>
      <c r="G645" s="183">
        <v>0</v>
      </c>
      <c r="H645" s="183">
        <v>38</v>
      </c>
      <c r="I645" s="183">
        <v>30</v>
      </c>
      <c r="J645" s="183">
        <v>132</v>
      </c>
      <c r="K645" s="183">
        <v>0</v>
      </c>
      <c r="L645" s="183">
        <v>0</v>
      </c>
      <c r="M645" s="183">
        <v>0</v>
      </c>
      <c r="N645" s="183">
        <v>2923</v>
      </c>
      <c r="O645" s="183">
        <v>26</v>
      </c>
      <c r="P645" s="183">
        <v>6423</v>
      </c>
      <c r="Q645" s="183">
        <v>244</v>
      </c>
    </row>
    <row r="646" spans="1:17">
      <c r="A646" s="183" t="s">
        <v>2062</v>
      </c>
      <c r="B646" s="183" t="s">
        <v>717</v>
      </c>
      <c r="C646" s="183" t="s">
        <v>2619</v>
      </c>
      <c r="D646" s="183">
        <v>82</v>
      </c>
      <c r="E646" s="183">
        <v>69</v>
      </c>
      <c r="F646" s="183">
        <v>228</v>
      </c>
      <c r="G646" s="183">
        <v>9214</v>
      </c>
      <c r="H646" s="183">
        <v>0</v>
      </c>
      <c r="I646" s="183">
        <v>145</v>
      </c>
      <c r="J646" s="183">
        <v>138</v>
      </c>
      <c r="K646" s="183">
        <v>0</v>
      </c>
      <c r="L646" s="183">
        <v>0</v>
      </c>
      <c r="M646" s="183">
        <v>60</v>
      </c>
      <c r="N646" s="183">
        <v>3115</v>
      </c>
      <c r="O646" s="183">
        <v>69</v>
      </c>
      <c r="P646" s="183">
        <v>12617</v>
      </c>
      <c r="Q646" s="183">
        <v>183</v>
      </c>
    </row>
    <row r="647" spans="1:17">
      <c r="A647" s="183" t="s">
        <v>2068</v>
      </c>
      <c r="B647" s="183" t="s">
        <v>1041</v>
      </c>
      <c r="C647" s="183" t="s">
        <v>1925</v>
      </c>
      <c r="D647" s="183">
        <v>17</v>
      </c>
      <c r="E647" s="183">
        <v>19</v>
      </c>
      <c r="F647" s="183">
        <v>2557</v>
      </c>
      <c r="G647" s="183">
        <v>38</v>
      </c>
      <c r="H647" s="183">
        <v>0</v>
      </c>
      <c r="I647" s="183">
        <v>259</v>
      </c>
      <c r="J647" s="183">
        <v>140</v>
      </c>
      <c r="K647" s="183">
        <v>0</v>
      </c>
      <c r="L647" s="183">
        <v>0</v>
      </c>
      <c r="M647" s="183">
        <v>0</v>
      </c>
      <c r="N647" s="183">
        <v>4176</v>
      </c>
      <c r="O647" s="183">
        <v>19</v>
      </c>
      <c r="P647" s="183">
        <v>6771</v>
      </c>
      <c r="Q647" s="183">
        <v>365</v>
      </c>
    </row>
    <row r="648" spans="1:17">
      <c r="A648" s="183" t="s">
        <v>2062</v>
      </c>
      <c r="B648" s="183" t="s">
        <v>612</v>
      </c>
      <c r="C648" s="183" t="s">
        <v>1976</v>
      </c>
      <c r="D648" s="183">
        <v>13</v>
      </c>
      <c r="E648" s="183">
        <v>13</v>
      </c>
      <c r="F648" s="183">
        <v>1888</v>
      </c>
      <c r="G648" s="183">
        <v>0</v>
      </c>
      <c r="H648" s="183">
        <v>0</v>
      </c>
      <c r="I648" s="183">
        <v>11</v>
      </c>
      <c r="J648" s="183">
        <v>142</v>
      </c>
      <c r="K648" s="183">
        <v>0</v>
      </c>
      <c r="L648" s="183">
        <v>0</v>
      </c>
      <c r="M648" s="183">
        <v>0</v>
      </c>
      <c r="N648" s="183">
        <v>1983</v>
      </c>
      <c r="O648" s="183">
        <v>13</v>
      </c>
      <c r="P648" s="183">
        <v>3871</v>
      </c>
      <c r="Q648" s="183">
        <v>291</v>
      </c>
    </row>
    <row r="649" spans="1:17">
      <c r="A649" s="183" t="s">
        <v>2062</v>
      </c>
      <c r="B649" s="183" t="s">
        <v>485</v>
      </c>
      <c r="C649" s="183" t="s">
        <v>1978</v>
      </c>
      <c r="D649" s="183">
        <v>9</v>
      </c>
      <c r="E649" s="183">
        <v>6</v>
      </c>
      <c r="F649" s="183">
        <v>924</v>
      </c>
      <c r="G649" s="183">
        <v>1</v>
      </c>
      <c r="H649" s="183">
        <v>0</v>
      </c>
      <c r="I649" s="183">
        <v>7</v>
      </c>
      <c r="J649" s="183">
        <v>144</v>
      </c>
      <c r="K649" s="183">
        <v>0</v>
      </c>
      <c r="L649" s="183">
        <v>0</v>
      </c>
      <c r="M649" s="183">
        <v>0</v>
      </c>
      <c r="N649" s="183">
        <v>1317</v>
      </c>
      <c r="O649" s="183">
        <v>6</v>
      </c>
      <c r="P649" s="183">
        <v>2242</v>
      </c>
      <c r="Q649" s="183">
        <v>349</v>
      </c>
    </row>
    <row r="650" spans="1:17">
      <c r="A650" s="183" t="s">
        <v>2078</v>
      </c>
      <c r="B650" s="183" t="s">
        <v>1455</v>
      </c>
      <c r="C650" s="183" t="s">
        <v>2620</v>
      </c>
      <c r="D650" s="183">
        <v>35</v>
      </c>
      <c r="E650" s="183">
        <v>28</v>
      </c>
      <c r="F650" s="183">
        <v>4026</v>
      </c>
      <c r="G650" s="183">
        <v>7</v>
      </c>
      <c r="H650" s="183">
        <v>92</v>
      </c>
      <c r="I650" s="183">
        <v>47</v>
      </c>
      <c r="J650" s="183">
        <v>146</v>
      </c>
      <c r="K650" s="183">
        <v>0</v>
      </c>
      <c r="L650" s="183">
        <v>0</v>
      </c>
      <c r="M650" s="183">
        <v>0</v>
      </c>
      <c r="N650" s="183">
        <v>23</v>
      </c>
      <c r="O650" s="183">
        <v>28</v>
      </c>
      <c r="P650" s="183">
        <v>4148</v>
      </c>
      <c r="Q650" s="183">
        <v>150</v>
      </c>
    </row>
    <row r="651" spans="1:17">
      <c r="A651" s="183" t="s">
        <v>2062</v>
      </c>
      <c r="B651" s="183" t="s">
        <v>413</v>
      </c>
      <c r="C651" s="183" t="s">
        <v>2041</v>
      </c>
      <c r="D651" s="183">
        <v>6</v>
      </c>
      <c r="E651" s="183">
        <v>16</v>
      </c>
      <c r="F651" s="183">
        <v>2267</v>
      </c>
      <c r="G651" s="183">
        <v>49</v>
      </c>
      <c r="H651" s="183">
        <v>0</v>
      </c>
      <c r="I651" s="183">
        <v>7</v>
      </c>
      <c r="J651" s="183">
        <v>146</v>
      </c>
      <c r="K651" s="183">
        <v>0</v>
      </c>
      <c r="L651" s="183">
        <v>0</v>
      </c>
      <c r="M651" s="183">
        <v>0</v>
      </c>
      <c r="N651" s="183">
        <v>2376</v>
      </c>
      <c r="O651" s="183">
        <v>16</v>
      </c>
      <c r="P651" s="183">
        <v>4692</v>
      </c>
      <c r="Q651" s="183">
        <v>296</v>
      </c>
    </row>
    <row r="652" spans="1:17">
      <c r="A652" s="183" t="s">
        <v>2062</v>
      </c>
      <c r="B652" s="183" t="s">
        <v>652</v>
      </c>
      <c r="C652" s="183" t="s">
        <v>1990</v>
      </c>
      <c r="D652" s="183">
        <v>19</v>
      </c>
      <c r="E652" s="183">
        <v>43</v>
      </c>
      <c r="F652" s="183">
        <v>6258</v>
      </c>
      <c r="G652" s="183">
        <v>31</v>
      </c>
      <c r="H652" s="183">
        <v>3150</v>
      </c>
      <c r="I652" s="183">
        <v>75</v>
      </c>
      <c r="J652" s="183">
        <v>147</v>
      </c>
      <c r="K652" s="183">
        <v>67</v>
      </c>
      <c r="L652" s="183">
        <v>73</v>
      </c>
      <c r="M652" s="183">
        <v>8045</v>
      </c>
      <c r="N652" s="183">
        <v>0</v>
      </c>
      <c r="O652" s="183">
        <v>116</v>
      </c>
      <c r="P652" s="183">
        <v>17484</v>
      </c>
      <c r="Q652" s="183">
        <v>82</v>
      </c>
    </row>
    <row r="653" spans="1:17">
      <c r="A653" s="183" t="s">
        <v>2062</v>
      </c>
      <c r="B653" s="183" t="s">
        <v>101</v>
      </c>
      <c r="C653" s="183" t="s">
        <v>2621</v>
      </c>
      <c r="D653" s="183">
        <v>19</v>
      </c>
      <c r="E653" s="183">
        <v>18</v>
      </c>
      <c r="F653" s="183">
        <v>1643</v>
      </c>
      <c r="G653" s="183">
        <v>1031</v>
      </c>
      <c r="H653" s="183">
        <v>1446</v>
      </c>
      <c r="I653" s="183">
        <v>20</v>
      </c>
      <c r="J653" s="183">
        <v>147</v>
      </c>
      <c r="K653" s="183">
        <v>0</v>
      </c>
      <c r="L653" s="183">
        <v>0</v>
      </c>
      <c r="M653" s="183">
        <v>0</v>
      </c>
      <c r="N653" s="183">
        <v>160</v>
      </c>
      <c r="O653" s="183">
        <v>18</v>
      </c>
      <c r="P653" s="183">
        <v>4280</v>
      </c>
      <c r="Q653" s="183">
        <v>236</v>
      </c>
    </row>
    <row r="654" spans="1:17">
      <c r="A654" s="183" t="s">
        <v>2062</v>
      </c>
      <c r="B654" s="183" t="s">
        <v>335</v>
      </c>
      <c r="C654" s="183" t="s">
        <v>2622</v>
      </c>
      <c r="D654" s="183">
        <v>13</v>
      </c>
      <c r="E654" s="183">
        <v>9</v>
      </c>
      <c r="F654" s="183">
        <v>1327</v>
      </c>
      <c r="G654" s="183">
        <v>3</v>
      </c>
      <c r="H654" s="183">
        <v>96</v>
      </c>
      <c r="I654" s="183">
        <v>24</v>
      </c>
      <c r="J654" s="183">
        <v>148</v>
      </c>
      <c r="K654" s="183">
        <v>0</v>
      </c>
      <c r="L654" s="183">
        <v>0</v>
      </c>
      <c r="M654" s="183">
        <v>18</v>
      </c>
      <c r="N654" s="183">
        <v>224</v>
      </c>
      <c r="O654" s="183">
        <v>9</v>
      </c>
      <c r="P654" s="183">
        <v>1668</v>
      </c>
      <c r="Q654" s="183">
        <v>183</v>
      </c>
    </row>
    <row r="655" spans="1:17">
      <c r="A655" s="183" t="s">
        <v>2078</v>
      </c>
      <c r="B655" s="183" t="s">
        <v>1570</v>
      </c>
      <c r="C655" s="183" t="s">
        <v>2623</v>
      </c>
      <c r="D655" s="183">
        <v>135</v>
      </c>
      <c r="E655" s="183">
        <v>104</v>
      </c>
      <c r="F655" s="183">
        <v>14124</v>
      </c>
      <c r="G655" s="183">
        <v>1372</v>
      </c>
      <c r="H655" s="183">
        <v>1885</v>
      </c>
      <c r="I655" s="183">
        <v>193</v>
      </c>
      <c r="J655" s="183">
        <v>149</v>
      </c>
      <c r="K655" s="183">
        <v>0</v>
      </c>
      <c r="L655" s="183">
        <v>0</v>
      </c>
      <c r="M655" s="183">
        <v>0</v>
      </c>
      <c r="N655" s="183">
        <v>3788</v>
      </c>
      <c r="O655" s="183">
        <v>104</v>
      </c>
      <c r="P655" s="183">
        <v>21169</v>
      </c>
      <c r="Q655" s="183">
        <v>204</v>
      </c>
    </row>
    <row r="656" spans="1:17">
      <c r="A656" s="183" t="s">
        <v>2062</v>
      </c>
      <c r="B656" s="183" t="s">
        <v>453</v>
      </c>
      <c r="C656" s="183" t="s">
        <v>2624</v>
      </c>
      <c r="D656" s="183">
        <v>18</v>
      </c>
      <c r="E656" s="183">
        <v>16</v>
      </c>
      <c r="F656" s="183">
        <v>2419</v>
      </c>
      <c r="G656" s="183">
        <v>1</v>
      </c>
      <c r="H656" s="183">
        <v>15</v>
      </c>
      <c r="I656" s="183">
        <v>74</v>
      </c>
      <c r="J656" s="183">
        <v>150</v>
      </c>
      <c r="K656" s="183">
        <v>0</v>
      </c>
      <c r="L656" s="183">
        <v>0</v>
      </c>
      <c r="M656" s="183">
        <v>52</v>
      </c>
      <c r="N656" s="183">
        <v>1655</v>
      </c>
      <c r="O656" s="183">
        <v>16</v>
      </c>
      <c r="P656" s="183">
        <v>4142</v>
      </c>
      <c r="Q656" s="183">
        <v>251</v>
      </c>
    </row>
    <row r="657" spans="1:17">
      <c r="A657" s="183" t="s">
        <v>2062</v>
      </c>
      <c r="B657" s="183" t="s">
        <v>443</v>
      </c>
      <c r="C657" s="183" t="s">
        <v>2625</v>
      </c>
      <c r="D657" s="183">
        <v>50</v>
      </c>
      <c r="E657" s="183">
        <v>40</v>
      </c>
      <c r="F657" s="183">
        <v>5260</v>
      </c>
      <c r="G657" s="183">
        <v>850</v>
      </c>
      <c r="H657" s="183">
        <v>818</v>
      </c>
      <c r="I657" s="183">
        <v>57</v>
      </c>
      <c r="J657" s="183">
        <v>151</v>
      </c>
      <c r="K657" s="183">
        <v>1</v>
      </c>
      <c r="L657" s="183">
        <v>0</v>
      </c>
      <c r="M657" s="183">
        <v>58</v>
      </c>
      <c r="N657" s="183">
        <v>148</v>
      </c>
      <c r="O657" s="183">
        <v>41</v>
      </c>
      <c r="P657" s="183">
        <v>7134</v>
      </c>
      <c r="Q657" s="183">
        <v>173</v>
      </c>
    </row>
    <row r="658" spans="1:17">
      <c r="A658" s="183" t="s">
        <v>2078</v>
      </c>
      <c r="B658" s="183" t="s">
        <v>1342</v>
      </c>
      <c r="C658" s="183" t="s">
        <v>2626</v>
      </c>
      <c r="D658" s="183">
        <v>5</v>
      </c>
      <c r="E658" s="183">
        <v>6</v>
      </c>
      <c r="F658" s="183">
        <v>460</v>
      </c>
      <c r="G658" s="183">
        <v>391</v>
      </c>
      <c r="H658" s="183">
        <v>132</v>
      </c>
      <c r="I658" s="183">
        <v>16</v>
      </c>
      <c r="J658" s="183">
        <v>153</v>
      </c>
      <c r="K658" s="183">
        <v>0</v>
      </c>
      <c r="L658" s="183">
        <v>0</v>
      </c>
      <c r="M658" s="183">
        <v>0</v>
      </c>
      <c r="N658" s="183">
        <v>455</v>
      </c>
      <c r="O658" s="183">
        <v>6</v>
      </c>
      <c r="P658" s="183">
        <v>1438</v>
      </c>
      <c r="Q658" s="183">
        <v>258</v>
      </c>
    </row>
    <row r="659" spans="1:17">
      <c r="A659" s="183" t="s">
        <v>2062</v>
      </c>
      <c r="B659" s="183" t="s">
        <v>200</v>
      </c>
      <c r="C659" s="183" t="s">
        <v>2627</v>
      </c>
      <c r="D659" s="183">
        <v>19</v>
      </c>
      <c r="E659" s="183">
        <v>16</v>
      </c>
      <c r="F659" s="183">
        <v>2447</v>
      </c>
      <c r="G659" s="183">
        <v>0</v>
      </c>
      <c r="H659" s="183">
        <v>1</v>
      </c>
      <c r="I659" s="183">
        <v>10</v>
      </c>
      <c r="J659" s="183">
        <v>153</v>
      </c>
      <c r="K659" s="183">
        <v>0</v>
      </c>
      <c r="L659" s="183">
        <v>0</v>
      </c>
      <c r="M659" s="183">
        <v>0</v>
      </c>
      <c r="N659" s="183">
        <v>0</v>
      </c>
      <c r="O659" s="183">
        <v>16</v>
      </c>
      <c r="P659" s="183">
        <v>2448</v>
      </c>
      <c r="Q659" s="183">
        <v>153</v>
      </c>
    </row>
    <row r="660" spans="1:17">
      <c r="A660" s="183" t="s">
        <v>2062</v>
      </c>
      <c r="B660" s="183" t="s">
        <v>707</v>
      </c>
      <c r="C660" s="183" t="s">
        <v>2628</v>
      </c>
      <c r="D660" s="183">
        <v>68</v>
      </c>
      <c r="E660" s="183">
        <v>37</v>
      </c>
      <c r="F660" s="183">
        <v>5725</v>
      </c>
      <c r="G660" s="183">
        <v>27</v>
      </c>
      <c r="H660" s="183">
        <v>109</v>
      </c>
      <c r="I660" s="183">
        <v>74</v>
      </c>
      <c r="J660" s="183">
        <v>155</v>
      </c>
      <c r="K660" s="183">
        <v>5</v>
      </c>
      <c r="L660" s="183">
        <v>7</v>
      </c>
      <c r="M660" s="183">
        <v>525</v>
      </c>
      <c r="N660" s="183">
        <v>1710</v>
      </c>
      <c r="O660" s="183">
        <v>44</v>
      </c>
      <c r="P660" s="183">
        <v>8096</v>
      </c>
      <c r="Q660" s="183">
        <v>174</v>
      </c>
    </row>
    <row r="661" spans="1:17">
      <c r="A661" s="183" t="s">
        <v>2062</v>
      </c>
      <c r="B661" s="183" t="s">
        <v>535</v>
      </c>
      <c r="C661" s="183" t="s">
        <v>2003</v>
      </c>
      <c r="D661" s="183">
        <v>13</v>
      </c>
      <c r="E661" s="183">
        <v>11</v>
      </c>
      <c r="F661" s="183">
        <v>1646</v>
      </c>
      <c r="G661" s="183">
        <v>120</v>
      </c>
      <c r="H661" s="183">
        <v>0</v>
      </c>
      <c r="I661" s="183">
        <v>46</v>
      </c>
      <c r="J661" s="183">
        <v>158</v>
      </c>
      <c r="K661" s="183">
        <v>0</v>
      </c>
      <c r="L661" s="183">
        <v>0</v>
      </c>
      <c r="M661" s="183">
        <v>0</v>
      </c>
      <c r="N661" s="183">
        <v>0</v>
      </c>
      <c r="O661" s="183">
        <v>11</v>
      </c>
      <c r="P661" s="183">
        <v>1766</v>
      </c>
      <c r="Q661" s="183">
        <v>158</v>
      </c>
    </row>
    <row r="662" spans="1:17">
      <c r="A662" s="183" t="s">
        <v>2062</v>
      </c>
      <c r="B662" s="183" t="s">
        <v>383</v>
      </c>
      <c r="C662" s="183" t="s">
        <v>1988</v>
      </c>
      <c r="D662" s="183">
        <v>11</v>
      </c>
      <c r="E662" s="183">
        <v>11</v>
      </c>
      <c r="F662" s="183">
        <v>1815</v>
      </c>
      <c r="G662" s="183">
        <v>23</v>
      </c>
      <c r="H662" s="183">
        <v>4</v>
      </c>
      <c r="I662" s="183">
        <v>7</v>
      </c>
      <c r="J662" s="183">
        <v>163</v>
      </c>
      <c r="K662" s="183">
        <v>0</v>
      </c>
      <c r="L662" s="183">
        <v>0</v>
      </c>
      <c r="M662" s="183">
        <v>0</v>
      </c>
      <c r="N662" s="183">
        <v>1101</v>
      </c>
      <c r="O662" s="183">
        <v>11</v>
      </c>
      <c r="P662" s="183">
        <v>2943</v>
      </c>
      <c r="Q662" s="183">
        <v>261</v>
      </c>
    </row>
    <row r="663" spans="1:17">
      <c r="A663" s="183" t="s">
        <v>2062</v>
      </c>
      <c r="B663" s="183" t="s">
        <v>159</v>
      </c>
      <c r="C663" s="183" t="s">
        <v>158</v>
      </c>
      <c r="D663" s="183">
        <v>45</v>
      </c>
      <c r="E663" s="183">
        <v>35</v>
      </c>
      <c r="F663" s="183">
        <v>28</v>
      </c>
      <c r="G663" s="183">
        <v>5729</v>
      </c>
      <c r="H663" s="183">
        <v>288</v>
      </c>
      <c r="I663" s="183">
        <v>53</v>
      </c>
      <c r="J663" s="183">
        <v>164</v>
      </c>
      <c r="K663" s="183">
        <v>8</v>
      </c>
      <c r="L663" s="183">
        <v>7</v>
      </c>
      <c r="M663" s="183">
        <v>763</v>
      </c>
      <c r="N663" s="183">
        <v>9906</v>
      </c>
      <c r="O663" s="183">
        <v>42</v>
      </c>
      <c r="P663" s="183">
        <v>16714</v>
      </c>
      <c r="Q663" s="183">
        <v>377</v>
      </c>
    </row>
    <row r="664" spans="1:17">
      <c r="A664" s="183" t="s">
        <v>2078</v>
      </c>
      <c r="B664" s="183" t="s">
        <v>1486</v>
      </c>
      <c r="C664" s="183" t="s">
        <v>1981</v>
      </c>
      <c r="D664" s="183">
        <v>17</v>
      </c>
      <c r="E664" s="183">
        <v>9</v>
      </c>
      <c r="F664" s="183">
        <v>1406</v>
      </c>
      <c r="G664" s="183">
        <v>3</v>
      </c>
      <c r="H664" s="183">
        <v>2816</v>
      </c>
      <c r="I664" s="183">
        <v>3</v>
      </c>
      <c r="J664" s="183">
        <v>164</v>
      </c>
      <c r="K664" s="183">
        <v>0</v>
      </c>
      <c r="L664" s="183">
        <v>0</v>
      </c>
      <c r="M664" s="183">
        <v>0</v>
      </c>
      <c r="N664" s="183">
        <v>4587</v>
      </c>
      <c r="O664" s="183">
        <v>9</v>
      </c>
      <c r="P664" s="183">
        <v>8812</v>
      </c>
      <c r="Q664" s="183">
        <v>1028</v>
      </c>
    </row>
    <row r="665" spans="1:17">
      <c r="A665" s="183" t="s">
        <v>2068</v>
      </c>
      <c r="B665" s="183" t="s">
        <v>1204</v>
      </c>
      <c r="C665" s="183" t="s">
        <v>2032</v>
      </c>
      <c r="D665" s="183">
        <v>36</v>
      </c>
      <c r="E665" s="183">
        <v>25</v>
      </c>
      <c r="F665" s="183">
        <v>264</v>
      </c>
      <c r="G665" s="183">
        <v>3810</v>
      </c>
      <c r="H665" s="183">
        <v>105</v>
      </c>
      <c r="I665" s="183">
        <v>38</v>
      </c>
      <c r="J665" s="183">
        <v>165</v>
      </c>
      <c r="K665" s="183">
        <v>0</v>
      </c>
      <c r="L665" s="183">
        <v>0</v>
      </c>
      <c r="M665" s="183">
        <v>0</v>
      </c>
      <c r="N665" s="183">
        <v>12838</v>
      </c>
      <c r="O665" s="183">
        <v>25</v>
      </c>
      <c r="P665" s="183">
        <v>17017</v>
      </c>
      <c r="Q665" s="183">
        <v>689</v>
      </c>
    </row>
    <row r="666" spans="1:17">
      <c r="A666" s="183" t="s">
        <v>2068</v>
      </c>
      <c r="B666" s="183" t="s">
        <v>1043</v>
      </c>
      <c r="C666" s="183" t="s">
        <v>1042</v>
      </c>
      <c r="D666" s="183">
        <v>19</v>
      </c>
      <c r="E666" s="183">
        <v>25</v>
      </c>
      <c r="F666" s="183">
        <v>3477</v>
      </c>
      <c r="G666" s="183">
        <v>674</v>
      </c>
      <c r="H666" s="183">
        <v>514</v>
      </c>
      <c r="I666" s="183">
        <v>10</v>
      </c>
      <c r="J666" s="183">
        <v>168</v>
      </c>
      <c r="K666" s="183">
        <v>0</v>
      </c>
      <c r="L666" s="183">
        <v>0</v>
      </c>
      <c r="M666" s="183">
        <v>0</v>
      </c>
      <c r="N666" s="183">
        <v>865</v>
      </c>
      <c r="O666" s="183">
        <v>25</v>
      </c>
      <c r="P666" s="183">
        <v>5530</v>
      </c>
      <c r="Q666" s="183">
        <v>224</v>
      </c>
    </row>
    <row r="667" spans="1:17">
      <c r="A667" s="183" t="s">
        <v>2062</v>
      </c>
      <c r="B667" s="183" t="s">
        <v>809</v>
      </c>
      <c r="C667" s="183" t="s">
        <v>2629</v>
      </c>
      <c r="D667" s="183">
        <v>27</v>
      </c>
      <c r="E667" s="183">
        <v>16</v>
      </c>
      <c r="F667" s="183">
        <v>2754</v>
      </c>
      <c r="G667" s="183">
        <v>5</v>
      </c>
      <c r="H667" s="183">
        <v>3359</v>
      </c>
      <c r="I667" s="183">
        <v>29</v>
      </c>
      <c r="J667" s="183">
        <v>169</v>
      </c>
      <c r="K667" s="183">
        <v>0</v>
      </c>
      <c r="L667" s="183">
        <v>0</v>
      </c>
      <c r="M667" s="183">
        <v>0</v>
      </c>
      <c r="N667" s="183">
        <v>11082</v>
      </c>
      <c r="O667" s="183">
        <v>16</v>
      </c>
      <c r="P667" s="183">
        <v>17200</v>
      </c>
      <c r="Q667" s="183">
        <v>1056</v>
      </c>
    </row>
    <row r="668" spans="1:17">
      <c r="A668" s="183" t="s">
        <v>2068</v>
      </c>
      <c r="B668" s="183" t="s">
        <v>1702</v>
      </c>
      <c r="C668" s="183" t="s">
        <v>2630</v>
      </c>
      <c r="D668" s="183">
        <v>10</v>
      </c>
      <c r="E668" s="183">
        <v>10</v>
      </c>
      <c r="F668" s="183">
        <v>1660</v>
      </c>
      <c r="G668" s="183">
        <v>0</v>
      </c>
      <c r="H668" s="183">
        <v>369</v>
      </c>
      <c r="I668" s="183">
        <v>21</v>
      </c>
      <c r="J668" s="183">
        <v>171</v>
      </c>
      <c r="K668" s="183">
        <v>0</v>
      </c>
      <c r="L668" s="183">
        <v>0</v>
      </c>
      <c r="M668" s="183">
        <v>0</v>
      </c>
      <c r="N668" s="183">
        <v>170</v>
      </c>
      <c r="O668" s="183">
        <v>10</v>
      </c>
      <c r="P668" s="183">
        <v>2199</v>
      </c>
      <c r="Q668" s="183">
        <v>226</v>
      </c>
    </row>
    <row r="669" spans="1:17">
      <c r="A669" s="183" t="s">
        <v>2078</v>
      </c>
      <c r="B669" s="183" t="s">
        <v>1566</v>
      </c>
      <c r="C669" s="183" t="s">
        <v>2631</v>
      </c>
      <c r="D669" s="183">
        <v>85</v>
      </c>
      <c r="E669" s="183">
        <v>57</v>
      </c>
      <c r="F669" s="183">
        <v>9664</v>
      </c>
      <c r="G669" s="183">
        <v>25</v>
      </c>
      <c r="H669" s="183">
        <v>0</v>
      </c>
      <c r="I669" s="183">
        <v>89</v>
      </c>
      <c r="J669" s="183">
        <v>171</v>
      </c>
      <c r="K669" s="183">
        <v>0</v>
      </c>
      <c r="L669" s="183">
        <v>0</v>
      </c>
      <c r="M669" s="183">
        <v>0</v>
      </c>
      <c r="N669" s="183">
        <v>3096</v>
      </c>
      <c r="O669" s="183">
        <v>57</v>
      </c>
      <c r="P669" s="183">
        <v>12785</v>
      </c>
      <c r="Q669" s="183">
        <v>226</v>
      </c>
    </row>
    <row r="670" spans="1:17">
      <c r="A670" s="183" t="s">
        <v>2062</v>
      </c>
      <c r="B670" s="183" t="s">
        <v>389</v>
      </c>
      <c r="C670" s="183" t="s">
        <v>2632</v>
      </c>
      <c r="D670" s="183">
        <v>24</v>
      </c>
      <c r="E670" s="183">
        <v>12</v>
      </c>
      <c r="F670" s="183">
        <v>2107</v>
      </c>
      <c r="G670" s="183">
        <v>9</v>
      </c>
      <c r="H670" s="183">
        <v>189</v>
      </c>
      <c r="I670" s="183">
        <v>29</v>
      </c>
      <c r="J670" s="183">
        <v>172</v>
      </c>
      <c r="K670" s="183">
        <v>0</v>
      </c>
      <c r="L670" s="183">
        <v>0</v>
      </c>
      <c r="M670" s="183">
        <v>16</v>
      </c>
      <c r="N670" s="183">
        <v>8388</v>
      </c>
      <c r="O670" s="183">
        <v>12</v>
      </c>
      <c r="P670" s="183">
        <v>10709</v>
      </c>
      <c r="Q670" s="183">
        <v>870</v>
      </c>
    </row>
    <row r="671" spans="1:17">
      <c r="A671" s="183" t="s">
        <v>2062</v>
      </c>
      <c r="B671" s="183" t="s">
        <v>71</v>
      </c>
      <c r="C671" s="183" t="s">
        <v>2633</v>
      </c>
      <c r="D671" s="183">
        <v>52</v>
      </c>
      <c r="E671" s="183">
        <v>53</v>
      </c>
      <c r="F671" s="183">
        <v>8955</v>
      </c>
      <c r="G671" s="183">
        <v>167</v>
      </c>
      <c r="H671" s="183">
        <v>4652</v>
      </c>
      <c r="I671" s="183">
        <v>134</v>
      </c>
      <c r="J671" s="183">
        <v>173</v>
      </c>
      <c r="K671" s="183">
        <v>12</v>
      </c>
      <c r="L671" s="183">
        <v>9</v>
      </c>
      <c r="M671" s="183">
        <v>3548</v>
      </c>
      <c r="N671" s="183">
        <v>702</v>
      </c>
      <c r="O671" s="183">
        <v>61</v>
      </c>
      <c r="P671" s="183">
        <v>18024</v>
      </c>
      <c r="Q671" s="183">
        <v>236</v>
      </c>
    </row>
    <row r="672" spans="1:17">
      <c r="A672" s="183" t="s">
        <v>2078</v>
      </c>
      <c r="B672" s="183" t="s">
        <v>1406</v>
      </c>
      <c r="C672" s="183" t="s">
        <v>2016</v>
      </c>
      <c r="D672" s="183">
        <v>7</v>
      </c>
      <c r="E672" s="183">
        <v>6</v>
      </c>
      <c r="F672" s="183">
        <v>960</v>
      </c>
      <c r="G672" s="183">
        <v>4</v>
      </c>
      <c r="H672" s="183">
        <v>0</v>
      </c>
      <c r="I672" s="183">
        <v>0</v>
      </c>
      <c r="J672" s="183">
        <v>173</v>
      </c>
      <c r="K672" s="183">
        <v>0</v>
      </c>
      <c r="L672" s="183">
        <v>0</v>
      </c>
      <c r="M672" s="183">
        <v>0</v>
      </c>
      <c r="N672" s="183">
        <v>3487</v>
      </c>
      <c r="O672" s="183">
        <v>6</v>
      </c>
      <c r="P672" s="183">
        <v>4451</v>
      </c>
      <c r="Q672" s="183">
        <v>799</v>
      </c>
    </row>
    <row r="673" spans="1:17">
      <c r="A673" s="183" t="s">
        <v>2062</v>
      </c>
      <c r="B673" s="183" t="s">
        <v>214</v>
      </c>
      <c r="C673" s="183" t="s">
        <v>213</v>
      </c>
      <c r="D673" s="183">
        <v>8</v>
      </c>
      <c r="E673" s="183">
        <v>7</v>
      </c>
      <c r="F673" s="183">
        <v>1152</v>
      </c>
      <c r="G673" s="183">
        <v>0</v>
      </c>
      <c r="H673" s="183">
        <v>0</v>
      </c>
      <c r="I673" s="183">
        <v>31</v>
      </c>
      <c r="J673" s="183">
        <v>175</v>
      </c>
      <c r="K673" s="183">
        <v>0</v>
      </c>
      <c r="L673" s="183">
        <v>0</v>
      </c>
      <c r="M673" s="183">
        <v>0</v>
      </c>
      <c r="N673" s="183">
        <v>819</v>
      </c>
      <c r="O673" s="183">
        <v>7</v>
      </c>
      <c r="P673" s="183">
        <v>1971</v>
      </c>
      <c r="Q673" s="183">
        <v>300</v>
      </c>
    </row>
    <row r="674" spans="1:17">
      <c r="A674" s="183" t="s">
        <v>2062</v>
      </c>
      <c r="B674" s="183" t="s">
        <v>133</v>
      </c>
      <c r="C674" s="183" t="s">
        <v>2037</v>
      </c>
      <c r="D674" s="183">
        <v>10</v>
      </c>
      <c r="E674" s="183">
        <v>9</v>
      </c>
      <c r="F674" s="183">
        <v>1629</v>
      </c>
      <c r="G674" s="183">
        <v>0</v>
      </c>
      <c r="H674" s="183">
        <v>5</v>
      </c>
      <c r="I674" s="183">
        <v>11</v>
      </c>
      <c r="J674" s="183">
        <v>178</v>
      </c>
      <c r="K674" s="183">
        <v>0</v>
      </c>
      <c r="L674" s="183">
        <v>0</v>
      </c>
      <c r="M674" s="183">
        <v>0</v>
      </c>
      <c r="N674" s="183">
        <v>328</v>
      </c>
      <c r="O674" s="183">
        <v>9</v>
      </c>
      <c r="P674" s="183">
        <v>1962</v>
      </c>
      <c r="Q674" s="183">
        <v>215</v>
      </c>
    </row>
    <row r="675" spans="1:17">
      <c r="A675" s="183" t="s">
        <v>2062</v>
      </c>
      <c r="B675" s="183" t="s">
        <v>417</v>
      </c>
      <c r="C675" s="183" t="s">
        <v>2634</v>
      </c>
      <c r="D675" s="183">
        <v>28</v>
      </c>
      <c r="E675" s="183">
        <v>28</v>
      </c>
      <c r="F675" s="183">
        <v>5252</v>
      </c>
      <c r="G675" s="183">
        <v>32</v>
      </c>
      <c r="H675" s="183">
        <v>33</v>
      </c>
      <c r="I675" s="183">
        <v>21</v>
      </c>
      <c r="J675" s="183">
        <v>187</v>
      </c>
      <c r="K675" s="183">
        <v>0</v>
      </c>
      <c r="L675" s="183">
        <v>0</v>
      </c>
      <c r="M675" s="183">
        <v>0</v>
      </c>
      <c r="N675" s="183">
        <v>655</v>
      </c>
      <c r="O675" s="183">
        <v>28</v>
      </c>
      <c r="P675" s="183">
        <v>5972</v>
      </c>
      <c r="Q675" s="183">
        <v>211</v>
      </c>
    </row>
    <row r="676" spans="1:17">
      <c r="A676" s="183" t="s">
        <v>2062</v>
      </c>
      <c r="B676" s="183" t="s">
        <v>423</v>
      </c>
      <c r="C676" s="183" t="s">
        <v>422</v>
      </c>
      <c r="D676" s="183">
        <v>4</v>
      </c>
      <c r="E676" s="183">
        <v>7</v>
      </c>
      <c r="F676" s="183">
        <v>1263</v>
      </c>
      <c r="G676" s="183">
        <v>110</v>
      </c>
      <c r="H676" s="183">
        <v>0</v>
      </c>
      <c r="I676" s="183">
        <v>99</v>
      </c>
      <c r="J676" s="183">
        <v>188</v>
      </c>
      <c r="K676" s="183">
        <v>113</v>
      </c>
      <c r="L676" s="183">
        <v>97</v>
      </c>
      <c r="M676" s="183">
        <v>4381</v>
      </c>
      <c r="N676" s="183">
        <v>31</v>
      </c>
      <c r="O676" s="183">
        <v>104</v>
      </c>
      <c r="P676" s="183">
        <v>5785</v>
      </c>
      <c r="Q676" s="183">
        <v>13</v>
      </c>
    </row>
    <row r="677" spans="1:17">
      <c r="A677" s="183" t="s">
        <v>2062</v>
      </c>
      <c r="B677" s="183" t="s">
        <v>553</v>
      </c>
      <c r="C677" s="183" t="s">
        <v>2000</v>
      </c>
      <c r="D677" s="183">
        <v>7</v>
      </c>
      <c r="E677" s="183">
        <v>7</v>
      </c>
      <c r="F677" s="183">
        <v>1421</v>
      </c>
      <c r="G677" s="183">
        <v>3</v>
      </c>
      <c r="H677" s="183">
        <v>0</v>
      </c>
      <c r="I677" s="183">
        <v>291</v>
      </c>
      <c r="J677" s="183">
        <v>192</v>
      </c>
      <c r="K677" s="183">
        <v>0</v>
      </c>
      <c r="L677" s="183">
        <v>0</v>
      </c>
      <c r="M677" s="183">
        <v>0</v>
      </c>
      <c r="N677" s="183">
        <v>2836</v>
      </c>
      <c r="O677" s="183">
        <v>7</v>
      </c>
      <c r="P677" s="183">
        <v>4260</v>
      </c>
      <c r="Q677" s="183">
        <v>573</v>
      </c>
    </row>
    <row r="678" spans="1:17">
      <c r="A678" s="183" t="s">
        <v>2068</v>
      </c>
      <c r="B678" s="183" t="s">
        <v>1305</v>
      </c>
      <c r="C678" s="183" t="s">
        <v>2635</v>
      </c>
      <c r="D678" s="183">
        <v>153</v>
      </c>
      <c r="E678" s="183">
        <v>95</v>
      </c>
      <c r="F678" s="183">
        <v>5869</v>
      </c>
      <c r="G678" s="183">
        <v>12440</v>
      </c>
      <c r="H678" s="183">
        <v>2753</v>
      </c>
      <c r="I678" s="183">
        <v>104</v>
      </c>
      <c r="J678" s="183">
        <v>193</v>
      </c>
      <c r="K678" s="183">
        <v>0</v>
      </c>
      <c r="L678" s="183">
        <v>0</v>
      </c>
      <c r="M678" s="183">
        <v>0</v>
      </c>
      <c r="N678" s="183">
        <v>232</v>
      </c>
      <c r="O678" s="183">
        <v>95</v>
      </c>
      <c r="P678" s="183">
        <v>21294</v>
      </c>
      <c r="Q678" s="183">
        <v>225</v>
      </c>
    </row>
    <row r="679" spans="1:17">
      <c r="A679" s="183" t="s">
        <v>2062</v>
      </c>
      <c r="B679" s="183" t="s">
        <v>594</v>
      </c>
      <c r="C679" s="183" t="s">
        <v>593</v>
      </c>
      <c r="D679" s="183">
        <v>23</v>
      </c>
      <c r="E679" s="183">
        <v>15</v>
      </c>
      <c r="F679" s="183">
        <v>2033</v>
      </c>
      <c r="G679" s="183">
        <v>915</v>
      </c>
      <c r="H679" s="183">
        <v>1058</v>
      </c>
      <c r="I679" s="183">
        <v>17</v>
      </c>
      <c r="J679" s="183">
        <v>197</v>
      </c>
      <c r="K679" s="183">
        <v>1</v>
      </c>
      <c r="L679" s="183">
        <v>1</v>
      </c>
      <c r="M679" s="183">
        <v>434</v>
      </c>
      <c r="N679" s="183">
        <v>0</v>
      </c>
      <c r="O679" s="183">
        <v>16</v>
      </c>
      <c r="P679" s="183">
        <v>4440</v>
      </c>
      <c r="Q679" s="183">
        <v>250</v>
      </c>
    </row>
    <row r="680" spans="1:17">
      <c r="A680" s="183" t="s">
        <v>2062</v>
      </c>
      <c r="B680" s="183" t="s">
        <v>232</v>
      </c>
      <c r="C680" s="183" t="s">
        <v>2636</v>
      </c>
      <c r="D680" s="183">
        <v>43</v>
      </c>
      <c r="E680" s="183">
        <v>34</v>
      </c>
      <c r="F680" s="183">
        <v>6839</v>
      </c>
      <c r="G680" s="183">
        <v>11</v>
      </c>
      <c r="H680" s="183">
        <v>52</v>
      </c>
      <c r="I680" s="183">
        <v>448</v>
      </c>
      <c r="J680" s="183">
        <v>200</v>
      </c>
      <c r="K680" s="183">
        <v>4</v>
      </c>
      <c r="L680" s="183">
        <v>3</v>
      </c>
      <c r="M680" s="183">
        <v>412</v>
      </c>
      <c r="N680" s="183">
        <v>1095</v>
      </c>
      <c r="O680" s="183">
        <v>38</v>
      </c>
      <c r="P680" s="183">
        <v>8409</v>
      </c>
      <c r="Q680" s="183">
        <v>212</v>
      </c>
    </row>
    <row r="681" spans="1:17">
      <c r="A681" s="183" t="s">
        <v>2062</v>
      </c>
      <c r="B681" s="183" t="s">
        <v>234</v>
      </c>
      <c r="C681" s="183" t="s">
        <v>2637</v>
      </c>
      <c r="D681" s="183">
        <v>5</v>
      </c>
      <c r="E681" s="183">
        <v>4</v>
      </c>
      <c r="F681" s="183">
        <v>521</v>
      </c>
      <c r="G681" s="183">
        <v>228</v>
      </c>
      <c r="H681" s="183">
        <v>84</v>
      </c>
      <c r="I681" s="183">
        <v>5</v>
      </c>
      <c r="J681" s="183">
        <v>202</v>
      </c>
      <c r="K681" s="183">
        <v>1</v>
      </c>
      <c r="L681" s="183">
        <v>0</v>
      </c>
      <c r="M681" s="183">
        <v>850</v>
      </c>
      <c r="N681" s="183">
        <v>2189</v>
      </c>
      <c r="O681" s="183">
        <v>4</v>
      </c>
      <c r="P681" s="183">
        <v>3872</v>
      </c>
      <c r="Q681" s="183">
        <v>729</v>
      </c>
    </row>
    <row r="682" spans="1:17">
      <c r="A682" s="183" t="s">
        <v>2062</v>
      </c>
      <c r="B682" s="183" t="s">
        <v>313</v>
      </c>
      <c r="C682" s="183" t="s">
        <v>2638</v>
      </c>
      <c r="D682" s="183">
        <v>15</v>
      </c>
      <c r="E682" s="183">
        <v>11</v>
      </c>
      <c r="F682" s="183">
        <v>2217</v>
      </c>
      <c r="G682" s="183">
        <v>19</v>
      </c>
      <c r="H682" s="183">
        <v>60</v>
      </c>
      <c r="I682" s="183">
        <v>25</v>
      </c>
      <c r="J682" s="183">
        <v>203</v>
      </c>
      <c r="K682" s="183">
        <v>1</v>
      </c>
      <c r="L682" s="183">
        <v>2</v>
      </c>
      <c r="M682" s="183">
        <v>0</v>
      </c>
      <c r="N682" s="183">
        <v>2750</v>
      </c>
      <c r="O682" s="183">
        <v>13</v>
      </c>
      <c r="P682" s="183">
        <v>5046</v>
      </c>
      <c r="Q682" s="183">
        <v>392</v>
      </c>
    </row>
    <row r="683" spans="1:17">
      <c r="A683" s="183" t="s">
        <v>2062</v>
      </c>
      <c r="B683" s="183" t="s">
        <v>463</v>
      </c>
      <c r="C683" s="183" t="s">
        <v>1986</v>
      </c>
      <c r="D683" s="183">
        <v>14</v>
      </c>
      <c r="E683" s="183">
        <v>13</v>
      </c>
      <c r="F683" s="183">
        <v>2783</v>
      </c>
      <c r="G683" s="183">
        <v>0</v>
      </c>
      <c r="H683" s="183">
        <v>0</v>
      </c>
      <c r="I683" s="183">
        <v>21</v>
      </c>
      <c r="J683" s="183">
        <v>207</v>
      </c>
      <c r="K683" s="183">
        <v>0</v>
      </c>
      <c r="L683" s="183">
        <v>0</v>
      </c>
      <c r="M683" s="183">
        <v>0</v>
      </c>
      <c r="N683" s="183">
        <v>1531</v>
      </c>
      <c r="O683" s="183">
        <v>13</v>
      </c>
      <c r="P683" s="183">
        <v>4314</v>
      </c>
      <c r="Q683" s="183">
        <v>321</v>
      </c>
    </row>
    <row r="684" spans="1:17">
      <c r="A684" s="183" t="s">
        <v>2062</v>
      </c>
      <c r="B684" s="183" t="s">
        <v>331</v>
      </c>
      <c r="C684" s="183" t="s">
        <v>2639</v>
      </c>
      <c r="D684" s="183">
        <v>2</v>
      </c>
      <c r="E684" s="183">
        <v>4</v>
      </c>
      <c r="F684" s="183">
        <v>603</v>
      </c>
      <c r="G684" s="183">
        <v>164</v>
      </c>
      <c r="H684" s="183">
        <v>1621</v>
      </c>
      <c r="I684" s="183">
        <v>63</v>
      </c>
      <c r="J684" s="183">
        <v>207</v>
      </c>
      <c r="K684" s="183">
        <v>0</v>
      </c>
      <c r="L684" s="183">
        <v>0</v>
      </c>
      <c r="M684" s="183">
        <v>0</v>
      </c>
      <c r="N684" s="183">
        <v>7338</v>
      </c>
      <c r="O684" s="183">
        <v>4</v>
      </c>
      <c r="P684" s="183">
        <v>9726</v>
      </c>
      <c r="Q684" s="183">
        <v>2619</v>
      </c>
    </row>
    <row r="685" spans="1:17">
      <c r="A685" s="183" t="s">
        <v>2062</v>
      </c>
      <c r="B685" s="183" t="s">
        <v>103</v>
      </c>
      <c r="C685" s="183" t="s">
        <v>102</v>
      </c>
      <c r="D685" s="183">
        <v>82</v>
      </c>
      <c r="E685" s="183">
        <v>96</v>
      </c>
      <c r="F685" s="183">
        <v>18718</v>
      </c>
      <c r="G685" s="183">
        <v>1207</v>
      </c>
      <c r="H685" s="183">
        <v>316</v>
      </c>
      <c r="I685" s="183">
        <v>484</v>
      </c>
      <c r="J685" s="183">
        <v>208</v>
      </c>
      <c r="K685" s="183">
        <v>14</v>
      </c>
      <c r="L685" s="183">
        <v>10</v>
      </c>
      <c r="M685" s="183">
        <v>5764</v>
      </c>
      <c r="N685" s="183">
        <v>1639</v>
      </c>
      <c r="O685" s="183">
        <v>106</v>
      </c>
      <c r="P685" s="183">
        <v>27644</v>
      </c>
      <c r="Q685" s="183">
        <v>207</v>
      </c>
    </row>
    <row r="686" spans="1:17">
      <c r="A686" s="183" t="s">
        <v>2062</v>
      </c>
      <c r="B686" s="183" t="s">
        <v>744</v>
      </c>
      <c r="C686" s="183" t="s">
        <v>2640</v>
      </c>
      <c r="D686" s="183">
        <v>37</v>
      </c>
      <c r="E686" s="183">
        <v>22</v>
      </c>
      <c r="F686" s="183">
        <v>4569</v>
      </c>
      <c r="G686" s="183">
        <v>3</v>
      </c>
      <c r="H686" s="183">
        <v>23</v>
      </c>
      <c r="I686" s="183">
        <v>47</v>
      </c>
      <c r="J686" s="183">
        <v>209</v>
      </c>
      <c r="K686" s="183">
        <v>0</v>
      </c>
      <c r="L686" s="183">
        <v>0</v>
      </c>
      <c r="M686" s="183">
        <v>0</v>
      </c>
      <c r="N686" s="183">
        <v>1231</v>
      </c>
      <c r="O686" s="183">
        <v>22</v>
      </c>
      <c r="P686" s="183">
        <v>5826</v>
      </c>
      <c r="Q686" s="183">
        <v>267</v>
      </c>
    </row>
    <row r="687" spans="1:17">
      <c r="A687" s="183" t="s">
        <v>2062</v>
      </c>
      <c r="B687" s="183" t="s">
        <v>2641</v>
      </c>
      <c r="C687" s="183" t="s">
        <v>2642</v>
      </c>
      <c r="D687" s="183">
        <v>8</v>
      </c>
      <c r="E687" s="183">
        <v>8</v>
      </c>
      <c r="F687" s="183">
        <v>1764</v>
      </c>
      <c r="G687" s="183">
        <v>4</v>
      </c>
      <c r="H687" s="183">
        <v>0</v>
      </c>
      <c r="I687" s="183">
        <v>9</v>
      </c>
      <c r="J687" s="183">
        <v>210</v>
      </c>
      <c r="K687" s="183">
        <v>0</v>
      </c>
      <c r="L687" s="183">
        <v>0</v>
      </c>
      <c r="M687" s="183">
        <v>0</v>
      </c>
      <c r="N687" s="183">
        <v>833</v>
      </c>
      <c r="O687" s="183">
        <v>8</v>
      </c>
      <c r="P687" s="183">
        <v>2601</v>
      </c>
      <c r="Q687" s="183">
        <v>309</v>
      </c>
    </row>
    <row r="688" spans="1:17">
      <c r="A688" s="183" t="s">
        <v>2062</v>
      </c>
      <c r="B688" s="183" t="s">
        <v>60</v>
      </c>
      <c r="C688" s="183" t="s">
        <v>2643</v>
      </c>
      <c r="D688" s="183">
        <v>32</v>
      </c>
      <c r="E688" s="183">
        <v>34</v>
      </c>
      <c r="F688" s="183">
        <v>6791</v>
      </c>
      <c r="G688" s="183">
        <v>431</v>
      </c>
      <c r="H688" s="183">
        <v>0</v>
      </c>
      <c r="I688" s="183">
        <v>109</v>
      </c>
      <c r="J688" s="183">
        <v>211</v>
      </c>
      <c r="K688" s="183">
        <v>0</v>
      </c>
      <c r="L688" s="183">
        <v>0</v>
      </c>
      <c r="M688" s="183">
        <v>0</v>
      </c>
      <c r="N688" s="183">
        <v>1564</v>
      </c>
      <c r="O688" s="183">
        <v>34</v>
      </c>
      <c r="P688" s="183">
        <v>8786</v>
      </c>
      <c r="Q688" s="183">
        <v>256</v>
      </c>
    </row>
    <row r="689" spans="1:17">
      <c r="A689" s="183" t="s">
        <v>2062</v>
      </c>
      <c r="B689" s="183" t="s">
        <v>455</v>
      </c>
      <c r="C689" s="183" t="s">
        <v>1941</v>
      </c>
      <c r="D689" s="183">
        <v>9</v>
      </c>
      <c r="E689" s="183">
        <v>7</v>
      </c>
      <c r="F689" s="183">
        <v>1461</v>
      </c>
      <c r="G689" s="183">
        <v>3</v>
      </c>
      <c r="H689" s="183">
        <v>0</v>
      </c>
      <c r="I689" s="183">
        <v>37</v>
      </c>
      <c r="J689" s="183">
        <v>214</v>
      </c>
      <c r="K689" s="183">
        <v>0</v>
      </c>
      <c r="L689" s="183">
        <v>0</v>
      </c>
      <c r="M689" s="183">
        <v>0</v>
      </c>
      <c r="N689" s="183">
        <v>3147</v>
      </c>
      <c r="O689" s="183">
        <v>7</v>
      </c>
      <c r="P689" s="183">
        <v>4611</v>
      </c>
      <c r="Q689" s="183">
        <v>672</v>
      </c>
    </row>
    <row r="690" spans="1:17">
      <c r="A690" s="183" t="s">
        <v>2062</v>
      </c>
      <c r="B690" s="183" t="s">
        <v>196</v>
      </c>
      <c r="C690" s="183" t="s">
        <v>195</v>
      </c>
      <c r="D690" s="183">
        <v>10</v>
      </c>
      <c r="E690" s="183">
        <v>7</v>
      </c>
      <c r="F690" s="183">
        <v>1438</v>
      </c>
      <c r="G690" s="183">
        <v>3</v>
      </c>
      <c r="H690" s="183">
        <v>0</v>
      </c>
      <c r="I690" s="183">
        <v>12</v>
      </c>
      <c r="J690" s="183">
        <v>215</v>
      </c>
      <c r="K690" s="183">
        <v>1</v>
      </c>
      <c r="L690" s="183">
        <v>0</v>
      </c>
      <c r="M690" s="183">
        <v>280</v>
      </c>
      <c r="N690" s="183">
        <v>6882</v>
      </c>
      <c r="O690" s="183">
        <v>7</v>
      </c>
      <c r="P690" s="183">
        <v>8603</v>
      </c>
      <c r="Q690" s="183">
        <v>1189</v>
      </c>
    </row>
    <row r="691" spans="1:17">
      <c r="A691" s="183" t="s">
        <v>2062</v>
      </c>
      <c r="B691" s="183" t="s">
        <v>684</v>
      </c>
      <c r="C691" s="183" t="s">
        <v>1943</v>
      </c>
      <c r="D691" s="183">
        <v>12</v>
      </c>
      <c r="E691" s="183">
        <v>10</v>
      </c>
      <c r="F691" s="183">
        <v>2033</v>
      </c>
      <c r="G691" s="183">
        <v>22</v>
      </c>
      <c r="H691" s="183">
        <v>0</v>
      </c>
      <c r="I691" s="183">
        <v>15</v>
      </c>
      <c r="J691" s="183">
        <v>215</v>
      </c>
      <c r="K691" s="183">
        <v>3</v>
      </c>
      <c r="L691" s="183">
        <v>8</v>
      </c>
      <c r="M691" s="183">
        <v>1864</v>
      </c>
      <c r="N691" s="183">
        <v>5382</v>
      </c>
      <c r="O691" s="183">
        <v>18</v>
      </c>
      <c r="P691" s="183">
        <v>9301</v>
      </c>
      <c r="Q691" s="183">
        <v>416</v>
      </c>
    </row>
    <row r="692" spans="1:17">
      <c r="A692" s="183" t="s">
        <v>2068</v>
      </c>
      <c r="B692" s="183" t="s">
        <v>1007</v>
      </c>
      <c r="C692" s="183" t="s">
        <v>1006</v>
      </c>
      <c r="D692" s="183">
        <v>4</v>
      </c>
      <c r="E692" s="183">
        <v>4</v>
      </c>
      <c r="F692" s="183">
        <v>832</v>
      </c>
      <c r="G692" s="183">
        <v>0</v>
      </c>
      <c r="H692" s="183">
        <v>1</v>
      </c>
      <c r="I692" s="183">
        <v>12</v>
      </c>
      <c r="J692" s="183">
        <v>216</v>
      </c>
      <c r="K692" s="183">
        <v>0</v>
      </c>
      <c r="L692" s="183">
        <v>0</v>
      </c>
      <c r="M692" s="183">
        <v>0</v>
      </c>
      <c r="N692" s="183">
        <v>0</v>
      </c>
      <c r="O692" s="183">
        <v>4</v>
      </c>
      <c r="P692" s="183">
        <v>833</v>
      </c>
      <c r="Q692" s="183">
        <v>216</v>
      </c>
    </row>
    <row r="693" spans="1:17">
      <c r="A693" s="183" t="s">
        <v>2062</v>
      </c>
      <c r="B693" s="183" t="s">
        <v>592</v>
      </c>
      <c r="C693" s="183" t="s">
        <v>1985</v>
      </c>
      <c r="D693" s="183">
        <v>7</v>
      </c>
      <c r="E693" s="183">
        <v>6</v>
      </c>
      <c r="F693" s="183">
        <v>1294</v>
      </c>
      <c r="G693" s="183">
        <v>0</v>
      </c>
      <c r="H693" s="183">
        <v>0</v>
      </c>
      <c r="I693" s="183">
        <v>10</v>
      </c>
      <c r="J693" s="183">
        <v>221</v>
      </c>
      <c r="K693" s="183">
        <v>0</v>
      </c>
      <c r="L693" s="183">
        <v>0</v>
      </c>
      <c r="M693" s="183">
        <v>0</v>
      </c>
      <c r="N693" s="183">
        <v>669</v>
      </c>
      <c r="O693" s="183">
        <v>6</v>
      </c>
      <c r="P693" s="183">
        <v>1963</v>
      </c>
      <c r="Q693" s="183">
        <v>335</v>
      </c>
    </row>
    <row r="694" spans="1:17">
      <c r="A694" s="183" t="s">
        <v>2078</v>
      </c>
      <c r="B694" s="183" t="s">
        <v>1388</v>
      </c>
      <c r="C694" s="183" t="s">
        <v>2644</v>
      </c>
      <c r="D694" s="183">
        <v>22</v>
      </c>
      <c r="E694" s="183">
        <v>13</v>
      </c>
      <c r="F694" s="183">
        <v>2193</v>
      </c>
      <c r="G694" s="183">
        <v>692</v>
      </c>
      <c r="H694" s="183">
        <v>200</v>
      </c>
      <c r="I694" s="183">
        <v>33</v>
      </c>
      <c r="J694" s="183">
        <v>224</v>
      </c>
      <c r="K694" s="183">
        <v>0</v>
      </c>
      <c r="L694" s="183">
        <v>0</v>
      </c>
      <c r="M694" s="183">
        <v>0</v>
      </c>
      <c r="N694" s="183">
        <v>4258</v>
      </c>
      <c r="O694" s="183">
        <v>13</v>
      </c>
      <c r="P694" s="183">
        <v>7343</v>
      </c>
      <c r="Q694" s="183">
        <v>571</v>
      </c>
    </row>
    <row r="695" spans="1:17">
      <c r="A695" s="183" t="s">
        <v>2062</v>
      </c>
      <c r="B695" s="183" t="s">
        <v>727</v>
      </c>
      <c r="C695" s="183" t="s">
        <v>2645</v>
      </c>
      <c r="D695" s="183">
        <v>66</v>
      </c>
      <c r="E695" s="183">
        <v>57</v>
      </c>
      <c r="F695" s="183">
        <v>12891</v>
      </c>
      <c r="G695" s="183">
        <v>69</v>
      </c>
      <c r="H695" s="183">
        <v>218</v>
      </c>
      <c r="I695" s="183">
        <v>246</v>
      </c>
      <c r="J695" s="183">
        <v>226</v>
      </c>
      <c r="K695" s="183">
        <v>8</v>
      </c>
      <c r="L695" s="183">
        <v>7</v>
      </c>
      <c r="M695" s="183">
        <v>272</v>
      </c>
      <c r="N695" s="183">
        <v>561</v>
      </c>
      <c r="O695" s="183">
        <v>64</v>
      </c>
      <c r="P695" s="183">
        <v>14011</v>
      </c>
      <c r="Q695" s="183">
        <v>213</v>
      </c>
    </row>
    <row r="696" spans="1:17">
      <c r="A696" s="183" t="s">
        <v>2062</v>
      </c>
      <c r="B696" s="183" t="s">
        <v>94</v>
      </c>
      <c r="C696" s="183" t="s">
        <v>1923</v>
      </c>
      <c r="D696" s="183">
        <v>11</v>
      </c>
      <c r="E696" s="183">
        <v>11</v>
      </c>
      <c r="F696" s="183">
        <v>2585</v>
      </c>
      <c r="G696" s="183">
        <v>76</v>
      </c>
      <c r="H696" s="183">
        <v>28</v>
      </c>
      <c r="I696" s="183">
        <v>15</v>
      </c>
      <c r="J696" s="183">
        <v>236</v>
      </c>
      <c r="K696" s="183">
        <v>0</v>
      </c>
      <c r="L696" s="183">
        <v>0</v>
      </c>
      <c r="M696" s="183">
        <v>0</v>
      </c>
      <c r="N696" s="183">
        <v>12</v>
      </c>
      <c r="O696" s="183">
        <v>11</v>
      </c>
      <c r="P696" s="183">
        <v>2701</v>
      </c>
      <c r="Q696" s="183">
        <v>239</v>
      </c>
    </row>
    <row r="697" spans="1:17">
      <c r="A697" s="183" t="s">
        <v>2062</v>
      </c>
      <c r="B697" s="183" t="s">
        <v>267</v>
      </c>
      <c r="C697" s="183" t="s">
        <v>266</v>
      </c>
      <c r="D697" s="183">
        <v>3</v>
      </c>
      <c r="E697" s="183">
        <v>2</v>
      </c>
      <c r="F697" s="183">
        <v>551</v>
      </c>
      <c r="G697" s="183">
        <v>0</v>
      </c>
      <c r="H697" s="183">
        <v>0</v>
      </c>
      <c r="I697" s="183">
        <v>4</v>
      </c>
      <c r="J697" s="183">
        <v>241</v>
      </c>
      <c r="K697" s="183">
        <v>0</v>
      </c>
      <c r="L697" s="183">
        <v>0</v>
      </c>
      <c r="M697" s="183">
        <v>0</v>
      </c>
      <c r="N697" s="183">
        <v>652</v>
      </c>
      <c r="O697" s="183">
        <v>2</v>
      </c>
      <c r="P697" s="183">
        <v>1203</v>
      </c>
      <c r="Q697" s="183">
        <v>526</v>
      </c>
    </row>
    <row r="698" spans="1:17">
      <c r="A698" s="183" t="s">
        <v>2062</v>
      </c>
      <c r="B698" s="183" t="s">
        <v>435</v>
      </c>
      <c r="C698" s="183" t="s">
        <v>2019</v>
      </c>
      <c r="D698" s="183">
        <v>4</v>
      </c>
      <c r="E698" s="183">
        <v>10</v>
      </c>
      <c r="F698" s="183">
        <v>2356</v>
      </c>
      <c r="G698" s="183">
        <v>2</v>
      </c>
      <c r="H698" s="183">
        <v>18</v>
      </c>
      <c r="I698" s="183">
        <v>10</v>
      </c>
      <c r="J698" s="183">
        <v>246</v>
      </c>
      <c r="K698" s="183">
        <v>0</v>
      </c>
      <c r="L698" s="183">
        <v>1</v>
      </c>
      <c r="M698" s="183">
        <v>236</v>
      </c>
      <c r="N698" s="183">
        <v>2055</v>
      </c>
      <c r="O698" s="183">
        <v>10</v>
      </c>
      <c r="P698" s="183">
        <v>4667</v>
      </c>
      <c r="Q698" s="183">
        <v>437</v>
      </c>
    </row>
    <row r="699" spans="1:17">
      <c r="A699" s="183" t="s">
        <v>2068</v>
      </c>
      <c r="B699" s="183" t="s">
        <v>1075</v>
      </c>
      <c r="C699" s="183" t="s">
        <v>1997</v>
      </c>
      <c r="D699" s="183">
        <v>9</v>
      </c>
      <c r="E699" s="183">
        <v>9</v>
      </c>
      <c r="F699" s="183">
        <v>2311</v>
      </c>
      <c r="G699" s="183">
        <v>3</v>
      </c>
      <c r="H699" s="183">
        <v>106</v>
      </c>
      <c r="I699" s="183">
        <v>2</v>
      </c>
      <c r="J699" s="183">
        <v>253</v>
      </c>
      <c r="K699" s="183">
        <v>0</v>
      </c>
      <c r="L699" s="183">
        <v>0</v>
      </c>
      <c r="M699" s="183">
        <v>0</v>
      </c>
      <c r="N699" s="183">
        <v>3077</v>
      </c>
      <c r="O699" s="183">
        <v>9</v>
      </c>
      <c r="P699" s="183">
        <v>5497</v>
      </c>
      <c r="Q699" s="183">
        <v>601</v>
      </c>
    </row>
    <row r="700" spans="1:17">
      <c r="A700" s="183" t="s">
        <v>2062</v>
      </c>
      <c r="B700" s="183" t="s">
        <v>141</v>
      </c>
      <c r="C700" s="183" t="s">
        <v>1965</v>
      </c>
      <c r="D700" s="183">
        <v>11</v>
      </c>
      <c r="E700" s="183">
        <v>10</v>
      </c>
      <c r="F700" s="183">
        <v>2414</v>
      </c>
      <c r="G700" s="183">
        <v>52</v>
      </c>
      <c r="H700" s="183">
        <v>2521</v>
      </c>
      <c r="I700" s="183">
        <v>7</v>
      </c>
      <c r="J700" s="183">
        <v>254</v>
      </c>
      <c r="K700" s="183">
        <v>1</v>
      </c>
      <c r="L700" s="183">
        <v>0</v>
      </c>
      <c r="M700" s="183">
        <v>257</v>
      </c>
      <c r="N700" s="183">
        <v>6989</v>
      </c>
      <c r="O700" s="183">
        <v>10</v>
      </c>
      <c r="P700" s="183">
        <v>12233</v>
      </c>
      <c r="Q700" s="183">
        <v>1198</v>
      </c>
    </row>
    <row r="701" spans="1:17">
      <c r="A701" s="183" t="s">
        <v>2078</v>
      </c>
      <c r="B701" s="183" t="s">
        <v>1317</v>
      </c>
      <c r="C701" s="183" t="s">
        <v>2646</v>
      </c>
      <c r="D701" s="183">
        <v>14</v>
      </c>
      <c r="E701" s="183">
        <v>13</v>
      </c>
      <c r="F701" s="183">
        <v>2052</v>
      </c>
      <c r="G701" s="183">
        <v>1217</v>
      </c>
      <c r="H701" s="183">
        <v>1504</v>
      </c>
      <c r="I701" s="183">
        <v>29</v>
      </c>
      <c r="J701" s="183">
        <v>260</v>
      </c>
      <c r="K701" s="183">
        <v>0</v>
      </c>
      <c r="L701" s="183">
        <v>0</v>
      </c>
      <c r="M701" s="183">
        <v>0</v>
      </c>
      <c r="N701" s="183">
        <v>71</v>
      </c>
      <c r="O701" s="183">
        <v>13</v>
      </c>
      <c r="P701" s="183">
        <v>4844</v>
      </c>
      <c r="Q701" s="183">
        <v>385</v>
      </c>
    </row>
    <row r="702" spans="1:17">
      <c r="A702" s="183" t="s">
        <v>2068</v>
      </c>
      <c r="B702" s="183" t="s">
        <v>1067</v>
      </c>
      <c r="C702" s="183" t="s">
        <v>2647</v>
      </c>
      <c r="D702" s="183">
        <v>1</v>
      </c>
      <c r="E702" s="183">
        <v>4</v>
      </c>
      <c r="F702" s="183">
        <v>1072</v>
      </c>
      <c r="G702" s="183">
        <v>4</v>
      </c>
      <c r="H702" s="183">
        <v>0</v>
      </c>
      <c r="I702" s="183">
        <v>141</v>
      </c>
      <c r="J702" s="183">
        <v>260</v>
      </c>
      <c r="K702" s="183">
        <v>0</v>
      </c>
      <c r="L702" s="183">
        <v>0</v>
      </c>
      <c r="M702" s="183">
        <v>0</v>
      </c>
      <c r="N702" s="183">
        <v>4307</v>
      </c>
      <c r="O702" s="183">
        <v>4</v>
      </c>
      <c r="P702" s="183">
        <v>5383</v>
      </c>
      <c r="Q702" s="183">
        <v>1299</v>
      </c>
    </row>
    <row r="703" spans="1:17">
      <c r="A703" s="183" t="s">
        <v>2078</v>
      </c>
      <c r="B703" s="183" t="s">
        <v>1368</v>
      </c>
      <c r="C703" s="183" t="s">
        <v>2648</v>
      </c>
      <c r="D703" s="183">
        <v>1</v>
      </c>
      <c r="E703" s="183">
        <v>4</v>
      </c>
      <c r="F703" s="183">
        <v>1106</v>
      </c>
      <c r="G703" s="183">
        <v>11</v>
      </c>
      <c r="H703" s="183">
        <v>0</v>
      </c>
      <c r="I703" s="183">
        <v>1080</v>
      </c>
      <c r="J703" s="183">
        <v>261</v>
      </c>
      <c r="K703" s="183">
        <v>0</v>
      </c>
      <c r="L703" s="183">
        <v>0</v>
      </c>
      <c r="M703" s="183">
        <v>0</v>
      </c>
      <c r="N703" s="183">
        <v>3320</v>
      </c>
      <c r="O703" s="183">
        <v>4</v>
      </c>
      <c r="P703" s="183">
        <v>4437</v>
      </c>
      <c r="Q703" s="183">
        <v>1035</v>
      </c>
    </row>
    <row r="704" spans="1:17">
      <c r="A704" s="183" t="s">
        <v>2078</v>
      </c>
      <c r="B704" s="183" t="s">
        <v>1466</v>
      </c>
      <c r="C704" s="183" t="s">
        <v>1963</v>
      </c>
      <c r="D704" s="183">
        <v>14</v>
      </c>
      <c r="E704" s="183">
        <v>6</v>
      </c>
      <c r="F704" s="183">
        <v>1420</v>
      </c>
      <c r="G704" s="183">
        <v>96</v>
      </c>
      <c r="H704" s="183">
        <v>0</v>
      </c>
      <c r="I704" s="183">
        <v>6</v>
      </c>
      <c r="J704" s="183">
        <v>272</v>
      </c>
      <c r="K704" s="183">
        <v>0</v>
      </c>
      <c r="L704" s="183">
        <v>0</v>
      </c>
      <c r="M704" s="183">
        <v>0</v>
      </c>
      <c r="N704" s="183">
        <v>2952</v>
      </c>
      <c r="O704" s="183">
        <v>6</v>
      </c>
      <c r="P704" s="183">
        <v>4468</v>
      </c>
      <c r="Q704" s="183">
        <v>802</v>
      </c>
    </row>
    <row r="705" spans="1:17">
      <c r="A705" s="183" t="s">
        <v>2062</v>
      </c>
      <c r="B705" s="183" t="s">
        <v>387</v>
      </c>
      <c r="C705" s="183" t="s">
        <v>2649</v>
      </c>
      <c r="D705" s="183">
        <v>4</v>
      </c>
      <c r="E705" s="183">
        <v>9</v>
      </c>
      <c r="F705" s="183">
        <v>2347</v>
      </c>
      <c r="G705" s="183">
        <v>28</v>
      </c>
      <c r="H705" s="183">
        <v>1</v>
      </c>
      <c r="I705" s="183">
        <v>3</v>
      </c>
      <c r="J705" s="183">
        <v>277</v>
      </c>
      <c r="K705" s="183">
        <v>0</v>
      </c>
      <c r="L705" s="183">
        <v>0</v>
      </c>
      <c r="M705" s="183">
        <v>0</v>
      </c>
      <c r="N705" s="183">
        <v>1800</v>
      </c>
      <c r="O705" s="183">
        <v>9</v>
      </c>
      <c r="P705" s="183">
        <v>4176</v>
      </c>
      <c r="Q705" s="183">
        <v>487</v>
      </c>
    </row>
    <row r="706" spans="1:17">
      <c r="A706" s="183" t="s">
        <v>2062</v>
      </c>
      <c r="B706" s="183" t="s">
        <v>379</v>
      </c>
      <c r="C706" s="183" t="s">
        <v>2650</v>
      </c>
      <c r="D706" s="183">
        <v>3</v>
      </c>
      <c r="E706" s="183">
        <v>4</v>
      </c>
      <c r="F706" s="183">
        <v>1238</v>
      </c>
      <c r="G706" s="183">
        <v>11</v>
      </c>
      <c r="H706" s="183">
        <v>1138</v>
      </c>
      <c r="I706" s="183">
        <v>70</v>
      </c>
      <c r="J706" s="183">
        <v>282</v>
      </c>
      <c r="K706" s="183">
        <v>0</v>
      </c>
      <c r="L706" s="183">
        <v>0</v>
      </c>
      <c r="M706" s="183">
        <v>0</v>
      </c>
      <c r="N706" s="183">
        <v>0</v>
      </c>
      <c r="O706" s="183">
        <v>4</v>
      </c>
      <c r="P706" s="183">
        <v>2387</v>
      </c>
      <c r="Q706" s="183">
        <v>539</v>
      </c>
    </row>
    <row r="707" spans="1:17">
      <c r="A707" s="183" t="s">
        <v>2078</v>
      </c>
      <c r="B707" s="183" t="s">
        <v>1360</v>
      </c>
      <c r="C707" s="183" t="s">
        <v>2651</v>
      </c>
      <c r="D707" s="183">
        <v>1</v>
      </c>
      <c r="E707" s="183">
        <v>4</v>
      </c>
      <c r="F707" s="183">
        <v>989</v>
      </c>
      <c r="G707" s="183">
        <v>302</v>
      </c>
      <c r="H707" s="183">
        <v>0</v>
      </c>
      <c r="I707" s="183">
        <v>198</v>
      </c>
      <c r="J707" s="183">
        <v>301</v>
      </c>
      <c r="K707" s="183">
        <v>0</v>
      </c>
      <c r="L707" s="183">
        <v>0</v>
      </c>
      <c r="M707" s="183">
        <v>0</v>
      </c>
      <c r="N707" s="183">
        <v>3293</v>
      </c>
      <c r="O707" s="183">
        <v>4</v>
      </c>
      <c r="P707" s="183">
        <v>4584</v>
      </c>
      <c r="Q707" s="183">
        <v>1070</v>
      </c>
    </row>
    <row r="708" spans="1:17">
      <c r="A708" s="183" t="s">
        <v>2062</v>
      </c>
      <c r="B708" s="183" t="s">
        <v>371</v>
      </c>
      <c r="C708" s="183" t="s">
        <v>2652</v>
      </c>
      <c r="D708" s="183">
        <v>3</v>
      </c>
      <c r="E708" s="183">
        <v>6</v>
      </c>
      <c r="F708" s="183">
        <v>1330</v>
      </c>
      <c r="G708" s="183">
        <v>593</v>
      </c>
      <c r="H708" s="183">
        <v>520</v>
      </c>
      <c r="I708" s="183">
        <v>3</v>
      </c>
      <c r="J708" s="183">
        <v>306</v>
      </c>
      <c r="K708" s="183">
        <v>0</v>
      </c>
      <c r="L708" s="183">
        <v>0</v>
      </c>
      <c r="M708" s="183">
        <v>0</v>
      </c>
      <c r="N708" s="183">
        <v>8976</v>
      </c>
      <c r="O708" s="183">
        <v>6</v>
      </c>
      <c r="P708" s="183">
        <v>11419</v>
      </c>
      <c r="Q708" s="183">
        <v>1817</v>
      </c>
    </row>
    <row r="709" spans="1:17">
      <c r="A709" s="183" t="s">
        <v>2062</v>
      </c>
      <c r="B709" s="183" t="s">
        <v>242</v>
      </c>
      <c r="C709" s="183" t="s">
        <v>2006</v>
      </c>
      <c r="D709" s="183">
        <v>5</v>
      </c>
      <c r="E709" s="183">
        <v>4</v>
      </c>
      <c r="F709" s="183">
        <v>1155</v>
      </c>
      <c r="G709" s="183">
        <v>1</v>
      </c>
      <c r="H709" s="183">
        <v>0</v>
      </c>
      <c r="I709" s="183">
        <v>156</v>
      </c>
      <c r="J709" s="183">
        <v>311</v>
      </c>
      <c r="K709" s="183">
        <v>1</v>
      </c>
      <c r="L709" s="183">
        <v>1</v>
      </c>
      <c r="M709" s="183">
        <v>175</v>
      </c>
      <c r="N709" s="183">
        <v>2694</v>
      </c>
      <c r="O709" s="183">
        <v>5</v>
      </c>
      <c r="P709" s="183">
        <v>4025</v>
      </c>
      <c r="Q709" s="183">
        <v>842</v>
      </c>
    </row>
    <row r="710" spans="1:17">
      <c r="A710" s="183" t="s">
        <v>2078</v>
      </c>
      <c r="B710" s="183" t="s">
        <v>1410</v>
      </c>
      <c r="C710" s="183" t="s">
        <v>1980</v>
      </c>
      <c r="D710" s="183">
        <v>7</v>
      </c>
      <c r="E710" s="183">
        <v>7</v>
      </c>
      <c r="F710" s="183">
        <v>2268</v>
      </c>
      <c r="G710" s="183">
        <v>2</v>
      </c>
      <c r="H710" s="183">
        <v>1</v>
      </c>
      <c r="I710" s="183">
        <v>7</v>
      </c>
      <c r="J710" s="183">
        <v>318</v>
      </c>
      <c r="K710" s="183">
        <v>0</v>
      </c>
      <c r="L710" s="183">
        <v>0</v>
      </c>
      <c r="M710" s="183">
        <v>0</v>
      </c>
      <c r="N710" s="183">
        <v>2109</v>
      </c>
      <c r="O710" s="183">
        <v>7</v>
      </c>
      <c r="P710" s="183">
        <v>4380</v>
      </c>
      <c r="Q710" s="183">
        <v>613</v>
      </c>
    </row>
    <row r="711" spans="1:17">
      <c r="A711" s="183" t="s">
        <v>2062</v>
      </c>
      <c r="B711" s="183" t="s">
        <v>182</v>
      </c>
      <c r="C711" s="183" t="s">
        <v>1995</v>
      </c>
      <c r="D711" s="183">
        <v>7</v>
      </c>
      <c r="E711" s="183">
        <v>5</v>
      </c>
      <c r="F711" s="183">
        <v>1732</v>
      </c>
      <c r="G711" s="183">
        <v>8</v>
      </c>
      <c r="H711" s="183">
        <v>0</v>
      </c>
      <c r="I711" s="183">
        <v>15</v>
      </c>
      <c r="J711" s="183">
        <v>338</v>
      </c>
      <c r="K711" s="183">
        <v>0</v>
      </c>
      <c r="L711" s="183">
        <v>0</v>
      </c>
      <c r="M711" s="183">
        <v>0</v>
      </c>
      <c r="N711" s="183">
        <v>3113</v>
      </c>
      <c r="O711" s="183">
        <v>5</v>
      </c>
      <c r="P711" s="183">
        <v>4853</v>
      </c>
      <c r="Q711" s="183">
        <v>944</v>
      </c>
    </row>
    <row r="712" spans="1:17">
      <c r="A712" s="183" t="s">
        <v>2062</v>
      </c>
      <c r="B712" s="183" t="s">
        <v>569</v>
      </c>
      <c r="C712" s="183" t="s">
        <v>2653</v>
      </c>
      <c r="D712" s="183">
        <v>45</v>
      </c>
      <c r="E712" s="183">
        <v>31</v>
      </c>
      <c r="F712" s="183">
        <v>929</v>
      </c>
      <c r="G712" s="183">
        <v>9463</v>
      </c>
      <c r="H712" s="183">
        <v>1432</v>
      </c>
      <c r="I712" s="183">
        <v>37</v>
      </c>
      <c r="J712" s="183">
        <v>338</v>
      </c>
      <c r="K712" s="183">
        <v>4</v>
      </c>
      <c r="L712" s="183">
        <v>6</v>
      </c>
      <c r="M712" s="183">
        <v>214</v>
      </c>
      <c r="N712" s="183">
        <v>1462</v>
      </c>
      <c r="O712" s="183">
        <v>36</v>
      </c>
      <c r="P712" s="183">
        <v>13500</v>
      </c>
      <c r="Q712" s="183">
        <v>365</v>
      </c>
    </row>
    <row r="713" spans="1:17">
      <c r="A713" s="183" t="s">
        <v>2062</v>
      </c>
      <c r="B713" s="183" t="s">
        <v>596</v>
      </c>
      <c r="C713" s="183" t="s">
        <v>1999</v>
      </c>
      <c r="D713" s="183">
        <v>9</v>
      </c>
      <c r="E713" s="183">
        <v>6</v>
      </c>
      <c r="F713" s="183">
        <v>2093</v>
      </c>
      <c r="G713" s="183">
        <v>0</v>
      </c>
      <c r="H713" s="183">
        <v>0</v>
      </c>
      <c r="I713" s="183">
        <v>38</v>
      </c>
      <c r="J713" s="183">
        <v>349</v>
      </c>
      <c r="K713" s="183">
        <v>1</v>
      </c>
      <c r="L713" s="183">
        <v>1</v>
      </c>
      <c r="M713" s="183">
        <v>299</v>
      </c>
      <c r="N713" s="183">
        <v>1770</v>
      </c>
      <c r="O713" s="183">
        <v>7</v>
      </c>
      <c r="P713" s="183">
        <v>4162</v>
      </c>
      <c r="Q713" s="183">
        <v>575</v>
      </c>
    </row>
    <row r="714" spans="1:17">
      <c r="A714" s="183" t="s">
        <v>2078</v>
      </c>
      <c r="B714" s="183" t="s">
        <v>1358</v>
      </c>
      <c r="C714" s="183" t="s">
        <v>2654</v>
      </c>
      <c r="D714" s="183">
        <v>1</v>
      </c>
      <c r="E714" s="183">
        <v>4</v>
      </c>
      <c r="F714" s="183">
        <v>1422</v>
      </c>
      <c r="G714" s="183">
        <v>81</v>
      </c>
      <c r="H714" s="183">
        <v>0</v>
      </c>
      <c r="I714" s="183">
        <v>1537</v>
      </c>
      <c r="J714" s="183">
        <v>351</v>
      </c>
      <c r="K714" s="183">
        <v>0</v>
      </c>
      <c r="L714" s="183">
        <v>0</v>
      </c>
      <c r="M714" s="183">
        <v>0</v>
      </c>
      <c r="N714" s="183">
        <v>4205</v>
      </c>
      <c r="O714" s="183">
        <v>4</v>
      </c>
      <c r="P714" s="183">
        <v>5708</v>
      </c>
      <c r="Q714" s="183">
        <v>1332</v>
      </c>
    </row>
    <row r="715" spans="1:17">
      <c r="A715" s="183" t="s">
        <v>2068</v>
      </c>
      <c r="B715" s="183" t="s">
        <v>1091</v>
      </c>
      <c r="C715" s="183" t="s">
        <v>2655</v>
      </c>
      <c r="D715" s="183">
        <v>2</v>
      </c>
      <c r="E715" s="183">
        <v>4</v>
      </c>
      <c r="F715" s="183">
        <v>1139</v>
      </c>
      <c r="G715" s="183">
        <v>266</v>
      </c>
      <c r="H715" s="183">
        <v>0</v>
      </c>
      <c r="I715" s="183">
        <v>0</v>
      </c>
      <c r="J715" s="183">
        <v>351</v>
      </c>
      <c r="K715" s="183">
        <v>0</v>
      </c>
      <c r="L715" s="183">
        <v>0</v>
      </c>
      <c r="M715" s="183">
        <v>0</v>
      </c>
      <c r="N715" s="183">
        <v>4493</v>
      </c>
      <c r="O715" s="183">
        <v>4</v>
      </c>
      <c r="P715" s="183">
        <v>5898</v>
      </c>
      <c r="Q715" s="183">
        <v>1475</v>
      </c>
    </row>
    <row r="716" spans="1:17">
      <c r="A716" s="183" t="s">
        <v>2078</v>
      </c>
      <c r="B716" s="183" t="s">
        <v>1314</v>
      </c>
      <c r="C716" s="183" t="s">
        <v>2656</v>
      </c>
      <c r="D716" s="183">
        <v>13</v>
      </c>
      <c r="E716" s="183">
        <v>13</v>
      </c>
      <c r="F716" s="183">
        <v>4820</v>
      </c>
      <c r="G716" s="183">
        <v>54</v>
      </c>
      <c r="H716" s="183">
        <v>40</v>
      </c>
      <c r="I716" s="183">
        <v>151</v>
      </c>
      <c r="J716" s="183">
        <v>363</v>
      </c>
      <c r="K716" s="183">
        <v>0</v>
      </c>
      <c r="L716" s="183">
        <v>0</v>
      </c>
      <c r="M716" s="183">
        <v>0</v>
      </c>
      <c r="N716" s="183">
        <v>152</v>
      </c>
      <c r="O716" s="183">
        <v>13</v>
      </c>
      <c r="P716" s="183">
        <v>5066</v>
      </c>
      <c r="Q716" s="183">
        <v>377</v>
      </c>
    </row>
    <row r="717" spans="1:17">
      <c r="A717" s="183" t="s">
        <v>2062</v>
      </c>
      <c r="B717" s="183" t="s">
        <v>293</v>
      </c>
      <c r="C717" s="183" t="s">
        <v>2001</v>
      </c>
      <c r="D717" s="183">
        <v>5</v>
      </c>
      <c r="E717" s="183">
        <v>6</v>
      </c>
      <c r="F717" s="183">
        <v>2056</v>
      </c>
      <c r="G717" s="183">
        <v>0</v>
      </c>
      <c r="H717" s="183">
        <v>0</v>
      </c>
      <c r="I717" s="183">
        <v>2</v>
      </c>
      <c r="J717" s="183">
        <v>369</v>
      </c>
      <c r="K717" s="183">
        <v>0</v>
      </c>
      <c r="L717" s="183">
        <v>0</v>
      </c>
      <c r="M717" s="183">
        <v>0</v>
      </c>
      <c r="N717" s="183">
        <v>5284</v>
      </c>
      <c r="O717" s="183">
        <v>6</v>
      </c>
      <c r="P717" s="183">
        <v>7340</v>
      </c>
      <c r="Q717" s="183">
        <v>1317</v>
      </c>
    </row>
    <row r="718" spans="1:17">
      <c r="A718" s="183" t="s">
        <v>2062</v>
      </c>
      <c r="B718" s="183" t="s">
        <v>561</v>
      </c>
      <c r="C718" s="183" t="s">
        <v>1991</v>
      </c>
      <c r="D718" s="183">
        <v>8</v>
      </c>
      <c r="E718" s="183">
        <v>4</v>
      </c>
      <c r="F718" s="183">
        <v>1656</v>
      </c>
      <c r="G718" s="183">
        <v>3</v>
      </c>
      <c r="H718" s="183">
        <v>9</v>
      </c>
      <c r="I718" s="183">
        <v>29</v>
      </c>
      <c r="J718" s="183">
        <v>375</v>
      </c>
      <c r="K718" s="183">
        <v>1</v>
      </c>
      <c r="L718" s="183">
        <v>1</v>
      </c>
      <c r="M718" s="183">
        <v>323</v>
      </c>
      <c r="N718" s="183">
        <v>2421</v>
      </c>
      <c r="O718" s="183">
        <v>5</v>
      </c>
      <c r="P718" s="183">
        <v>4412</v>
      </c>
      <c r="Q718" s="183">
        <v>774</v>
      </c>
    </row>
    <row r="719" spans="1:17">
      <c r="A719" s="183" t="s">
        <v>2062</v>
      </c>
      <c r="B719" s="183" t="s">
        <v>2042</v>
      </c>
      <c r="C719" s="183" t="s">
        <v>2043</v>
      </c>
      <c r="D719" s="183">
        <v>2</v>
      </c>
      <c r="E719" s="183">
        <v>6</v>
      </c>
      <c r="F719" s="183">
        <v>1900</v>
      </c>
      <c r="G719" s="183">
        <v>319</v>
      </c>
      <c r="H719" s="183">
        <v>75</v>
      </c>
      <c r="I719" s="183">
        <v>135</v>
      </c>
      <c r="J719" s="183">
        <v>379</v>
      </c>
      <c r="K719" s="183">
        <v>0</v>
      </c>
      <c r="L719" s="183">
        <v>0</v>
      </c>
      <c r="M719" s="183">
        <v>0</v>
      </c>
      <c r="N719" s="183">
        <v>1004</v>
      </c>
      <c r="O719" s="183">
        <v>6</v>
      </c>
      <c r="P719" s="183">
        <v>3298</v>
      </c>
      <c r="Q719" s="183">
        <v>563</v>
      </c>
    </row>
    <row r="720" spans="1:17">
      <c r="A720" s="183" t="s">
        <v>2078</v>
      </c>
      <c r="B720" s="183" t="s">
        <v>1408</v>
      </c>
      <c r="C720" s="183" t="s">
        <v>2657</v>
      </c>
      <c r="D720" s="183">
        <v>3</v>
      </c>
      <c r="E720" s="183">
        <v>5</v>
      </c>
      <c r="F720" s="183">
        <v>1835</v>
      </c>
      <c r="G720" s="183">
        <v>8</v>
      </c>
      <c r="H720" s="183">
        <v>16</v>
      </c>
      <c r="I720" s="183">
        <v>6</v>
      </c>
      <c r="J720" s="183">
        <v>379</v>
      </c>
      <c r="K720" s="183">
        <v>0</v>
      </c>
      <c r="L720" s="183">
        <v>0</v>
      </c>
      <c r="M720" s="183">
        <v>0</v>
      </c>
      <c r="N720" s="183">
        <v>2951</v>
      </c>
      <c r="O720" s="183">
        <v>5</v>
      </c>
      <c r="P720" s="183">
        <v>4810</v>
      </c>
      <c r="Q720" s="183">
        <v>990</v>
      </c>
    </row>
    <row r="721" spans="1:17">
      <c r="A721" s="183" t="s">
        <v>2062</v>
      </c>
      <c r="B721" s="183" t="s">
        <v>350</v>
      </c>
      <c r="C721" s="183" t="s">
        <v>2004</v>
      </c>
      <c r="D721" s="183">
        <v>5</v>
      </c>
      <c r="E721" s="183">
        <v>5</v>
      </c>
      <c r="F721" s="183">
        <v>2268</v>
      </c>
      <c r="G721" s="183">
        <v>5</v>
      </c>
      <c r="H721" s="183">
        <v>0</v>
      </c>
      <c r="I721" s="183">
        <v>3</v>
      </c>
      <c r="J721" s="183">
        <v>419</v>
      </c>
      <c r="K721" s="183">
        <v>0</v>
      </c>
      <c r="L721" s="183">
        <v>0</v>
      </c>
      <c r="M721" s="183">
        <v>0</v>
      </c>
      <c r="N721" s="183">
        <v>3182</v>
      </c>
      <c r="O721" s="183">
        <v>5</v>
      </c>
      <c r="P721" s="183">
        <v>5455</v>
      </c>
      <c r="Q721" s="183">
        <v>1005</v>
      </c>
    </row>
    <row r="722" spans="1:17">
      <c r="A722" s="183" t="s">
        <v>2078</v>
      </c>
      <c r="B722" s="183" t="s">
        <v>1382</v>
      </c>
      <c r="C722" s="183" t="s">
        <v>2024</v>
      </c>
      <c r="D722" s="183">
        <v>1</v>
      </c>
      <c r="E722" s="183">
        <v>2</v>
      </c>
      <c r="F722" s="183">
        <v>984</v>
      </c>
      <c r="G722" s="183">
        <v>2</v>
      </c>
      <c r="H722" s="183">
        <v>2</v>
      </c>
      <c r="I722" s="183">
        <v>3</v>
      </c>
      <c r="J722" s="183">
        <v>431</v>
      </c>
      <c r="K722" s="183">
        <v>0</v>
      </c>
      <c r="L722" s="183">
        <v>0</v>
      </c>
      <c r="M722" s="183">
        <v>0</v>
      </c>
      <c r="N722" s="183">
        <v>3981</v>
      </c>
      <c r="O722" s="183">
        <v>2</v>
      </c>
      <c r="P722" s="183">
        <v>4969</v>
      </c>
      <c r="Q722" s="183">
        <v>2174</v>
      </c>
    </row>
    <row r="723" spans="1:17">
      <c r="A723" s="183" t="s">
        <v>2062</v>
      </c>
      <c r="B723" s="183" t="s">
        <v>377</v>
      </c>
      <c r="C723" s="183" t="s">
        <v>2007</v>
      </c>
      <c r="D723" s="183">
        <v>5</v>
      </c>
      <c r="E723" s="183">
        <v>5</v>
      </c>
      <c r="F723" s="183">
        <v>2189</v>
      </c>
      <c r="G723" s="183">
        <v>6</v>
      </c>
      <c r="H723" s="183">
        <v>0</v>
      </c>
      <c r="I723" s="183">
        <v>8</v>
      </c>
      <c r="J723" s="183">
        <v>439</v>
      </c>
      <c r="K723" s="183">
        <v>0</v>
      </c>
      <c r="L723" s="183">
        <v>1</v>
      </c>
      <c r="M723" s="183">
        <v>252</v>
      </c>
      <c r="N723" s="183">
        <v>1771</v>
      </c>
      <c r="O723" s="183">
        <v>6</v>
      </c>
      <c r="P723" s="183">
        <v>4218</v>
      </c>
      <c r="Q723" s="183">
        <v>694</v>
      </c>
    </row>
    <row r="724" spans="1:17">
      <c r="A724" s="183" t="s">
        <v>2062</v>
      </c>
      <c r="B724" s="183" t="s">
        <v>192</v>
      </c>
      <c r="C724" s="183" t="s">
        <v>2022</v>
      </c>
      <c r="D724" s="183">
        <v>6</v>
      </c>
      <c r="E724" s="183">
        <v>3</v>
      </c>
      <c r="F724" s="183">
        <v>1439</v>
      </c>
      <c r="G724" s="183">
        <v>0</v>
      </c>
      <c r="H724" s="183">
        <v>3</v>
      </c>
      <c r="I724" s="183">
        <v>8</v>
      </c>
      <c r="J724" s="183">
        <v>458</v>
      </c>
      <c r="K724" s="183">
        <v>0</v>
      </c>
      <c r="L724" s="183">
        <v>1</v>
      </c>
      <c r="M724" s="183">
        <v>214</v>
      </c>
      <c r="N724" s="183">
        <v>979</v>
      </c>
      <c r="O724" s="183">
        <v>4</v>
      </c>
      <c r="P724" s="183">
        <v>2635</v>
      </c>
      <c r="Q724" s="183">
        <v>652</v>
      </c>
    </row>
    <row r="725" spans="1:17">
      <c r="A725" s="183" t="s">
        <v>2062</v>
      </c>
      <c r="B725" s="183" t="s">
        <v>431</v>
      </c>
      <c r="C725" s="183" t="s">
        <v>2008</v>
      </c>
      <c r="D725" s="183">
        <v>4</v>
      </c>
      <c r="E725" s="183">
        <v>4</v>
      </c>
      <c r="F725" s="183">
        <v>2260</v>
      </c>
      <c r="G725" s="183">
        <v>2</v>
      </c>
      <c r="H725" s="183">
        <v>0</v>
      </c>
      <c r="I725" s="183">
        <v>14</v>
      </c>
      <c r="J725" s="183">
        <v>511</v>
      </c>
      <c r="K725" s="183">
        <v>2</v>
      </c>
      <c r="L725" s="183">
        <v>1</v>
      </c>
      <c r="M725" s="183">
        <v>230</v>
      </c>
      <c r="N725" s="183">
        <v>1680</v>
      </c>
      <c r="O725" s="183">
        <v>5</v>
      </c>
      <c r="P725" s="183">
        <v>4172</v>
      </c>
      <c r="Q725" s="183">
        <v>726</v>
      </c>
    </row>
    <row r="726" spans="1:17">
      <c r="A726" s="183" t="s">
        <v>2062</v>
      </c>
      <c r="B726" s="183" t="s">
        <v>405</v>
      </c>
      <c r="C726" s="183" t="s">
        <v>2658</v>
      </c>
      <c r="D726" s="183">
        <v>3</v>
      </c>
      <c r="E726" s="183">
        <v>4</v>
      </c>
      <c r="F726" s="183">
        <v>1900</v>
      </c>
      <c r="G726" s="183">
        <v>13</v>
      </c>
      <c r="H726" s="183">
        <v>0</v>
      </c>
      <c r="I726" s="183">
        <v>0</v>
      </c>
      <c r="J726" s="183">
        <v>536</v>
      </c>
      <c r="K726" s="183">
        <v>0</v>
      </c>
      <c r="L726" s="183">
        <v>0</v>
      </c>
      <c r="M726" s="183">
        <v>0</v>
      </c>
      <c r="N726" s="183">
        <v>2698</v>
      </c>
      <c r="O726" s="183">
        <v>4</v>
      </c>
      <c r="P726" s="183">
        <v>4611</v>
      </c>
      <c r="Q726" s="183">
        <v>1291</v>
      </c>
    </row>
    <row r="727" spans="1:17">
      <c r="A727" s="183" t="s">
        <v>2078</v>
      </c>
      <c r="B727" s="183" t="s">
        <v>1352</v>
      </c>
      <c r="C727" s="183" t="s">
        <v>1967</v>
      </c>
      <c r="D727" s="183">
        <v>4</v>
      </c>
      <c r="E727" s="183">
        <v>4</v>
      </c>
      <c r="F727" s="183">
        <v>2145</v>
      </c>
      <c r="G727" s="183">
        <v>1</v>
      </c>
      <c r="H727" s="183">
        <v>0</v>
      </c>
      <c r="I727" s="183">
        <v>9</v>
      </c>
      <c r="J727" s="183">
        <v>537</v>
      </c>
      <c r="K727" s="183">
        <v>0</v>
      </c>
      <c r="L727" s="183">
        <v>0</v>
      </c>
      <c r="M727" s="183">
        <v>0</v>
      </c>
      <c r="N727" s="183">
        <v>5080</v>
      </c>
      <c r="O727" s="183">
        <v>4</v>
      </c>
      <c r="P727" s="183">
        <v>7226</v>
      </c>
      <c r="Q727" s="183">
        <v>1807</v>
      </c>
    </row>
    <row r="728" spans="1:17">
      <c r="A728" s="183" t="s">
        <v>2068</v>
      </c>
      <c r="B728" s="183" t="s">
        <v>1045</v>
      </c>
      <c r="C728" s="183" t="s">
        <v>1989</v>
      </c>
      <c r="D728" s="183">
        <v>5</v>
      </c>
      <c r="E728" s="183">
        <v>4</v>
      </c>
      <c r="F728" s="183">
        <v>2332</v>
      </c>
      <c r="G728" s="183">
        <v>0</v>
      </c>
      <c r="H728" s="183">
        <v>4</v>
      </c>
      <c r="I728" s="183">
        <v>2</v>
      </c>
      <c r="J728" s="183">
        <v>544</v>
      </c>
      <c r="K728" s="183">
        <v>0</v>
      </c>
      <c r="L728" s="183">
        <v>0</v>
      </c>
      <c r="M728" s="183">
        <v>0</v>
      </c>
      <c r="N728" s="183">
        <v>2466</v>
      </c>
      <c r="O728" s="183">
        <v>4</v>
      </c>
      <c r="P728" s="183">
        <v>4802</v>
      </c>
      <c r="Q728" s="183">
        <v>1120</v>
      </c>
    </row>
    <row r="729" spans="1:17">
      <c r="A729" s="183" t="s">
        <v>2062</v>
      </c>
      <c r="B729" s="183" t="s">
        <v>2659</v>
      </c>
      <c r="C729" s="183" t="s">
        <v>2660</v>
      </c>
      <c r="D729" s="183">
        <v>1</v>
      </c>
      <c r="E729" s="183">
        <v>5</v>
      </c>
      <c r="F729" s="183">
        <v>852</v>
      </c>
      <c r="G729" s="183">
        <v>2232</v>
      </c>
      <c r="H729" s="183">
        <v>0</v>
      </c>
      <c r="I729" s="183">
        <v>83</v>
      </c>
      <c r="J729" s="183">
        <v>583</v>
      </c>
      <c r="K729" s="183">
        <v>0</v>
      </c>
      <c r="L729" s="183">
        <v>0</v>
      </c>
      <c r="M729" s="183">
        <v>0</v>
      </c>
      <c r="N729" s="183">
        <v>6844</v>
      </c>
      <c r="O729" s="183">
        <v>5</v>
      </c>
      <c r="P729" s="183">
        <v>9928</v>
      </c>
      <c r="Q729" s="183">
        <v>1878</v>
      </c>
    </row>
    <row r="730" spans="1:17">
      <c r="A730" s="183" t="s">
        <v>2062</v>
      </c>
      <c r="B730" s="183" t="s">
        <v>628</v>
      </c>
      <c r="C730" s="183" t="s">
        <v>1996</v>
      </c>
      <c r="D730" s="183">
        <v>9</v>
      </c>
      <c r="E730" s="183">
        <v>2</v>
      </c>
      <c r="F730" s="183">
        <v>1069</v>
      </c>
      <c r="G730" s="183">
        <v>306</v>
      </c>
      <c r="H730" s="183">
        <v>1566</v>
      </c>
      <c r="I730" s="183">
        <v>0</v>
      </c>
      <c r="J730" s="183">
        <v>602</v>
      </c>
      <c r="K730" s="183">
        <v>0</v>
      </c>
      <c r="L730" s="183">
        <v>0</v>
      </c>
      <c r="M730" s="183">
        <v>0</v>
      </c>
      <c r="N730" s="183">
        <v>0</v>
      </c>
      <c r="O730" s="183">
        <v>2</v>
      </c>
      <c r="P730" s="183">
        <v>2941</v>
      </c>
      <c r="Q730" s="183">
        <v>1287</v>
      </c>
    </row>
    <row r="731" spans="1:17">
      <c r="A731" s="183" t="s">
        <v>2078</v>
      </c>
      <c r="B731" s="183" t="s">
        <v>1344</v>
      </c>
      <c r="C731" s="183" t="s">
        <v>2021</v>
      </c>
      <c r="D731" s="183">
        <v>3</v>
      </c>
      <c r="E731" s="183">
        <v>4</v>
      </c>
      <c r="F731" s="183">
        <v>2330</v>
      </c>
      <c r="G731" s="183">
        <v>0</v>
      </c>
      <c r="H731" s="183">
        <v>0</v>
      </c>
      <c r="I731" s="183">
        <v>2</v>
      </c>
      <c r="J731" s="183">
        <v>604</v>
      </c>
      <c r="K731" s="183">
        <v>0</v>
      </c>
      <c r="L731" s="183">
        <v>0</v>
      </c>
      <c r="M731" s="183">
        <v>0</v>
      </c>
      <c r="N731" s="183">
        <v>2457</v>
      </c>
      <c r="O731" s="183">
        <v>4</v>
      </c>
      <c r="P731" s="183">
        <v>4787</v>
      </c>
      <c r="Q731" s="183">
        <v>1241</v>
      </c>
    </row>
    <row r="732" spans="1:17">
      <c r="A732" s="183" t="s">
        <v>2062</v>
      </c>
      <c r="B732" s="183" t="s">
        <v>457</v>
      </c>
      <c r="C732" s="183" t="s">
        <v>2014</v>
      </c>
      <c r="D732" s="183">
        <v>3</v>
      </c>
      <c r="E732" s="183">
        <v>4</v>
      </c>
      <c r="F732" s="183">
        <v>2380</v>
      </c>
      <c r="G732" s="183">
        <v>4</v>
      </c>
      <c r="H732" s="183">
        <v>0</v>
      </c>
      <c r="I732" s="183">
        <v>2</v>
      </c>
      <c r="J732" s="183">
        <v>618</v>
      </c>
      <c r="K732" s="183">
        <v>0</v>
      </c>
      <c r="L732" s="183">
        <v>0</v>
      </c>
      <c r="M732" s="183">
        <v>0</v>
      </c>
      <c r="N732" s="183">
        <v>7414</v>
      </c>
      <c r="O732" s="183">
        <v>4</v>
      </c>
      <c r="P732" s="183">
        <v>9798</v>
      </c>
      <c r="Q732" s="183">
        <v>2540</v>
      </c>
    </row>
    <row r="733" spans="1:17">
      <c r="A733" s="183" t="s">
        <v>2062</v>
      </c>
      <c r="B733" s="183" t="s">
        <v>352</v>
      </c>
      <c r="C733" s="183" t="s">
        <v>2661</v>
      </c>
      <c r="D733" s="183">
        <v>2</v>
      </c>
      <c r="E733" s="183">
        <v>4</v>
      </c>
      <c r="F733" s="183">
        <v>2148</v>
      </c>
      <c r="G733" s="183">
        <v>227</v>
      </c>
      <c r="H733" s="183">
        <v>6</v>
      </c>
      <c r="I733" s="183">
        <v>14</v>
      </c>
      <c r="J733" s="183">
        <v>665</v>
      </c>
      <c r="K733" s="183">
        <v>0</v>
      </c>
      <c r="L733" s="183">
        <v>0</v>
      </c>
      <c r="M733" s="183">
        <v>90</v>
      </c>
      <c r="N733" s="183">
        <v>1049</v>
      </c>
      <c r="O733" s="183">
        <v>4</v>
      </c>
      <c r="P733" s="183">
        <v>3520</v>
      </c>
      <c r="Q733" s="183">
        <v>923</v>
      </c>
    </row>
    <row r="734" spans="1:17">
      <c r="A734" s="183" t="s">
        <v>2062</v>
      </c>
      <c r="B734" s="183" t="s">
        <v>360</v>
      </c>
      <c r="C734" s="183" t="s">
        <v>2010</v>
      </c>
      <c r="D734" s="183">
        <v>4</v>
      </c>
      <c r="E734" s="183">
        <v>3</v>
      </c>
      <c r="F734" s="183">
        <v>2336</v>
      </c>
      <c r="G734" s="183">
        <v>4</v>
      </c>
      <c r="H734" s="183">
        <v>0</v>
      </c>
      <c r="I734" s="183">
        <v>31</v>
      </c>
      <c r="J734" s="183">
        <v>745</v>
      </c>
      <c r="K734" s="183">
        <v>0</v>
      </c>
      <c r="L734" s="183">
        <v>0</v>
      </c>
      <c r="M734" s="183">
        <v>0</v>
      </c>
      <c r="N734" s="183">
        <v>1153</v>
      </c>
      <c r="O734" s="183">
        <v>3</v>
      </c>
      <c r="P734" s="183">
        <v>3493</v>
      </c>
      <c r="Q734" s="183">
        <v>1111</v>
      </c>
    </row>
    <row r="735" spans="1:17">
      <c r="A735" s="183" t="s">
        <v>2062</v>
      </c>
      <c r="B735" s="183" t="s">
        <v>309</v>
      </c>
      <c r="C735" s="183" t="s">
        <v>2662</v>
      </c>
      <c r="D735" s="183">
        <v>1</v>
      </c>
      <c r="E735" s="183">
        <v>3</v>
      </c>
      <c r="F735" s="183">
        <v>2068</v>
      </c>
      <c r="G735" s="183">
        <v>390</v>
      </c>
      <c r="H735" s="183">
        <v>0</v>
      </c>
      <c r="I735" s="183">
        <v>289</v>
      </c>
      <c r="J735" s="183">
        <v>782</v>
      </c>
      <c r="K735" s="183">
        <v>0</v>
      </c>
      <c r="L735" s="183">
        <v>0</v>
      </c>
      <c r="M735" s="183">
        <v>192</v>
      </c>
      <c r="N735" s="183">
        <v>1978</v>
      </c>
      <c r="O735" s="183">
        <v>3</v>
      </c>
      <c r="P735" s="183">
        <v>4628</v>
      </c>
      <c r="Q735" s="183">
        <v>1350</v>
      </c>
    </row>
    <row r="736" spans="1:17">
      <c r="A736" s="183" t="s">
        <v>2078</v>
      </c>
      <c r="B736" s="183" t="s">
        <v>1370</v>
      </c>
      <c r="C736" s="183" t="s">
        <v>2018</v>
      </c>
      <c r="D736" s="183">
        <v>2</v>
      </c>
      <c r="E736" s="183">
        <v>3</v>
      </c>
      <c r="F736" s="183">
        <v>2151</v>
      </c>
      <c r="G736" s="183">
        <v>1</v>
      </c>
      <c r="H736" s="183">
        <v>194</v>
      </c>
      <c r="I736" s="183">
        <v>80</v>
      </c>
      <c r="J736" s="183">
        <v>793</v>
      </c>
      <c r="K736" s="183">
        <v>0</v>
      </c>
      <c r="L736" s="183">
        <v>0</v>
      </c>
      <c r="M736" s="183">
        <v>0</v>
      </c>
      <c r="N736" s="183">
        <v>2272</v>
      </c>
      <c r="O736" s="183">
        <v>3</v>
      </c>
      <c r="P736" s="183">
        <v>4618</v>
      </c>
      <c r="Q736" s="183">
        <v>1701</v>
      </c>
    </row>
    <row r="737" spans="1:17">
      <c r="A737" s="183" t="s">
        <v>2062</v>
      </c>
      <c r="B737" s="183" t="s">
        <v>347</v>
      </c>
      <c r="C737" s="183" t="s">
        <v>2012</v>
      </c>
      <c r="D737" s="183">
        <v>3</v>
      </c>
      <c r="E737" s="183">
        <v>2</v>
      </c>
      <c r="F737" s="183">
        <v>1821</v>
      </c>
      <c r="G737" s="183">
        <v>1</v>
      </c>
      <c r="H737" s="183">
        <v>553</v>
      </c>
      <c r="I737" s="183">
        <v>12</v>
      </c>
      <c r="J737" s="183">
        <v>797</v>
      </c>
      <c r="K737" s="183">
        <v>0</v>
      </c>
      <c r="L737" s="183">
        <v>1</v>
      </c>
      <c r="M737" s="183">
        <v>267</v>
      </c>
      <c r="N737" s="183">
        <v>7454</v>
      </c>
      <c r="O737" s="183">
        <v>3</v>
      </c>
      <c r="P737" s="183">
        <v>10096</v>
      </c>
      <c r="Q737" s="183">
        <v>3276</v>
      </c>
    </row>
    <row r="738" spans="1:17">
      <c r="A738" s="183" t="s">
        <v>2068</v>
      </c>
      <c r="B738" s="183" t="s">
        <v>1039</v>
      </c>
      <c r="C738" s="183" t="s">
        <v>2002</v>
      </c>
      <c r="D738" s="183">
        <v>4</v>
      </c>
      <c r="E738" s="183">
        <v>4</v>
      </c>
      <c r="F738" s="183">
        <v>3445</v>
      </c>
      <c r="G738" s="183">
        <v>38</v>
      </c>
      <c r="H738" s="183">
        <v>0</v>
      </c>
      <c r="I738" s="183">
        <v>237</v>
      </c>
      <c r="J738" s="183">
        <v>841</v>
      </c>
      <c r="K738" s="183">
        <v>0</v>
      </c>
      <c r="L738" s="183">
        <v>0</v>
      </c>
      <c r="M738" s="183">
        <v>0</v>
      </c>
      <c r="N738" s="183">
        <v>133</v>
      </c>
      <c r="O738" s="183">
        <v>4</v>
      </c>
      <c r="P738" s="183">
        <v>3616</v>
      </c>
      <c r="Q738" s="183">
        <v>873</v>
      </c>
    </row>
    <row r="739" spans="1:17">
      <c r="A739" s="183" t="s">
        <v>2062</v>
      </c>
      <c r="B739" s="183" t="s">
        <v>391</v>
      </c>
      <c r="C739" s="183" t="s">
        <v>2651</v>
      </c>
      <c r="D739" s="183">
        <v>3</v>
      </c>
      <c r="E739" s="183">
        <v>3</v>
      </c>
      <c r="F739" s="183">
        <v>2949</v>
      </c>
      <c r="G739" s="183">
        <v>0</v>
      </c>
      <c r="H739" s="183">
        <v>0</v>
      </c>
      <c r="I739" s="183">
        <v>4</v>
      </c>
      <c r="J739" s="183">
        <v>898</v>
      </c>
      <c r="K739" s="183">
        <v>0</v>
      </c>
      <c r="L739" s="183">
        <v>0</v>
      </c>
      <c r="M739" s="183">
        <v>0</v>
      </c>
      <c r="N739" s="183">
        <v>4476</v>
      </c>
      <c r="O739" s="183">
        <v>3</v>
      </c>
      <c r="P739" s="183">
        <v>7425</v>
      </c>
      <c r="Q739" s="183">
        <v>2260</v>
      </c>
    </row>
    <row r="740" spans="1:17">
      <c r="A740" s="183" t="s">
        <v>2062</v>
      </c>
      <c r="B740" s="183" t="s">
        <v>531</v>
      </c>
      <c r="C740" s="183" t="s">
        <v>530</v>
      </c>
      <c r="D740" s="183">
        <v>6</v>
      </c>
      <c r="E740" s="183">
        <v>5</v>
      </c>
      <c r="F740" s="183">
        <v>4755</v>
      </c>
      <c r="G740" s="183">
        <v>2</v>
      </c>
      <c r="H740" s="183">
        <v>12</v>
      </c>
      <c r="I740" s="183">
        <v>5</v>
      </c>
      <c r="J740" s="183">
        <v>925</v>
      </c>
      <c r="K740" s="183">
        <v>43</v>
      </c>
      <c r="L740" s="183">
        <v>19</v>
      </c>
      <c r="M740" s="183">
        <v>6115</v>
      </c>
      <c r="N740" s="183">
        <v>1334</v>
      </c>
      <c r="O740" s="183">
        <v>24</v>
      </c>
      <c r="P740" s="183">
        <v>12218</v>
      </c>
      <c r="Q740" s="183">
        <v>256</v>
      </c>
    </row>
    <row r="741" spans="1:17">
      <c r="A741" s="183" t="s">
        <v>2062</v>
      </c>
      <c r="B741" s="183" t="s">
        <v>256</v>
      </c>
      <c r="C741" s="183" t="s">
        <v>2017</v>
      </c>
      <c r="D741" s="183">
        <v>2</v>
      </c>
      <c r="E741" s="183">
        <v>1</v>
      </c>
      <c r="F741" s="183">
        <v>1198</v>
      </c>
      <c r="G741" s="183">
        <v>2</v>
      </c>
      <c r="H741" s="183">
        <v>0</v>
      </c>
      <c r="I741" s="183">
        <v>0</v>
      </c>
      <c r="J741" s="183">
        <v>933</v>
      </c>
      <c r="K741" s="183">
        <v>0</v>
      </c>
      <c r="L741" s="183">
        <v>0</v>
      </c>
      <c r="M741" s="183">
        <v>0</v>
      </c>
      <c r="N741" s="183">
        <v>0</v>
      </c>
      <c r="O741" s="183">
        <v>1</v>
      </c>
      <c r="P741" s="183">
        <v>1200</v>
      </c>
      <c r="Q741" s="183">
        <v>933</v>
      </c>
    </row>
    <row r="742" spans="1:17">
      <c r="A742" s="183" t="s">
        <v>2068</v>
      </c>
      <c r="B742" s="183" t="s">
        <v>1054</v>
      </c>
      <c r="C742" s="183" t="s">
        <v>2663</v>
      </c>
      <c r="D742" s="183">
        <v>2</v>
      </c>
      <c r="E742" s="183">
        <v>2</v>
      </c>
      <c r="F742" s="183">
        <v>1902</v>
      </c>
      <c r="G742" s="183">
        <v>0</v>
      </c>
      <c r="H742" s="183">
        <v>2</v>
      </c>
      <c r="I742" s="183">
        <v>46</v>
      </c>
      <c r="J742" s="183">
        <v>951</v>
      </c>
      <c r="K742" s="183">
        <v>0</v>
      </c>
      <c r="L742" s="183">
        <v>0</v>
      </c>
      <c r="M742" s="183">
        <v>0</v>
      </c>
      <c r="N742" s="183">
        <v>2859</v>
      </c>
      <c r="O742" s="183">
        <v>2</v>
      </c>
      <c r="P742" s="183">
        <v>4763</v>
      </c>
      <c r="Q742" s="183">
        <v>2382</v>
      </c>
    </row>
    <row r="743" spans="1:17">
      <c r="A743" s="183" t="s">
        <v>2062</v>
      </c>
      <c r="B743" s="183" t="s">
        <v>277</v>
      </c>
      <c r="C743" s="183" t="s">
        <v>2009</v>
      </c>
      <c r="D743" s="183">
        <v>3</v>
      </c>
      <c r="E743" s="183">
        <v>2</v>
      </c>
      <c r="F743" s="183">
        <v>2346</v>
      </c>
      <c r="G743" s="183">
        <v>0</v>
      </c>
      <c r="H743" s="183">
        <v>0</v>
      </c>
      <c r="I743" s="183">
        <v>2</v>
      </c>
      <c r="J743" s="183">
        <v>1173</v>
      </c>
      <c r="K743" s="183">
        <v>0</v>
      </c>
      <c r="L743" s="183">
        <v>0</v>
      </c>
      <c r="M743" s="183">
        <v>0</v>
      </c>
      <c r="N743" s="183">
        <v>0</v>
      </c>
      <c r="O743" s="183">
        <v>2</v>
      </c>
      <c r="P743" s="183">
        <v>2346</v>
      </c>
      <c r="Q743" s="183">
        <v>1173</v>
      </c>
    </row>
    <row r="744" spans="1:17">
      <c r="A744" s="183" t="s">
        <v>2062</v>
      </c>
      <c r="B744" s="183" t="s">
        <v>250</v>
      </c>
      <c r="C744" s="183" t="s">
        <v>2005</v>
      </c>
      <c r="D744" s="183">
        <v>3</v>
      </c>
      <c r="E744" s="183">
        <v>2</v>
      </c>
      <c r="F744" s="183">
        <v>2012</v>
      </c>
      <c r="G744" s="183">
        <v>1</v>
      </c>
      <c r="H744" s="183">
        <v>0</v>
      </c>
      <c r="I744" s="183">
        <v>27</v>
      </c>
      <c r="J744" s="183">
        <v>1174</v>
      </c>
      <c r="K744" s="183">
        <v>0</v>
      </c>
      <c r="L744" s="183">
        <v>0</v>
      </c>
      <c r="M744" s="183">
        <v>0</v>
      </c>
      <c r="N744" s="183">
        <v>2830</v>
      </c>
      <c r="O744" s="183">
        <v>2</v>
      </c>
      <c r="P744" s="183">
        <v>4843</v>
      </c>
      <c r="Q744" s="183">
        <v>2825</v>
      </c>
    </row>
    <row r="745" spans="1:17">
      <c r="A745" s="183" t="s">
        <v>2062</v>
      </c>
      <c r="B745" s="183" t="s">
        <v>557</v>
      </c>
      <c r="C745" s="183" t="s">
        <v>1994</v>
      </c>
      <c r="D745" s="183">
        <v>7</v>
      </c>
      <c r="E745" s="183">
        <v>1</v>
      </c>
      <c r="F745" s="183">
        <v>2321</v>
      </c>
      <c r="G745" s="183">
        <v>0</v>
      </c>
      <c r="H745" s="183">
        <v>0</v>
      </c>
      <c r="I745" s="183">
        <v>9</v>
      </c>
      <c r="J745" s="183">
        <v>1625</v>
      </c>
      <c r="K745" s="183">
        <v>0</v>
      </c>
      <c r="L745" s="183">
        <v>0</v>
      </c>
      <c r="M745" s="183">
        <v>281</v>
      </c>
      <c r="N745" s="183">
        <v>1994</v>
      </c>
      <c r="O745" s="183">
        <v>2</v>
      </c>
      <c r="P745" s="183">
        <v>4596</v>
      </c>
      <c r="Q745" s="183">
        <v>2517</v>
      </c>
    </row>
    <row r="746" spans="1:17">
      <c r="A746" s="183" t="s">
        <v>2062</v>
      </c>
      <c r="B746" s="183" t="s">
        <v>327</v>
      </c>
      <c r="C746" s="183" t="s">
        <v>2664</v>
      </c>
      <c r="D746" s="183">
        <v>1</v>
      </c>
      <c r="E746" s="183">
        <v>1</v>
      </c>
      <c r="F746" s="183">
        <v>1017</v>
      </c>
      <c r="G746" s="183">
        <v>656</v>
      </c>
      <c r="H746" s="183">
        <v>1262</v>
      </c>
      <c r="I746" s="183">
        <v>90</v>
      </c>
      <c r="J746" s="183">
        <v>1952</v>
      </c>
      <c r="K746" s="183">
        <v>0</v>
      </c>
      <c r="L746" s="183">
        <v>0</v>
      </c>
      <c r="M746" s="183">
        <v>0</v>
      </c>
      <c r="N746" s="183">
        <v>4879</v>
      </c>
      <c r="O746" s="183">
        <v>1</v>
      </c>
      <c r="P746" s="183">
        <v>7814</v>
      </c>
      <c r="Q746" s="183">
        <v>9116</v>
      </c>
    </row>
    <row r="747" spans="1:17">
      <c r="A747" s="183" t="s">
        <v>2062</v>
      </c>
      <c r="B747" s="183" t="s">
        <v>337</v>
      </c>
      <c r="C747" s="183" t="s">
        <v>2044</v>
      </c>
      <c r="D747" s="183">
        <v>2</v>
      </c>
      <c r="E747" s="183">
        <v>2</v>
      </c>
      <c r="F747" s="183">
        <v>1492</v>
      </c>
      <c r="G747" s="183">
        <v>2457</v>
      </c>
      <c r="H747" s="183">
        <v>481</v>
      </c>
      <c r="I747" s="183">
        <v>53</v>
      </c>
      <c r="J747" s="183">
        <v>1975</v>
      </c>
      <c r="K747" s="183">
        <v>0</v>
      </c>
      <c r="L747" s="183">
        <v>0</v>
      </c>
      <c r="M747" s="183">
        <v>0</v>
      </c>
      <c r="N747" s="183">
        <v>3719</v>
      </c>
      <c r="O747" s="183">
        <v>2</v>
      </c>
      <c r="P747" s="183">
        <v>8149</v>
      </c>
      <c r="Q747" s="183">
        <v>4075</v>
      </c>
    </row>
    <row r="748" spans="1:17">
      <c r="A748" s="183" t="s">
        <v>2078</v>
      </c>
      <c r="B748" s="183" t="s">
        <v>1414</v>
      </c>
      <c r="C748" s="183" t="s">
        <v>1973</v>
      </c>
      <c r="D748" s="183">
        <v>5</v>
      </c>
      <c r="E748" s="183">
        <v>1</v>
      </c>
      <c r="F748" s="183">
        <v>2726</v>
      </c>
      <c r="G748" s="183">
        <v>3</v>
      </c>
      <c r="H748" s="183">
        <v>0</v>
      </c>
      <c r="I748" s="183">
        <v>1</v>
      </c>
      <c r="J748" s="183">
        <v>2123</v>
      </c>
      <c r="K748" s="183">
        <v>0</v>
      </c>
      <c r="L748" s="183">
        <v>0</v>
      </c>
      <c r="M748" s="183">
        <v>0</v>
      </c>
      <c r="N748" s="183">
        <v>6230</v>
      </c>
      <c r="O748" s="183">
        <v>1</v>
      </c>
      <c r="P748" s="183">
        <v>8959</v>
      </c>
      <c r="Q748" s="183">
        <v>6968</v>
      </c>
    </row>
    <row r="749" spans="1:17">
      <c r="A749" s="183" t="s">
        <v>2068</v>
      </c>
      <c r="B749" s="183" t="s">
        <v>1047</v>
      </c>
      <c r="C749" s="183" t="s">
        <v>2023</v>
      </c>
      <c r="D749" s="183">
        <v>2</v>
      </c>
      <c r="E749" s="183">
        <v>1</v>
      </c>
      <c r="F749" s="183">
        <v>1456</v>
      </c>
      <c r="G749" s="183">
        <v>0</v>
      </c>
      <c r="H749" s="183">
        <v>5</v>
      </c>
      <c r="I749" s="183">
        <v>0</v>
      </c>
      <c r="J749" s="183">
        <v>2548</v>
      </c>
      <c r="K749" s="183">
        <v>0</v>
      </c>
      <c r="L749" s="183">
        <v>0</v>
      </c>
      <c r="M749" s="183">
        <v>0</v>
      </c>
      <c r="N749" s="183">
        <v>4477</v>
      </c>
      <c r="O749" s="183">
        <v>1</v>
      </c>
      <c r="P749" s="183">
        <v>5938</v>
      </c>
      <c r="Q749" s="183">
        <v>10392</v>
      </c>
    </row>
    <row r="750" spans="1:17">
      <c r="A750" s="183" t="s">
        <v>2062</v>
      </c>
      <c r="B750" s="183" t="s">
        <v>186</v>
      </c>
      <c r="C750" s="183" t="s">
        <v>2665</v>
      </c>
      <c r="D750" s="183">
        <v>40</v>
      </c>
      <c r="E750" s="183">
        <v>1</v>
      </c>
      <c r="F750" s="183">
        <v>109</v>
      </c>
      <c r="G750" s="183">
        <v>2674</v>
      </c>
      <c r="H750" s="183">
        <v>2214</v>
      </c>
      <c r="I750" s="183">
        <v>27</v>
      </c>
      <c r="J750" s="183">
        <v>3896</v>
      </c>
      <c r="K750" s="183">
        <v>79</v>
      </c>
      <c r="L750" s="183">
        <v>102</v>
      </c>
      <c r="M750" s="183">
        <v>2691</v>
      </c>
      <c r="N750" s="183">
        <v>434</v>
      </c>
      <c r="O750" s="183">
        <v>102</v>
      </c>
      <c r="P750" s="183">
        <v>8122</v>
      </c>
      <c r="Q750" s="183">
        <v>53</v>
      </c>
    </row>
    <row r="751" spans="1:17">
      <c r="A751" s="183" t="s">
        <v>2068</v>
      </c>
      <c r="B751" s="183" t="s">
        <v>1032</v>
      </c>
      <c r="C751" s="183" t="s">
        <v>2666</v>
      </c>
      <c r="D751" s="183">
        <v>4</v>
      </c>
      <c r="E751" s="183">
        <v>0</v>
      </c>
      <c r="F751" s="183">
        <v>91</v>
      </c>
      <c r="G751" s="183">
        <v>3</v>
      </c>
      <c r="H751" s="183">
        <v>0</v>
      </c>
      <c r="I751" s="183">
        <v>26</v>
      </c>
      <c r="J751" s="183">
        <v>9999</v>
      </c>
      <c r="K751" s="183">
        <v>0</v>
      </c>
      <c r="L751" s="183">
        <v>0</v>
      </c>
      <c r="M751" s="183">
        <v>0</v>
      </c>
      <c r="N751" s="183">
        <v>19862</v>
      </c>
      <c r="O751" s="183">
        <v>0</v>
      </c>
      <c r="P751" s="183">
        <v>19956</v>
      </c>
      <c r="Q751" s="183">
        <v>9999</v>
      </c>
    </row>
    <row r="752" spans="1:17">
      <c r="A752" s="183" t="s">
        <v>2062</v>
      </c>
      <c r="B752" s="183" t="s">
        <v>1684</v>
      </c>
      <c r="C752" s="183" t="s">
        <v>2667</v>
      </c>
      <c r="D752" s="183">
        <v>0</v>
      </c>
      <c r="E752" s="183">
        <v>0</v>
      </c>
      <c r="F752" s="183">
        <v>1</v>
      </c>
      <c r="G752" s="183">
        <v>0</v>
      </c>
      <c r="H752" s="183">
        <v>0</v>
      </c>
      <c r="I752" s="183">
        <v>2</v>
      </c>
      <c r="J752" s="183">
        <v>9999</v>
      </c>
      <c r="K752" s="183">
        <v>0</v>
      </c>
      <c r="L752" s="183">
        <v>0</v>
      </c>
      <c r="M752" s="183">
        <v>0</v>
      </c>
      <c r="N752" s="183">
        <v>0</v>
      </c>
      <c r="O752" s="183">
        <v>0</v>
      </c>
      <c r="P752" s="183">
        <v>1</v>
      </c>
      <c r="Q752" s="183">
        <v>9999</v>
      </c>
    </row>
    <row r="753" spans="1:17">
      <c r="A753" s="183" t="s">
        <v>2068</v>
      </c>
      <c r="B753" s="183" t="s">
        <v>1154</v>
      </c>
      <c r="C753" s="183" t="s">
        <v>2668</v>
      </c>
      <c r="D753" s="183">
        <v>0</v>
      </c>
      <c r="E753" s="183">
        <v>0</v>
      </c>
      <c r="F753" s="183">
        <v>1</v>
      </c>
      <c r="G753" s="183">
        <v>0</v>
      </c>
      <c r="H753" s="183">
        <v>0</v>
      </c>
      <c r="I753" s="183">
        <v>15</v>
      </c>
      <c r="J753" s="183">
        <v>9999</v>
      </c>
      <c r="K753" s="183">
        <v>0</v>
      </c>
      <c r="L753" s="183">
        <v>0</v>
      </c>
      <c r="M753" s="183">
        <v>0</v>
      </c>
      <c r="N753" s="183">
        <v>9618</v>
      </c>
      <c r="O753" s="183">
        <v>0</v>
      </c>
      <c r="P753" s="183">
        <v>9619</v>
      </c>
      <c r="Q753" s="183">
        <v>9999</v>
      </c>
    </row>
    <row r="754" spans="1:17">
      <c r="A754" s="183" t="s">
        <v>2068</v>
      </c>
      <c r="B754" s="183" t="s">
        <v>984</v>
      </c>
      <c r="C754" s="183" t="s">
        <v>2669</v>
      </c>
      <c r="D754" s="183">
        <v>0</v>
      </c>
      <c r="E754" s="183">
        <v>0</v>
      </c>
      <c r="F754" s="183">
        <v>17</v>
      </c>
      <c r="G754" s="183">
        <v>0</v>
      </c>
      <c r="H754" s="183">
        <v>0</v>
      </c>
      <c r="I754" s="183">
        <v>25</v>
      </c>
      <c r="J754" s="183">
        <v>9999</v>
      </c>
      <c r="K754" s="183">
        <v>0</v>
      </c>
      <c r="L754" s="183">
        <v>0</v>
      </c>
      <c r="M754" s="183">
        <v>0</v>
      </c>
      <c r="N754" s="183">
        <v>11970</v>
      </c>
      <c r="O754" s="183">
        <v>0</v>
      </c>
      <c r="P754" s="183">
        <v>11987</v>
      </c>
      <c r="Q754" s="183">
        <v>9999</v>
      </c>
    </row>
    <row r="755" spans="1:17">
      <c r="A755" s="183" t="s">
        <v>2068</v>
      </c>
      <c r="B755" s="183" t="s">
        <v>1135</v>
      </c>
      <c r="C755" s="183" t="s">
        <v>2670</v>
      </c>
      <c r="D755" s="183">
        <v>3</v>
      </c>
      <c r="E755" s="183">
        <v>0</v>
      </c>
      <c r="F755" s="183">
        <v>10</v>
      </c>
      <c r="G755" s="183">
        <v>6</v>
      </c>
      <c r="H755" s="183">
        <v>0</v>
      </c>
      <c r="I755" s="183">
        <v>14</v>
      </c>
      <c r="J755" s="183">
        <v>9999</v>
      </c>
      <c r="K755" s="183">
        <v>0</v>
      </c>
      <c r="L755" s="183">
        <v>0</v>
      </c>
      <c r="M755" s="183">
        <v>0</v>
      </c>
      <c r="N755" s="183">
        <v>664</v>
      </c>
      <c r="O755" s="183">
        <v>0</v>
      </c>
      <c r="P755" s="183">
        <v>680</v>
      </c>
      <c r="Q755" s="183">
        <v>9999</v>
      </c>
    </row>
    <row r="756" spans="1:17">
      <c r="A756" s="183" t="s">
        <v>2068</v>
      </c>
      <c r="B756" s="183" t="s">
        <v>999</v>
      </c>
      <c r="C756" s="183" t="s">
        <v>2671</v>
      </c>
      <c r="D756" s="183">
        <v>3</v>
      </c>
      <c r="E756" s="183">
        <v>0</v>
      </c>
      <c r="F756" s="183">
        <v>0</v>
      </c>
      <c r="G756" s="183">
        <v>1</v>
      </c>
      <c r="H756" s="183">
        <v>0</v>
      </c>
      <c r="I756" s="183">
        <v>17</v>
      </c>
      <c r="J756" s="183">
        <v>9999</v>
      </c>
      <c r="K756" s="183">
        <v>0</v>
      </c>
      <c r="L756" s="183">
        <v>0</v>
      </c>
      <c r="M756" s="183">
        <v>0</v>
      </c>
      <c r="N756" s="183">
        <v>8214</v>
      </c>
      <c r="O756" s="183">
        <v>0</v>
      </c>
      <c r="P756" s="183">
        <v>8215</v>
      </c>
      <c r="Q756" s="183">
        <v>9999</v>
      </c>
    </row>
    <row r="757" spans="1:17">
      <c r="A757" s="183" t="s">
        <v>2068</v>
      </c>
      <c r="B757" s="183" t="s">
        <v>1097</v>
      </c>
      <c r="C757" s="183" t="s">
        <v>2672</v>
      </c>
      <c r="D757" s="183">
        <v>0</v>
      </c>
      <c r="E757" s="183">
        <v>0</v>
      </c>
      <c r="F757" s="183">
        <v>2409</v>
      </c>
      <c r="G757" s="183">
        <v>2</v>
      </c>
      <c r="H757" s="183">
        <v>0</v>
      </c>
      <c r="I757" s="183">
        <v>106</v>
      </c>
      <c r="J757" s="183">
        <v>9999</v>
      </c>
      <c r="K757" s="183">
        <v>0</v>
      </c>
      <c r="L757" s="183">
        <v>0</v>
      </c>
      <c r="M757" s="183">
        <v>0</v>
      </c>
      <c r="N757" s="183">
        <v>10351</v>
      </c>
      <c r="O757" s="183">
        <v>0</v>
      </c>
      <c r="P757" s="183">
        <v>12762</v>
      </c>
      <c r="Q757" s="183">
        <v>9999</v>
      </c>
    </row>
    <row r="758" spans="1:17">
      <c r="A758" s="183" t="s">
        <v>2068</v>
      </c>
      <c r="B758" s="183" t="s">
        <v>1210</v>
      </c>
      <c r="C758" s="183" t="s">
        <v>2673</v>
      </c>
      <c r="D758" s="183">
        <v>0</v>
      </c>
      <c r="E758" s="183">
        <v>0</v>
      </c>
      <c r="F758" s="183">
        <v>20</v>
      </c>
      <c r="G758" s="183">
        <v>0</v>
      </c>
      <c r="H758" s="183">
        <v>0</v>
      </c>
      <c r="I758" s="183">
        <v>40</v>
      </c>
      <c r="J758" s="183">
        <v>9999</v>
      </c>
      <c r="K758" s="183">
        <v>0</v>
      </c>
      <c r="L758" s="183">
        <v>0</v>
      </c>
      <c r="M758" s="183">
        <v>0</v>
      </c>
      <c r="N758" s="183">
        <v>21848</v>
      </c>
      <c r="O758" s="183">
        <v>0</v>
      </c>
      <c r="P758" s="183">
        <v>21868</v>
      </c>
      <c r="Q758" s="183">
        <v>9999</v>
      </c>
    </row>
    <row r="759" spans="1:17">
      <c r="A759" s="183" t="s">
        <v>2068</v>
      </c>
      <c r="B759" s="183" t="s">
        <v>961</v>
      </c>
      <c r="C759" s="183" t="s">
        <v>2645</v>
      </c>
      <c r="D759" s="183">
        <v>17</v>
      </c>
      <c r="E759" s="183">
        <v>0</v>
      </c>
      <c r="F759" s="183">
        <v>105</v>
      </c>
      <c r="G759" s="183">
        <v>240</v>
      </c>
      <c r="H759" s="183">
        <v>97</v>
      </c>
      <c r="I759" s="183">
        <v>59</v>
      </c>
      <c r="J759" s="183">
        <v>9999</v>
      </c>
      <c r="K759" s="183">
        <v>0</v>
      </c>
      <c r="L759" s="183">
        <v>0</v>
      </c>
      <c r="M759" s="183">
        <v>0</v>
      </c>
      <c r="N759" s="183">
        <v>9507</v>
      </c>
      <c r="O759" s="183">
        <v>0</v>
      </c>
      <c r="P759" s="183">
        <v>9949</v>
      </c>
      <c r="Q759" s="183">
        <v>9999</v>
      </c>
    </row>
    <row r="760" spans="1:17">
      <c r="A760" s="183" t="s">
        <v>2068</v>
      </c>
      <c r="B760" s="183" t="s">
        <v>1071</v>
      </c>
      <c r="C760" s="183" t="s">
        <v>2674</v>
      </c>
      <c r="D760" s="183">
        <v>5</v>
      </c>
      <c r="E760" s="183">
        <v>0</v>
      </c>
      <c r="F760" s="183">
        <v>47</v>
      </c>
      <c r="G760" s="183">
        <v>1</v>
      </c>
      <c r="H760" s="183">
        <v>0</v>
      </c>
      <c r="I760" s="183">
        <v>47</v>
      </c>
      <c r="J760" s="183">
        <v>9999</v>
      </c>
      <c r="K760" s="183">
        <v>0</v>
      </c>
      <c r="L760" s="183">
        <v>0</v>
      </c>
      <c r="M760" s="183">
        <v>0</v>
      </c>
      <c r="N760" s="183">
        <v>2255</v>
      </c>
      <c r="O760" s="183">
        <v>0</v>
      </c>
      <c r="P760" s="183">
        <v>2303</v>
      </c>
      <c r="Q760" s="183">
        <v>9999</v>
      </c>
    </row>
    <row r="761" spans="1:17">
      <c r="A761" s="183" t="s">
        <v>2068</v>
      </c>
      <c r="B761" s="183" t="s">
        <v>982</v>
      </c>
      <c r="C761" s="183" t="s">
        <v>2675</v>
      </c>
      <c r="D761" s="183">
        <v>0</v>
      </c>
      <c r="E761" s="183">
        <v>0</v>
      </c>
      <c r="F761" s="183">
        <v>3</v>
      </c>
      <c r="G761" s="183">
        <v>0</v>
      </c>
      <c r="H761" s="183">
        <v>0</v>
      </c>
      <c r="I761" s="183">
        <v>43</v>
      </c>
      <c r="J761" s="183">
        <v>9999</v>
      </c>
      <c r="K761" s="183">
        <v>0</v>
      </c>
      <c r="L761" s="183">
        <v>0</v>
      </c>
      <c r="M761" s="183">
        <v>0</v>
      </c>
      <c r="N761" s="183">
        <v>7218</v>
      </c>
      <c r="O761" s="183">
        <v>0</v>
      </c>
      <c r="P761" s="183">
        <v>7221</v>
      </c>
      <c r="Q761" s="183">
        <v>9999</v>
      </c>
    </row>
    <row r="762" spans="1:17">
      <c r="A762" s="183" t="s">
        <v>2068</v>
      </c>
      <c r="B762" s="183" t="s">
        <v>1146</v>
      </c>
      <c r="C762" s="183" t="s">
        <v>2676</v>
      </c>
      <c r="D762" s="183">
        <v>0</v>
      </c>
      <c r="E762" s="183">
        <v>0</v>
      </c>
      <c r="F762" s="183">
        <v>91</v>
      </c>
      <c r="G762" s="183">
        <v>0</v>
      </c>
      <c r="H762" s="183">
        <v>0</v>
      </c>
      <c r="I762" s="183">
        <v>90</v>
      </c>
      <c r="J762" s="183">
        <v>9999</v>
      </c>
      <c r="K762" s="183">
        <v>0</v>
      </c>
      <c r="L762" s="183">
        <v>0</v>
      </c>
      <c r="M762" s="183">
        <v>0</v>
      </c>
      <c r="N762" s="183">
        <v>18817</v>
      </c>
      <c r="O762" s="183">
        <v>0</v>
      </c>
      <c r="P762" s="183">
        <v>18908</v>
      </c>
      <c r="Q762" s="183">
        <v>9999</v>
      </c>
    </row>
    <row r="763" spans="1:17">
      <c r="A763" s="183" t="s">
        <v>2068</v>
      </c>
      <c r="B763" s="183" t="s">
        <v>1009</v>
      </c>
      <c r="C763" s="183" t="s">
        <v>2677</v>
      </c>
      <c r="D763" s="183">
        <v>1</v>
      </c>
      <c r="E763" s="183">
        <v>0</v>
      </c>
      <c r="F763" s="183">
        <v>2111</v>
      </c>
      <c r="G763" s="183">
        <v>10</v>
      </c>
      <c r="H763" s="183">
        <v>458</v>
      </c>
      <c r="I763" s="183">
        <v>53</v>
      </c>
      <c r="J763" s="183">
        <v>9999</v>
      </c>
      <c r="K763" s="183">
        <v>0</v>
      </c>
      <c r="L763" s="183">
        <v>0</v>
      </c>
      <c r="M763" s="183">
        <v>0</v>
      </c>
      <c r="N763" s="183">
        <v>4316</v>
      </c>
      <c r="O763" s="183">
        <v>0</v>
      </c>
      <c r="P763" s="183">
        <v>6895</v>
      </c>
      <c r="Q763" s="183">
        <v>9999</v>
      </c>
    </row>
    <row r="764" spans="1:17">
      <c r="A764" s="183" t="s">
        <v>2068</v>
      </c>
      <c r="B764" s="183" t="s">
        <v>1218</v>
      </c>
      <c r="C764" s="183" t="s">
        <v>2678</v>
      </c>
      <c r="D764" s="183">
        <v>0</v>
      </c>
      <c r="E764" s="183">
        <v>0</v>
      </c>
      <c r="F764" s="183">
        <v>17</v>
      </c>
      <c r="G764" s="183">
        <v>0</v>
      </c>
      <c r="H764" s="183">
        <v>1008</v>
      </c>
      <c r="I764" s="183">
        <v>45</v>
      </c>
      <c r="J764" s="183">
        <v>9999</v>
      </c>
      <c r="K764" s="183">
        <v>0</v>
      </c>
      <c r="L764" s="183">
        <v>0</v>
      </c>
      <c r="M764" s="183">
        <v>0</v>
      </c>
      <c r="N764" s="183">
        <v>1</v>
      </c>
      <c r="O764" s="183">
        <v>0</v>
      </c>
      <c r="P764" s="183">
        <v>1026</v>
      </c>
      <c r="Q764" s="183">
        <v>9999</v>
      </c>
    </row>
    <row r="765" spans="1:17">
      <c r="A765" s="183" t="s">
        <v>2068</v>
      </c>
      <c r="B765" s="183" t="s">
        <v>1185</v>
      </c>
      <c r="C765" s="183" t="s">
        <v>2679</v>
      </c>
      <c r="D765" s="183">
        <v>13</v>
      </c>
      <c r="E765" s="183">
        <v>0</v>
      </c>
      <c r="F765" s="183">
        <v>1</v>
      </c>
      <c r="G765" s="183">
        <v>0</v>
      </c>
      <c r="H765" s="183">
        <v>2</v>
      </c>
      <c r="I765" s="183">
        <v>94</v>
      </c>
      <c r="J765" s="183">
        <v>9999</v>
      </c>
      <c r="K765" s="183">
        <v>0</v>
      </c>
      <c r="L765" s="183">
        <v>0</v>
      </c>
      <c r="M765" s="183">
        <v>0</v>
      </c>
      <c r="N765" s="183">
        <v>8694</v>
      </c>
      <c r="O765" s="183">
        <v>0</v>
      </c>
      <c r="P765" s="183">
        <v>8697</v>
      </c>
      <c r="Q765" s="183">
        <v>9999</v>
      </c>
    </row>
    <row r="766" spans="1:17">
      <c r="A766" s="183" t="s">
        <v>2068</v>
      </c>
      <c r="B766" s="183" t="s">
        <v>1093</v>
      </c>
      <c r="C766" s="183" t="s">
        <v>2680</v>
      </c>
      <c r="D766" s="183">
        <v>4</v>
      </c>
      <c r="E766" s="183">
        <v>0</v>
      </c>
      <c r="F766" s="183">
        <v>3</v>
      </c>
      <c r="G766" s="183">
        <v>0</v>
      </c>
      <c r="H766" s="183">
        <v>0</v>
      </c>
      <c r="I766" s="183">
        <v>22</v>
      </c>
      <c r="J766" s="183">
        <v>9999</v>
      </c>
      <c r="K766" s="183">
        <v>0</v>
      </c>
      <c r="L766" s="183">
        <v>0</v>
      </c>
      <c r="M766" s="183">
        <v>0</v>
      </c>
      <c r="N766" s="183">
        <v>8734</v>
      </c>
      <c r="O766" s="183">
        <v>0</v>
      </c>
      <c r="P766" s="183">
        <v>8737</v>
      </c>
      <c r="Q766" s="183">
        <v>9999</v>
      </c>
    </row>
    <row r="767" spans="1:17">
      <c r="A767" s="183" t="s">
        <v>2062</v>
      </c>
      <c r="B767" s="183" t="s">
        <v>1675</v>
      </c>
      <c r="C767" s="183" t="s">
        <v>2681</v>
      </c>
      <c r="D767" s="183">
        <v>0</v>
      </c>
      <c r="E767" s="183">
        <v>0</v>
      </c>
      <c r="F767" s="183">
        <v>1</v>
      </c>
      <c r="G767" s="183">
        <v>0</v>
      </c>
      <c r="H767" s="183">
        <v>0</v>
      </c>
      <c r="I767" s="183">
        <v>0</v>
      </c>
      <c r="J767" s="183">
        <v>9999</v>
      </c>
      <c r="K767" s="183">
        <v>0</v>
      </c>
      <c r="L767" s="183">
        <v>0</v>
      </c>
      <c r="M767" s="183">
        <v>0</v>
      </c>
      <c r="N767" s="183">
        <v>0</v>
      </c>
      <c r="O767" s="183">
        <v>0</v>
      </c>
      <c r="P767" s="183">
        <v>1</v>
      </c>
      <c r="Q767" s="183">
        <v>9999</v>
      </c>
    </row>
    <row r="768" spans="1:17">
      <c r="A768" s="183" t="s">
        <v>2062</v>
      </c>
      <c r="B768" s="183" t="s">
        <v>1678</v>
      </c>
      <c r="C768" s="183" t="s">
        <v>2682</v>
      </c>
      <c r="D768" s="183">
        <v>0</v>
      </c>
      <c r="E768" s="183">
        <v>0</v>
      </c>
      <c r="F768" s="183">
        <v>1</v>
      </c>
      <c r="G768" s="183">
        <v>1563</v>
      </c>
      <c r="H768" s="183">
        <v>0</v>
      </c>
      <c r="I768" s="183">
        <v>4</v>
      </c>
      <c r="J768" s="183">
        <v>9999</v>
      </c>
      <c r="K768" s="183">
        <v>0</v>
      </c>
      <c r="L768" s="183">
        <v>0</v>
      </c>
      <c r="M768" s="183">
        <v>0</v>
      </c>
      <c r="N768" s="183">
        <v>3233</v>
      </c>
      <c r="O768" s="183">
        <v>0</v>
      </c>
      <c r="P768" s="183">
        <v>4797</v>
      </c>
      <c r="Q768" s="183">
        <v>9999</v>
      </c>
    </row>
    <row r="769" spans="1:17">
      <c r="A769" s="183" t="s">
        <v>2068</v>
      </c>
      <c r="B769" s="183" t="s">
        <v>986</v>
      </c>
      <c r="C769" s="183" t="s">
        <v>2683</v>
      </c>
      <c r="D769" s="183">
        <v>7</v>
      </c>
      <c r="E769" s="183">
        <v>0</v>
      </c>
      <c r="F769" s="183">
        <v>4</v>
      </c>
      <c r="G769" s="183">
        <v>1</v>
      </c>
      <c r="H769" s="183">
        <v>3</v>
      </c>
      <c r="I769" s="183">
        <v>40</v>
      </c>
      <c r="J769" s="183">
        <v>9999</v>
      </c>
      <c r="K769" s="183">
        <v>0</v>
      </c>
      <c r="L769" s="183">
        <v>0</v>
      </c>
      <c r="M769" s="183">
        <v>0</v>
      </c>
      <c r="N769" s="183">
        <v>172</v>
      </c>
      <c r="O769" s="183">
        <v>0</v>
      </c>
      <c r="P769" s="183">
        <v>180</v>
      </c>
      <c r="Q769" s="183">
        <v>9999</v>
      </c>
    </row>
    <row r="770" spans="1:17">
      <c r="A770" s="183" t="s">
        <v>2068</v>
      </c>
      <c r="B770" s="183" t="s">
        <v>974</v>
      </c>
      <c r="C770" s="183" t="s">
        <v>2684</v>
      </c>
      <c r="D770" s="183">
        <v>0</v>
      </c>
      <c r="E770" s="183">
        <v>0</v>
      </c>
      <c r="F770" s="183">
        <v>933</v>
      </c>
      <c r="G770" s="183">
        <v>0</v>
      </c>
      <c r="H770" s="183">
        <v>0</v>
      </c>
      <c r="I770" s="183">
        <v>65</v>
      </c>
      <c r="J770" s="183">
        <v>9999</v>
      </c>
      <c r="K770" s="183">
        <v>0</v>
      </c>
      <c r="L770" s="183">
        <v>0</v>
      </c>
      <c r="M770" s="183">
        <v>0</v>
      </c>
      <c r="N770" s="183">
        <v>3501</v>
      </c>
      <c r="O770" s="183">
        <v>0</v>
      </c>
      <c r="P770" s="183">
        <v>4434</v>
      </c>
      <c r="Q770" s="183">
        <v>9999</v>
      </c>
    </row>
    <row r="771" spans="1:17">
      <c r="A771" s="183" t="s">
        <v>2068</v>
      </c>
      <c r="B771" s="183" t="s">
        <v>1224</v>
      </c>
      <c r="C771" s="183" t="s">
        <v>2685</v>
      </c>
      <c r="D771" s="183">
        <v>1</v>
      </c>
      <c r="E771" s="183">
        <v>0</v>
      </c>
      <c r="F771" s="183">
        <v>32</v>
      </c>
      <c r="G771" s="183">
        <v>1</v>
      </c>
      <c r="H771" s="183">
        <v>0</v>
      </c>
      <c r="I771" s="183">
        <v>228</v>
      </c>
      <c r="J771" s="183">
        <v>9999</v>
      </c>
      <c r="K771" s="183">
        <v>0</v>
      </c>
      <c r="L771" s="183">
        <v>0</v>
      </c>
      <c r="M771" s="183">
        <v>0</v>
      </c>
      <c r="N771" s="183">
        <v>69975</v>
      </c>
      <c r="O771" s="183">
        <v>0</v>
      </c>
      <c r="P771" s="183">
        <v>70008</v>
      </c>
      <c r="Q771" s="183">
        <v>9999</v>
      </c>
    </row>
    <row r="772" spans="1:17">
      <c r="A772" s="183" t="s">
        <v>2068</v>
      </c>
      <c r="B772" s="183" t="s">
        <v>1099</v>
      </c>
      <c r="C772" s="183" t="s">
        <v>2686</v>
      </c>
      <c r="D772" s="183">
        <v>0</v>
      </c>
      <c r="E772" s="183">
        <v>0</v>
      </c>
      <c r="F772" s="183">
        <v>219</v>
      </c>
      <c r="G772" s="183">
        <v>0</v>
      </c>
      <c r="H772" s="183">
        <v>1</v>
      </c>
      <c r="I772" s="183">
        <v>0</v>
      </c>
      <c r="J772" s="183">
        <v>9999</v>
      </c>
      <c r="K772" s="183">
        <v>0</v>
      </c>
      <c r="L772" s="183">
        <v>0</v>
      </c>
      <c r="M772" s="183">
        <v>0</v>
      </c>
      <c r="N772" s="183">
        <v>501</v>
      </c>
      <c r="O772" s="183">
        <v>0</v>
      </c>
      <c r="P772" s="183">
        <v>721</v>
      </c>
      <c r="Q772" s="183">
        <v>9999</v>
      </c>
    </row>
    <row r="773" spans="1:17">
      <c r="A773" s="183" t="s">
        <v>2068</v>
      </c>
      <c r="B773" s="183" t="s">
        <v>980</v>
      </c>
      <c r="C773" s="183" t="s">
        <v>2687</v>
      </c>
      <c r="D773" s="183">
        <v>2</v>
      </c>
      <c r="E773" s="183">
        <v>0</v>
      </c>
      <c r="F773" s="183">
        <v>60</v>
      </c>
      <c r="G773" s="183">
        <v>0</v>
      </c>
      <c r="H773" s="183">
        <v>0</v>
      </c>
      <c r="I773" s="183">
        <v>13</v>
      </c>
      <c r="J773" s="183">
        <v>9999</v>
      </c>
      <c r="K773" s="183">
        <v>0</v>
      </c>
      <c r="L773" s="183">
        <v>0</v>
      </c>
      <c r="M773" s="183">
        <v>0</v>
      </c>
      <c r="N773" s="183">
        <v>2193</v>
      </c>
      <c r="O773" s="183">
        <v>0</v>
      </c>
      <c r="P773" s="183">
        <v>2253</v>
      </c>
      <c r="Q773" s="183">
        <v>9999</v>
      </c>
    </row>
    <row r="774" spans="1:17">
      <c r="A774" s="183" t="s">
        <v>2068</v>
      </c>
      <c r="B774" s="183" t="s">
        <v>1127</v>
      </c>
      <c r="C774" s="183" t="s">
        <v>2688</v>
      </c>
      <c r="D774" s="183">
        <v>8</v>
      </c>
      <c r="E774" s="183">
        <v>0</v>
      </c>
      <c r="F774" s="183">
        <v>34</v>
      </c>
      <c r="G774" s="183">
        <v>0</v>
      </c>
      <c r="H774" s="183">
        <v>0</v>
      </c>
      <c r="I774" s="183">
        <v>2</v>
      </c>
      <c r="J774" s="183">
        <v>9999</v>
      </c>
      <c r="K774" s="183">
        <v>0</v>
      </c>
      <c r="L774" s="183">
        <v>0</v>
      </c>
      <c r="M774" s="183">
        <v>0</v>
      </c>
      <c r="N774" s="183">
        <v>2035</v>
      </c>
      <c r="O774" s="183">
        <v>0</v>
      </c>
      <c r="P774" s="183">
        <v>2069</v>
      </c>
      <c r="Q774" s="183">
        <v>9999</v>
      </c>
    </row>
    <row r="775" spans="1:17">
      <c r="A775" s="183" t="s">
        <v>2068</v>
      </c>
      <c r="B775" s="183" t="s">
        <v>1169</v>
      </c>
      <c r="C775" s="183" t="s">
        <v>2689</v>
      </c>
      <c r="D775" s="183">
        <v>9</v>
      </c>
      <c r="E775" s="183">
        <v>0</v>
      </c>
      <c r="F775" s="183">
        <v>8</v>
      </c>
      <c r="G775" s="183">
        <v>0</v>
      </c>
      <c r="H775" s="183">
        <v>10</v>
      </c>
      <c r="I775" s="183">
        <v>17</v>
      </c>
      <c r="J775" s="183">
        <v>9999</v>
      </c>
      <c r="K775" s="183">
        <v>0</v>
      </c>
      <c r="L775" s="183">
        <v>0</v>
      </c>
      <c r="M775" s="183">
        <v>0</v>
      </c>
      <c r="N775" s="183">
        <v>7860</v>
      </c>
      <c r="O775" s="183">
        <v>0</v>
      </c>
      <c r="P775" s="183">
        <v>7878</v>
      </c>
      <c r="Q775" s="183">
        <v>9999</v>
      </c>
    </row>
    <row r="776" spans="1:17">
      <c r="A776" s="183" t="s">
        <v>2068</v>
      </c>
      <c r="B776" s="183" t="s">
        <v>1103</v>
      </c>
      <c r="C776" s="183" t="s">
        <v>2690</v>
      </c>
      <c r="D776" s="183">
        <v>3</v>
      </c>
      <c r="E776" s="183">
        <v>0</v>
      </c>
      <c r="F776" s="183">
        <v>9</v>
      </c>
      <c r="G776" s="183">
        <v>0</v>
      </c>
      <c r="H776" s="183">
        <v>1</v>
      </c>
      <c r="I776" s="183">
        <v>17</v>
      </c>
      <c r="J776" s="183">
        <v>9999</v>
      </c>
      <c r="K776" s="183">
        <v>0</v>
      </c>
      <c r="L776" s="183">
        <v>0</v>
      </c>
      <c r="M776" s="183">
        <v>0</v>
      </c>
      <c r="N776" s="183">
        <v>7837</v>
      </c>
      <c r="O776" s="183">
        <v>0</v>
      </c>
      <c r="P776" s="183">
        <v>7847</v>
      </c>
      <c r="Q776" s="183">
        <v>9999</v>
      </c>
    </row>
    <row r="777" spans="1:17">
      <c r="A777" s="183" t="s">
        <v>2068</v>
      </c>
      <c r="B777" s="183" t="s">
        <v>1162</v>
      </c>
      <c r="C777" s="183" t="s">
        <v>2691</v>
      </c>
      <c r="D777" s="183">
        <v>0</v>
      </c>
      <c r="E777" s="183">
        <v>0</v>
      </c>
      <c r="F777" s="183">
        <v>11</v>
      </c>
      <c r="G777" s="183">
        <v>0</v>
      </c>
      <c r="H777" s="183">
        <v>0</v>
      </c>
      <c r="I777" s="183">
        <v>26</v>
      </c>
      <c r="J777" s="183">
        <v>9999</v>
      </c>
      <c r="K777" s="183">
        <v>0</v>
      </c>
      <c r="L777" s="183">
        <v>0</v>
      </c>
      <c r="M777" s="183">
        <v>0</v>
      </c>
      <c r="N777" s="183">
        <v>36106</v>
      </c>
      <c r="O777" s="183">
        <v>0</v>
      </c>
      <c r="P777" s="183">
        <v>36117</v>
      </c>
      <c r="Q777" s="183">
        <v>9999</v>
      </c>
    </row>
    <row r="778" spans="1:17">
      <c r="A778" s="183" t="s">
        <v>2068</v>
      </c>
      <c r="B778" s="183" t="s">
        <v>1212</v>
      </c>
      <c r="C778" s="183" t="s">
        <v>2692</v>
      </c>
      <c r="D778" s="183">
        <v>12</v>
      </c>
      <c r="E778" s="183">
        <v>0</v>
      </c>
      <c r="F778" s="183">
        <v>80</v>
      </c>
      <c r="G778" s="183">
        <v>3</v>
      </c>
      <c r="H778" s="183">
        <v>0</v>
      </c>
      <c r="I778" s="183">
        <v>16</v>
      </c>
      <c r="J778" s="183">
        <v>9999</v>
      </c>
      <c r="K778" s="183">
        <v>0</v>
      </c>
      <c r="L778" s="183">
        <v>0</v>
      </c>
      <c r="M778" s="183">
        <v>0</v>
      </c>
      <c r="N778" s="183">
        <v>8477</v>
      </c>
      <c r="O778" s="183">
        <v>0</v>
      </c>
      <c r="P778" s="183">
        <v>8560</v>
      </c>
      <c r="Q778" s="183">
        <v>9999</v>
      </c>
    </row>
    <row r="779" spans="1:17">
      <c r="A779" s="183" t="s">
        <v>2068</v>
      </c>
      <c r="B779" s="183" t="s">
        <v>1024</v>
      </c>
      <c r="C779" s="183" t="s">
        <v>2693</v>
      </c>
      <c r="D779" s="183">
        <v>13</v>
      </c>
      <c r="E779" s="183">
        <v>0</v>
      </c>
      <c r="F779" s="183">
        <v>81</v>
      </c>
      <c r="G779" s="183">
        <v>0</v>
      </c>
      <c r="H779" s="183">
        <v>0</v>
      </c>
      <c r="I779" s="183">
        <v>21</v>
      </c>
      <c r="J779" s="183">
        <v>9999</v>
      </c>
      <c r="K779" s="183">
        <v>0</v>
      </c>
      <c r="L779" s="183">
        <v>0</v>
      </c>
      <c r="M779" s="183">
        <v>0</v>
      </c>
      <c r="N779" s="183">
        <v>11891</v>
      </c>
      <c r="O779" s="183">
        <v>0</v>
      </c>
      <c r="P779" s="183">
        <v>11972</v>
      </c>
      <c r="Q779" s="183">
        <v>9999</v>
      </c>
    </row>
    <row r="780" spans="1:17">
      <c r="A780" s="183" t="s">
        <v>2068</v>
      </c>
      <c r="B780" s="183" t="s">
        <v>1704</v>
      </c>
      <c r="C780" s="183" t="s">
        <v>2694</v>
      </c>
      <c r="D780" s="183">
        <v>0</v>
      </c>
      <c r="E780" s="183">
        <v>0</v>
      </c>
      <c r="F780" s="183">
        <v>1</v>
      </c>
      <c r="G780" s="183">
        <v>0</v>
      </c>
      <c r="H780" s="183">
        <v>0</v>
      </c>
      <c r="I780" s="183">
        <v>0</v>
      </c>
      <c r="J780" s="183">
        <v>9999</v>
      </c>
      <c r="K780" s="183">
        <v>0</v>
      </c>
      <c r="L780" s="183">
        <v>0</v>
      </c>
      <c r="M780" s="183">
        <v>0</v>
      </c>
      <c r="N780" s="183">
        <v>0</v>
      </c>
      <c r="O780" s="183">
        <v>0</v>
      </c>
      <c r="P780" s="183">
        <v>1</v>
      </c>
      <c r="Q780" s="183">
        <v>9999</v>
      </c>
    </row>
    <row r="781" spans="1:17">
      <c r="A781" s="183" t="s">
        <v>2068</v>
      </c>
      <c r="B781" s="183" t="s">
        <v>1282</v>
      </c>
      <c r="C781" s="183" t="s">
        <v>2695</v>
      </c>
      <c r="D781" s="183">
        <v>24</v>
      </c>
      <c r="E781" s="183">
        <v>0</v>
      </c>
      <c r="F781" s="183">
        <v>11</v>
      </c>
      <c r="G781" s="183">
        <v>3</v>
      </c>
      <c r="H781" s="183">
        <v>4</v>
      </c>
      <c r="I781" s="183">
        <v>47</v>
      </c>
      <c r="J781" s="183">
        <v>9999</v>
      </c>
      <c r="K781" s="183">
        <v>0</v>
      </c>
      <c r="L781" s="183">
        <v>0</v>
      </c>
      <c r="M781" s="183">
        <v>0</v>
      </c>
      <c r="N781" s="183">
        <v>3796</v>
      </c>
      <c r="O781" s="183">
        <v>0</v>
      </c>
      <c r="P781" s="183">
        <v>3814</v>
      </c>
      <c r="Q781" s="183">
        <v>9999</v>
      </c>
    </row>
    <row r="782" spans="1:17">
      <c r="A782" s="183" t="s">
        <v>2068</v>
      </c>
      <c r="B782" s="183" t="s">
        <v>1158</v>
      </c>
      <c r="C782" s="183" t="s">
        <v>2696</v>
      </c>
      <c r="D782" s="183">
        <v>0</v>
      </c>
      <c r="E782" s="183">
        <v>0</v>
      </c>
      <c r="F782" s="183">
        <v>2</v>
      </c>
      <c r="G782" s="183">
        <v>0</v>
      </c>
      <c r="H782" s="183">
        <v>0</v>
      </c>
      <c r="I782" s="183">
        <v>7</v>
      </c>
      <c r="J782" s="183">
        <v>9999</v>
      </c>
      <c r="K782" s="183">
        <v>0</v>
      </c>
      <c r="L782" s="183">
        <v>0</v>
      </c>
      <c r="M782" s="183">
        <v>0</v>
      </c>
      <c r="N782" s="183">
        <v>465</v>
      </c>
      <c r="O782" s="183">
        <v>0</v>
      </c>
      <c r="P782" s="183">
        <v>467</v>
      </c>
      <c r="Q782" s="183">
        <v>9999</v>
      </c>
    </row>
    <row r="783" spans="1:17">
      <c r="A783" s="183" t="s">
        <v>2068</v>
      </c>
      <c r="B783" s="183" t="s">
        <v>1187</v>
      </c>
      <c r="C783" s="183" t="s">
        <v>2697</v>
      </c>
      <c r="D783" s="183">
        <v>11</v>
      </c>
      <c r="E783" s="183">
        <v>0</v>
      </c>
      <c r="F783" s="183">
        <v>3</v>
      </c>
      <c r="G783" s="183">
        <v>5</v>
      </c>
      <c r="H783" s="183">
        <v>0</v>
      </c>
      <c r="I783" s="183">
        <v>34</v>
      </c>
      <c r="J783" s="183">
        <v>9999</v>
      </c>
      <c r="K783" s="183">
        <v>0</v>
      </c>
      <c r="L783" s="183">
        <v>0</v>
      </c>
      <c r="M783" s="183">
        <v>0</v>
      </c>
      <c r="N783" s="183">
        <v>2101</v>
      </c>
      <c r="O783" s="183">
        <v>0</v>
      </c>
      <c r="P783" s="183">
        <v>2109</v>
      </c>
      <c r="Q783" s="183">
        <v>9999</v>
      </c>
    </row>
    <row r="784" spans="1:17">
      <c r="A784" s="183" t="s">
        <v>2068</v>
      </c>
      <c r="B784" s="183" t="s">
        <v>1259</v>
      </c>
      <c r="C784" s="183" t="s">
        <v>2698</v>
      </c>
      <c r="D784" s="183">
        <v>22</v>
      </c>
      <c r="E784" s="183">
        <v>0</v>
      </c>
      <c r="F784" s="183">
        <v>5</v>
      </c>
      <c r="G784" s="183">
        <v>0</v>
      </c>
      <c r="H784" s="183">
        <v>0</v>
      </c>
      <c r="I784" s="183">
        <v>36</v>
      </c>
      <c r="J784" s="183">
        <v>9999</v>
      </c>
      <c r="K784" s="183">
        <v>0</v>
      </c>
      <c r="L784" s="183">
        <v>0</v>
      </c>
      <c r="M784" s="183">
        <v>0</v>
      </c>
      <c r="N784" s="183">
        <v>1204</v>
      </c>
      <c r="O784" s="183">
        <v>0</v>
      </c>
      <c r="P784" s="183">
        <v>1209</v>
      </c>
      <c r="Q784" s="183">
        <v>9999</v>
      </c>
    </row>
    <row r="785" spans="1:17">
      <c r="A785" s="183" t="s">
        <v>2068</v>
      </c>
      <c r="B785" s="183" t="s">
        <v>992</v>
      </c>
      <c r="C785" s="183" t="s">
        <v>2699</v>
      </c>
      <c r="D785" s="183">
        <v>5</v>
      </c>
      <c r="E785" s="183">
        <v>0</v>
      </c>
      <c r="F785" s="183">
        <v>14</v>
      </c>
      <c r="G785" s="183">
        <v>0</v>
      </c>
      <c r="H785" s="183">
        <v>0</v>
      </c>
      <c r="I785" s="183">
        <v>31</v>
      </c>
      <c r="J785" s="183">
        <v>9999</v>
      </c>
      <c r="K785" s="183">
        <v>0</v>
      </c>
      <c r="L785" s="183">
        <v>0</v>
      </c>
      <c r="M785" s="183">
        <v>0</v>
      </c>
      <c r="N785" s="183">
        <v>6335</v>
      </c>
      <c r="O785" s="183">
        <v>0</v>
      </c>
      <c r="P785" s="183">
        <v>6349</v>
      </c>
      <c r="Q785" s="183">
        <v>9999</v>
      </c>
    </row>
    <row r="786" spans="1:17">
      <c r="A786" s="183" t="s">
        <v>2068</v>
      </c>
      <c r="B786" s="183" t="s">
        <v>1179</v>
      </c>
      <c r="C786" s="183" t="s">
        <v>2700</v>
      </c>
      <c r="D786" s="183">
        <v>0</v>
      </c>
      <c r="E786" s="183">
        <v>0</v>
      </c>
      <c r="F786" s="183">
        <v>413</v>
      </c>
      <c r="G786" s="183">
        <v>20</v>
      </c>
      <c r="H786" s="183">
        <v>147</v>
      </c>
      <c r="I786" s="183">
        <v>13</v>
      </c>
      <c r="J786" s="183">
        <v>9999</v>
      </c>
      <c r="K786" s="183">
        <v>0</v>
      </c>
      <c r="L786" s="183">
        <v>0</v>
      </c>
      <c r="M786" s="183">
        <v>0</v>
      </c>
      <c r="N786" s="183">
        <v>5229</v>
      </c>
      <c r="O786" s="183">
        <v>0</v>
      </c>
      <c r="P786" s="183">
        <v>5809</v>
      </c>
      <c r="Q786" s="183">
        <v>9999</v>
      </c>
    </row>
    <row r="787" spans="1:17">
      <c r="A787" s="183" t="s">
        <v>2068</v>
      </c>
      <c r="B787" s="183" t="s">
        <v>1156</v>
      </c>
      <c r="C787" s="183" t="s">
        <v>2701</v>
      </c>
      <c r="D787" s="183">
        <v>13</v>
      </c>
      <c r="E787" s="183">
        <v>0</v>
      </c>
      <c r="F787" s="183">
        <v>24</v>
      </c>
      <c r="G787" s="183">
        <v>1</v>
      </c>
      <c r="H787" s="183">
        <v>0</v>
      </c>
      <c r="I787" s="183">
        <v>11</v>
      </c>
      <c r="J787" s="183">
        <v>9999</v>
      </c>
      <c r="K787" s="183">
        <v>0</v>
      </c>
      <c r="L787" s="183">
        <v>0</v>
      </c>
      <c r="M787" s="183">
        <v>0</v>
      </c>
      <c r="N787" s="183">
        <v>5410</v>
      </c>
      <c r="O787" s="183">
        <v>0</v>
      </c>
      <c r="P787" s="183">
        <v>5435</v>
      </c>
      <c r="Q787" s="183">
        <v>9999</v>
      </c>
    </row>
    <row r="788" spans="1:17">
      <c r="A788" s="183" t="s">
        <v>2068</v>
      </c>
      <c r="B788" s="183" t="s">
        <v>1085</v>
      </c>
      <c r="C788" s="183" t="s">
        <v>2040</v>
      </c>
      <c r="D788" s="183">
        <v>6</v>
      </c>
      <c r="E788" s="183">
        <v>0</v>
      </c>
      <c r="F788" s="183">
        <v>90</v>
      </c>
      <c r="G788" s="183">
        <v>6</v>
      </c>
      <c r="H788" s="183">
        <v>111</v>
      </c>
      <c r="I788" s="183">
        <v>8</v>
      </c>
      <c r="J788" s="183">
        <v>9999</v>
      </c>
      <c r="K788" s="183">
        <v>0</v>
      </c>
      <c r="L788" s="183">
        <v>0</v>
      </c>
      <c r="M788" s="183">
        <v>0</v>
      </c>
      <c r="N788" s="183">
        <v>0</v>
      </c>
      <c r="O788" s="183">
        <v>0</v>
      </c>
      <c r="P788" s="183">
        <v>207</v>
      </c>
      <c r="Q788" s="183">
        <v>9999</v>
      </c>
    </row>
    <row r="789" spans="1:17">
      <c r="A789" s="183" t="s">
        <v>2068</v>
      </c>
      <c r="B789" s="183" t="s">
        <v>1131</v>
      </c>
      <c r="C789" s="183" t="s">
        <v>2702</v>
      </c>
      <c r="D789" s="183">
        <v>8</v>
      </c>
      <c r="E789" s="183">
        <v>0</v>
      </c>
      <c r="F789" s="183">
        <v>4</v>
      </c>
      <c r="G789" s="183">
        <v>0</v>
      </c>
      <c r="H789" s="183">
        <v>0</v>
      </c>
      <c r="I789" s="183">
        <v>40</v>
      </c>
      <c r="J789" s="183">
        <v>9999</v>
      </c>
      <c r="K789" s="183">
        <v>0</v>
      </c>
      <c r="L789" s="183">
        <v>0</v>
      </c>
      <c r="M789" s="183">
        <v>0</v>
      </c>
      <c r="N789" s="183">
        <v>0</v>
      </c>
      <c r="O789" s="183">
        <v>0</v>
      </c>
      <c r="P789" s="183">
        <v>4</v>
      </c>
      <c r="Q789" s="183">
        <v>9999</v>
      </c>
    </row>
    <row r="790" spans="1:17">
      <c r="A790" s="183" t="s">
        <v>2068</v>
      </c>
      <c r="B790" s="183" t="s">
        <v>1034</v>
      </c>
      <c r="C790" s="183" t="s">
        <v>2703</v>
      </c>
      <c r="D790" s="183">
        <v>0</v>
      </c>
      <c r="E790" s="183">
        <v>0</v>
      </c>
      <c r="F790" s="183">
        <v>17</v>
      </c>
      <c r="G790" s="183">
        <v>4</v>
      </c>
      <c r="H790" s="183">
        <v>0</v>
      </c>
      <c r="I790" s="183">
        <v>4</v>
      </c>
      <c r="J790" s="183">
        <v>9999</v>
      </c>
      <c r="K790" s="183">
        <v>0</v>
      </c>
      <c r="L790" s="183">
        <v>0</v>
      </c>
      <c r="M790" s="183">
        <v>0</v>
      </c>
      <c r="N790" s="183">
        <v>0</v>
      </c>
      <c r="O790" s="183">
        <v>0</v>
      </c>
      <c r="P790" s="183">
        <v>21</v>
      </c>
      <c r="Q790" s="183">
        <v>9999</v>
      </c>
    </row>
    <row r="791" spans="1:17">
      <c r="A791" s="183" t="s">
        <v>2062</v>
      </c>
      <c r="B791" s="183" t="s">
        <v>1853</v>
      </c>
      <c r="C791" s="183" t="s">
        <v>2704</v>
      </c>
      <c r="D791" s="183">
        <v>0</v>
      </c>
      <c r="E791" s="183">
        <v>0</v>
      </c>
      <c r="F791" s="183">
        <v>12</v>
      </c>
      <c r="G791" s="183">
        <v>0</v>
      </c>
      <c r="H791" s="183">
        <v>0</v>
      </c>
      <c r="I791" s="183">
        <v>1</v>
      </c>
      <c r="J791" s="183">
        <v>9999</v>
      </c>
      <c r="K791" s="183">
        <v>1</v>
      </c>
      <c r="L791" s="183">
        <v>1</v>
      </c>
      <c r="M791" s="183">
        <v>219</v>
      </c>
      <c r="N791" s="183">
        <v>6947</v>
      </c>
      <c r="O791" s="183">
        <v>1</v>
      </c>
      <c r="P791" s="183">
        <v>7178</v>
      </c>
      <c r="Q791" s="183">
        <v>9999</v>
      </c>
    </row>
    <row r="792" spans="1:17">
      <c r="A792" s="183" t="s">
        <v>2062</v>
      </c>
      <c r="B792" s="183" t="s">
        <v>2705</v>
      </c>
      <c r="C792" s="183" t="s">
        <v>2706</v>
      </c>
      <c r="D792" s="183">
        <v>0</v>
      </c>
      <c r="E792" s="183">
        <v>0</v>
      </c>
      <c r="F792" s="183">
        <v>65</v>
      </c>
      <c r="G792" s="183">
        <v>2454</v>
      </c>
      <c r="H792" s="183">
        <v>0</v>
      </c>
      <c r="I792" s="183">
        <v>1</v>
      </c>
      <c r="J792" s="183">
        <v>9999</v>
      </c>
      <c r="K792" s="183">
        <v>0</v>
      </c>
      <c r="L792" s="183">
        <v>0</v>
      </c>
      <c r="M792" s="183">
        <v>0</v>
      </c>
      <c r="N792" s="183">
        <v>2267</v>
      </c>
      <c r="O792" s="183">
        <v>0</v>
      </c>
      <c r="P792" s="183">
        <v>4786</v>
      </c>
      <c r="Q792" s="183">
        <v>9999</v>
      </c>
    </row>
    <row r="793" spans="1:17">
      <c r="A793" s="183" t="s">
        <v>2062</v>
      </c>
      <c r="B793" s="183" t="s">
        <v>2707</v>
      </c>
      <c r="C793" s="183" t="s">
        <v>2708</v>
      </c>
      <c r="D793" s="183">
        <v>0</v>
      </c>
      <c r="E793" s="183">
        <v>0</v>
      </c>
      <c r="F793" s="183">
        <v>8</v>
      </c>
      <c r="G793" s="183">
        <v>1512</v>
      </c>
      <c r="H793" s="183">
        <v>0</v>
      </c>
      <c r="I793" s="183">
        <v>0</v>
      </c>
      <c r="J793" s="183">
        <v>9999</v>
      </c>
      <c r="K793" s="183">
        <v>0</v>
      </c>
      <c r="L793" s="183">
        <v>0</v>
      </c>
      <c r="M793" s="183">
        <v>0</v>
      </c>
      <c r="N793" s="183">
        <v>3927</v>
      </c>
      <c r="O793" s="183">
        <v>0</v>
      </c>
      <c r="P793" s="183">
        <v>5447</v>
      </c>
      <c r="Q793" s="183">
        <v>9999</v>
      </c>
    </row>
    <row r="794" spans="1:17">
      <c r="A794" s="183" t="s">
        <v>2062</v>
      </c>
      <c r="B794" s="183" t="s">
        <v>2709</v>
      </c>
      <c r="C794" s="183" t="s">
        <v>2710</v>
      </c>
      <c r="D794" s="183">
        <v>0</v>
      </c>
      <c r="E794" s="183">
        <v>0</v>
      </c>
      <c r="F794" s="183">
        <v>25</v>
      </c>
      <c r="G794" s="183">
        <v>2971</v>
      </c>
      <c r="H794" s="183">
        <v>0</v>
      </c>
      <c r="I794" s="183">
        <v>20</v>
      </c>
      <c r="J794" s="183">
        <v>9999</v>
      </c>
      <c r="K794" s="183">
        <v>0</v>
      </c>
      <c r="L794" s="183">
        <v>0</v>
      </c>
      <c r="M794" s="183">
        <v>0</v>
      </c>
      <c r="N794" s="183">
        <v>4962</v>
      </c>
      <c r="O794" s="183">
        <v>0</v>
      </c>
      <c r="P794" s="183">
        <v>7958</v>
      </c>
      <c r="Q794" s="183">
        <v>9999</v>
      </c>
    </row>
    <row r="795" spans="1:17">
      <c r="A795" s="183" t="s">
        <v>2068</v>
      </c>
      <c r="B795" s="183" t="s">
        <v>2711</v>
      </c>
      <c r="C795" s="183" t="s">
        <v>2712</v>
      </c>
      <c r="D795" s="183">
        <v>0</v>
      </c>
      <c r="E795" s="183">
        <v>0</v>
      </c>
      <c r="F795" s="183">
        <v>2935</v>
      </c>
      <c r="G795" s="183">
        <v>0</v>
      </c>
      <c r="H795" s="183">
        <v>0</v>
      </c>
      <c r="I795" s="183">
        <v>11</v>
      </c>
      <c r="J795" s="183">
        <v>10273</v>
      </c>
      <c r="K795" s="183">
        <v>0</v>
      </c>
      <c r="L795" s="183">
        <v>0</v>
      </c>
      <c r="M795" s="183">
        <v>0</v>
      </c>
      <c r="N795" s="183">
        <v>0</v>
      </c>
      <c r="O795" s="183">
        <v>0</v>
      </c>
      <c r="P795" s="183">
        <v>2935</v>
      </c>
      <c r="Q795" s="183">
        <v>10273</v>
      </c>
    </row>
    <row r="796" spans="1:17">
      <c r="A796" s="183" t="s">
        <v>2068</v>
      </c>
      <c r="B796" s="183" t="s">
        <v>2713</v>
      </c>
      <c r="C796" s="183" t="s">
        <v>2714</v>
      </c>
      <c r="D796" s="183">
        <v>0</v>
      </c>
      <c r="E796" s="183">
        <v>0</v>
      </c>
      <c r="F796" s="183">
        <v>2946</v>
      </c>
      <c r="G796" s="183">
        <v>9</v>
      </c>
      <c r="H796" s="183">
        <v>0</v>
      </c>
      <c r="I796" s="183">
        <v>1</v>
      </c>
      <c r="J796" s="183">
        <v>20685</v>
      </c>
      <c r="K796" s="183">
        <v>0</v>
      </c>
      <c r="L796" s="183">
        <v>0</v>
      </c>
      <c r="M796" s="183">
        <v>0</v>
      </c>
      <c r="N796" s="183">
        <v>1241</v>
      </c>
      <c r="O796" s="183">
        <v>0</v>
      </c>
      <c r="P796" s="183">
        <v>4196</v>
      </c>
      <c r="Q796" s="183">
        <v>29372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Zimo Y -BL</cp:lastModifiedBy>
  <cp:revision/>
  <dcterms:created xsi:type="dcterms:W3CDTF">2015-06-05T18:17:20Z</dcterms:created>
  <dcterms:modified xsi:type="dcterms:W3CDTF">2026-04-27T23:30:03Z</dcterms:modified>
  <cp:category/>
  <cp:contentStatus/>
</cp:coreProperties>
</file>