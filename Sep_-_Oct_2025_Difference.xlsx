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640" documentId="8_{927BCF8B-0D30-4A5A-8C2F-BF28638F3ED6}" xr6:coauthVersionLast="47" xr6:coauthVersionMax="47" xr10:uidLastSave="{25051D06-F7F3-44B8-A378-5656D052F85A}"/>
  <bookViews>
    <workbookView xWindow="-120" yWindow="-120" windowWidth="29040" windowHeight="15720" activeTab="2" xr2:uid="{00000000-000D-0000-FFFF-FFFF00000000}"/>
  </bookViews>
  <sheets>
    <sheet name="Micro Difference" sheetId="1" r:id="rId1"/>
    <sheet name="NB Difference" sheetId="2" r:id="rId2"/>
    <sheet name="DS Difference" sheetId="3" r:id="rId3"/>
    <sheet name="ACOS &amp; TCOS" sheetId="7" r:id="rId4"/>
    <sheet name="CVR" sheetId="9" r:id="rId5"/>
    <sheet name="Sales &amp; Budget OOB" sheetId="5" r:id="rId6"/>
    <sheet name="All Products" sheetId="4" state="hidden" r:id="rId7"/>
  </sheets>
  <definedNames>
    <definedName name="_xlnm._FilterDatabase" localSheetId="4" hidden="1">CVR!$AG$1:$AG$488</definedName>
    <definedName name="_xlnm._FilterDatabase" localSheetId="2" hidden="1">'DS Difference'!$A$2:$AD$121</definedName>
    <definedName name="_xlnm._FilterDatabase" localSheetId="0" hidden="1">'Micro Difference'!$A$2:$AA$294</definedName>
    <definedName name="_xlnm._FilterDatabase" localSheetId="1" hidden="1">'NB Difference'!$A$2:$AC$140</definedName>
    <definedName name="_xlnm._FilterDatabase" localSheetId="5" hidden="1">'Sales &amp; Budget OOB'!$A$1:$N$599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12" i="1" l="1"/>
  <c r="AC132" i="2"/>
  <c r="U83" i="3"/>
  <c r="T83" i="3"/>
  <c r="V339" i="1"/>
  <c r="U339" i="1"/>
  <c r="AL40" i="7"/>
  <c r="W352" i="1"/>
  <c r="X352" i="1"/>
  <c r="Q352" i="1"/>
  <c r="N352" i="1"/>
  <c r="M352" i="1"/>
  <c r="F352" i="1"/>
  <c r="C352" i="1"/>
  <c r="AC131" i="3"/>
  <c r="AB131" i="3"/>
  <c r="Q131" i="3"/>
  <c r="O131" i="3"/>
  <c r="N131" i="3"/>
  <c r="F131" i="3"/>
  <c r="C131" i="3"/>
  <c r="AL9" i="7"/>
  <c r="AB149" i="2"/>
  <c r="AA149" i="2"/>
  <c r="Q149" i="2"/>
  <c r="N149" i="2"/>
  <c r="M149" i="2"/>
  <c r="C149" i="2"/>
  <c r="F149" i="2"/>
  <c r="AL5" i="7"/>
  <c r="AH5" i="7"/>
  <c r="AH30" i="7"/>
  <c r="AH31" i="7"/>
  <c r="AH32" i="7"/>
  <c r="AH33" i="7"/>
  <c r="AH25" i="7"/>
  <c r="AG25" i="7"/>
  <c r="AH23" i="7"/>
  <c r="AH24" i="7"/>
  <c r="AG23" i="7"/>
  <c r="AL12" i="7"/>
  <c r="AL19" i="7"/>
  <c r="AL38" i="7"/>
  <c r="AL39" i="7"/>
  <c r="AL37" i="7"/>
  <c r="AG41" i="7"/>
  <c r="AH40" i="7"/>
  <c r="AH41" i="7" s="1"/>
  <c r="AL17" i="7"/>
  <c r="AL18" i="7"/>
  <c r="AL16" i="7"/>
  <c r="AL3" i="7"/>
  <c r="AL4" i="7"/>
  <c r="AL2" i="7"/>
  <c r="AL10" i="7"/>
  <c r="AL11" i="7"/>
  <c r="AH12" i="7"/>
  <c r="AH19" i="7"/>
  <c r="U90" i="3"/>
  <c r="U75" i="3"/>
  <c r="U91" i="3"/>
  <c r="U97" i="3"/>
  <c r="T90" i="3"/>
  <c r="T75" i="3"/>
  <c r="T91" i="3"/>
  <c r="T97" i="3"/>
  <c r="AC74" i="2"/>
  <c r="AC75" i="2"/>
  <c r="U74" i="2"/>
  <c r="U75" i="2"/>
  <c r="T74" i="2"/>
  <c r="T75" i="2"/>
  <c r="AA152" i="2"/>
  <c r="AB152" i="2"/>
  <c r="V329" i="1"/>
  <c r="V311" i="1"/>
  <c r="V201" i="1"/>
  <c r="V190" i="1"/>
  <c r="V155" i="1"/>
  <c r="V154" i="1"/>
  <c r="V161" i="1"/>
  <c r="V156" i="1"/>
  <c r="V157" i="1"/>
  <c r="V158" i="1"/>
  <c r="V159" i="1"/>
  <c r="U329" i="1"/>
  <c r="U311" i="1"/>
  <c r="U201" i="1"/>
  <c r="U190" i="1"/>
  <c r="U155" i="1"/>
  <c r="U154" i="1"/>
  <c r="U161" i="1"/>
  <c r="U156" i="1"/>
  <c r="U157" i="1"/>
  <c r="U158" i="1"/>
  <c r="U159" i="1"/>
  <c r="AD90" i="3"/>
  <c r="AD75" i="3"/>
  <c r="AD91" i="3"/>
  <c r="AD97" i="3"/>
  <c r="K90" i="3"/>
  <c r="K75" i="3"/>
  <c r="K91" i="3"/>
  <c r="K97" i="3"/>
  <c r="J90" i="3"/>
  <c r="J75" i="3"/>
  <c r="J91" i="3"/>
  <c r="J97" i="3"/>
  <c r="G91" i="3"/>
  <c r="G97" i="3"/>
  <c r="F151" i="2"/>
  <c r="G74" i="2"/>
  <c r="G75" i="2"/>
  <c r="J75" i="2"/>
  <c r="K75" i="2"/>
  <c r="J74" i="2"/>
  <c r="K74" i="2"/>
  <c r="Y159" i="1"/>
  <c r="Y311" i="1"/>
  <c r="Y201" i="1"/>
  <c r="Y190" i="1"/>
  <c r="Y155" i="1"/>
  <c r="Y154" i="1"/>
  <c r="Y161" i="1"/>
  <c r="Y156" i="1"/>
  <c r="Y157" i="1"/>
  <c r="Y158" i="1"/>
  <c r="Y329" i="1"/>
  <c r="K311" i="1"/>
  <c r="K201" i="1"/>
  <c r="K190" i="1"/>
  <c r="K155" i="1"/>
  <c r="K154" i="1"/>
  <c r="K161" i="1"/>
  <c r="K156" i="1"/>
  <c r="K157" i="1"/>
  <c r="K158" i="1"/>
  <c r="K159" i="1"/>
  <c r="J311" i="1"/>
  <c r="J201" i="1"/>
  <c r="J190" i="1"/>
  <c r="J155" i="1"/>
  <c r="J154" i="1"/>
  <c r="J161" i="1"/>
  <c r="J156" i="1"/>
  <c r="J157" i="1"/>
  <c r="J158" i="1"/>
  <c r="J159" i="1"/>
  <c r="J329" i="1"/>
  <c r="K329" i="1"/>
  <c r="G329" i="1"/>
  <c r="G311" i="1"/>
  <c r="G201" i="1"/>
  <c r="G190" i="1"/>
  <c r="G155" i="1"/>
  <c r="G154" i="1"/>
  <c r="G161" i="1"/>
  <c r="G156" i="1"/>
  <c r="G157" i="1"/>
  <c r="G158" i="1"/>
  <c r="G159" i="1"/>
  <c r="E8" i="5"/>
  <c r="AG40" i="7"/>
  <c r="AG32" i="7"/>
  <c r="AG31" i="7"/>
  <c r="AG30" i="7"/>
  <c r="AG24" i="7"/>
  <c r="AG19" i="7"/>
  <c r="AG12" i="7"/>
  <c r="AG5" i="7"/>
  <c r="F152" i="2"/>
  <c r="K105" i="2"/>
  <c r="K139" i="2"/>
  <c r="K109" i="2"/>
  <c r="J105" i="2"/>
  <c r="J139" i="2"/>
  <c r="J109" i="2"/>
  <c r="U105" i="2"/>
  <c r="U139" i="2"/>
  <c r="U109" i="2"/>
  <c r="T105" i="2"/>
  <c r="T139" i="2"/>
  <c r="T109" i="2"/>
  <c r="AC139" i="2"/>
  <c r="AC109" i="2"/>
  <c r="AC105" i="2"/>
  <c r="K312" i="1"/>
  <c r="K276" i="1"/>
  <c r="K304" i="1"/>
  <c r="K168" i="1"/>
  <c r="K247" i="1"/>
  <c r="K259" i="1"/>
  <c r="K240" i="1"/>
  <c r="K328" i="1"/>
  <c r="K295" i="1"/>
  <c r="K323" i="1"/>
  <c r="K177" i="1"/>
  <c r="K300" i="1"/>
  <c r="K182" i="1"/>
  <c r="K321" i="1"/>
  <c r="K237" i="1"/>
  <c r="K282" i="1"/>
  <c r="K297" i="1"/>
  <c r="K218" i="1"/>
  <c r="K263" i="1"/>
  <c r="J312" i="1"/>
  <c r="J276" i="1"/>
  <c r="J304" i="1"/>
  <c r="J168" i="1"/>
  <c r="J247" i="1"/>
  <c r="J259" i="1"/>
  <c r="J240" i="1"/>
  <c r="J328" i="1"/>
  <c r="J295" i="1"/>
  <c r="J323" i="1"/>
  <c r="J177" i="1"/>
  <c r="J300" i="1"/>
  <c r="J182" i="1"/>
  <c r="J321" i="1"/>
  <c r="J237" i="1"/>
  <c r="J282" i="1"/>
  <c r="J297" i="1"/>
  <c r="J218" i="1"/>
  <c r="J263" i="1"/>
  <c r="J243" i="1"/>
  <c r="K243" i="1"/>
  <c r="G75" i="3"/>
  <c r="G90" i="3"/>
  <c r="G105" i="2"/>
  <c r="G139" i="2"/>
  <c r="G109" i="2"/>
  <c r="V312" i="1"/>
  <c r="V276" i="1"/>
  <c r="V304" i="1"/>
  <c r="V168" i="1"/>
  <c r="V247" i="1"/>
  <c r="V259" i="1"/>
  <c r="V240" i="1"/>
  <c r="V328" i="1"/>
  <c r="V295" i="1"/>
  <c r="V323" i="1"/>
  <c r="V177" i="1"/>
  <c r="V300" i="1"/>
  <c r="V182" i="1"/>
  <c r="V321" i="1"/>
  <c r="V237" i="1"/>
  <c r="V282" i="1"/>
  <c r="V297" i="1"/>
  <c r="V218" i="1"/>
  <c r="V263" i="1"/>
  <c r="U312" i="1"/>
  <c r="U276" i="1"/>
  <c r="U304" i="1"/>
  <c r="U168" i="1"/>
  <c r="U247" i="1"/>
  <c r="U259" i="1"/>
  <c r="U240" i="1"/>
  <c r="U328" i="1"/>
  <c r="U295" i="1"/>
  <c r="U323" i="1"/>
  <c r="U177" i="1"/>
  <c r="U300" i="1"/>
  <c r="U182" i="1"/>
  <c r="U321" i="1"/>
  <c r="U237" i="1"/>
  <c r="U282" i="1"/>
  <c r="U297" i="1"/>
  <c r="U218" i="1"/>
  <c r="U263" i="1"/>
  <c r="U243" i="1"/>
  <c r="V243" i="1"/>
  <c r="G243" i="1"/>
  <c r="G312" i="1"/>
  <c r="G276" i="1"/>
  <c r="G304" i="1"/>
  <c r="G168" i="1"/>
  <c r="G247" i="1"/>
  <c r="G259" i="1"/>
  <c r="G240" i="1"/>
  <c r="G328" i="1"/>
  <c r="G295" i="1"/>
  <c r="G323" i="1"/>
  <c r="G177" i="1"/>
  <c r="G300" i="1"/>
  <c r="G182" i="1"/>
  <c r="G321" i="1"/>
  <c r="G237" i="1"/>
  <c r="G282" i="1"/>
  <c r="G297" i="1"/>
  <c r="G218" i="1"/>
  <c r="G263" i="1"/>
  <c r="AF5" i="7"/>
  <c r="AF19" i="7"/>
  <c r="AF12" i="7"/>
  <c r="AF40" i="7"/>
  <c r="AF32" i="7"/>
  <c r="AF31" i="7"/>
  <c r="AF30" i="7"/>
  <c r="AF25" i="7"/>
  <c r="AF24" i="7"/>
  <c r="AF23" i="7"/>
  <c r="V118" i="1"/>
  <c r="V345" i="1"/>
  <c r="V22" i="1"/>
  <c r="V93" i="1"/>
  <c r="V123" i="1"/>
  <c r="V92" i="1"/>
  <c r="V50" i="1"/>
  <c r="V319" i="1"/>
  <c r="V226" i="1"/>
  <c r="V281" i="1"/>
  <c r="V58" i="1"/>
  <c r="V327" i="1"/>
  <c r="V185" i="1"/>
  <c r="V265" i="1"/>
  <c r="V261" i="1"/>
  <c r="V285" i="1"/>
  <c r="V334" i="1"/>
  <c r="V296" i="1"/>
  <c r="V317" i="1"/>
  <c r="V324" i="1"/>
  <c r="V318" i="1"/>
  <c r="V264" i="1"/>
  <c r="U118" i="1"/>
  <c r="U22" i="1"/>
  <c r="U93" i="1"/>
  <c r="U123" i="1"/>
  <c r="U92" i="1"/>
  <c r="U50" i="1"/>
  <c r="U319" i="1"/>
  <c r="U226" i="1"/>
  <c r="U281" i="1"/>
  <c r="U58" i="1"/>
  <c r="U327" i="1"/>
  <c r="U185" i="1"/>
  <c r="U265" i="1"/>
  <c r="U261" i="1"/>
  <c r="U285" i="1"/>
  <c r="U334" i="1"/>
  <c r="U296" i="1"/>
  <c r="U317" i="1"/>
  <c r="U324" i="1"/>
  <c r="U318" i="1"/>
  <c r="U264" i="1"/>
  <c r="AD83" i="3"/>
  <c r="J83" i="3"/>
  <c r="K83" i="3"/>
  <c r="G83" i="3"/>
  <c r="Y118" i="1"/>
  <c r="Y22" i="1"/>
  <c r="Y93" i="1"/>
  <c r="Y123" i="1"/>
  <c r="Y92" i="1"/>
  <c r="Y50" i="1"/>
  <c r="Y319" i="1"/>
  <c r="Y226" i="1"/>
  <c r="Y281" i="1"/>
  <c r="Y58" i="1"/>
  <c r="Y327" i="1"/>
  <c r="Y185" i="1"/>
  <c r="Y265" i="1"/>
  <c r="Y261" i="1"/>
  <c r="Y285" i="1"/>
  <c r="Y334" i="1"/>
  <c r="Y296" i="1"/>
  <c r="Y317" i="1"/>
  <c r="Y324" i="1"/>
  <c r="Y318" i="1"/>
  <c r="Y264" i="1"/>
  <c r="Y339" i="1"/>
  <c r="Y341" i="1"/>
  <c r="U341" i="1"/>
  <c r="V341" i="1"/>
  <c r="K118" i="1"/>
  <c r="K22" i="1"/>
  <c r="K93" i="1"/>
  <c r="K123" i="1"/>
  <c r="K92" i="1"/>
  <c r="K50" i="1"/>
  <c r="K319" i="1"/>
  <c r="K226" i="1"/>
  <c r="K281" i="1"/>
  <c r="K58" i="1"/>
  <c r="K327" i="1"/>
  <c r="K185" i="1"/>
  <c r="K265" i="1"/>
  <c r="K261" i="1"/>
  <c r="K285" i="1"/>
  <c r="K334" i="1"/>
  <c r="K296" i="1"/>
  <c r="K317" i="1"/>
  <c r="K324" i="1"/>
  <c r="K318" i="1"/>
  <c r="K264" i="1"/>
  <c r="K339" i="1"/>
  <c r="J118" i="1"/>
  <c r="J22" i="1"/>
  <c r="J93" i="1"/>
  <c r="J123" i="1"/>
  <c r="J92" i="1"/>
  <c r="J50" i="1"/>
  <c r="J319" i="1"/>
  <c r="J226" i="1"/>
  <c r="J281" i="1"/>
  <c r="J58" i="1"/>
  <c r="J327" i="1"/>
  <c r="J185" i="1"/>
  <c r="J265" i="1"/>
  <c r="J261" i="1"/>
  <c r="J285" i="1"/>
  <c r="J334" i="1"/>
  <c r="J296" i="1"/>
  <c r="J317" i="1"/>
  <c r="J324" i="1"/>
  <c r="J318" i="1"/>
  <c r="J264" i="1"/>
  <c r="J339" i="1"/>
  <c r="J341" i="1"/>
  <c r="K341" i="1"/>
  <c r="G341" i="1"/>
  <c r="G118" i="1"/>
  <c r="G22" i="1"/>
  <c r="G93" i="1"/>
  <c r="G123" i="1"/>
  <c r="G92" i="1"/>
  <c r="G50" i="1"/>
  <c r="G319" i="1"/>
  <c r="G226" i="1"/>
  <c r="G281" i="1"/>
  <c r="G58" i="1"/>
  <c r="G327" i="1"/>
  <c r="G185" i="1"/>
  <c r="G265" i="1"/>
  <c r="G261" i="1"/>
  <c r="G285" i="1"/>
  <c r="G334" i="1"/>
  <c r="G296" i="1"/>
  <c r="G317" i="1"/>
  <c r="G324" i="1"/>
  <c r="G318" i="1"/>
  <c r="G264" i="1"/>
  <c r="G339" i="1"/>
  <c r="AE25" i="7"/>
  <c r="J5" i="3"/>
  <c r="J3" i="3"/>
  <c r="J6" i="3"/>
  <c r="J120" i="3"/>
  <c r="J119" i="3"/>
  <c r="J46" i="3"/>
  <c r="J124" i="3"/>
  <c r="J125" i="3"/>
  <c r="J80" i="3"/>
  <c r="J49" i="3"/>
  <c r="J17" i="3"/>
  <c r="J31" i="3"/>
  <c r="J73" i="3"/>
  <c r="J4" i="3"/>
  <c r="J95" i="3"/>
  <c r="J115" i="3"/>
  <c r="J7" i="3"/>
  <c r="J11" i="3"/>
  <c r="J100" i="3"/>
  <c r="J42" i="3"/>
  <c r="J87" i="3"/>
  <c r="J74" i="3"/>
  <c r="J32" i="3"/>
  <c r="J34" i="3"/>
  <c r="J111" i="3"/>
  <c r="J44" i="3"/>
  <c r="J19" i="3"/>
  <c r="J26" i="3"/>
  <c r="J94" i="3"/>
  <c r="J77" i="3"/>
  <c r="J38" i="3"/>
  <c r="J60" i="3"/>
  <c r="J88" i="3"/>
  <c r="J113" i="3"/>
  <c r="J14" i="3"/>
  <c r="J117" i="3"/>
  <c r="J106" i="3"/>
  <c r="J20" i="3"/>
  <c r="J15" i="3"/>
  <c r="J110" i="3"/>
  <c r="J105" i="3"/>
  <c r="J85" i="3"/>
  <c r="J121" i="3"/>
  <c r="J78" i="3"/>
  <c r="J8" i="3"/>
  <c r="J25" i="3"/>
  <c r="J79" i="3"/>
  <c r="J30" i="3"/>
  <c r="J68" i="3"/>
  <c r="J12" i="3"/>
  <c r="J72" i="3"/>
  <c r="J96" i="3"/>
  <c r="J24" i="3"/>
  <c r="J47" i="3"/>
  <c r="J58" i="3"/>
  <c r="J112" i="3"/>
  <c r="J92" i="3"/>
  <c r="J89" i="3"/>
  <c r="J93" i="3"/>
  <c r="J71" i="3"/>
  <c r="J62" i="3"/>
  <c r="J33" i="3"/>
  <c r="J41" i="3"/>
  <c r="J37" i="3"/>
  <c r="J35" i="3"/>
  <c r="J123" i="3"/>
  <c r="J27" i="3"/>
  <c r="J65" i="3"/>
  <c r="J53" i="3"/>
  <c r="J13" i="3"/>
  <c r="J81" i="3"/>
  <c r="J56" i="3"/>
  <c r="J51" i="3"/>
  <c r="J54" i="3"/>
  <c r="J39" i="3"/>
  <c r="J52" i="3"/>
  <c r="J43" i="3"/>
  <c r="J50" i="3"/>
  <c r="J28" i="3"/>
  <c r="J29" i="3"/>
  <c r="J9" i="3"/>
  <c r="J66" i="3"/>
  <c r="J61" i="3"/>
  <c r="J40" i="3"/>
  <c r="J103" i="3"/>
  <c r="J76" i="3"/>
  <c r="J63" i="3"/>
  <c r="J84" i="3"/>
  <c r="J22" i="3"/>
  <c r="J108" i="3"/>
  <c r="J99" i="3"/>
  <c r="J107" i="3"/>
  <c r="J86" i="3"/>
  <c r="J57" i="3"/>
  <c r="J67" i="3"/>
  <c r="J18" i="3"/>
  <c r="J59" i="3"/>
  <c r="J64" i="3"/>
  <c r="J98" i="3"/>
  <c r="J101" i="3"/>
  <c r="J116" i="3"/>
  <c r="J82" i="3"/>
  <c r="J114" i="3"/>
  <c r="J109" i="3"/>
  <c r="J122" i="3"/>
  <c r="J55" i="3"/>
  <c r="J48" i="3"/>
  <c r="J16" i="3"/>
  <c r="J102" i="3"/>
  <c r="J45" i="3"/>
  <c r="J36" i="3"/>
  <c r="J70" i="3"/>
  <c r="J10" i="3"/>
  <c r="J118" i="3"/>
  <c r="J69" i="3"/>
  <c r="J104" i="3"/>
  <c r="J23" i="3"/>
  <c r="J21" i="3"/>
  <c r="J126" i="3"/>
  <c r="J4" i="2"/>
  <c r="J5" i="2"/>
  <c r="J27" i="2"/>
  <c r="J12" i="2"/>
  <c r="J141" i="2"/>
  <c r="J143" i="2"/>
  <c r="J126" i="2"/>
  <c r="J82" i="2"/>
  <c r="J41" i="2"/>
  <c r="J136" i="2"/>
  <c r="J36" i="2"/>
  <c r="J99" i="2"/>
  <c r="J108" i="2"/>
  <c r="J123" i="2"/>
  <c r="J47" i="2"/>
  <c r="J135" i="2"/>
  <c r="J133" i="2"/>
  <c r="J57" i="2"/>
  <c r="J112" i="2"/>
  <c r="J23" i="2"/>
  <c r="J111" i="2"/>
  <c r="J129" i="2"/>
  <c r="J18" i="2"/>
  <c r="J34" i="2"/>
  <c r="J92" i="2"/>
  <c r="J144" i="2"/>
  <c r="J101" i="2"/>
  <c r="J9" i="2"/>
  <c r="J67" i="2"/>
  <c r="J45" i="2"/>
  <c r="J104" i="2"/>
  <c r="J140" i="2"/>
  <c r="J61" i="2"/>
  <c r="J68" i="2"/>
  <c r="J88" i="2"/>
  <c r="J37" i="2"/>
  <c r="J44" i="2"/>
  <c r="J39" i="2"/>
  <c r="J8" i="2"/>
  <c r="J29" i="2"/>
  <c r="J98" i="2"/>
  <c r="J124" i="2"/>
  <c r="J62" i="2"/>
  <c r="J46" i="2"/>
  <c r="J132" i="2"/>
  <c r="J20" i="2"/>
  <c r="J106" i="2"/>
  <c r="J115" i="2"/>
  <c r="J63" i="2"/>
  <c r="J79" i="2"/>
  <c r="J127" i="2"/>
  <c r="J10" i="2"/>
  <c r="J102" i="2"/>
  <c r="J97" i="2"/>
  <c r="J24" i="2"/>
  <c r="J71" i="2"/>
  <c r="J121" i="2"/>
  <c r="J11" i="2"/>
  <c r="J72" i="2"/>
  <c r="J16" i="2"/>
  <c r="J116" i="2"/>
  <c r="J56" i="2"/>
  <c r="J73" i="2"/>
  <c r="J90" i="2"/>
  <c r="J96" i="2"/>
  <c r="J64" i="2"/>
  <c r="J70" i="2"/>
  <c r="J50" i="2"/>
  <c r="J78" i="2"/>
  <c r="J69" i="2"/>
  <c r="J60" i="2"/>
  <c r="J54" i="2"/>
  <c r="J120" i="2"/>
  <c r="J95" i="2"/>
  <c r="J42" i="2"/>
  <c r="J110" i="2"/>
  <c r="J51" i="2"/>
  <c r="J119" i="2"/>
  <c r="J87" i="2"/>
  <c r="J84" i="2"/>
  <c r="J26" i="2"/>
  <c r="J43" i="2"/>
  <c r="J59" i="2"/>
  <c r="J28" i="2"/>
  <c r="J32" i="2"/>
  <c r="J117" i="2"/>
  <c r="J125" i="2"/>
  <c r="J33" i="2"/>
  <c r="J52" i="2"/>
  <c r="J48" i="2"/>
  <c r="J85" i="2"/>
  <c r="J145" i="2"/>
  <c r="J65" i="2"/>
  <c r="J66" i="2"/>
  <c r="J93" i="2"/>
  <c r="J30" i="2"/>
  <c r="J53" i="2"/>
  <c r="J103" i="2"/>
  <c r="J55" i="2"/>
  <c r="J94" i="2"/>
  <c r="J100" i="2"/>
  <c r="J137" i="2"/>
  <c r="J58" i="2"/>
  <c r="J77" i="2"/>
  <c r="J76" i="2"/>
  <c r="J89" i="2"/>
  <c r="J83" i="2"/>
  <c r="J107" i="2"/>
  <c r="J31" i="2"/>
  <c r="J113" i="2"/>
  <c r="J81" i="2"/>
  <c r="J114" i="2"/>
  <c r="J17" i="2"/>
  <c r="J38" i="2"/>
  <c r="J14" i="2"/>
  <c r="J122" i="2"/>
  <c r="J80" i="2"/>
  <c r="J19" i="2"/>
  <c r="J22" i="2"/>
  <c r="J91" i="2"/>
  <c r="J128" i="2"/>
  <c r="J138" i="2"/>
  <c r="J142" i="2"/>
  <c r="J7" i="2"/>
  <c r="J35" i="2"/>
  <c r="J40" i="2"/>
  <c r="J118" i="2"/>
  <c r="J21" i="2"/>
  <c r="J49" i="2"/>
  <c r="J130" i="2"/>
  <c r="J86" i="2"/>
  <c r="J15" i="2"/>
  <c r="J6" i="2"/>
  <c r="J134" i="2"/>
  <c r="J13" i="2"/>
  <c r="J131" i="2"/>
  <c r="J3" i="2"/>
  <c r="J25" i="2"/>
  <c r="J345" i="1"/>
  <c r="J348" i="1"/>
  <c r="J347" i="1"/>
  <c r="J7" i="1"/>
  <c r="J6" i="1"/>
  <c r="J18" i="1"/>
  <c r="J346" i="1"/>
  <c r="J188" i="1"/>
  <c r="J270" i="1"/>
  <c r="J3" i="1"/>
  <c r="J69" i="1"/>
  <c r="J298" i="1"/>
  <c r="J322" i="1"/>
  <c r="J85" i="1"/>
  <c r="J27" i="1"/>
  <c r="J344" i="1"/>
  <c r="J78" i="1"/>
  <c r="J46" i="1"/>
  <c r="J52" i="1"/>
  <c r="J214" i="1"/>
  <c r="J253" i="1"/>
  <c r="J64" i="1"/>
  <c r="J271" i="1"/>
  <c r="J223" i="1"/>
  <c r="J11" i="1"/>
  <c r="J273" i="1"/>
  <c r="J10" i="1"/>
  <c r="J293" i="1"/>
  <c r="J178" i="1"/>
  <c r="J288" i="1"/>
  <c r="J343" i="1"/>
  <c r="J338" i="1"/>
  <c r="J219" i="1"/>
  <c r="J63" i="1"/>
  <c r="J272" i="1"/>
  <c r="J26" i="1"/>
  <c r="J294" i="1"/>
  <c r="J333" i="1"/>
  <c r="J175" i="1"/>
  <c r="J313" i="1"/>
  <c r="J305" i="1"/>
  <c r="J99" i="1"/>
  <c r="J120" i="1"/>
  <c r="J36" i="1"/>
  <c r="J306" i="1"/>
  <c r="J315" i="1"/>
  <c r="J332" i="1"/>
  <c r="J248" i="1"/>
  <c r="J53" i="1"/>
  <c r="J258" i="1"/>
  <c r="J121" i="1"/>
  <c r="J114" i="1"/>
  <c r="J283" i="1"/>
  <c r="J191" i="1"/>
  <c r="J166" i="1"/>
  <c r="J203" i="1"/>
  <c r="J132" i="1"/>
  <c r="J290" i="1"/>
  <c r="J110" i="1"/>
  <c r="J126" i="1"/>
  <c r="J307" i="1"/>
  <c r="J275" i="1"/>
  <c r="J291" i="1"/>
  <c r="J167" i="1"/>
  <c r="J111" i="1"/>
  <c r="J138" i="1"/>
  <c r="J170" i="1"/>
  <c r="J113" i="1"/>
  <c r="J70" i="1"/>
  <c r="J84" i="1"/>
  <c r="J193" i="1"/>
  <c r="J204" i="1"/>
  <c r="J62" i="1"/>
  <c r="J117" i="1"/>
  <c r="J254" i="1"/>
  <c r="J91" i="1"/>
  <c r="J289" i="1"/>
  <c r="J301" i="1"/>
  <c r="J80" i="1"/>
  <c r="J217" i="1"/>
  <c r="J108" i="1"/>
  <c r="J125" i="1"/>
  <c r="J115" i="1"/>
  <c r="J180" i="1"/>
  <c r="J179" i="1"/>
  <c r="J210" i="1"/>
  <c r="J144" i="1"/>
  <c r="J250" i="1"/>
  <c r="J65" i="1"/>
  <c r="J109" i="1"/>
  <c r="J9" i="1"/>
  <c r="J224" i="1"/>
  <c r="J262" i="1"/>
  <c r="J76" i="1"/>
  <c r="J174" i="1"/>
  <c r="J149" i="1"/>
  <c r="J181" i="1"/>
  <c r="J220" i="1"/>
  <c r="J200" i="1"/>
  <c r="J44" i="1"/>
  <c r="J15" i="1"/>
  <c r="J164" i="1"/>
  <c r="J141" i="1"/>
  <c r="J142" i="1"/>
  <c r="J236" i="1"/>
  <c r="J88" i="1"/>
  <c r="J81" i="1"/>
  <c r="J279" i="1"/>
  <c r="J165" i="1"/>
  <c r="J145" i="1"/>
  <c r="J205" i="1"/>
  <c r="J320" i="1"/>
  <c r="J206" i="1"/>
  <c r="J98" i="1"/>
  <c r="J75" i="1"/>
  <c r="J83" i="1"/>
  <c r="J67" i="1"/>
  <c r="J102" i="1"/>
  <c r="J228" i="1"/>
  <c r="J87" i="1"/>
  <c r="J135" i="1"/>
  <c r="J239" i="1"/>
  <c r="J202" i="1"/>
  <c r="J183" i="1"/>
  <c r="J100" i="1"/>
  <c r="J86" i="1"/>
  <c r="J235" i="1"/>
  <c r="J213" i="1"/>
  <c r="J280" i="1"/>
  <c r="J137" i="1"/>
  <c r="J139" i="1"/>
  <c r="J148" i="1"/>
  <c r="J136" i="1"/>
  <c r="J127" i="1"/>
  <c r="J238" i="1"/>
  <c r="J163" i="1"/>
  <c r="J231" i="1"/>
  <c r="J72" i="1"/>
  <c r="J73" i="1"/>
  <c r="J257" i="1"/>
  <c r="J211" i="1"/>
  <c r="J90" i="1"/>
  <c r="J42" i="1"/>
  <c r="J105" i="1"/>
  <c r="J208" i="1"/>
  <c r="J274" i="1"/>
  <c r="J150" i="1"/>
  <c r="J24" i="1"/>
  <c r="J140" i="1"/>
  <c r="J221" i="1"/>
  <c r="J207" i="1"/>
  <c r="J189" i="1"/>
  <c r="J244" i="1"/>
  <c r="J43" i="1"/>
  <c r="J302" i="1"/>
  <c r="J209" i="1"/>
  <c r="J171" i="1"/>
  <c r="J197" i="1"/>
  <c r="J153" i="1"/>
  <c r="J225" i="1"/>
  <c r="J122" i="1"/>
  <c r="J255" i="1"/>
  <c r="J230" i="1"/>
  <c r="J96" i="1"/>
  <c r="J124" i="1"/>
  <c r="J151" i="1"/>
  <c r="J335" i="1"/>
  <c r="J97" i="1"/>
  <c r="J199" i="1"/>
  <c r="J314" i="1"/>
  <c r="J278" i="1"/>
  <c r="J233" i="1"/>
  <c r="J59" i="1"/>
  <c r="J292" i="1"/>
  <c r="J198" i="1"/>
  <c r="J212" i="1"/>
  <c r="J134" i="1"/>
  <c r="J277" i="1"/>
  <c r="J40" i="1"/>
  <c r="J103" i="1"/>
  <c r="J112" i="1"/>
  <c r="J173" i="1"/>
  <c r="J162" i="1"/>
  <c r="J17" i="1"/>
  <c r="J269" i="1"/>
  <c r="J222" i="1"/>
  <c r="J184" i="1"/>
  <c r="J95" i="1"/>
  <c r="J33" i="1"/>
  <c r="J60" i="1"/>
  <c r="J229" i="1"/>
  <c r="J131" i="1"/>
  <c r="J94" i="1"/>
  <c r="J192" i="1"/>
  <c r="J284" i="1"/>
  <c r="J133" i="1"/>
  <c r="J242" i="1"/>
  <c r="J241" i="1"/>
  <c r="J37" i="1"/>
  <c r="J234" i="1"/>
  <c r="J215" i="1"/>
  <c r="J74" i="1"/>
  <c r="J308" i="1"/>
  <c r="J130" i="1"/>
  <c r="J176" i="1"/>
  <c r="J160" i="1"/>
  <c r="J186" i="1"/>
  <c r="J316" i="1"/>
  <c r="J169" i="1"/>
  <c r="J330" i="1"/>
  <c r="J47" i="1"/>
  <c r="J249" i="1"/>
  <c r="J23" i="1"/>
  <c r="J143" i="1"/>
  <c r="J106" i="1"/>
  <c r="J71" i="1"/>
  <c r="J216" i="1"/>
  <c r="J89" i="1"/>
  <c r="J195" i="1"/>
  <c r="J232" i="1"/>
  <c r="J196" i="1"/>
  <c r="J116" i="1"/>
  <c r="J41" i="1"/>
  <c r="J129" i="1"/>
  <c r="J8" i="1"/>
  <c r="J66" i="1"/>
  <c r="J34" i="1"/>
  <c r="J252" i="1"/>
  <c r="J245" i="1"/>
  <c r="J32" i="1"/>
  <c r="J147" i="1"/>
  <c r="J14" i="1"/>
  <c r="J128" i="1"/>
  <c r="J25" i="1"/>
  <c r="J5" i="1"/>
  <c r="J21" i="1"/>
  <c r="J152" i="1"/>
  <c r="J28" i="1"/>
  <c r="J227" i="1"/>
  <c r="J268" i="1"/>
  <c r="J331" i="1"/>
  <c r="J246" i="1"/>
  <c r="J336" i="1"/>
  <c r="J251" i="1"/>
  <c r="J299" i="1"/>
  <c r="J194" i="1"/>
  <c r="J287" i="1"/>
  <c r="J56" i="1"/>
  <c r="J325" i="1"/>
  <c r="J309" i="1"/>
  <c r="J104" i="1"/>
  <c r="J54" i="1"/>
  <c r="J119" i="1"/>
  <c r="J45" i="1"/>
  <c r="J260" i="1"/>
  <c r="J187" i="1"/>
  <c r="J61" i="1"/>
  <c r="J39" i="1"/>
  <c r="J55" i="1"/>
  <c r="J68" i="1"/>
  <c r="J19" i="1"/>
  <c r="J101" i="1"/>
  <c r="J35" i="1"/>
  <c r="J286" i="1"/>
  <c r="J107" i="1"/>
  <c r="J51" i="1"/>
  <c r="J82" i="1"/>
  <c r="J303" i="1"/>
  <c r="J77" i="1"/>
  <c r="J267" i="1"/>
  <c r="J57" i="1"/>
  <c r="J79" i="1"/>
  <c r="J310" i="1"/>
  <c r="J172" i="1"/>
  <c r="J38" i="1"/>
  <c r="J29" i="1"/>
  <c r="J16" i="1"/>
  <c r="J20" i="1"/>
  <c r="J266" i="1"/>
  <c r="J31" i="1"/>
  <c r="J146" i="1"/>
  <c r="J326" i="1"/>
  <c r="J13" i="1"/>
  <c r="J256" i="1"/>
  <c r="J48" i="1"/>
  <c r="J30" i="1"/>
  <c r="J12" i="1"/>
  <c r="J340" i="1"/>
  <c r="J4" i="1"/>
  <c r="J342" i="1"/>
  <c r="J337" i="1"/>
  <c r="J49" i="1"/>
  <c r="I542" i="5"/>
  <c r="J542" i="5" s="1"/>
  <c r="I363" i="5"/>
  <c r="J363" i="5" s="1"/>
  <c r="I364" i="5"/>
  <c r="J364" i="5" s="1"/>
  <c r="I365" i="5"/>
  <c r="J365" i="5" s="1"/>
  <c r="I366" i="5"/>
  <c r="J366" i="5" s="1"/>
  <c r="I367" i="5"/>
  <c r="J367" i="5" s="1"/>
  <c r="I368" i="5"/>
  <c r="J368" i="5" s="1"/>
  <c r="I369" i="5"/>
  <c r="J369" i="5" s="1"/>
  <c r="I370" i="5"/>
  <c r="J370" i="5" s="1"/>
  <c r="I371" i="5"/>
  <c r="J371" i="5" s="1"/>
  <c r="I372" i="5"/>
  <c r="J372" i="5" s="1"/>
  <c r="I373" i="5"/>
  <c r="J373" i="5" s="1"/>
  <c r="I374" i="5"/>
  <c r="J374" i="5" s="1"/>
  <c r="I375" i="5"/>
  <c r="J375" i="5" s="1"/>
  <c r="I376" i="5"/>
  <c r="J376" i="5" s="1"/>
  <c r="I377" i="5"/>
  <c r="J377" i="5" s="1"/>
  <c r="I378" i="5"/>
  <c r="J378" i="5" s="1"/>
  <c r="I379" i="5"/>
  <c r="J379" i="5" s="1"/>
  <c r="I380" i="5"/>
  <c r="J380" i="5" s="1"/>
  <c r="I381" i="5"/>
  <c r="J381" i="5" s="1"/>
  <c r="I382" i="5"/>
  <c r="J382" i="5" s="1"/>
  <c r="I383" i="5"/>
  <c r="J383" i="5" s="1"/>
  <c r="I384" i="5"/>
  <c r="J384" i="5" s="1"/>
  <c r="I385" i="5"/>
  <c r="J385" i="5" s="1"/>
  <c r="I386" i="5"/>
  <c r="J386" i="5" s="1"/>
  <c r="I387" i="5"/>
  <c r="J387" i="5" s="1"/>
  <c r="I388" i="5"/>
  <c r="J388" i="5" s="1"/>
  <c r="I389" i="5"/>
  <c r="J389" i="5" s="1"/>
  <c r="I390" i="5"/>
  <c r="J390" i="5" s="1"/>
  <c r="I391" i="5"/>
  <c r="J391" i="5" s="1"/>
  <c r="I392" i="5"/>
  <c r="J392" i="5" s="1"/>
  <c r="I393" i="5"/>
  <c r="J393" i="5" s="1"/>
  <c r="I394" i="5"/>
  <c r="J394" i="5" s="1"/>
  <c r="I395" i="5"/>
  <c r="J395" i="5" s="1"/>
  <c r="I396" i="5"/>
  <c r="J396" i="5" s="1"/>
  <c r="I397" i="5"/>
  <c r="J397" i="5" s="1"/>
  <c r="I398" i="5"/>
  <c r="J398" i="5" s="1"/>
  <c r="I399" i="5"/>
  <c r="J399" i="5" s="1"/>
  <c r="I400" i="5"/>
  <c r="J400" i="5" s="1"/>
  <c r="I401" i="5"/>
  <c r="J401" i="5" s="1"/>
  <c r="I402" i="5"/>
  <c r="J402" i="5" s="1"/>
  <c r="I403" i="5"/>
  <c r="J403" i="5" s="1"/>
  <c r="I404" i="5"/>
  <c r="J404" i="5" s="1"/>
  <c r="I405" i="5"/>
  <c r="J405" i="5" s="1"/>
  <c r="I406" i="5"/>
  <c r="J406" i="5" s="1"/>
  <c r="I407" i="5"/>
  <c r="J407" i="5" s="1"/>
  <c r="I408" i="5"/>
  <c r="J408" i="5" s="1"/>
  <c r="I409" i="5"/>
  <c r="J409" i="5" s="1"/>
  <c r="I410" i="5"/>
  <c r="J410" i="5" s="1"/>
  <c r="I411" i="5"/>
  <c r="J411" i="5" s="1"/>
  <c r="I412" i="5"/>
  <c r="J412" i="5" s="1"/>
  <c r="I413" i="5"/>
  <c r="J413" i="5" s="1"/>
  <c r="I414" i="5"/>
  <c r="J414" i="5" s="1"/>
  <c r="I415" i="5"/>
  <c r="J415" i="5" s="1"/>
  <c r="I416" i="5"/>
  <c r="J416" i="5" s="1"/>
  <c r="I417" i="5"/>
  <c r="J417" i="5" s="1"/>
  <c r="I418" i="5"/>
  <c r="J418" i="5" s="1"/>
  <c r="I419" i="5"/>
  <c r="J419" i="5" s="1"/>
  <c r="I420" i="5"/>
  <c r="J420" i="5" s="1"/>
  <c r="I421" i="5"/>
  <c r="J421" i="5" s="1"/>
  <c r="I422" i="5"/>
  <c r="J422" i="5" s="1"/>
  <c r="I423" i="5"/>
  <c r="J423" i="5" s="1"/>
  <c r="I424" i="5"/>
  <c r="J424" i="5" s="1"/>
  <c r="I425" i="5"/>
  <c r="J425" i="5" s="1"/>
  <c r="I426" i="5"/>
  <c r="J426" i="5" s="1"/>
  <c r="I427" i="5"/>
  <c r="J427" i="5" s="1"/>
  <c r="I428" i="5"/>
  <c r="J428" i="5" s="1"/>
  <c r="I429" i="5"/>
  <c r="J429" i="5" s="1"/>
  <c r="I430" i="5"/>
  <c r="J430" i="5" s="1"/>
  <c r="I431" i="5"/>
  <c r="J431" i="5" s="1"/>
  <c r="I432" i="5"/>
  <c r="J432" i="5" s="1"/>
  <c r="I433" i="5"/>
  <c r="J433" i="5" s="1"/>
  <c r="I434" i="5"/>
  <c r="J434" i="5" s="1"/>
  <c r="I435" i="5"/>
  <c r="J435" i="5" s="1"/>
  <c r="I436" i="5"/>
  <c r="J436" i="5" s="1"/>
  <c r="I437" i="5"/>
  <c r="J437" i="5" s="1"/>
  <c r="I438" i="5"/>
  <c r="J438" i="5" s="1"/>
  <c r="I439" i="5"/>
  <c r="J439" i="5" s="1"/>
  <c r="I440" i="5"/>
  <c r="J440" i="5" s="1"/>
  <c r="I441" i="5"/>
  <c r="J441" i="5" s="1"/>
  <c r="I442" i="5"/>
  <c r="J442" i="5" s="1"/>
  <c r="I443" i="5"/>
  <c r="J443" i="5" s="1"/>
  <c r="I444" i="5"/>
  <c r="J444" i="5" s="1"/>
  <c r="I445" i="5"/>
  <c r="J445" i="5" s="1"/>
  <c r="I446" i="5"/>
  <c r="J446" i="5" s="1"/>
  <c r="I447" i="5"/>
  <c r="J447" i="5" s="1"/>
  <c r="I448" i="5"/>
  <c r="J448" i="5" s="1"/>
  <c r="I449" i="5"/>
  <c r="J449" i="5" s="1"/>
  <c r="I450" i="5"/>
  <c r="J450" i="5" s="1"/>
  <c r="I451" i="5"/>
  <c r="J451" i="5" s="1"/>
  <c r="I452" i="5"/>
  <c r="J452" i="5" s="1"/>
  <c r="I453" i="5"/>
  <c r="J453" i="5" s="1"/>
  <c r="I454" i="5"/>
  <c r="J454" i="5" s="1"/>
  <c r="I455" i="5"/>
  <c r="J455" i="5" s="1"/>
  <c r="I456" i="5"/>
  <c r="J456" i="5" s="1"/>
  <c r="I457" i="5"/>
  <c r="J457" i="5" s="1"/>
  <c r="I458" i="5"/>
  <c r="J458" i="5" s="1"/>
  <c r="I459" i="5"/>
  <c r="J459" i="5" s="1"/>
  <c r="I460" i="5"/>
  <c r="J460" i="5" s="1"/>
  <c r="I461" i="5"/>
  <c r="J461" i="5" s="1"/>
  <c r="I462" i="5"/>
  <c r="J462" i="5" s="1"/>
  <c r="I463" i="5"/>
  <c r="J463" i="5" s="1"/>
  <c r="I464" i="5"/>
  <c r="J464" i="5" s="1"/>
  <c r="I465" i="5"/>
  <c r="J465" i="5" s="1"/>
  <c r="I466" i="5"/>
  <c r="J466" i="5" s="1"/>
  <c r="I467" i="5"/>
  <c r="J467" i="5" s="1"/>
  <c r="I468" i="5"/>
  <c r="J468" i="5" s="1"/>
  <c r="I469" i="5"/>
  <c r="J469" i="5" s="1"/>
  <c r="I470" i="5"/>
  <c r="J470" i="5" s="1"/>
  <c r="I471" i="5"/>
  <c r="J471" i="5" s="1"/>
  <c r="I472" i="5"/>
  <c r="J472" i="5" s="1"/>
  <c r="I473" i="5"/>
  <c r="J473" i="5" s="1"/>
  <c r="I474" i="5"/>
  <c r="J474" i="5" s="1"/>
  <c r="I475" i="5"/>
  <c r="J475" i="5" s="1"/>
  <c r="I476" i="5"/>
  <c r="J476" i="5" s="1"/>
  <c r="I477" i="5"/>
  <c r="J477" i="5" s="1"/>
  <c r="I478" i="5"/>
  <c r="J478" i="5" s="1"/>
  <c r="I479" i="5"/>
  <c r="J479" i="5" s="1"/>
  <c r="I480" i="5"/>
  <c r="J480" i="5" s="1"/>
  <c r="I481" i="5"/>
  <c r="J481" i="5" s="1"/>
  <c r="I482" i="5"/>
  <c r="J482" i="5" s="1"/>
  <c r="I483" i="5"/>
  <c r="J483" i="5" s="1"/>
  <c r="I484" i="5"/>
  <c r="J484" i="5" s="1"/>
  <c r="I485" i="5"/>
  <c r="J485" i="5" s="1"/>
  <c r="I486" i="5"/>
  <c r="J486" i="5" s="1"/>
  <c r="I487" i="5"/>
  <c r="J487" i="5" s="1"/>
  <c r="I488" i="5"/>
  <c r="J488" i="5" s="1"/>
  <c r="I489" i="5"/>
  <c r="J489" i="5" s="1"/>
  <c r="I490" i="5"/>
  <c r="J490" i="5" s="1"/>
  <c r="I491" i="5"/>
  <c r="J491" i="5" s="1"/>
  <c r="I492" i="5"/>
  <c r="J492" i="5" s="1"/>
  <c r="I493" i="5"/>
  <c r="J493" i="5" s="1"/>
  <c r="I494" i="5"/>
  <c r="J494" i="5" s="1"/>
  <c r="I495" i="5"/>
  <c r="J495" i="5" s="1"/>
  <c r="I496" i="5"/>
  <c r="J496" i="5" s="1"/>
  <c r="I497" i="5"/>
  <c r="J497" i="5" s="1"/>
  <c r="I498" i="5"/>
  <c r="J498" i="5" s="1"/>
  <c r="I499" i="5"/>
  <c r="J499" i="5" s="1"/>
  <c r="I500" i="5"/>
  <c r="J500" i="5" s="1"/>
  <c r="I501" i="5"/>
  <c r="J501" i="5" s="1"/>
  <c r="I502" i="5"/>
  <c r="J502" i="5" s="1"/>
  <c r="I503" i="5"/>
  <c r="J503" i="5" s="1"/>
  <c r="I504" i="5"/>
  <c r="J504" i="5" s="1"/>
  <c r="I505" i="5"/>
  <c r="J505" i="5" s="1"/>
  <c r="I506" i="5"/>
  <c r="J506" i="5" s="1"/>
  <c r="I507" i="5"/>
  <c r="J507" i="5" s="1"/>
  <c r="I508" i="5"/>
  <c r="J508" i="5" s="1"/>
  <c r="I509" i="5"/>
  <c r="J509" i="5" s="1"/>
  <c r="I510" i="5"/>
  <c r="J510" i="5" s="1"/>
  <c r="I511" i="5"/>
  <c r="J511" i="5" s="1"/>
  <c r="I512" i="5"/>
  <c r="J512" i="5" s="1"/>
  <c r="I513" i="5"/>
  <c r="J513" i="5" s="1"/>
  <c r="I514" i="5"/>
  <c r="J514" i="5" s="1"/>
  <c r="I515" i="5"/>
  <c r="J515" i="5" s="1"/>
  <c r="I516" i="5"/>
  <c r="J516" i="5" s="1"/>
  <c r="I517" i="5"/>
  <c r="J517" i="5" s="1"/>
  <c r="I518" i="5"/>
  <c r="J518" i="5" s="1"/>
  <c r="I519" i="5"/>
  <c r="J519" i="5" s="1"/>
  <c r="I520" i="5"/>
  <c r="J520" i="5" s="1"/>
  <c r="I521" i="5"/>
  <c r="J521" i="5" s="1"/>
  <c r="I522" i="5"/>
  <c r="J522" i="5" s="1"/>
  <c r="I523" i="5"/>
  <c r="J523" i="5" s="1"/>
  <c r="I524" i="5"/>
  <c r="J524" i="5" s="1"/>
  <c r="I525" i="5"/>
  <c r="J525" i="5" s="1"/>
  <c r="I526" i="5"/>
  <c r="J526" i="5" s="1"/>
  <c r="I527" i="5"/>
  <c r="J527" i="5" s="1"/>
  <c r="I528" i="5"/>
  <c r="J528" i="5" s="1"/>
  <c r="I529" i="5"/>
  <c r="J529" i="5" s="1"/>
  <c r="I530" i="5"/>
  <c r="J530" i="5" s="1"/>
  <c r="I531" i="5"/>
  <c r="J531" i="5" s="1"/>
  <c r="I532" i="5"/>
  <c r="J532" i="5" s="1"/>
  <c r="I533" i="5"/>
  <c r="J533" i="5" s="1"/>
  <c r="I534" i="5"/>
  <c r="J534" i="5" s="1"/>
  <c r="I535" i="5"/>
  <c r="J535" i="5" s="1"/>
  <c r="I536" i="5"/>
  <c r="J536" i="5" s="1"/>
  <c r="I537" i="5"/>
  <c r="J537" i="5" s="1"/>
  <c r="I538" i="5"/>
  <c r="J538" i="5" s="1"/>
  <c r="I539" i="5"/>
  <c r="J539" i="5" s="1"/>
  <c r="I540" i="5"/>
  <c r="J540" i="5" s="1"/>
  <c r="I541" i="5"/>
  <c r="J541" i="5" s="1"/>
  <c r="I543" i="5"/>
  <c r="J543" i="5" s="1"/>
  <c r="I544" i="5"/>
  <c r="J544" i="5" s="1"/>
  <c r="I545" i="5"/>
  <c r="J545" i="5" s="1"/>
  <c r="I546" i="5"/>
  <c r="J546" i="5" s="1"/>
  <c r="I547" i="5"/>
  <c r="J547" i="5" s="1"/>
  <c r="I548" i="5"/>
  <c r="J548" i="5" s="1"/>
  <c r="I549" i="5"/>
  <c r="J549" i="5" s="1"/>
  <c r="I550" i="5"/>
  <c r="J550" i="5" s="1"/>
  <c r="I551" i="5"/>
  <c r="J551" i="5" s="1"/>
  <c r="I552" i="5"/>
  <c r="J552" i="5" s="1"/>
  <c r="I553" i="5"/>
  <c r="J553" i="5" s="1"/>
  <c r="I554" i="5"/>
  <c r="J554" i="5" s="1"/>
  <c r="I555" i="5"/>
  <c r="J555" i="5" s="1"/>
  <c r="I556" i="5"/>
  <c r="J556" i="5" s="1"/>
  <c r="I557" i="5"/>
  <c r="J557" i="5" s="1"/>
  <c r="I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362" i="5"/>
  <c r="E2" i="5"/>
  <c r="AE40" i="7"/>
  <c r="K10" i="3"/>
  <c r="K118" i="3"/>
  <c r="K69" i="3"/>
  <c r="K104" i="3"/>
  <c r="K23" i="3"/>
  <c r="K21" i="3"/>
  <c r="AD10" i="3"/>
  <c r="AD118" i="3"/>
  <c r="AD69" i="3"/>
  <c r="AD104" i="3"/>
  <c r="AD23" i="3"/>
  <c r="AD21" i="3"/>
  <c r="AC16" i="2"/>
  <c r="AC116" i="2"/>
  <c r="AC25" i="2"/>
  <c r="K16" i="2"/>
  <c r="K116" i="2"/>
  <c r="K25" i="2"/>
  <c r="Y256" i="1"/>
  <c r="Y107" i="1"/>
  <c r="Y79" i="1"/>
  <c r="Y326" i="1"/>
  <c r="Y172" i="1"/>
  <c r="Y55" i="1"/>
  <c r="Y8" i="1"/>
  <c r="Y227" i="1"/>
  <c r="Y14" i="1"/>
  <c r="Y68" i="1"/>
  <c r="Y41" i="1"/>
  <c r="Y184" i="1"/>
  <c r="Y277" i="1"/>
  <c r="Y94" i="1"/>
  <c r="Y17" i="1"/>
  <c r="V107" i="1"/>
  <c r="V79" i="1"/>
  <c r="V326" i="1"/>
  <c r="V172" i="1"/>
  <c r="V55" i="1"/>
  <c r="V8" i="1"/>
  <c r="V227" i="1"/>
  <c r="V14" i="1"/>
  <c r="V68" i="1"/>
  <c r="V41" i="1"/>
  <c r="V184" i="1"/>
  <c r="V277" i="1"/>
  <c r="V94" i="1"/>
  <c r="V17" i="1"/>
  <c r="U107" i="1"/>
  <c r="U79" i="1"/>
  <c r="U326" i="1"/>
  <c r="U172" i="1"/>
  <c r="U55" i="1"/>
  <c r="U8" i="1"/>
  <c r="U227" i="1"/>
  <c r="U14" i="1"/>
  <c r="U68" i="1"/>
  <c r="U41" i="1"/>
  <c r="U184" i="1"/>
  <c r="U277" i="1"/>
  <c r="U94" i="1"/>
  <c r="U17" i="1"/>
  <c r="U256" i="1"/>
  <c r="V256" i="1"/>
  <c r="K256" i="1"/>
  <c r="K107" i="1"/>
  <c r="K79" i="1"/>
  <c r="K326" i="1"/>
  <c r="K172" i="1"/>
  <c r="K55" i="1"/>
  <c r="K8" i="1"/>
  <c r="K227" i="1"/>
  <c r="K14" i="1"/>
  <c r="K68" i="1"/>
  <c r="K41" i="1"/>
  <c r="K184" i="1"/>
  <c r="K277" i="1"/>
  <c r="K94" i="1"/>
  <c r="K17" i="1"/>
  <c r="AE32" i="7"/>
  <c r="AE31" i="7"/>
  <c r="AE30" i="7"/>
  <c r="AE24" i="7"/>
  <c r="AE23" i="7"/>
  <c r="AE19" i="7"/>
  <c r="AE12" i="7"/>
  <c r="AE5" i="7"/>
  <c r="U70" i="3"/>
  <c r="U10" i="3"/>
  <c r="U118" i="3"/>
  <c r="U69" i="3"/>
  <c r="U104" i="3"/>
  <c r="U23" i="3"/>
  <c r="U21" i="3"/>
  <c r="T10" i="3"/>
  <c r="T118" i="3"/>
  <c r="T69" i="3"/>
  <c r="T104" i="3"/>
  <c r="T23" i="3"/>
  <c r="T21" i="3"/>
  <c r="G10" i="3"/>
  <c r="G118" i="3"/>
  <c r="G69" i="3"/>
  <c r="G104" i="3"/>
  <c r="G23" i="3"/>
  <c r="G21" i="3"/>
  <c r="G16" i="2"/>
  <c r="G116" i="2"/>
  <c r="G25" i="2"/>
  <c r="G256" i="1"/>
  <c r="G107" i="1"/>
  <c r="G79" i="1"/>
  <c r="G326" i="1"/>
  <c r="G172" i="1"/>
  <c r="G55" i="1"/>
  <c r="G8" i="1"/>
  <c r="G227" i="1"/>
  <c r="G14" i="1"/>
  <c r="G68" i="1"/>
  <c r="G41" i="1"/>
  <c r="G184" i="1"/>
  <c r="G277" i="1"/>
  <c r="G94" i="1"/>
  <c r="G17" i="1"/>
  <c r="I362" i="5"/>
  <c r="J362" i="5" s="1"/>
  <c r="G51" i="1"/>
  <c r="Q433" i="9"/>
  <c r="AD40" i="7"/>
  <c r="AD30" i="7"/>
  <c r="AD23" i="7"/>
  <c r="AD19" i="7"/>
  <c r="AD32" i="7"/>
  <c r="AD31" i="7"/>
  <c r="AD25" i="7"/>
  <c r="AD24" i="7"/>
  <c r="AD12" i="7"/>
  <c r="AD5" i="7"/>
  <c r="U102" i="3"/>
  <c r="U63" i="3"/>
  <c r="T102" i="3"/>
  <c r="T63" i="3"/>
  <c r="T41" i="2"/>
  <c r="U41" i="2"/>
  <c r="T21" i="2"/>
  <c r="U21" i="2"/>
  <c r="V303" i="1"/>
  <c r="V4" i="1"/>
  <c r="V38" i="1"/>
  <c r="V340" i="1"/>
  <c r="V266" i="1"/>
  <c r="V30" i="1"/>
  <c r="V45" i="1"/>
  <c r="V29" i="1"/>
  <c r="V28" i="1"/>
  <c r="V101" i="1"/>
  <c r="V223" i="1"/>
  <c r="U303" i="1"/>
  <c r="U4" i="1"/>
  <c r="U38" i="1"/>
  <c r="U340" i="1"/>
  <c r="U266" i="1"/>
  <c r="U30" i="1"/>
  <c r="U45" i="1"/>
  <c r="U29" i="1"/>
  <c r="U28" i="1"/>
  <c r="U101" i="1"/>
  <c r="U223" i="1"/>
  <c r="AD63" i="3"/>
  <c r="AD102" i="3"/>
  <c r="G102" i="3"/>
  <c r="G63" i="3"/>
  <c r="K63" i="3"/>
  <c r="K102" i="3"/>
  <c r="AC41" i="2"/>
  <c r="AC21" i="2"/>
  <c r="K41" i="2"/>
  <c r="K21" i="2"/>
  <c r="G21" i="2"/>
  <c r="G41" i="2"/>
  <c r="U152" i="1"/>
  <c r="V152" i="1"/>
  <c r="Y303" i="1"/>
  <c r="Y4" i="1"/>
  <c r="Y38" i="1"/>
  <c r="Y340" i="1"/>
  <c r="Y266" i="1"/>
  <c r="Y30" i="1"/>
  <c r="Y45" i="1"/>
  <c r="Y29" i="1"/>
  <c r="Y28" i="1"/>
  <c r="Y101" i="1"/>
  <c r="Y223" i="1"/>
  <c r="Y152" i="1"/>
  <c r="K223" i="1"/>
  <c r="K303" i="1"/>
  <c r="K4" i="1"/>
  <c r="K38" i="1"/>
  <c r="K340" i="1"/>
  <c r="K266" i="1"/>
  <c r="K30" i="1"/>
  <c r="K45" i="1"/>
  <c r="K29" i="1"/>
  <c r="K28" i="1"/>
  <c r="K101" i="1"/>
  <c r="G152" i="1"/>
  <c r="G303" i="1"/>
  <c r="G4" i="1"/>
  <c r="G38" i="1"/>
  <c r="G340" i="1"/>
  <c r="G266" i="1"/>
  <c r="G30" i="1"/>
  <c r="G45" i="1"/>
  <c r="G29" i="1"/>
  <c r="G28" i="1"/>
  <c r="G101" i="1"/>
  <c r="G223" i="1"/>
  <c r="K152" i="1"/>
  <c r="G69" i="1"/>
  <c r="G6" i="1"/>
  <c r="Y238" i="1"/>
  <c r="Y96" i="1"/>
  <c r="Y330" i="1"/>
  <c r="Y209" i="1"/>
  <c r="Y307" i="1"/>
  <c r="Y49" i="1"/>
  <c r="Y32" i="1"/>
  <c r="Y337" i="1"/>
  <c r="Y343" i="1"/>
  <c r="Y56" i="1"/>
  <c r="Y176" i="1"/>
  <c r="Y234" i="1"/>
  <c r="Y16" i="1"/>
  <c r="Y61" i="1"/>
  <c r="Y39" i="1"/>
  <c r="Y13" i="1"/>
  <c r="Y82" i="1"/>
  <c r="Y57" i="1"/>
  <c r="Y60" i="1"/>
  <c r="Y51" i="1"/>
  <c r="P433" i="9"/>
  <c r="AC40" i="7"/>
  <c r="AB40" i="7"/>
  <c r="AC5" i="7"/>
  <c r="AC12" i="7"/>
  <c r="AC19" i="7"/>
  <c r="AC23" i="7"/>
  <c r="AC24" i="7"/>
  <c r="AC25" i="7"/>
  <c r="AC30" i="7"/>
  <c r="AC31" i="7"/>
  <c r="AC32" i="7"/>
  <c r="AD70" i="3"/>
  <c r="T70" i="3"/>
  <c r="K11" i="2"/>
  <c r="AC11" i="2"/>
  <c r="T11" i="2"/>
  <c r="U11" i="2"/>
  <c r="V238" i="1"/>
  <c r="V96" i="1"/>
  <c r="V330" i="1"/>
  <c r="V209" i="1"/>
  <c r="V307" i="1"/>
  <c r="V49" i="1"/>
  <c r="V32" i="1"/>
  <c r="V337" i="1"/>
  <c r="V343" i="1"/>
  <c r="V56" i="1"/>
  <c r="V176" i="1"/>
  <c r="V234" i="1"/>
  <c r="V16" i="1"/>
  <c r="V61" i="1"/>
  <c r="V39" i="1"/>
  <c r="V13" i="1"/>
  <c r="V82" i="1"/>
  <c r="V57" i="1"/>
  <c r="V60" i="1"/>
  <c r="V51" i="1"/>
  <c r="U238" i="1"/>
  <c r="U96" i="1"/>
  <c r="U330" i="1"/>
  <c r="U209" i="1"/>
  <c r="U307" i="1"/>
  <c r="U49" i="1"/>
  <c r="U32" i="1"/>
  <c r="U337" i="1"/>
  <c r="U343" i="1"/>
  <c r="U56" i="1"/>
  <c r="U176" i="1"/>
  <c r="U234" i="1"/>
  <c r="U16" i="1"/>
  <c r="U61" i="1"/>
  <c r="U39" i="1"/>
  <c r="U13" i="1"/>
  <c r="U82" i="1"/>
  <c r="U57" i="1"/>
  <c r="U60" i="1"/>
  <c r="U51" i="1"/>
  <c r="K70" i="3"/>
  <c r="G70" i="3"/>
  <c r="K89" i="2"/>
  <c r="G11" i="2"/>
  <c r="K238" i="1"/>
  <c r="K96" i="1"/>
  <c r="K330" i="1"/>
  <c r="K209" i="1"/>
  <c r="K307" i="1"/>
  <c r="K49" i="1"/>
  <c r="K32" i="1"/>
  <c r="K337" i="1"/>
  <c r="K343" i="1"/>
  <c r="K56" i="1"/>
  <c r="K176" i="1"/>
  <c r="K234" i="1"/>
  <c r="K16" i="1"/>
  <c r="K61" i="1"/>
  <c r="K39" i="1"/>
  <c r="K13" i="1"/>
  <c r="K82" i="1"/>
  <c r="K57" i="1"/>
  <c r="K60" i="1"/>
  <c r="K51" i="1"/>
  <c r="G238" i="1"/>
  <c r="G96" i="1"/>
  <c r="G330" i="1"/>
  <c r="G209" i="1"/>
  <c r="G307" i="1"/>
  <c r="G49" i="1"/>
  <c r="G32" i="1"/>
  <c r="G337" i="1"/>
  <c r="G343" i="1"/>
  <c r="G56" i="1"/>
  <c r="G176" i="1"/>
  <c r="G234" i="1"/>
  <c r="G16" i="1"/>
  <c r="G61" i="1"/>
  <c r="G39" i="1"/>
  <c r="G13" i="1"/>
  <c r="G82" i="1"/>
  <c r="G57" i="1"/>
  <c r="G60" i="1"/>
  <c r="E3" i="5"/>
  <c r="AG488" i="9"/>
  <c r="AH488" i="9"/>
  <c r="AF488" i="9"/>
  <c r="J131" i="3" l="1"/>
  <c r="T131" i="3"/>
  <c r="J149" i="2"/>
  <c r="J352" i="1"/>
  <c r="F354" i="1"/>
  <c r="U352" i="1"/>
  <c r="AH26" i="7"/>
  <c r="AF41" i="7"/>
  <c r="AD26" i="7"/>
  <c r="U149" i="2"/>
  <c r="Q151" i="2"/>
  <c r="F133" i="3"/>
  <c r="AC134" i="3"/>
  <c r="AG26" i="7"/>
  <c r="AG33" i="7"/>
  <c r="Q133" i="3"/>
  <c r="AD131" i="3"/>
  <c r="AC149" i="2"/>
  <c r="AB134" i="3"/>
  <c r="F134" i="3"/>
  <c r="V352" i="1"/>
  <c r="Q354" i="1"/>
  <c r="K505" i="5"/>
  <c r="K425" i="5"/>
  <c r="K517" i="5"/>
  <c r="K537" i="5"/>
  <c r="K453" i="5"/>
  <c r="K521" i="5"/>
  <c r="K441" i="5"/>
  <c r="K489" i="5"/>
  <c r="K409" i="5"/>
  <c r="K421" i="5"/>
  <c r="K485" i="5"/>
  <c r="K393" i="5"/>
  <c r="K473" i="5"/>
  <c r="K389" i="5"/>
  <c r="K549" i="5"/>
  <c r="K457" i="5"/>
  <c r="K377" i="5"/>
  <c r="AF26" i="7"/>
  <c r="AF33" i="7"/>
  <c r="X355" i="1"/>
  <c r="F355" i="1"/>
  <c r="K542" i="5"/>
  <c r="K513" i="5"/>
  <c r="K481" i="5"/>
  <c r="K449" i="5"/>
  <c r="K417" i="5"/>
  <c r="K385" i="5"/>
  <c r="K541" i="5"/>
  <c r="K509" i="5"/>
  <c r="K477" i="5"/>
  <c r="K445" i="5"/>
  <c r="K413" i="5"/>
  <c r="K381" i="5"/>
  <c r="K545" i="5"/>
  <c r="K533" i="5"/>
  <c r="K501" i="5"/>
  <c r="K469" i="5"/>
  <c r="K437" i="5"/>
  <c r="K405" i="5"/>
  <c r="K373" i="5"/>
  <c r="K529" i="5"/>
  <c r="K497" i="5"/>
  <c r="K465" i="5"/>
  <c r="K433" i="5"/>
  <c r="K401" i="5"/>
  <c r="K369" i="5"/>
  <c r="K553" i="5"/>
  <c r="K525" i="5"/>
  <c r="K493" i="5"/>
  <c r="K461" i="5"/>
  <c r="K429" i="5"/>
  <c r="K397" i="5"/>
  <c r="K365" i="5"/>
  <c r="K556" i="5"/>
  <c r="K552" i="5"/>
  <c r="K548" i="5"/>
  <c r="K544" i="5"/>
  <c r="K540" i="5"/>
  <c r="K536" i="5"/>
  <c r="K532" i="5"/>
  <c r="K528" i="5"/>
  <c r="K524" i="5"/>
  <c r="K520" i="5"/>
  <c r="K516" i="5"/>
  <c r="K512" i="5"/>
  <c r="K508" i="5"/>
  <c r="K504" i="5"/>
  <c r="K500" i="5"/>
  <c r="K496" i="5"/>
  <c r="K492" i="5"/>
  <c r="K488" i="5"/>
  <c r="K484" i="5"/>
  <c r="K480" i="5"/>
  <c r="K476" i="5"/>
  <c r="K472" i="5"/>
  <c r="K468" i="5"/>
  <c r="K464" i="5"/>
  <c r="K460" i="5"/>
  <c r="K456" i="5"/>
  <c r="K452" i="5"/>
  <c r="K448" i="5"/>
  <c r="K444" i="5"/>
  <c r="K440" i="5"/>
  <c r="K436" i="5"/>
  <c r="K432" i="5"/>
  <c r="K428" i="5"/>
  <c r="K424" i="5"/>
  <c r="K420" i="5"/>
  <c r="K416" i="5"/>
  <c r="K412" i="5"/>
  <c r="K408" i="5"/>
  <c r="K404" i="5"/>
  <c r="K400" i="5"/>
  <c r="K396" i="5"/>
  <c r="K392" i="5"/>
  <c r="K388" i="5"/>
  <c r="K384" i="5"/>
  <c r="K380" i="5"/>
  <c r="K376" i="5"/>
  <c r="K372" i="5"/>
  <c r="K368" i="5"/>
  <c r="K364" i="5"/>
  <c r="K555" i="5"/>
  <c r="K551" i="5"/>
  <c r="K547" i="5"/>
  <c r="K543" i="5"/>
  <c r="K539" i="5"/>
  <c r="K535" i="5"/>
  <c r="K531" i="5"/>
  <c r="K527" i="5"/>
  <c r="K523" i="5"/>
  <c r="K519" i="5"/>
  <c r="K515" i="5"/>
  <c r="K511" i="5"/>
  <c r="K507" i="5"/>
  <c r="K503" i="5"/>
  <c r="K499" i="5"/>
  <c r="K495" i="5"/>
  <c r="K491" i="5"/>
  <c r="K487" i="5"/>
  <c r="K483" i="5"/>
  <c r="K479" i="5"/>
  <c r="K475" i="5"/>
  <c r="K471" i="5"/>
  <c r="K467" i="5"/>
  <c r="K463" i="5"/>
  <c r="K459" i="5"/>
  <c r="K455" i="5"/>
  <c r="K451" i="5"/>
  <c r="K447" i="5"/>
  <c r="K443" i="5"/>
  <c r="K439" i="5"/>
  <c r="K435" i="5"/>
  <c r="K431" i="5"/>
  <c r="K427" i="5"/>
  <c r="K423" i="5"/>
  <c r="K419" i="5"/>
  <c r="K415" i="5"/>
  <c r="K411" i="5"/>
  <c r="K407" i="5"/>
  <c r="K403" i="5"/>
  <c r="K399" i="5"/>
  <c r="K395" i="5"/>
  <c r="K391" i="5"/>
  <c r="K387" i="5"/>
  <c r="K383" i="5"/>
  <c r="K379" i="5"/>
  <c r="K375" i="5"/>
  <c r="K371" i="5"/>
  <c r="K367" i="5"/>
  <c r="K363" i="5"/>
  <c r="K554" i="5"/>
  <c r="K550" i="5"/>
  <c r="K546" i="5"/>
  <c r="K538" i="5"/>
  <c r="K534" i="5"/>
  <c r="K530" i="5"/>
  <c r="K526" i="5"/>
  <c r="K522" i="5"/>
  <c r="K518" i="5"/>
  <c r="K514" i="5"/>
  <c r="K510" i="5"/>
  <c r="K506" i="5"/>
  <c r="K502" i="5"/>
  <c r="K498" i="5"/>
  <c r="K494" i="5"/>
  <c r="K490" i="5"/>
  <c r="K486" i="5"/>
  <c r="K482" i="5"/>
  <c r="K478" i="5"/>
  <c r="K474" i="5"/>
  <c r="K470" i="5"/>
  <c r="K466" i="5"/>
  <c r="K462" i="5"/>
  <c r="K458" i="5"/>
  <c r="K454" i="5"/>
  <c r="K450" i="5"/>
  <c r="K446" i="5"/>
  <c r="K442" i="5"/>
  <c r="K438" i="5"/>
  <c r="K434" i="5"/>
  <c r="K430" i="5"/>
  <c r="K426" i="5"/>
  <c r="K422" i="5"/>
  <c r="K418" i="5"/>
  <c r="K414" i="5"/>
  <c r="K410" i="5"/>
  <c r="K406" i="5"/>
  <c r="K402" i="5"/>
  <c r="K398" i="5"/>
  <c r="K394" i="5"/>
  <c r="K390" i="5"/>
  <c r="K386" i="5"/>
  <c r="K382" i="5"/>
  <c r="K378" i="5"/>
  <c r="K374" i="5"/>
  <c r="K370" i="5"/>
  <c r="K366" i="5"/>
  <c r="K557" i="5"/>
  <c r="AE41" i="7"/>
  <c r="AD41" i="7"/>
  <c r="AE26" i="7"/>
  <c r="AE33" i="7"/>
  <c r="K362" i="5"/>
  <c r="O433" i="9"/>
  <c r="AD33" i="7"/>
  <c r="AC26" i="7"/>
  <c r="AC33" i="7"/>
  <c r="AB30" i="7"/>
  <c r="AB23" i="7"/>
  <c r="AB5" i="7"/>
  <c r="AB12" i="7"/>
  <c r="AB19" i="7"/>
  <c r="AB24" i="7"/>
  <c r="AB25" i="7"/>
  <c r="AB31" i="7"/>
  <c r="AB32" i="7"/>
  <c r="AC41" i="7"/>
  <c r="Y352" i="1"/>
  <c r="U89" i="1"/>
  <c r="V89" i="1"/>
  <c r="U242" i="1"/>
  <c r="V242" i="1"/>
  <c r="U20" i="1"/>
  <c r="V20" i="1"/>
  <c r="U134" i="1"/>
  <c r="V134" i="1"/>
  <c r="U221" i="1"/>
  <c r="V221" i="1"/>
  <c r="U192" i="1"/>
  <c r="V192" i="1"/>
  <c r="U100" i="1"/>
  <c r="V100" i="1"/>
  <c r="U269" i="1"/>
  <c r="V269" i="1"/>
  <c r="U267" i="1"/>
  <c r="V267" i="1"/>
  <c r="U170" i="1"/>
  <c r="V170" i="1"/>
  <c r="U25" i="1"/>
  <c r="V25" i="1"/>
  <c r="U325" i="1"/>
  <c r="V325" i="1"/>
  <c r="U301" i="1"/>
  <c r="V301" i="1"/>
  <c r="U306" i="1"/>
  <c r="V306" i="1"/>
  <c r="U37" i="1"/>
  <c r="V37" i="1"/>
  <c r="U271" i="1"/>
  <c r="V271" i="1"/>
  <c r="U207" i="1"/>
  <c r="V207" i="1"/>
  <c r="U331" i="1"/>
  <c r="V331" i="1"/>
  <c r="U23" i="1"/>
  <c r="V23" i="1"/>
  <c r="U335" i="1"/>
  <c r="V335" i="1"/>
  <c r="U136" i="1"/>
  <c r="V136" i="1"/>
  <c r="U80" i="1"/>
  <c r="V80" i="1"/>
  <c r="U270" i="1"/>
  <c r="V270" i="1"/>
  <c r="U260" i="1"/>
  <c r="V260" i="1"/>
  <c r="U21" i="1"/>
  <c r="V21" i="1"/>
  <c r="U308" i="1"/>
  <c r="V308" i="1"/>
  <c r="U18" i="1"/>
  <c r="V18" i="1"/>
  <c r="K242" i="1"/>
  <c r="K20" i="1"/>
  <c r="K134" i="1"/>
  <c r="K221" i="1"/>
  <c r="K192" i="1"/>
  <c r="K100" i="1"/>
  <c r="K269" i="1"/>
  <c r="K267" i="1"/>
  <c r="K170" i="1"/>
  <c r="K25" i="1"/>
  <c r="K325" i="1"/>
  <c r="K301" i="1"/>
  <c r="K306" i="1"/>
  <c r="K37" i="1"/>
  <c r="K271" i="1"/>
  <c r="K207" i="1"/>
  <c r="K331" i="1"/>
  <c r="K23" i="1"/>
  <c r="K335" i="1"/>
  <c r="K136" i="1"/>
  <c r="K80" i="1"/>
  <c r="K270" i="1"/>
  <c r="K260" i="1"/>
  <c r="K21" i="1"/>
  <c r="K308" i="1"/>
  <c r="K18" i="1"/>
  <c r="K89" i="1"/>
  <c r="AD124" i="3"/>
  <c r="AD120" i="3"/>
  <c r="AD72" i="3"/>
  <c r="AD119" i="3"/>
  <c r="AD30" i="3"/>
  <c r="AD122" i="3"/>
  <c r="AC60" i="2"/>
  <c r="AC5" i="2"/>
  <c r="AC82" i="2"/>
  <c r="AC128" i="2"/>
  <c r="AC83" i="2"/>
  <c r="AC49" i="2"/>
  <c r="AC89" i="2"/>
  <c r="U60" i="2"/>
  <c r="U5" i="2"/>
  <c r="U82" i="2"/>
  <c r="U128" i="2"/>
  <c r="U83" i="2"/>
  <c r="U49" i="2"/>
  <c r="U89" i="2"/>
  <c r="T60" i="2"/>
  <c r="T5" i="2"/>
  <c r="T82" i="2"/>
  <c r="T128" i="2"/>
  <c r="T83" i="2"/>
  <c r="T49" i="2"/>
  <c r="T89" i="2"/>
  <c r="T124" i="3"/>
  <c r="U124" i="3"/>
  <c r="T120" i="3"/>
  <c r="U120" i="3"/>
  <c r="T72" i="3"/>
  <c r="U72" i="3"/>
  <c r="T119" i="3"/>
  <c r="U119" i="3"/>
  <c r="T30" i="3"/>
  <c r="U30" i="3"/>
  <c r="T122" i="3"/>
  <c r="U122" i="3"/>
  <c r="T105" i="3"/>
  <c r="K124" i="3"/>
  <c r="K120" i="3"/>
  <c r="K72" i="3"/>
  <c r="K119" i="3"/>
  <c r="K30" i="3"/>
  <c r="K122" i="3"/>
  <c r="K60" i="2"/>
  <c r="K5" i="2"/>
  <c r="K82" i="2"/>
  <c r="K128" i="2"/>
  <c r="K83" i="2"/>
  <c r="K49" i="2"/>
  <c r="Y242" i="1"/>
  <c r="Y20" i="1"/>
  <c r="Y134" i="1"/>
  <c r="Y221" i="1"/>
  <c r="Y192" i="1"/>
  <c r="Y100" i="1"/>
  <c r="Y269" i="1"/>
  <c r="Y267" i="1"/>
  <c r="Y170" i="1"/>
  <c r="Y25" i="1"/>
  <c r="Y325" i="1"/>
  <c r="Y301" i="1"/>
  <c r="Y306" i="1"/>
  <c r="Y37" i="1"/>
  <c r="Y271" i="1"/>
  <c r="Y207" i="1"/>
  <c r="Y331" i="1"/>
  <c r="Y23" i="1"/>
  <c r="Y335" i="1"/>
  <c r="Y136" i="1"/>
  <c r="Y80" i="1"/>
  <c r="Y270" i="1"/>
  <c r="Y260" i="1"/>
  <c r="Y21" i="1"/>
  <c r="Y308" i="1"/>
  <c r="Y18" i="1"/>
  <c r="Y89" i="1"/>
  <c r="G124" i="3"/>
  <c r="G120" i="3"/>
  <c r="G72" i="3"/>
  <c r="G119" i="3"/>
  <c r="G30" i="3"/>
  <c r="G122" i="3"/>
  <c r="G60" i="2"/>
  <c r="G5" i="2"/>
  <c r="G82" i="2"/>
  <c r="G128" i="2"/>
  <c r="G83" i="2"/>
  <c r="G49" i="2"/>
  <c r="G89" i="2"/>
  <c r="G23" i="2"/>
  <c r="AA5" i="7"/>
  <c r="G242" i="1"/>
  <c r="G20" i="1"/>
  <c r="G134" i="1"/>
  <c r="G221" i="1"/>
  <c r="G192" i="1"/>
  <c r="G100" i="1"/>
  <c r="G269" i="1"/>
  <c r="G267" i="1"/>
  <c r="G170" i="1"/>
  <c r="G25" i="1"/>
  <c r="G325" i="1"/>
  <c r="G301" i="1"/>
  <c r="G306" i="1"/>
  <c r="G37" i="1"/>
  <c r="G271" i="1"/>
  <c r="G207" i="1"/>
  <c r="G331" i="1"/>
  <c r="G23" i="1"/>
  <c r="G335" i="1"/>
  <c r="G136" i="1"/>
  <c r="G80" i="1"/>
  <c r="G270" i="1"/>
  <c r="G260" i="1"/>
  <c r="G21" i="1"/>
  <c r="G308" i="1"/>
  <c r="G18" i="1"/>
  <c r="G89" i="1"/>
  <c r="I319" i="5"/>
  <c r="E215" i="5"/>
  <c r="AE488" i="9"/>
  <c r="AA19" i="7"/>
  <c r="AA40" i="7"/>
  <c r="AA32" i="7"/>
  <c r="AA31" i="7"/>
  <c r="AA30" i="7"/>
  <c r="AA25" i="7"/>
  <c r="AA24" i="7"/>
  <c r="AA23" i="7"/>
  <c r="AA12" i="7"/>
  <c r="T5" i="3"/>
  <c r="U15" i="2"/>
  <c r="T15" i="2"/>
  <c r="Y5" i="7"/>
  <c r="Y40" i="7"/>
  <c r="K15" i="2"/>
  <c r="K47" i="2"/>
  <c r="K55" i="2"/>
  <c r="K32" i="2"/>
  <c r="K4" i="2"/>
  <c r="K102" i="2"/>
  <c r="K42" i="2"/>
  <c r="K117" i="2"/>
  <c r="K63" i="2"/>
  <c r="K78" i="2"/>
  <c r="K22" i="2"/>
  <c r="K77" i="2"/>
  <c r="K87" i="2"/>
  <c r="K84" i="2"/>
  <c r="K8" i="2"/>
  <c r="K56" i="2"/>
  <c r="K59" i="2"/>
  <c r="K138" i="2"/>
  <c r="K10" i="2"/>
  <c r="K94" i="2"/>
  <c r="K86" i="2"/>
  <c r="K53" i="2"/>
  <c r="K115" i="2"/>
  <c r="K96" i="2"/>
  <c r="K13" i="2"/>
  <c r="K104" i="2"/>
  <c r="K57" i="2"/>
  <c r="K48" i="2"/>
  <c r="K3" i="2"/>
  <c r="K134" i="2"/>
  <c r="K131" i="2"/>
  <c r="K14" i="2"/>
  <c r="K54" i="2"/>
  <c r="K12" i="2"/>
  <c r="K85" i="2"/>
  <c r="K108" i="2"/>
  <c r="K73" i="2"/>
  <c r="K36" i="2"/>
  <c r="K17" i="2"/>
  <c r="K103" i="2"/>
  <c r="K19" i="2"/>
  <c r="K100" i="2"/>
  <c r="K31" i="2"/>
  <c r="K144" i="2"/>
  <c r="K18" i="2"/>
  <c r="K80" i="2"/>
  <c r="K29" i="2"/>
  <c r="K37" i="2"/>
  <c r="K69" i="2"/>
  <c r="K112" i="2"/>
  <c r="K71" i="2"/>
  <c r="K95" i="2"/>
  <c r="K43" i="2"/>
  <c r="K79" i="2"/>
  <c r="K20" i="2"/>
  <c r="K30" i="2"/>
  <c r="K62" i="2"/>
  <c r="K58" i="2"/>
  <c r="K91" i="2"/>
  <c r="K142" i="2"/>
  <c r="K111" i="2"/>
  <c r="K68" i="2"/>
  <c r="K61" i="2"/>
  <c r="K46" i="2"/>
  <c r="K65" i="2"/>
  <c r="K28" i="2"/>
  <c r="K72" i="2"/>
  <c r="K125" i="2"/>
  <c r="K66" i="2"/>
  <c r="K132" i="2"/>
  <c r="K124" i="2"/>
  <c r="K97" i="2"/>
  <c r="K141" i="2"/>
  <c r="K93" i="2"/>
  <c r="K114" i="2"/>
  <c r="K120" i="2"/>
  <c r="K51" i="2"/>
  <c r="K126" i="2"/>
  <c r="K44" i="2"/>
  <c r="K135" i="2"/>
  <c r="K99" i="2"/>
  <c r="K90" i="2"/>
  <c r="K143" i="2"/>
  <c r="K119" i="2"/>
  <c r="K145" i="2"/>
  <c r="K76" i="2"/>
  <c r="K122" i="2"/>
  <c r="K88" i="2"/>
  <c r="K24" i="2"/>
  <c r="K92" i="2"/>
  <c r="K67" i="2"/>
  <c r="K110" i="2"/>
  <c r="K137" i="2"/>
  <c r="K6" i="2"/>
  <c r="K98" i="2"/>
  <c r="K26" i="2"/>
  <c r="K81" i="2"/>
  <c r="K34" i="2"/>
  <c r="K113" i="2"/>
  <c r="K64" i="2"/>
  <c r="K9" i="2"/>
  <c r="K70" i="2"/>
  <c r="K107" i="2"/>
  <c r="K133" i="2"/>
  <c r="K50" i="2"/>
  <c r="K40" i="2"/>
  <c r="K45" i="2"/>
  <c r="K127" i="2"/>
  <c r="K38" i="2"/>
  <c r="K118" i="2"/>
  <c r="K35" i="2"/>
  <c r="K106" i="2"/>
  <c r="K27" i="2"/>
  <c r="K130" i="2"/>
  <c r="K33" i="2"/>
  <c r="K123" i="2"/>
  <c r="K121" i="2"/>
  <c r="K39" i="2"/>
  <c r="K7" i="2"/>
  <c r="K23" i="2"/>
  <c r="K129" i="2"/>
  <c r="K136" i="2"/>
  <c r="K101" i="2"/>
  <c r="K52" i="2"/>
  <c r="K140" i="2"/>
  <c r="G3" i="1"/>
  <c r="G64" i="1"/>
  <c r="AA425" i="9"/>
  <c r="N425" i="9"/>
  <c r="Z32" i="7"/>
  <c r="Z31" i="7"/>
  <c r="Z30" i="7"/>
  <c r="Z23" i="7"/>
  <c r="Z25" i="7"/>
  <c r="Z24" i="7"/>
  <c r="Z19" i="7"/>
  <c r="Z12" i="7"/>
  <c r="Z5" i="7"/>
  <c r="Z40" i="7"/>
  <c r="G145" i="2"/>
  <c r="G111" i="2"/>
  <c r="G88" i="2"/>
  <c r="G123" i="2"/>
  <c r="G124" i="2"/>
  <c r="G114" i="2"/>
  <c r="G112" i="2"/>
  <c r="G144" i="2"/>
  <c r="G135" i="2"/>
  <c r="G44" i="2"/>
  <c r="G130" i="2"/>
  <c r="G64" i="2"/>
  <c r="G72" i="2"/>
  <c r="G43" i="2"/>
  <c r="G51" i="2"/>
  <c r="G27" i="2"/>
  <c r="G45" i="2"/>
  <c r="G37" i="2"/>
  <c r="G69" i="2"/>
  <c r="G132" i="2"/>
  <c r="G98" i="2"/>
  <c r="G62" i="2"/>
  <c r="G103" i="2"/>
  <c r="G70" i="2"/>
  <c r="G53" i="2"/>
  <c r="G85" i="2"/>
  <c r="G67" i="2"/>
  <c r="G66" i="2"/>
  <c r="G97" i="2"/>
  <c r="G99" i="2"/>
  <c r="G50" i="2"/>
  <c r="G17" i="2"/>
  <c r="G46" i="2"/>
  <c r="G30" i="2"/>
  <c r="G68" i="2"/>
  <c r="G90" i="2"/>
  <c r="G93" i="2"/>
  <c r="G120" i="2"/>
  <c r="G76" i="2"/>
  <c r="G28" i="2"/>
  <c r="G33" i="2"/>
  <c r="G31" i="2"/>
  <c r="G34" i="2"/>
  <c r="G126" i="2"/>
  <c r="G8" i="2"/>
  <c r="G104" i="2"/>
  <c r="G12" i="2"/>
  <c r="G113" i="2"/>
  <c r="G127" i="2"/>
  <c r="G121" i="2"/>
  <c r="G80" i="2"/>
  <c r="G131" i="2"/>
  <c r="G54" i="2"/>
  <c r="G22" i="2"/>
  <c r="G137" i="2"/>
  <c r="G95" i="2"/>
  <c r="G79" i="2"/>
  <c r="G26" i="2"/>
  <c r="G71" i="2"/>
  <c r="G119" i="2"/>
  <c r="G7" i="2"/>
  <c r="G122" i="2"/>
  <c r="G19" i="2"/>
  <c r="G125" i="2"/>
  <c r="G52" i="2"/>
  <c r="G110" i="2"/>
  <c r="G10" i="2"/>
  <c r="G13" i="2"/>
  <c r="G106" i="2"/>
  <c r="G35" i="2"/>
  <c r="G100" i="2"/>
  <c r="G24" i="2"/>
  <c r="G14" i="2"/>
  <c r="G115" i="2"/>
  <c r="G107" i="2"/>
  <c r="G4" i="2"/>
  <c r="G18" i="2"/>
  <c r="G40" i="2"/>
  <c r="G9" i="2"/>
  <c r="G6" i="2"/>
  <c r="G143" i="2"/>
  <c r="Z425" i="9"/>
  <c r="M425" i="9"/>
  <c r="U84" i="3"/>
  <c r="U18" i="3"/>
  <c r="U80" i="3"/>
  <c r="T84" i="3"/>
  <c r="T18" i="3"/>
  <c r="T80" i="3"/>
  <c r="U39" i="2"/>
  <c r="U101" i="2"/>
  <c r="U88" i="2"/>
  <c r="U44" i="2"/>
  <c r="U130" i="2"/>
  <c r="T39" i="2"/>
  <c r="T101" i="2"/>
  <c r="T88" i="2"/>
  <c r="T44" i="2"/>
  <c r="T130" i="2"/>
  <c r="V258" i="1"/>
  <c r="U65" i="1"/>
  <c r="V65" i="1"/>
  <c r="U12" i="1"/>
  <c r="V12" i="1"/>
  <c r="U86" i="1"/>
  <c r="V86" i="1"/>
  <c r="U178" i="1"/>
  <c r="V178" i="1"/>
  <c r="U203" i="1"/>
  <c r="V203" i="1"/>
  <c r="U54" i="1"/>
  <c r="V54" i="1"/>
  <c r="U299" i="1"/>
  <c r="V299" i="1"/>
  <c r="U241" i="1"/>
  <c r="V241" i="1"/>
  <c r="AD86" i="3"/>
  <c r="AD67" i="3"/>
  <c r="AD59" i="3"/>
  <c r="AD99" i="3"/>
  <c r="AD43" i="3"/>
  <c r="AD76" i="3"/>
  <c r="AD84" i="3"/>
  <c r="AD18" i="3"/>
  <c r="AD80" i="3"/>
  <c r="T76" i="3"/>
  <c r="U76" i="3"/>
  <c r="K76" i="3"/>
  <c r="K84" i="3"/>
  <c r="K18" i="3"/>
  <c r="K80" i="3"/>
  <c r="G76" i="3"/>
  <c r="G84" i="3"/>
  <c r="G18" i="3"/>
  <c r="G80" i="3"/>
  <c r="AC52" i="2"/>
  <c r="AC7" i="2"/>
  <c r="AC15" i="2"/>
  <c r="AC140" i="2"/>
  <c r="AC91" i="2"/>
  <c r="T108" i="2"/>
  <c r="U108" i="2"/>
  <c r="G108" i="2"/>
  <c r="G39" i="2"/>
  <c r="G101" i="2"/>
  <c r="Y258" i="1"/>
  <c r="Y65" i="1"/>
  <c r="Y12" i="1"/>
  <c r="Y86" i="1"/>
  <c r="Y178" i="1"/>
  <c r="Y203" i="1"/>
  <c r="Y54" i="1"/>
  <c r="Y299" i="1"/>
  <c r="Y241" i="1"/>
  <c r="Y64" i="1"/>
  <c r="U258" i="1"/>
  <c r="K74" i="1"/>
  <c r="K153" i="1"/>
  <c r="K342" i="1"/>
  <c r="K315" i="1"/>
  <c r="K31" i="1"/>
  <c r="K147" i="1"/>
  <c r="K117" i="1"/>
  <c r="K291" i="1"/>
  <c r="K314" i="1"/>
  <c r="G258" i="1"/>
  <c r="G65" i="1"/>
  <c r="G12" i="1"/>
  <c r="G86" i="1"/>
  <c r="G178" i="1"/>
  <c r="G203" i="1"/>
  <c r="G54" i="1"/>
  <c r="G299" i="1"/>
  <c r="G241" i="1"/>
  <c r="G112" i="1"/>
  <c r="L425" i="9"/>
  <c r="Y425" i="9"/>
  <c r="X425" i="9"/>
  <c r="W425" i="9"/>
  <c r="V425" i="9"/>
  <c r="U425" i="9"/>
  <c r="T425" i="9"/>
  <c r="S425" i="9"/>
  <c r="R425" i="9"/>
  <c r="Q425" i="9"/>
  <c r="P425" i="9"/>
  <c r="O425" i="9"/>
  <c r="K425" i="9"/>
  <c r="J425" i="9"/>
  <c r="I425" i="9"/>
  <c r="H425" i="9"/>
  <c r="G425" i="9"/>
  <c r="F425" i="9"/>
  <c r="E425" i="9"/>
  <c r="D425" i="9"/>
  <c r="C425" i="9"/>
  <c r="B425" i="9"/>
  <c r="Z41" i="7" l="1"/>
  <c r="N433" i="9"/>
  <c r="M433" i="9"/>
  <c r="AB41" i="7"/>
  <c r="AB26" i="7"/>
  <c r="AA41" i="7"/>
  <c r="AB33" i="7"/>
  <c r="E319" i="5"/>
  <c r="J319" i="5"/>
  <c r="K433" i="9"/>
  <c r="AA33" i="7"/>
  <c r="AA26" i="7"/>
  <c r="Z33" i="7"/>
  <c r="Z26" i="7"/>
  <c r="L433" i="9"/>
  <c r="W355" i="1"/>
  <c r="U131" i="3"/>
  <c r="K319" i="5"/>
  <c r="I433" i="9"/>
  <c r="J433" i="9"/>
  <c r="C433" i="9"/>
  <c r="D433" i="9"/>
  <c r="A433" i="9"/>
  <c r="B433" i="9"/>
  <c r="E433" i="9"/>
  <c r="F433" i="9"/>
  <c r="H433" i="9"/>
  <c r="G433" i="9"/>
  <c r="U140" i="2"/>
  <c r="U81" i="2"/>
  <c r="U136" i="2"/>
  <c r="U142" i="2"/>
  <c r="T140" i="2"/>
  <c r="T81" i="2"/>
  <c r="T136" i="2"/>
  <c r="T142" i="2"/>
  <c r="V5" i="1"/>
  <c r="V199" i="1"/>
  <c r="V262" i="1"/>
  <c r="V31" i="1"/>
  <c r="V15" i="1"/>
  <c r="V110" i="1"/>
  <c r="V320" i="1"/>
  <c r="V48" i="1"/>
  <c r="V112" i="1"/>
  <c r="U5" i="1"/>
  <c r="U199" i="1"/>
  <c r="U262" i="1"/>
  <c r="U31" i="1"/>
  <c r="U15" i="1"/>
  <c r="U110" i="1"/>
  <c r="U320" i="1"/>
  <c r="U48" i="1"/>
  <c r="U112" i="1"/>
  <c r="U348" i="1"/>
  <c r="AC110" i="2"/>
  <c r="AC50" i="2"/>
  <c r="AC98" i="2"/>
  <c r="AC123" i="2"/>
  <c r="AC29" i="2"/>
  <c r="AC121" i="2"/>
  <c r="AC76" i="2"/>
  <c r="AC107" i="2"/>
  <c r="AC33" i="2"/>
  <c r="AC133" i="2"/>
  <c r="AC45" i="2"/>
  <c r="G142" i="2"/>
  <c r="G136" i="2"/>
  <c r="G81" i="2"/>
  <c r="G140" i="2"/>
  <c r="K231" i="1"/>
  <c r="K109" i="1"/>
  <c r="K171" i="1"/>
  <c r="K262" i="1"/>
  <c r="K191" i="1"/>
  <c r="K102" i="1"/>
  <c r="Y31" i="1"/>
  <c r="Y15" i="1"/>
  <c r="Y110" i="1"/>
  <c r="Y320" i="1"/>
  <c r="Y48" i="1"/>
  <c r="Y112" i="1"/>
  <c r="Y262" i="1"/>
  <c r="Y7" i="1"/>
  <c r="Y347" i="1"/>
  <c r="Y291" i="1"/>
  <c r="Y84" i="1"/>
  <c r="Y253" i="1"/>
  <c r="Y322" i="1"/>
  <c r="Y248" i="1"/>
  <c r="Y252" i="1"/>
  <c r="Y63" i="1"/>
  <c r="Y66" i="1"/>
  <c r="Y111" i="1"/>
  <c r="Y53" i="1"/>
  <c r="Y251" i="1"/>
  <c r="Y305" i="1"/>
  <c r="Y74" i="1"/>
  <c r="Y34" i="1"/>
  <c r="Y293" i="1"/>
  <c r="Y346" i="1"/>
  <c r="Y75" i="1"/>
  <c r="Y213" i="1"/>
  <c r="Y99" i="1"/>
  <c r="Y183" i="1"/>
  <c r="Y62" i="1"/>
  <c r="Y219" i="1"/>
  <c r="Y119" i="1"/>
  <c r="Y149" i="1"/>
  <c r="Y205" i="1"/>
  <c r="Y288" i="1"/>
  <c r="Y232" i="1"/>
  <c r="Y204" i="1"/>
  <c r="Y126" i="1"/>
  <c r="Y210" i="1"/>
  <c r="Y108" i="1"/>
  <c r="Y166" i="1"/>
  <c r="Y43" i="1"/>
  <c r="Y102" i="1"/>
  <c r="Y33" i="1"/>
  <c r="Y191" i="1"/>
  <c r="Y208" i="1"/>
  <c r="Y302" i="1"/>
  <c r="Y76" i="1"/>
  <c r="Y67" i="1"/>
  <c r="Y310" i="1"/>
  <c r="Y220" i="1"/>
  <c r="Y255" i="1"/>
  <c r="Y59" i="1"/>
  <c r="Y106" i="1"/>
  <c r="Y115" i="1"/>
  <c r="Y175" i="1"/>
  <c r="Y114" i="1"/>
  <c r="Y187" i="1"/>
  <c r="Y230" i="1"/>
  <c r="Y121" i="1"/>
  <c r="Y236" i="1"/>
  <c r="Y188" i="1"/>
  <c r="Y316" i="1"/>
  <c r="Y165" i="1"/>
  <c r="Y140" i="1"/>
  <c r="Y124" i="1"/>
  <c r="Y280" i="1"/>
  <c r="Y169" i="1"/>
  <c r="Y257" i="1"/>
  <c r="Y160" i="1"/>
  <c r="Y164" i="1"/>
  <c r="Y239" i="1"/>
  <c r="Y189" i="1"/>
  <c r="Y224" i="1"/>
  <c r="Y109" i="1"/>
  <c r="Y195" i="1"/>
  <c r="Y174" i="1"/>
  <c r="Y290" i="1"/>
  <c r="Y202" i="1"/>
  <c r="Y139" i="1"/>
  <c r="Y122" i="1"/>
  <c r="Y129" i="1"/>
  <c r="Y173" i="1"/>
  <c r="Y151" i="1"/>
  <c r="Y141" i="1"/>
  <c r="Y142" i="1"/>
  <c r="Y279" i="1"/>
  <c r="Y233" i="1"/>
  <c r="Y71" i="1"/>
  <c r="Y104" i="1"/>
  <c r="Y88" i="1"/>
  <c r="Y138" i="1"/>
  <c r="Y313" i="1"/>
  <c r="Y103" i="1"/>
  <c r="Y171" i="1"/>
  <c r="Y186" i="1"/>
  <c r="Y9" i="1"/>
  <c r="Y132" i="1"/>
  <c r="Y215" i="1"/>
  <c r="Y145" i="1"/>
  <c r="Y148" i="1"/>
  <c r="Y289" i="1"/>
  <c r="Y229" i="1"/>
  <c r="Y244" i="1"/>
  <c r="Y194" i="1"/>
  <c r="Y133" i="1"/>
  <c r="Y143" i="1"/>
  <c r="Y211" i="1"/>
  <c r="Y181" i="1"/>
  <c r="Y113" i="1"/>
  <c r="Y212" i="1"/>
  <c r="Y275" i="1"/>
  <c r="Y216" i="1"/>
  <c r="Y228" i="1"/>
  <c r="Y90" i="1"/>
  <c r="Y196" i="1"/>
  <c r="Y91" i="1"/>
  <c r="Y292" i="1"/>
  <c r="Y217" i="1"/>
  <c r="Y163" i="1"/>
  <c r="Y97" i="1"/>
  <c r="Y35" i="1"/>
  <c r="Y42" i="1"/>
  <c r="Y73" i="1"/>
  <c r="Y180" i="1"/>
  <c r="Y150" i="1"/>
  <c r="Y250" i="1"/>
  <c r="Y153" i="1"/>
  <c r="Y206" i="1"/>
  <c r="Y342" i="1"/>
  <c r="Y69" i="1"/>
  <c r="Y193" i="1"/>
  <c r="Y225" i="1"/>
  <c r="Y268" i="1"/>
  <c r="Y87" i="1"/>
  <c r="Y137" i="1"/>
  <c r="Y274" i="1"/>
  <c r="Y286" i="1"/>
  <c r="Y70" i="1"/>
  <c r="Y127" i="1"/>
  <c r="Y332" i="1"/>
  <c r="Y283" i="1"/>
  <c r="Y125" i="1"/>
  <c r="Y222" i="1"/>
  <c r="Y44" i="1"/>
  <c r="Y105" i="1"/>
  <c r="Y95" i="1"/>
  <c r="Y284" i="1"/>
  <c r="Y198" i="1"/>
  <c r="Y24" i="1"/>
  <c r="Y10" i="1"/>
  <c r="Y120" i="1"/>
  <c r="Y278" i="1"/>
  <c r="Y254" i="1"/>
  <c r="Y40" i="1"/>
  <c r="Y344" i="1"/>
  <c r="Y167" i="1"/>
  <c r="Y197" i="1"/>
  <c r="Y26" i="1"/>
  <c r="Y83" i="1"/>
  <c r="Y200" i="1"/>
  <c r="Y314" i="1"/>
  <c r="Y135" i="1"/>
  <c r="Y249" i="1"/>
  <c r="Y272" i="1"/>
  <c r="Y81" i="1"/>
  <c r="Y117" i="1"/>
  <c r="Y245" i="1"/>
  <c r="Y98" i="1"/>
  <c r="Y315" i="1"/>
  <c r="Y179" i="1"/>
  <c r="Y72" i="1"/>
  <c r="Y27" i="1"/>
  <c r="Y52" i="1"/>
  <c r="Y298" i="1"/>
  <c r="Y231" i="1"/>
  <c r="Y128" i="1"/>
  <c r="Y131" i="1"/>
  <c r="Y273" i="1"/>
  <c r="Y309" i="1"/>
  <c r="Y6" i="1"/>
  <c r="Y85" i="1"/>
  <c r="Y294" i="1"/>
  <c r="Y287" i="1"/>
  <c r="Y36" i="1"/>
  <c r="Y146" i="1"/>
  <c r="Y246" i="1"/>
  <c r="Y147" i="1"/>
  <c r="Y214" i="1"/>
  <c r="Y162" i="1"/>
  <c r="Y336" i="1"/>
  <c r="Y11" i="1"/>
  <c r="Y47" i="1"/>
  <c r="Y116" i="1"/>
  <c r="Y338" i="1"/>
  <c r="Y130" i="1"/>
  <c r="Y144" i="1"/>
  <c r="Y77" i="1"/>
  <c r="Y46" i="1"/>
  <c r="Y19" i="1"/>
  <c r="Y78" i="1"/>
  <c r="Y235" i="1"/>
  <c r="Y333" i="1"/>
  <c r="Y3" i="1"/>
  <c r="Y345" i="1"/>
  <c r="Y5" i="1"/>
  <c r="Y199" i="1"/>
  <c r="Y348" i="1"/>
  <c r="G48" i="1"/>
  <c r="G320" i="1"/>
  <c r="G110" i="1"/>
  <c r="G15" i="1"/>
  <c r="G31" i="1"/>
  <c r="U71" i="2"/>
  <c r="U28" i="2"/>
  <c r="U68" i="2"/>
  <c r="U91" i="2"/>
  <c r="U134" i="2"/>
  <c r="U23" i="2"/>
  <c r="U29" i="2"/>
  <c r="T71" i="2"/>
  <c r="T28" i="2"/>
  <c r="T68" i="2"/>
  <c r="T91" i="2"/>
  <c r="T134" i="2"/>
  <c r="T23" i="2"/>
  <c r="T29" i="2"/>
  <c r="U86" i="3"/>
  <c r="U67" i="3"/>
  <c r="U59" i="3"/>
  <c r="U99" i="3"/>
  <c r="U43" i="3"/>
  <c r="T86" i="3"/>
  <c r="T67" i="3"/>
  <c r="T59" i="3"/>
  <c r="T99" i="3"/>
  <c r="T43" i="3"/>
  <c r="G59" i="3"/>
  <c r="G99" i="3"/>
  <c r="G43" i="3"/>
  <c r="G67" i="3"/>
  <c r="G86" i="3"/>
  <c r="AC3" i="2"/>
  <c r="G91" i="2"/>
  <c r="G134" i="2"/>
  <c r="G29" i="2"/>
  <c r="K203" i="1"/>
  <c r="K333" i="1"/>
  <c r="K53" i="1"/>
  <c r="G199" i="1"/>
  <c r="G262" i="1"/>
  <c r="G5" i="1"/>
  <c r="AD107" i="3"/>
  <c r="AD11" i="3"/>
  <c r="AD19" i="3"/>
  <c r="AD77" i="3"/>
  <c r="AD108" i="3"/>
  <c r="AD15" i="3"/>
  <c r="AD33" i="3"/>
  <c r="AD89" i="3"/>
  <c r="AD32" i="3"/>
  <c r="AD103" i="3"/>
  <c r="AD85" i="3"/>
  <c r="AD6" i="3"/>
  <c r="AD35" i="3"/>
  <c r="AD5" i="3"/>
  <c r="AD87" i="3"/>
  <c r="AD16" i="3"/>
  <c r="AD62" i="3"/>
  <c r="AD53" i="3"/>
  <c r="AD51" i="3"/>
  <c r="AD57" i="3"/>
  <c r="AD114" i="3"/>
  <c r="AD60" i="3"/>
  <c r="AD64" i="3"/>
  <c r="AD65" i="3"/>
  <c r="AD74" i="3"/>
  <c r="AD49" i="3"/>
  <c r="AD13" i="3"/>
  <c r="AD88" i="3"/>
  <c r="AD9" i="3"/>
  <c r="AD100" i="3"/>
  <c r="AD20" i="3"/>
  <c r="AD52" i="3"/>
  <c r="AD12" i="3"/>
  <c r="AD82" i="3"/>
  <c r="AD46" i="3"/>
  <c r="AD110" i="3"/>
  <c r="AD28" i="3"/>
  <c r="AD94" i="3"/>
  <c r="AD39" i="3"/>
  <c r="AD27" i="3"/>
  <c r="AD56" i="3"/>
  <c r="AD50" i="3"/>
  <c r="AD93" i="3"/>
  <c r="AD41" i="3"/>
  <c r="AD38" i="3"/>
  <c r="AD123" i="3"/>
  <c r="AD36" i="3"/>
  <c r="AD81" i="3"/>
  <c r="AD48" i="3"/>
  <c r="AD34" i="3"/>
  <c r="AD113" i="3"/>
  <c r="AD3" i="3"/>
  <c r="AD121" i="3"/>
  <c r="AD71" i="3"/>
  <c r="AD7" i="3"/>
  <c r="AD101" i="3"/>
  <c r="AD24" i="3"/>
  <c r="AD17" i="3"/>
  <c r="AD61" i="3"/>
  <c r="AD111" i="3"/>
  <c r="AD14" i="3"/>
  <c r="AD47" i="3"/>
  <c r="AD25" i="3"/>
  <c r="AD42" i="3"/>
  <c r="AD105" i="3"/>
  <c r="AD22" i="3"/>
  <c r="AD29" i="3"/>
  <c r="AD106" i="3"/>
  <c r="AD66" i="3"/>
  <c r="AD79" i="3"/>
  <c r="AD58" i="3"/>
  <c r="AD8" i="3"/>
  <c r="AD109" i="3"/>
  <c r="AD55" i="3"/>
  <c r="AD40" i="3"/>
  <c r="AD112" i="3"/>
  <c r="AD98" i="3"/>
  <c r="AD73" i="3"/>
  <c r="AD116" i="3"/>
  <c r="AD4" i="3"/>
  <c r="AD26" i="3"/>
  <c r="AD78" i="3"/>
  <c r="AD115" i="3"/>
  <c r="AD92" i="3"/>
  <c r="AD44" i="3"/>
  <c r="AD96" i="3"/>
  <c r="AD37" i="3"/>
  <c r="AD68" i="3"/>
  <c r="AD45" i="3"/>
  <c r="AD54" i="3"/>
  <c r="AD125" i="3"/>
  <c r="AD31" i="3"/>
  <c r="AD117" i="3"/>
  <c r="AD126" i="3"/>
  <c r="AD95" i="3"/>
  <c r="AC4" i="2"/>
  <c r="AC8" i="2"/>
  <c r="AC18" i="2"/>
  <c r="AC10" i="2"/>
  <c r="AC36" i="2"/>
  <c r="AC141" i="2"/>
  <c r="AC138" i="2"/>
  <c r="AC13" i="2"/>
  <c r="AC48" i="2"/>
  <c r="AC142" i="2"/>
  <c r="AC22" i="2"/>
  <c r="AC44" i="2"/>
  <c r="AC9" i="2"/>
  <c r="AC115" i="2"/>
  <c r="AC12" i="2"/>
  <c r="AC86" i="2"/>
  <c r="AC108" i="2"/>
  <c r="AC88" i="2"/>
  <c r="AC130" i="2"/>
  <c r="AC20" i="2"/>
  <c r="AC143" i="2"/>
  <c r="AC104" i="2"/>
  <c r="AC101" i="2"/>
  <c r="AC24" i="2"/>
  <c r="AC17" i="2"/>
  <c r="AC47" i="2"/>
  <c r="AC55" i="2"/>
  <c r="AC85" i="2"/>
  <c r="AC39" i="2"/>
  <c r="AC103" i="2"/>
  <c r="AC80" i="2"/>
  <c r="AC68" i="2"/>
  <c r="AC14" i="2"/>
  <c r="AC71" i="2"/>
  <c r="AC53" i="2"/>
  <c r="AC87" i="2"/>
  <c r="AC97" i="2"/>
  <c r="AC61" i="2"/>
  <c r="AC37" i="2"/>
  <c r="AC19" i="2"/>
  <c r="AC69" i="2"/>
  <c r="AC58" i="2"/>
  <c r="AC31" i="2"/>
  <c r="AC32" i="2"/>
  <c r="AC106" i="2"/>
  <c r="AC126" i="2"/>
  <c r="AC23" i="2"/>
  <c r="AC136" i="2"/>
  <c r="AC102" i="2"/>
  <c r="AC65" i="2"/>
  <c r="AC145" i="2"/>
  <c r="AC100" i="2"/>
  <c r="AC57" i="2"/>
  <c r="AC6" i="2"/>
  <c r="AC81" i="2"/>
  <c r="AC112" i="2"/>
  <c r="AC129" i="2"/>
  <c r="AC124" i="2"/>
  <c r="AC63" i="2"/>
  <c r="AC95" i="2"/>
  <c r="AC77" i="2"/>
  <c r="AC125" i="2"/>
  <c r="AC43" i="2"/>
  <c r="AC84" i="2"/>
  <c r="AC79" i="2"/>
  <c r="AC93" i="2"/>
  <c r="AC56" i="2"/>
  <c r="AC42" i="2"/>
  <c r="AC119" i="2"/>
  <c r="AC113" i="2"/>
  <c r="AC54" i="2"/>
  <c r="AC30" i="2"/>
  <c r="AC66" i="2"/>
  <c r="AC40" i="2"/>
  <c r="AC99" i="2"/>
  <c r="AC35" i="2"/>
  <c r="AC26" i="2"/>
  <c r="AC120" i="2"/>
  <c r="AC59" i="2"/>
  <c r="AC62" i="2"/>
  <c r="AC137" i="2"/>
  <c r="AC92" i="2"/>
  <c r="AC96" i="2"/>
  <c r="AC94" i="2"/>
  <c r="AC117" i="2"/>
  <c r="AC78" i="2"/>
  <c r="AC73" i="2"/>
  <c r="AC114" i="2"/>
  <c r="AC38" i="2"/>
  <c r="AC34" i="2"/>
  <c r="AC135" i="2"/>
  <c r="AC72" i="2"/>
  <c r="AC46" i="2"/>
  <c r="AC90" i="2"/>
  <c r="AC67" i="2"/>
  <c r="AC118" i="2"/>
  <c r="AC122" i="2"/>
  <c r="AC144" i="2"/>
  <c r="AC28" i="2"/>
  <c r="AC51" i="2"/>
  <c r="AC134" i="2"/>
  <c r="AC64" i="2"/>
  <c r="AC127" i="2"/>
  <c r="AC27" i="2"/>
  <c r="AC70" i="2"/>
  <c r="AC111" i="2"/>
  <c r="K345" i="1"/>
  <c r="V348" i="1"/>
  <c r="I3" i="5"/>
  <c r="T26" i="2"/>
  <c r="U26" i="2"/>
  <c r="T38" i="2"/>
  <c r="U38" i="2"/>
  <c r="T138" i="2"/>
  <c r="U138" i="2"/>
  <c r="V3" i="1"/>
  <c r="V222" i="1"/>
  <c r="V309" i="1"/>
  <c r="V287" i="1"/>
  <c r="U146" i="1"/>
  <c r="U3" i="1"/>
  <c r="U222" i="1"/>
  <c r="U309" i="1"/>
  <c r="U287" i="1"/>
  <c r="G138" i="2"/>
  <c r="G38" i="2"/>
  <c r="V146" i="1"/>
  <c r="K279" i="1"/>
  <c r="K3" i="1"/>
  <c r="K251" i="1"/>
  <c r="K224" i="1"/>
  <c r="K239" i="1"/>
  <c r="G146" i="1"/>
  <c r="G222" i="1"/>
  <c r="G309" i="1"/>
  <c r="G287" i="1"/>
  <c r="U7" i="3"/>
  <c r="T88" i="3"/>
  <c r="T11" i="3"/>
  <c r="U11" i="3"/>
  <c r="T15" i="3"/>
  <c r="U115" i="3"/>
  <c r="T115" i="3"/>
  <c r="U125" i="3"/>
  <c r="U89" i="3"/>
  <c r="U6" i="3"/>
  <c r="U68" i="3"/>
  <c r="U74" i="3"/>
  <c r="U35" i="3"/>
  <c r="U13" i="3"/>
  <c r="U64" i="3"/>
  <c r="U17" i="3"/>
  <c r="U123" i="3"/>
  <c r="U111" i="3"/>
  <c r="U45" i="3"/>
  <c r="U92" i="3"/>
  <c r="U106" i="3"/>
  <c r="U78" i="3"/>
  <c r="U87" i="3"/>
  <c r="U50" i="3"/>
  <c r="U58" i="3"/>
  <c r="U98" i="3"/>
  <c r="U12" i="3"/>
  <c r="U9" i="3"/>
  <c r="U24" i="3"/>
  <c r="U26" i="3"/>
  <c r="U37" i="3"/>
  <c r="U66" i="3"/>
  <c r="U56" i="3"/>
  <c r="U39" i="3"/>
  <c r="U36" i="3"/>
  <c r="U109" i="3"/>
  <c r="U65" i="3"/>
  <c r="U81" i="3"/>
  <c r="U121" i="3"/>
  <c r="U41" i="3"/>
  <c r="U48" i="3"/>
  <c r="U29" i="3"/>
  <c r="U47" i="3"/>
  <c r="U116" i="3"/>
  <c r="U27" i="3"/>
  <c r="U52" i="3"/>
  <c r="U53" i="3"/>
  <c r="U49" i="3"/>
  <c r="U94" i="3"/>
  <c r="U4" i="3"/>
  <c r="U38" i="3"/>
  <c r="U40" i="3"/>
  <c r="U79" i="3"/>
  <c r="U61" i="3"/>
  <c r="U112" i="3"/>
  <c r="U28" i="3"/>
  <c r="U19" i="3"/>
  <c r="U16" i="3"/>
  <c r="U8" i="3"/>
  <c r="U101" i="3"/>
  <c r="U113" i="3"/>
  <c r="U114" i="3"/>
  <c r="U107" i="3"/>
  <c r="U55" i="3"/>
  <c r="U110" i="3"/>
  <c r="U93" i="3"/>
  <c r="U54" i="3"/>
  <c r="U71" i="3"/>
  <c r="U60" i="3"/>
  <c r="U100" i="3"/>
  <c r="U62" i="3"/>
  <c r="U103" i="3"/>
  <c r="U95" i="3"/>
  <c r="U22" i="3"/>
  <c r="U82" i="3"/>
  <c r="U46" i="3"/>
  <c r="U20" i="3"/>
  <c r="U31" i="3"/>
  <c r="U73" i="3"/>
  <c r="U33" i="3"/>
  <c r="U44" i="3"/>
  <c r="U51" i="3"/>
  <c r="U96" i="3"/>
  <c r="U34" i="3"/>
  <c r="U57" i="3"/>
  <c r="U108" i="3"/>
  <c r="U85" i="3"/>
  <c r="U14" i="3"/>
  <c r="U88" i="3"/>
  <c r="U126" i="3"/>
  <c r="U117" i="3"/>
  <c r="U32" i="3"/>
  <c r="T7" i="3"/>
  <c r="T125" i="3"/>
  <c r="T89" i="3"/>
  <c r="T6" i="3"/>
  <c r="T68" i="3"/>
  <c r="T74" i="3"/>
  <c r="T35" i="3"/>
  <c r="T13" i="3"/>
  <c r="T64" i="3"/>
  <c r="T17" i="3"/>
  <c r="T123" i="3"/>
  <c r="T111" i="3"/>
  <c r="T45" i="3"/>
  <c r="T92" i="3"/>
  <c r="T106" i="3"/>
  <c r="T78" i="3"/>
  <c r="T87" i="3"/>
  <c r="T50" i="3"/>
  <c r="T58" i="3"/>
  <c r="T98" i="3"/>
  <c r="T12" i="3"/>
  <c r="T9" i="3"/>
  <c r="T24" i="3"/>
  <c r="T26" i="3"/>
  <c r="T37" i="3"/>
  <c r="T66" i="3"/>
  <c r="T56" i="3"/>
  <c r="T39" i="3"/>
  <c r="T36" i="3"/>
  <c r="T109" i="3"/>
  <c r="T65" i="3"/>
  <c r="T81" i="3"/>
  <c r="T121" i="3"/>
  <c r="T41" i="3"/>
  <c r="T48" i="3"/>
  <c r="T29" i="3"/>
  <c r="T47" i="3"/>
  <c r="T116" i="3"/>
  <c r="T27" i="3"/>
  <c r="T52" i="3"/>
  <c r="T53" i="3"/>
  <c r="T49" i="3"/>
  <c r="T94" i="3"/>
  <c r="T4" i="3"/>
  <c r="T38" i="3"/>
  <c r="T40" i="3"/>
  <c r="T79" i="3"/>
  <c r="T61" i="3"/>
  <c r="T112" i="3"/>
  <c r="T28" i="3"/>
  <c r="T19" i="3"/>
  <c r="T16" i="3"/>
  <c r="T8" i="3"/>
  <c r="T101" i="3"/>
  <c r="T113" i="3"/>
  <c r="T114" i="3"/>
  <c r="T107" i="3"/>
  <c r="T55" i="3"/>
  <c r="T110" i="3"/>
  <c r="T93" i="3"/>
  <c r="T54" i="3"/>
  <c r="T71" i="3"/>
  <c r="T60" i="3"/>
  <c r="T100" i="3"/>
  <c r="T62" i="3"/>
  <c r="T103" i="3"/>
  <c r="T95" i="3"/>
  <c r="T22" i="3"/>
  <c r="T82" i="3"/>
  <c r="T46" i="3"/>
  <c r="T20" i="3"/>
  <c r="T31" i="3"/>
  <c r="T73" i="3"/>
  <c r="T33" i="3"/>
  <c r="T44" i="3"/>
  <c r="T51" i="3"/>
  <c r="T96" i="3"/>
  <c r="T34" i="3"/>
  <c r="T57" i="3"/>
  <c r="T108" i="3"/>
  <c r="T85" i="3"/>
  <c r="T14" i="3"/>
  <c r="T126" i="3"/>
  <c r="T117" i="3"/>
  <c r="T32" i="3"/>
  <c r="T3" i="3"/>
  <c r="U118" i="2"/>
  <c r="U40" i="2"/>
  <c r="U7" i="2"/>
  <c r="T118" i="2"/>
  <c r="T40" i="2"/>
  <c r="T7" i="2"/>
  <c r="V10" i="1"/>
  <c r="V208" i="1"/>
  <c r="V293" i="1"/>
  <c r="V77" i="1"/>
  <c r="V251" i="1"/>
  <c r="V84" i="1"/>
  <c r="V213" i="1"/>
  <c r="V342" i="1"/>
  <c r="V11" i="1"/>
  <c r="V294" i="1"/>
  <c r="V24" i="1"/>
  <c r="V64" i="1"/>
  <c r="V26" i="1"/>
  <c r="V305" i="1"/>
  <c r="V36" i="1"/>
  <c r="V6" i="1"/>
  <c r="V19" i="1"/>
  <c r="V253" i="1"/>
  <c r="V291" i="1"/>
  <c r="V99" i="1"/>
  <c r="V273" i="1"/>
  <c r="V53" i="1"/>
  <c r="V167" i="1"/>
  <c r="V245" i="1"/>
  <c r="V88" i="1"/>
  <c r="V130" i="1"/>
  <c r="V246" i="1"/>
  <c r="V333" i="1"/>
  <c r="U10" i="1"/>
  <c r="U208" i="1"/>
  <c r="U293" i="1"/>
  <c r="U77" i="1"/>
  <c r="U251" i="1"/>
  <c r="U84" i="1"/>
  <c r="U213" i="1"/>
  <c r="U342" i="1"/>
  <c r="U11" i="1"/>
  <c r="U294" i="1"/>
  <c r="U24" i="1"/>
  <c r="U64" i="1"/>
  <c r="U26" i="1"/>
  <c r="U305" i="1"/>
  <c r="U36" i="1"/>
  <c r="U6" i="1"/>
  <c r="U19" i="1"/>
  <c r="U253" i="1"/>
  <c r="U291" i="1"/>
  <c r="U99" i="1"/>
  <c r="U273" i="1"/>
  <c r="U53" i="1"/>
  <c r="U167" i="1"/>
  <c r="U245" i="1"/>
  <c r="U88" i="1"/>
  <c r="U130" i="1"/>
  <c r="U246" i="1"/>
  <c r="U333" i="1"/>
  <c r="V117" i="1"/>
  <c r="U117" i="1"/>
  <c r="U344" i="1"/>
  <c r="V322" i="1"/>
  <c r="V7" i="1"/>
  <c r="V220" i="1"/>
  <c r="V214" i="1"/>
  <c r="V138" i="1"/>
  <c r="V231" i="1"/>
  <c r="V98" i="1"/>
  <c r="V315" i="1"/>
  <c r="V85" i="1"/>
  <c r="V188" i="1"/>
  <c r="V186" i="1"/>
  <c r="V114" i="1"/>
  <c r="V310" i="1"/>
  <c r="V162" i="1"/>
  <c r="V59" i="1"/>
  <c r="V230" i="1"/>
  <c r="V115" i="1"/>
  <c r="V233" i="1"/>
  <c r="V76" i="1"/>
  <c r="V225" i="1"/>
  <c r="V145" i="1"/>
  <c r="V108" i="1"/>
  <c r="V142" i="1"/>
  <c r="V163" i="1"/>
  <c r="V286" i="1"/>
  <c r="V198" i="1"/>
  <c r="V127" i="1"/>
  <c r="V284" i="1"/>
  <c r="V195" i="1"/>
  <c r="V126" i="1"/>
  <c r="V137" i="1"/>
  <c r="V216" i="1"/>
  <c r="V44" i="1"/>
  <c r="V143" i="1"/>
  <c r="V160" i="1"/>
  <c r="V109" i="1"/>
  <c r="V183" i="1"/>
  <c r="V255" i="1"/>
  <c r="V106" i="1"/>
  <c r="V338" i="1"/>
  <c r="V129" i="1"/>
  <c r="V35" i="1"/>
  <c r="V140" i="1"/>
  <c r="V239" i="1"/>
  <c r="V111" i="1"/>
  <c r="V141" i="1"/>
  <c r="V104" i="1"/>
  <c r="V90" i="1"/>
  <c r="V139" i="1"/>
  <c r="V150" i="1"/>
  <c r="V206" i="1"/>
  <c r="V202" i="1"/>
  <c r="V250" i="1"/>
  <c r="V149" i="1"/>
  <c r="V83" i="1"/>
  <c r="V204" i="1"/>
  <c r="V211" i="1"/>
  <c r="V173" i="1"/>
  <c r="V103" i="1"/>
  <c r="V179" i="1"/>
  <c r="V268" i="1"/>
  <c r="V151" i="1"/>
  <c r="V212" i="1"/>
  <c r="V175" i="1"/>
  <c r="V181" i="1"/>
  <c r="V164" i="1"/>
  <c r="V122" i="1"/>
  <c r="V200" i="1"/>
  <c r="V229" i="1"/>
  <c r="V191" i="1"/>
  <c r="V97" i="1"/>
  <c r="V91" i="1"/>
  <c r="V169" i="1"/>
  <c r="V332" i="1"/>
  <c r="V194" i="1"/>
  <c r="V132" i="1"/>
  <c r="V42" i="1"/>
  <c r="V278" i="1"/>
  <c r="V125" i="1"/>
  <c r="V67" i="1"/>
  <c r="V235" i="1"/>
  <c r="V302" i="1"/>
  <c r="V113" i="1"/>
  <c r="V210" i="1"/>
  <c r="V244" i="1"/>
  <c r="V272" i="1"/>
  <c r="V189" i="1"/>
  <c r="V124" i="1"/>
  <c r="V228" i="1"/>
  <c r="V72" i="1"/>
  <c r="V40" i="1"/>
  <c r="V180" i="1"/>
  <c r="V133" i="1"/>
  <c r="V248" i="1"/>
  <c r="V71" i="1"/>
  <c r="V153" i="1"/>
  <c r="V197" i="1"/>
  <c r="V174" i="1"/>
  <c r="V298" i="1"/>
  <c r="V187" i="1"/>
  <c r="V81" i="1"/>
  <c r="V47" i="1"/>
  <c r="V148" i="1"/>
  <c r="V66" i="1"/>
  <c r="V147" i="1"/>
  <c r="V73" i="1"/>
  <c r="V63" i="1"/>
  <c r="V215" i="1"/>
  <c r="V196" i="1"/>
  <c r="V280" i="1"/>
  <c r="V105" i="1"/>
  <c r="V224" i="1"/>
  <c r="V70" i="1"/>
  <c r="V95" i="1"/>
  <c r="V171" i="1"/>
  <c r="V193" i="1"/>
  <c r="V87" i="1"/>
  <c r="V346" i="1"/>
  <c r="V43" i="1"/>
  <c r="V205" i="1"/>
  <c r="V288" i="1"/>
  <c r="V75" i="1"/>
  <c r="V257" i="1"/>
  <c r="V34" i="1"/>
  <c r="V217" i="1"/>
  <c r="V292" i="1"/>
  <c r="V254" i="1"/>
  <c r="V62" i="1"/>
  <c r="V316" i="1"/>
  <c r="V102" i="1"/>
  <c r="V69" i="1"/>
  <c r="V279" i="1"/>
  <c r="V232" i="1"/>
  <c r="V236" i="1"/>
  <c r="V313" i="1"/>
  <c r="V74" i="1"/>
  <c r="V336" i="1"/>
  <c r="V290" i="1"/>
  <c r="V120" i="1"/>
  <c r="V78" i="1"/>
  <c r="V283" i="1"/>
  <c r="V275" i="1"/>
  <c r="V131" i="1"/>
  <c r="V121" i="1"/>
  <c r="V116" i="1"/>
  <c r="V33" i="1"/>
  <c r="V27" i="1"/>
  <c r="V135" i="1"/>
  <c r="V9" i="1"/>
  <c r="V166" i="1"/>
  <c r="V219" i="1"/>
  <c r="V274" i="1"/>
  <c r="V46" i="1"/>
  <c r="V314" i="1"/>
  <c r="V144" i="1"/>
  <c r="V119" i="1"/>
  <c r="V52" i="1"/>
  <c r="V249" i="1"/>
  <c r="V165" i="1"/>
  <c r="V289" i="1"/>
  <c r="V128" i="1"/>
  <c r="V252" i="1"/>
  <c r="V344" i="1"/>
  <c r="V347" i="1"/>
  <c r="U10" i="2"/>
  <c r="U7" i="1"/>
  <c r="U345" i="1"/>
  <c r="U220" i="1"/>
  <c r="U214" i="1"/>
  <c r="U138" i="1"/>
  <c r="U231" i="1"/>
  <c r="U98" i="1"/>
  <c r="U315" i="1"/>
  <c r="U85" i="1"/>
  <c r="U188" i="1"/>
  <c r="U186" i="1"/>
  <c r="U114" i="1"/>
  <c r="U310" i="1"/>
  <c r="U162" i="1"/>
  <c r="U59" i="1"/>
  <c r="U230" i="1"/>
  <c r="U115" i="1"/>
  <c r="U233" i="1"/>
  <c r="U76" i="1"/>
  <c r="U225" i="1"/>
  <c r="U145" i="1"/>
  <c r="U108" i="1"/>
  <c r="U142" i="1"/>
  <c r="U163" i="1"/>
  <c r="U286" i="1"/>
  <c r="U198" i="1"/>
  <c r="U127" i="1"/>
  <c r="U284" i="1"/>
  <c r="U195" i="1"/>
  <c r="U126" i="1"/>
  <c r="U137" i="1"/>
  <c r="U216" i="1"/>
  <c r="U44" i="1"/>
  <c r="U143" i="1"/>
  <c r="U160" i="1"/>
  <c r="U109" i="1"/>
  <c r="U183" i="1"/>
  <c r="U255" i="1"/>
  <c r="U106" i="1"/>
  <c r="U338" i="1"/>
  <c r="U129" i="1"/>
  <c r="U35" i="1"/>
  <c r="U140" i="1"/>
  <c r="U239" i="1"/>
  <c r="U111" i="1"/>
  <c r="U141" i="1"/>
  <c r="U104" i="1"/>
  <c r="U90" i="1"/>
  <c r="U139" i="1"/>
  <c r="U150" i="1"/>
  <c r="U206" i="1"/>
  <c r="U202" i="1"/>
  <c r="U250" i="1"/>
  <c r="U149" i="1"/>
  <c r="U83" i="1"/>
  <c r="U204" i="1"/>
  <c r="U211" i="1"/>
  <c r="U173" i="1"/>
  <c r="U103" i="1"/>
  <c r="U322" i="1"/>
  <c r="U179" i="1"/>
  <c r="U268" i="1"/>
  <c r="U151" i="1"/>
  <c r="U212" i="1"/>
  <c r="U175" i="1"/>
  <c r="U181" i="1"/>
  <c r="U164" i="1"/>
  <c r="U122" i="1"/>
  <c r="U200" i="1"/>
  <c r="U229" i="1"/>
  <c r="U191" i="1"/>
  <c r="U97" i="1"/>
  <c r="U91" i="1"/>
  <c r="U169" i="1"/>
  <c r="U332" i="1"/>
  <c r="U194" i="1"/>
  <c r="U132" i="1"/>
  <c r="U42" i="1"/>
  <c r="U278" i="1"/>
  <c r="U125" i="1"/>
  <c r="U67" i="1"/>
  <c r="U235" i="1"/>
  <c r="U302" i="1"/>
  <c r="U113" i="1"/>
  <c r="U210" i="1"/>
  <c r="U244" i="1"/>
  <c r="U272" i="1"/>
  <c r="U189" i="1"/>
  <c r="U124" i="1"/>
  <c r="U228" i="1"/>
  <c r="U72" i="1"/>
  <c r="U40" i="1"/>
  <c r="U180" i="1"/>
  <c r="U133" i="1"/>
  <c r="U248" i="1"/>
  <c r="U71" i="1"/>
  <c r="U153" i="1"/>
  <c r="U197" i="1"/>
  <c r="U174" i="1"/>
  <c r="U298" i="1"/>
  <c r="U187" i="1"/>
  <c r="U81" i="1"/>
  <c r="U47" i="1"/>
  <c r="U148" i="1"/>
  <c r="U66" i="1"/>
  <c r="U147" i="1"/>
  <c r="U73" i="1"/>
  <c r="U63" i="1"/>
  <c r="U215" i="1"/>
  <c r="U196" i="1"/>
  <c r="U280" i="1"/>
  <c r="U105" i="1"/>
  <c r="U224" i="1"/>
  <c r="U70" i="1"/>
  <c r="U95" i="1"/>
  <c r="U171" i="1"/>
  <c r="U193" i="1"/>
  <c r="U87" i="1"/>
  <c r="U346" i="1"/>
  <c r="U43" i="1"/>
  <c r="U205" i="1"/>
  <c r="U288" i="1"/>
  <c r="U75" i="1"/>
  <c r="U257" i="1"/>
  <c r="U34" i="1"/>
  <c r="U217" i="1"/>
  <c r="U292" i="1"/>
  <c r="U254" i="1"/>
  <c r="U62" i="1"/>
  <c r="U316" i="1"/>
  <c r="U102" i="1"/>
  <c r="U69" i="1"/>
  <c r="U279" i="1"/>
  <c r="U232" i="1"/>
  <c r="U236" i="1"/>
  <c r="U313" i="1"/>
  <c r="U74" i="1"/>
  <c r="U336" i="1"/>
  <c r="U290" i="1"/>
  <c r="U120" i="1"/>
  <c r="U78" i="1"/>
  <c r="U283" i="1"/>
  <c r="U275" i="1"/>
  <c r="U131" i="1"/>
  <c r="U121" i="1"/>
  <c r="U116" i="1"/>
  <c r="U33" i="1"/>
  <c r="U27" i="1"/>
  <c r="U135" i="1"/>
  <c r="U9" i="1"/>
  <c r="U166" i="1"/>
  <c r="U219" i="1"/>
  <c r="U274" i="1"/>
  <c r="U46" i="1"/>
  <c r="U314" i="1"/>
  <c r="U144" i="1"/>
  <c r="U119" i="1"/>
  <c r="U52" i="1"/>
  <c r="U249" i="1"/>
  <c r="U165" i="1"/>
  <c r="U289" i="1"/>
  <c r="U128" i="1"/>
  <c r="U252" i="1"/>
  <c r="U347" i="1"/>
  <c r="K244" i="1"/>
  <c r="K198" i="1"/>
  <c r="K283" i="1"/>
  <c r="K219" i="1"/>
  <c r="K111" i="1"/>
  <c r="K67" i="1"/>
  <c r="K293" i="1"/>
  <c r="K165" i="1"/>
  <c r="K268" i="1"/>
  <c r="G245" i="1"/>
  <c r="G88" i="1"/>
  <c r="G130" i="1"/>
  <c r="G246" i="1"/>
  <c r="G333" i="1"/>
  <c r="G53" i="1"/>
  <c r="G167" i="1"/>
  <c r="K43" i="3" l="1"/>
  <c r="K99" i="3"/>
  <c r="K59" i="3"/>
  <c r="K67" i="3"/>
  <c r="K86" i="3"/>
  <c r="G32" i="3"/>
  <c r="G11" i="3"/>
  <c r="G118" i="2"/>
  <c r="G99" i="1"/>
  <c r="G273" i="1"/>
  <c r="G3" i="3"/>
  <c r="K46" i="3"/>
  <c r="K42" i="3"/>
  <c r="K41" i="3"/>
  <c r="U3" i="3"/>
  <c r="G7" i="3"/>
  <c r="K39" i="3"/>
  <c r="G125" i="3"/>
  <c r="K92" i="3"/>
  <c r="G89" i="3"/>
  <c r="K60" i="3"/>
  <c r="G6" i="3"/>
  <c r="K113" i="3"/>
  <c r="K16" i="3"/>
  <c r="G68" i="3"/>
  <c r="G74" i="3"/>
  <c r="K61" i="3"/>
  <c r="G35" i="3"/>
  <c r="K93" i="3"/>
  <c r="K87" i="3"/>
  <c r="G64" i="3"/>
  <c r="K116" i="3"/>
  <c r="G13" i="3"/>
  <c r="K95" i="3"/>
  <c r="G17" i="3"/>
  <c r="K36" i="3"/>
  <c r="G123" i="3"/>
  <c r="K121" i="3"/>
  <c r="G111" i="3"/>
  <c r="K27" i="3"/>
  <c r="G106" i="3"/>
  <c r="G92" i="3"/>
  <c r="K37" i="3"/>
  <c r="G78" i="3"/>
  <c r="K107" i="3"/>
  <c r="G87" i="3"/>
  <c r="G50" i="3"/>
  <c r="K111" i="3"/>
  <c r="G58" i="3"/>
  <c r="K98" i="3"/>
  <c r="G9" i="3"/>
  <c r="K17" i="3"/>
  <c r="G12" i="3"/>
  <c r="K79" i="3"/>
  <c r="K22" i="3"/>
  <c r="G24" i="3"/>
  <c r="G26" i="3"/>
  <c r="K89" i="3"/>
  <c r="K115" i="3"/>
  <c r="G37" i="3"/>
  <c r="K38" i="3"/>
  <c r="K52" i="3"/>
  <c r="K112" i="3"/>
  <c r="G109" i="3"/>
  <c r="K81" i="3"/>
  <c r="G56" i="3"/>
  <c r="K62" i="3"/>
  <c r="K94" i="3"/>
  <c r="G36" i="3"/>
  <c r="K48" i="3"/>
  <c r="G39" i="3"/>
  <c r="G81" i="3"/>
  <c r="K35" i="3"/>
  <c r="K31" i="3"/>
  <c r="G66" i="3"/>
  <c r="K71" i="3"/>
  <c r="G65" i="3"/>
  <c r="K33" i="3"/>
  <c r="G41" i="3"/>
  <c r="K114" i="3"/>
  <c r="G4" i="3"/>
  <c r="K73" i="3"/>
  <c r="G48" i="3"/>
  <c r="K47" i="3"/>
  <c r="G29" i="3"/>
  <c r="K66" i="3"/>
  <c r="G121" i="3"/>
  <c r="G116" i="3"/>
  <c r="K65" i="3"/>
  <c r="G47" i="3"/>
  <c r="K8" i="3"/>
  <c r="K108" i="3"/>
  <c r="G52" i="3"/>
  <c r="K101" i="3"/>
  <c r="K34" i="3"/>
  <c r="G94" i="3"/>
  <c r="K26" i="3"/>
  <c r="G53" i="3"/>
  <c r="K64" i="3"/>
  <c r="G38" i="3"/>
  <c r="G49" i="3"/>
  <c r="K9" i="3"/>
  <c r="G40" i="3"/>
  <c r="K109" i="3"/>
  <c r="G79" i="3"/>
  <c r="K44" i="3"/>
  <c r="G61" i="3"/>
  <c r="K100" i="3"/>
  <c r="G28" i="3"/>
  <c r="G19" i="3"/>
  <c r="K7" i="3"/>
  <c r="G112" i="3"/>
  <c r="K68" i="3"/>
  <c r="G101" i="3"/>
  <c r="K53" i="3"/>
  <c r="G113" i="3"/>
  <c r="K29" i="3"/>
  <c r="G16" i="3"/>
  <c r="K20" i="3"/>
  <c r="G8" i="3"/>
  <c r="K12" i="3"/>
  <c r="G114" i="3"/>
  <c r="K19" i="3"/>
  <c r="G107" i="3"/>
  <c r="K6" i="3"/>
  <c r="K57" i="3"/>
  <c r="G45" i="3"/>
  <c r="K24" i="3"/>
  <c r="G55" i="3"/>
  <c r="K74" i="3"/>
  <c r="K13" i="3"/>
  <c r="G110" i="3"/>
  <c r="K82" i="3"/>
  <c r="G93" i="3"/>
  <c r="K49" i="3"/>
  <c r="G54" i="3"/>
  <c r="K32" i="3"/>
  <c r="G100" i="3"/>
  <c r="K28" i="3"/>
  <c r="G60" i="3"/>
  <c r="K110" i="3"/>
  <c r="G95" i="3"/>
  <c r="K126" i="3"/>
  <c r="G71" i="3"/>
  <c r="G22" i="3"/>
  <c r="K40" i="3"/>
  <c r="G62" i="3"/>
  <c r="K117" i="3"/>
  <c r="G103" i="3"/>
  <c r="K4" i="3"/>
  <c r="G82" i="3"/>
  <c r="K54" i="3"/>
  <c r="G46" i="3"/>
  <c r="K56" i="3"/>
  <c r="G31" i="3"/>
  <c r="K11" i="3"/>
  <c r="G20" i="3"/>
  <c r="K106" i="3"/>
  <c r="G44" i="3"/>
  <c r="K96" i="3"/>
  <c r="G73" i="3"/>
  <c r="K45" i="3"/>
  <c r="G33" i="3"/>
  <c r="K25" i="3"/>
  <c r="G27" i="3"/>
  <c r="K123" i="3"/>
  <c r="G34" i="3"/>
  <c r="G51" i="3"/>
  <c r="K88" i="3"/>
  <c r="G96" i="3"/>
  <c r="K85" i="3"/>
  <c r="G108" i="3"/>
  <c r="K77" i="3"/>
  <c r="G57" i="3"/>
  <c r="K55" i="3"/>
  <c r="G85" i="3"/>
  <c r="K51" i="3"/>
  <c r="G14" i="3"/>
  <c r="K50" i="3"/>
  <c r="G88" i="3"/>
  <c r="K58" i="3"/>
  <c r="G117" i="3"/>
  <c r="K105" i="3"/>
  <c r="G25" i="3"/>
  <c r="T25" i="3"/>
  <c r="U25" i="3"/>
  <c r="G77" i="3"/>
  <c r="K5" i="3"/>
  <c r="T77" i="3"/>
  <c r="U77" i="3"/>
  <c r="G126" i="3"/>
  <c r="K3" i="3"/>
  <c r="G42" i="3"/>
  <c r="K78" i="3"/>
  <c r="T42" i="3"/>
  <c r="U42" i="3"/>
  <c r="G105" i="3"/>
  <c r="U105" i="3"/>
  <c r="G98" i="3"/>
  <c r="K14" i="3"/>
  <c r="G15" i="3"/>
  <c r="K125" i="3"/>
  <c r="U15" i="3"/>
  <c r="G115" i="3"/>
  <c r="K103" i="3"/>
  <c r="G5" i="3"/>
  <c r="K15" i="3"/>
  <c r="U5" i="3"/>
  <c r="E165" i="5"/>
  <c r="J2" i="5"/>
  <c r="T33" i="2" l="1"/>
  <c r="U33" i="2"/>
  <c r="T76" i="2"/>
  <c r="U76" i="2"/>
  <c r="T57" i="2"/>
  <c r="U57" i="2"/>
  <c r="T86" i="2"/>
  <c r="U86" i="2"/>
  <c r="G86" i="2"/>
  <c r="G57" i="2"/>
  <c r="K145" i="1"/>
  <c r="K26" i="1"/>
  <c r="K338" i="1"/>
  <c r="K10" i="1"/>
  <c r="K245" i="1"/>
  <c r="K254" i="1"/>
  <c r="K85" i="1"/>
  <c r="K272" i="1"/>
  <c r="K146" i="1"/>
  <c r="K235" i="1"/>
  <c r="K6" i="1"/>
  <c r="K77" i="1"/>
  <c r="K24" i="1"/>
  <c r="K105" i="1"/>
  <c r="K348" i="1"/>
  <c r="K225" i="1"/>
  <c r="K5" i="1"/>
  <c r="K110" i="1"/>
  <c r="K332" i="1"/>
  <c r="K179" i="1"/>
  <c r="K214" i="1"/>
  <c r="K119" i="1"/>
  <c r="K202" i="1"/>
  <c r="K103" i="1"/>
  <c r="K108" i="1"/>
  <c r="K127" i="1"/>
  <c r="K160" i="1"/>
  <c r="K205" i="1"/>
  <c r="K195" i="1"/>
  <c r="K46" i="1"/>
  <c r="K309" i="1"/>
  <c r="K292" i="1"/>
  <c r="K86" i="1"/>
  <c r="K64" i="1"/>
  <c r="K98" i="1"/>
  <c r="K316" i="1"/>
  <c r="K59" i="1"/>
  <c r="K44" i="1"/>
  <c r="K33" i="1"/>
  <c r="K322" i="1"/>
  <c r="K131" i="1"/>
  <c r="K252" i="1"/>
  <c r="K112" i="1"/>
  <c r="K27" i="1"/>
  <c r="K141" i="1"/>
  <c r="K280" i="1"/>
  <c r="K189" i="1"/>
  <c r="K88" i="1"/>
  <c r="K43" i="1"/>
  <c r="K257" i="1"/>
  <c r="K274" i="1"/>
  <c r="K217" i="1"/>
  <c r="K65" i="1"/>
  <c r="K72" i="1"/>
  <c r="K347" i="1"/>
  <c r="K124" i="1"/>
  <c r="K54" i="1"/>
  <c r="K9" i="1"/>
  <c r="K206" i="1"/>
  <c r="K104" i="1"/>
  <c r="K143" i="1"/>
  <c r="K213" i="1"/>
  <c r="K200" i="1"/>
  <c r="K132" i="1"/>
  <c r="K248" i="1"/>
  <c r="K287" i="1"/>
  <c r="K151" i="1"/>
  <c r="K255" i="1"/>
  <c r="K138" i="1"/>
  <c r="K126" i="1"/>
  <c r="K19" i="1"/>
  <c r="K120" i="1"/>
  <c r="K208" i="1"/>
  <c r="K99" i="1"/>
  <c r="K187" i="1"/>
  <c r="K62" i="1"/>
  <c r="K15" i="1"/>
  <c r="K35" i="1"/>
  <c r="K166" i="1"/>
  <c r="K140" i="1"/>
  <c r="K36" i="1"/>
  <c r="K48" i="1"/>
  <c r="K299" i="1"/>
  <c r="K169" i="1"/>
  <c r="K12" i="1"/>
  <c r="K286" i="1"/>
  <c r="K320" i="1"/>
  <c r="K215" i="1"/>
  <c r="K137" i="1"/>
  <c r="K135" i="1"/>
  <c r="K173" i="1"/>
  <c r="K289" i="1"/>
  <c r="K196" i="1"/>
  <c r="K114" i="1"/>
  <c r="K193" i="1"/>
  <c r="K249" i="1"/>
  <c r="K139" i="1"/>
  <c r="K115" i="1"/>
  <c r="K288" i="1"/>
  <c r="K183" i="1"/>
  <c r="K163" i="1"/>
  <c r="K210" i="1"/>
  <c r="K336" i="1"/>
  <c r="K253" i="1"/>
  <c r="K250" i="1"/>
  <c r="K199" i="1"/>
  <c r="K142" i="1"/>
  <c r="K91" i="1"/>
  <c r="K81" i="1"/>
  <c r="K220" i="1"/>
  <c r="K121" i="1"/>
  <c r="K290" i="1"/>
  <c r="K212" i="1"/>
  <c r="K97" i="1"/>
  <c r="K70" i="1"/>
  <c r="K83" i="1"/>
  <c r="K113" i="1"/>
  <c r="K7" i="1"/>
  <c r="K69" i="1"/>
  <c r="K229" i="1"/>
  <c r="K241" i="1"/>
  <c r="K180" i="1"/>
  <c r="K216" i="1"/>
  <c r="K275" i="1"/>
  <c r="K228" i="1"/>
  <c r="K129" i="1"/>
  <c r="K42" i="1"/>
  <c r="K133" i="1"/>
  <c r="K34" i="1"/>
  <c r="K40" i="1"/>
  <c r="K305" i="1"/>
  <c r="K95" i="1"/>
  <c r="K302" i="1"/>
  <c r="K164" i="1"/>
  <c r="K90" i="1"/>
  <c r="K313" i="1"/>
  <c r="K73" i="1"/>
  <c r="K284" i="1"/>
  <c r="K175" i="1"/>
  <c r="K149" i="1"/>
  <c r="K258" i="1"/>
  <c r="K150" i="1"/>
  <c r="K63" i="1"/>
  <c r="K230" i="1"/>
  <c r="K194" i="1"/>
  <c r="K122" i="1"/>
  <c r="K162" i="1"/>
  <c r="K186" i="1"/>
  <c r="K211" i="1"/>
  <c r="K71" i="1"/>
  <c r="K167" i="1"/>
  <c r="K236" i="1"/>
  <c r="K128" i="1"/>
  <c r="K246" i="1"/>
  <c r="K75" i="1"/>
  <c r="K222" i="1"/>
  <c r="K106" i="1"/>
  <c r="K178" i="1"/>
  <c r="K232" i="1"/>
  <c r="K298" i="1"/>
  <c r="K188" i="1"/>
  <c r="K87" i="1"/>
  <c r="K310" i="1"/>
  <c r="K47" i="1"/>
  <c r="K148" i="1"/>
  <c r="K52" i="1"/>
  <c r="K294" i="1"/>
  <c r="K84" i="1"/>
  <c r="K204" i="1"/>
  <c r="K125" i="1"/>
  <c r="K278" i="1"/>
  <c r="K181" i="1"/>
  <c r="K11" i="1"/>
  <c r="K197" i="1"/>
  <c r="K76" i="1"/>
  <c r="K344" i="1"/>
  <c r="K273" i="1"/>
  <c r="K233" i="1"/>
  <c r="K174" i="1"/>
  <c r="K66" i="1"/>
  <c r="K144" i="1"/>
  <c r="K346" i="1"/>
  <c r="K130" i="1"/>
  <c r="K78" i="1"/>
  <c r="G239" i="1"/>
  <c r="G9" i="1"/>
  <c r="G322" i="1"/>
  <c r="G248" i="1"/>
  <c r="G144" i="1"/>
  <c r="G148" i="1"/>
  <c r="G102" i="1"/>
  <c r="G200" i="1"/>
  <c r="G40" i="1"/>
  <c r="G128" i="1"/>
  <c r="I18" i="5"/>
  <c r="J18" i="5" s="1"/>
  <c r="I80" i="5"/>
  <c r="K80" i="5" s="1"/>
  <c r="E194" i="5"/>
  <c r="E80" i="5"/>
  <c r="G126" i="1"/>
  <c r="G117" i="1"/>
  <c r="G74" i="1"/>
  <c r="G132" i="1"/>
  <c r="E9" i="5"/>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I134" i="5"/>
  <c r="I135" i="5"/>
  <c r="I136" i="5"/>
  <c r="I137" i="5"/>
  <c r="I138" i="5"/>
  <c r="K138" i="5" s="1"/>
  <c r="I139" i="5"/>
  <c r="J139" i="5" s="1"/>
  <c r="I140" i="5"/>
  <c r="I141" i="5"/>
  <c r="I142" i="5"/>
  <c r="I143" i="5"/>
  <c r="K143" i="5" s="1"/>
  <c r="I144" i="5"/>
  <c r="I145" i="5"/>
  <c r="I146" i="5"/>
  <c r="K146" i="5" s="1"/>
  <c r="I147" i="5"/>
  <c r="I148" i="5"/>
  <c r="I149" i="5"/>
  <c r="I150" i="5"/>
  <c r="K150" i="5" s="1"/>
  <c r="I151" i="5"/>
  <c r="I152" i="5"/>
  <c r="I153" i="5"/>
  <c r="J153" i="5" s="1"/>
  <c r="I154" i="5"/>
  <c r="K154" i="5" s="1"/>
  <c r="I155" i="5"/>
  <c r="K155" i="5" s="1"/>
  <c r="I156" i="5"/>
  <c r="I157" i="5"/>
  <c r="I158" i="5"/>
  <c r="I159" i="5"/>
  <c r="I160" i="5"/>
  <c r="I161" i="5"/>
  <c r="J161" i="5" s="1"/>
  <c r="I162" i="5"/>
  <c r="K162" i="5" s="1"/>
  <c r="I163" i="5"/>
  <c r="K163" i="5" s="1"/>
  <c r="I164" i="5"/>
  <c r="J164" i="5" s="1"/>
  <c r="I165" i="5"/>
  <c r="K165" i="5" s="1"/>
  <c r="I166" i="5"/>
  <c r="I167" i="5"/>
  <c r="I168" i="5"/>
  <c r="K168" i="5" s="1"/>
  <c r="I169" i="5"/>
  <c r="K169" i="5" s="1"/>
  <c r="I170" i="5"/>
  <c r="I171" i="5"/>
  <c r="I172" i="5"/>
  <c r="I173" i="5"/>
  <c r="K173" i="5" s="1"/>
  <c r="I174" i="5"/>
  <c r="I175" i="5"/>
  <c r="K175" i="5" s="1"/>
  <c r="I176" i="5"/>
  <c r="J176" i="5" s="1"/>
  <c r="I177" i="5"/>
  <c r="K177" i="5" s="1"/>
  <c r="I178" i="5"/>
  <c r="I179" i="5"/>
  <c r="I180" i="5"/>
  <c r="K180" i="5" s="1"/>
  <c r="I181" i="5"/>
  <c r="K181" i="5" s="1"/>
  <c r="I182" i="5"/>
  <c r="I183" i="5"/>
  <c r="I184" i="5"/>
  <c r="J184" i="5" s="1"/>
  <c r="I185" i="5"/>
  <c r="K185" i="5" s="1"/>
  <c r="I186" i="5"/>
  <c r="I187" i="5"/>
  <c r="I188" i="5"/>
  <c r="I189" i="5"/>
  <c r="I190" i="5"/>
  <c r="I191" i="5"/>
  <c r="K191" i="5" s="1"/>
  <c r="I192" i="5"/>
  <c r="K192" i="5" s="1"/>
  <c r="I193" i="5"/>
  <c r="K193" i="5" s="1"/>
  <c r="I194" i="5"/>
  <c r="I195" i="5"/>
  <c r="I196" i="5"/>
  <c r="K196" i="5" s="1"/>
  <c r="I197" i="5"/>
  <c r="I198" i="5"/>
  <c r="I199" i="5"/>
  <c r="K199" i="5" s="1"/>
  <c r="I200" i="5"/>
  <c r="K200" i="5" s="1"/>
  <c r="I201" i="5"/>
  <c r="I202" i="5"/>
  <c r="K202" i="5" s="1"/>
  <c r="I203" i="5"/>
  <c r="I204" i="5"/>
  <c r="I205" i="5"/>
  <c r="I206" i="5"/>
  <c r="K206" i="5" s="1"/>
  <c r="I207" i="5"/>
  <c r="K207" i="5" s="1"/>
  <c r="I208" i="5"/>
  <c r="I209" i="5"/>
  <c r="K209" i="5" s="1"/>
  <c r="I210" i="5"/>
  <c r="K210" i="5" s="1"/>
  <c r="I211" i="5"/>
  <c r="I212" i="5"/>
  <c r="I213" i="5"/>
  <c r="K213" i="5" s="1"/>
  <c r="I214" i="5"/>
  <c r="J214" i="5" s="1"/>
  <c r="I215" i="5"/>
  <c r="I216" i="5"/>
  <c r="I217" i="5"/>
  <c r="K217" i="5" s="1"/>
  <c r="I218" i="5"/>
  <c r="I219" i="5"/>
  <c r="I220" i="5"/>
  <c r="I221" i="5"/>
  <c r="K221" i="5" s="1"/>
  <c r="I222" i="5"/>
  <c r="K222" i="5" s="1"/>
  <c r="I223" i="5"/>
  <c r="K223" i="5" s="1"/>
  <c r="I224" i="5"/>
  <c r="I225" i="5"/>
  <c r="I226" i="5"/>
  <c r="K226" i="5" s="1"/>
  <c r="I227" i="5"/>
  <c r="I228" i="5"/>
  <c r="K228" i="5" s="1"/>
  <c r="I229" i="5"/>
  <c r="I230" i="5"/>
  <c r="K230" i="5" s="1"/>
  <c r="I231" i="5"/>
  <c r="K231" i="5" s="1"/>
  <c r="I232" i="5"/>
  <c r="I233" i="5"/>
  <c r="I234" i="5"/>
  <c r="I235" i="5"/>
  <c r="J235" i="5" s="1"/>
  <c r="I236" i="5"/>
  <c r="K236" i="5" s="1"/>
  <c r="I237" i="5"/>
  <c r="I238" i="5"/>
  <c r="K238" i="5" s="1"/>
  <c r="I239" i="5"/>
  <c r="K239" i="5" s="1"/>
  <c r="I240" i="5"/>
  <c r="I241" i="5"/>
  <c r="I242" i="5"/>
  <c r="K242" i="5" s="1"/>
  <c r="I243" i="5"/>
  <c r="J243" i="5" s="1"/>
  <c r="I244" i="5"/>
  <c r="I245" i="5"/>
  <c r="I246" i="5"/>
  <c r="K246" i="5" s="1"/>
  <c r="I247" i="5"/>
  <c r="I248" i="5"/>
  <c r="I249" i="5"/>
  <c r="K249" i="5" s="1"/>
  <c r="I250" i="5"/>
  <c r="I251" i="5"/>
  <c r="I252" i="5"/>
  <c r="K252" i="5" s="1"/>
  <c r="I253" i="5"/>
  <c r="I254" i="5"/>
  <c r="K254" i="5" s="1"/>
  <c r="I255" i="5"/>
  <c r="J255" i="5" s="1"/>
  <c r="I256" i="5"/>
  <c r="I257" i="5"/>
  <c r="I258" i="5"/>
  <c r="K258" i="5" s="1"/>
  <c r="I259" i="5"/>
  <c r="I260" i="5"/>
  <c r="K260" i="5" s="1"/>
  <c r="I261" i="5"/>
  <c r="I262" i="5"/>
  <c r="I263" i="5"/>
  <c r="I264" i="5"/>
  <c r="I265" i="5"/>
  <c r="I266" i="5"/>
  <c r="J266" i="5" s="1"/>
  <c r="I267" i="5"/>
  <c r="J267" i="5" s="1"/>
  <c r="I268" i="5"/>
  <c r="I269" i="5"/>
  <c r="I270" i="5"/>
  <c r="I271" i="5"/>
  <c r="I272" i="5"/>
  <c r="I273" i="5"/>
  <c r="J273" i="5" s="1"/>
  <c r="I274" i="5"/>
  <c r="I275" i="5"/>
  <c r="I276" i="5"/>
  <c r="I277" i="5"/>
  <c r="I278" i="5"/>
  <c r="K278" i="5" s="1"/>
  <c r="I279" i="5"/>
  <c r="I280" i="5"/>
  <c r="I281" i="5"/>
  <c r="K281" i="5" s="1"/>
  <c r="I282" i="5"/>
  <c r="I283" i="5"/>
  <c r="I284" i="5"/>
  <c r="K284" i="5" s="1"/>
  <c r="I285" i="5"/>
  <c r="J285" i="5" s="1"/>
  <c r="I286" i="5"/>
  <c r="I287" i="5"/>
  <c r="I288" i="5"/>
  <c r="K288" i="5" s="1"/>
  <c r="I289" i="5"/>
  <c r="I290" i="5"/>
  <c r="I291" i="5"/>
  <c r="I292" i="5"/>
  <c r="J292" i="5" s="1"/>
  <c r="I293" i="5"/>
  <c r="I294" i="5"/>
  <c r="I295" i="5"/>
  <c r="K295" i="5" s="1"/>
  <c r="I296" i="5"/>
  <c r="I297" i="5"/>
  <c r="I298" i="5"/>
  <c r="I299" i="5"/>
  <c r="K299" i="5" s="1"/>
  <c r="I300" i="5"/>
  <c r="I301" i="5"/>
  <c r="I302" i="5"/>
  <c r="I303" i="5"/>
  <c r="I304" i="5"/>
  <c r="I305" i="5"/>
  <c r="I306" i="5"/>
  <c r="I307" i="5"/>
  <c r="I308" i="5"/>
  <c r="K308" i="5" s="1"/>
  <c r="I309" i="5"/>
  <c r="I310" i="5"/>
  <c r="I311" i="5"/>
  <c r="I312" i="5"/>
  <c r="I313" i="5"/>
  <c r="I314" i="5"/>
  <c r="I315" i="5"/>
  <c r="I316" i="5"/>
  <c r="K316" i="5" s="1"/>
  <c r="I317" i="5"/>
  <c r="J317" i="5" s="1"/>
  <c r="I318" i="5"/>
  <c r="K318" i="5" s="1"/>
  <c r="I320" i="5"/>
  <c r="I321" i="5"/>
  <c r="K321" i="5" s="1"/>
  <c r="I322" i="5"/>
  <c r="I323" i="5"/>
  <c r="J323" i="5" s="1"/>
  <c r="I324" i="5"/>
  <c r="K324" i="5" s="1"/>
  <c r="I325" i="5"/>
  <c r="K325" i="5" s="1"/>
  <c r="I326" i="5"/>
  <c r="I327" i="5"/>
  <c r="J327" i="5" s="1"/>
  <c r="I328" i="5"/>
  <c r="K328" i="5" s="1"/>
  <c r="I329" i="5"/>
  <c r="I330" i="5"/>
  <c r="I331" i="5"/>
  <c r="J331" i="5" s="1"/>
  <c r="I332" i="5"/>
  <c r="I333" i="5"/>
  <c r="J333" i="5" s="1"/>
  <c r="I334" i="5"/>
  <c r="K334" i="5" s="1"/>
  <c r="I335" i="5"/>
  <c r="I336" i="5"/>
  <c r="K336" i="5" s="1"/>
  <c r="I337" i="5"/>
  <c r="K337" i="5" s="1"/>
  <c r="I338" i="5"/>
  <c r="I339" i="5"/>
  <c r="I340" i="5"/>
  <c r="K340" i="5" s="1"/>
  <c r="I341" i="5"/>
  <c r="J341" i="5" s="1"/>
  <c r="I342" i="5"/>
  <c r="I343" i="5"/>
  <c r="K343" i="5" s="1"/>
  <c r="I344" i="5"/>
  <c r="I345" i="5"/>
  <c r="K345" i="5" s="1"/>
  <c r="I346" i="5"/>
  <c r="I347" i="5"/>
  <c r="J347" i="5" s="1"/>
  <c r="I348" i="5"/>
  <c r="I349" i="5"/>
  <c r="K349" i="5" s="1"/>
  <c r="I350" i="5"/>
  <c r="J350" i="5" s="1"/>
  <c r="I351" i="5"/>
  <c r="I352" i="5"/>
  <c r="J352" i="5" s="1"/>
  <c r="I353" i="5"/>
  <c r="K353" i="5" s="1"/>
  <c r="I354" i="5"/>
  <c r="K354" i="5" s="1"/>
  <c r="I355" i="5"/>
  <c r="J355" i="5" s="1"/>
  <c r="I356" i="5"/>
  <c r="J356" i="5" s="1"/>
  <c r="I357" i="5"/>
  <c r="I358" i="5"/>
  <c r="K358" i="5" s="1"/>
  <c r="I359" i="5"/>
  <c r="J359" i="5" s="1"/>
  <c r="I360" i="5"/>
  <c r="K360" i="5" s="1"/>
  <c r="I361" i="5"/>
  <c r="K36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E15" i="5"/>
  <c r="E7" i="5"/>
  <c r="E43" i="5"/>
  <c r="E74" i="5"/>
  <c r="E159" i="5"/>
  <c r="E127" i="5"/>
  <c r="E172" i="5"/>
  <c r="E23" i="5"/>
  <c r="E288" i="5"/>
  <c r="E153" i="5"/>
  <c r="E231" i="5"/>
  <c r="E168" i="5"/>
  <c r="E112" i="5"/>
  <c r="E271" i="5"/>
  <c r="E71" i="5"/>
  <c r="E218" i="5"/>
  <c r="E88" i="5"/>
  <c r="E117" i="5"/>
  <c r="E102" i="5"/>
  <c r="E164" i="5"/>
  <c r="E280" i="5"/>
  <c r="E166" i="5"/>
  <c r="E78" i="5"/>
  <c r="E255" i="5"/>
  <c r="E171" i="5"/>
  <c r="E220" i="5"/>
  <c r="E247" i="5"/>
  <c r="E304" i="5"/>
  <c r="E338" i="5"/>
  <c r="E135" i="5"/>
  <c r="E335" i="5"/>
  <c r="E332" i="5"/>
  <c r="E336" i="5"/>
  <c r="E197" i="5"/>
  <c r="E249" i="5"/>
  <c r="E132" i="5"/>
  <c r="E138" i="5"/>
  <c r="E361" i="5"/>
  <c r="E360" i="5"/>
  <c r="E226" i="5"/>
  <c r="E313" i="5"/>
  <c r="E147" i="5"/>
  <c r="E121" i="5"/>
  <c r="E235" i="5"/>
  <c r="E141" i="5"/>
  <c r="E300" i="5"/>
  <c r="E209" i="5"/>
  <c r="E256" i="5"/>
  <c r="E352" i="5"/>
  <c r="E315" i="5"/>
  <c r="E205" i="5"/>
  <c r="E282" i="5"/>
  <c r="E170" i="5"/>
  <c r="E268" i="5"/>
  <c r="E321" i="5"/>
  <c r="E160" i="5"/>
  <c r="E122" i="5"/>
  <c r="E20" i="5"/>
  <c r="E346" i="5"/>
  <c r="E308" i="5"/>
  <c r="E155" i="5"/>
  <c r="E258" i="5"/>
  <c r="E188" i="5"/>
  <c r="E259" i="5"/>
  <c r="E134" i="5"/>
  <c r="E359" i="5"/>
  <c r="E94" i="5"/>
  <c r="E179" i="5"/>
  <c r="E167" i="5"/>
  <c r="E289" i="5"/>
  <c r="E66" i="5"/>
  <c r="E181" i="5"/>
  <c r="E103" i="5"/>
  <c r="E39" i="5"/>
  <c r="E201" i="5"/>
  <c r="E223" i="5"/>
  <c r="E237" i="5"/>
  <c r="E311" i="5"/>
  <c r="E96" i="5"/>
  <c r="E12" i="5"/>
  <c r="E242" i="5"/>
  <c r="E42" i="5"/>
  <c r="E41" i="5"/>
  <c r="E342" i="5"/>
  <c r="E193" i="5"/>
  <c r="E75" i="5"/>
  <c r="E86" i="5"/>
  <c r="E10" i="5"/>
  <c r="E72" i="5"/>
  <c r="E118" i="5"/>
  <c r="E81" i="5"/>
  <c r="E187" i="5"/>
  <c r="E91" i="5"/>
  <c r="E144" i="5"/>
  <c r="E25" i="5"/>
  <c r="E174" i="5"/>
  <c r="E293" i="5"/>
  <c r="E128" i="5"/>
  <c r="E22" i="5"/>
  <c r="E126" i="5"/>
  <c r="E109" i="5"/>
  <c r="E114" i="5"/>
  <c r="E186" i="5"/>
  <c r="E207" i="5"/>
  <c r="E240" i="5"/>
  <c r="E154" i="5"/>
  <c r="E62" i="5"/>
  <c r="E98" i="5"/>
  <c r="E190" i="5"/>
  <c r="E93" i="5"/>
  <c r="E106" i="5"/>
  <c r="E110" i="5"/>
  <c r="E107" i="5"/>
  <c r="E262" i="5"/>
  <c r="E221" i="5"/>
  <c r="E284" i="5"/>
  <c r="E95" i="5"/>
  <c r="E265" i="5"/>
  <c r="E216" i="5"/>
  <c r="E286" i="5"/>
  <c r="E243" i="5"/>
  <c r="E44" i="5"/>
  <c r="E90" i="5"/>
  <c r="E148" i="5"/>
  <c r="E101" i="5"/>
  <c r="E99" i="5"/>
  <c r="E196" i="5"/>
  <c r="E173" i="5"/>
  <c r="E105" i="5"/>
  <c r="E299" i="5"/>
  <c r="E140" i="5"/>
  <c r="E238" i="5"/>
  <c r="E274" i="5"/>
  <c r="E89" i="5"/>
  <c r="E139" i="5"/>
  <c r="E124" i="5"/>
  <c r="E260" i="5"/>
  <c r="E232" i="5"/>
  <c r="E302" i="5"/>
  <c r="E279" i="5"/>
  <c r="E290" i="5"/>
  <c r="E330" i="5"/>
  <c r="E341" i="5"/>
  <c r="E351" i="5"/>
  <c r="E254" i="5"/>
  <c r="E339" i="5"/>
  <c r="E283" i="5"/>
  <c r="E326" i="5"/>
  <c r="E309" i="5"/>
  <c r="E317" i="5"/>
  <c r="E120" i="5"/>
  <c r="E264" i="5"/>
  <c r="E210" i="5"/>
  <c r="E324" i="5"/>
  <c r="E149" i="5"/>
  <c r="E325" i="5"/>
  <c r="E295" i="5"/>
  <c r="E230" i="5"/>
  <c r="E211" i="5"/>
  <c r="E301" i="5"/>
  <c r="E333" i="5"/>
  <c r="E348" i="5"/>
  <c r="E234" i="5"/>
  <c r="E334" i="5"/>
  <c r="E246" i="5"/>
  <c r="E316" i="5"/>
  <c r="E306" i="5"/>
  <c r="E327" i="5"/>
  <c r="E248" i="5"/>
  <c r="E111" i="5"/>
  <c r="E331" i="5"/>
  <c r="E236" i="5"/>
  <c r="E345" i="5"/>
  <c r="E47" i="5"/>
  <c r="E329" i="5"/>
  <c r="E291" i="5"/>
  <c r="E108" i="5"/>
  <c r="E33" i="5"/>
  <c r="E123" i="5"/>
  <c r="E318" i="5"/>
  <c r="E200" i="5"/>
  <c r="E129" i="5"/>
  <c r="E156" i="5"/>
  <c r="E225" i="5"/>
  <c r="E278" i="5"/>
  <c r="E202" i="5"/>
  <c r="E251" i="5"/>
  <c r="E195" i="5"/>
  <c r="E37" i="5"/>
  <c r="E125" i="5"/>
  <c r="E136" i="5"/>
  <c r="E58" i="5"/>
  <c r="E133" i="5"/>
  <c r="E214" i="5"/>
  <c r="E48" i="5"/>
  <c r="E266" i="5"/>
  <c r="E145" i="5"/>
  <c r="E267" i="5"/>
  <c r="E85" i="5"/>
  <c r="E227" i="5"/>
  <c r="E175" i="5"/>
  <c r="E49" i="5"/>
  <c r="E192" i="5"/>
  <c r="E314" i="5"/>
  <c r="E137" i="5"/>
  <c r="E180" i="5"/>
  <c r="E204" i="5"/>
  <c r="E322" i="5"/>
  <c r="E228" i="5"/>
  <c r="E97" i="5"/>
  <c r="E161" i="5"/>
  <c r="E115" i="5"/>
  <c r="E328" i="5"/>
  <c r="E224" i="5"/>
  <c r="E60" i="5"/>
  <c r="E191" i="5"/>
  <c r="E272" i="5"/>
  <c r="E269" i="5"/>
  <c r="E150" i="5"/>
  <c r="E305" i="5"/>
  <c r="E32" i="5"/>
  <c r="E59" i="5"/>
  <c r="E151" i="5"/>
  <c r="E13" i="5"/>
  <c r="E354" i="5"/>
  <c r="E219" i="5"/>
  <c r="E69" i="5"/>
  <c r="E19" i="5"/>
  <c r="E54" i="5"/>
  <c r="E63" i="5"/>
  <c r="E82" i="5"/>
  <c r="E169" i="5"/>
  <c r="E26" i="5"/>
  <c r="E38" i="5"/>
  <c r="E350" i="5"/>
  <c r="E203" i="5"/>
  <c r="E296" i="5"/>
  <c r="E355" i="5"/>
  <c r="E358" i="5"/>
  <c r="E18" i="5"/>
  <c r="E79" i="5"/>
  <c r="E53" i="5"/>
  <c r="E35" i="5"/>
  <c r="E87" i="5"/>
  <c r="E34" i="5"/>
  <c r="E5" i="5"/>
  <c r="E146" i="5"/>
  <c r="E182" i="5"/>
  <c r="E65" i="5"/>
  <c r="E76" i="5"/>
  <c r="E17" i="5"/>
  <c r="E52" i="5"/>
  <c r="E157" i="5"/>
  <c r="E176" i="5"/>
  <c r="E152" i="5"/>
  <c r="E46" i="5"/>
  <c r="E113" i="5"/>
  <c r="E55" i="5"/>
  <c r="E275" i="5"/>
  <c r="E212" i="5"/>
  <c r="E261" i="5"/>
  <c r="E312" i="5"/>
  <c r="E213" i="5"/>
  <c r="E303" i="5"/>
  <c r="E30" i="5"/>
  <c r="E285" i="5"/>
  <c r="E130" i="5"/>
  <c r="E276" i="5"/>
  <c r="E252" i="5"/>
  <c r="E270" i="5"/>
  <c r="E177" i="5"/>
  <c r="E353" i="5"/>
  <c r="E73" i="5"/>
  <c r="E222" i="5"/>
  <c r="E337" i="5"/>
  <c r="E287" i="5"/>
  <c r="E253" i="5"/>
  <c r="E77" i="5"/>
  <c r="E51" i="5"/>
  <c r="E356" i="5"/>
  <c r="E343" i="5"/>
  <c r="E263" i="5"/>
  <c r="E310" i="5"/>
  <c r="E229" i="5"/>
  <c r="E297" i="5"/>
  <c r="E298" i="5"/>
  <c r="E344" i="5"/>
  <c r="E273" i="5"/>
  <c r="E294" i="5"/>
  <c r="E281" i="5"/>
  <c r="E239" i="5"/>
  <c r="E245" i="5"/>
  <c r="E189" i="5"/>
  <c r="E163" i="5"/>
  <c r="E292" i="5"/>
  <c r="E323" i="5"/>
  <c r="E198" i="5"/>
  <c r="E320" i="5"/>
  <c r="E340" i="5"/>
  <c r="E217" i="5"/>
  <c r="E92" i="5"/>
  <c r="E257" i="5"/>
  <c r="E68" i="5"/>
  <c r="E158" i="5"/>
  <c r="E178" i="5"/>
  <c r="E250" i="5"/>
  <c r="E347" i="5"/>
  <c r="E307" i="5"/>
  <c r="E199" i="5"/>
  <c r="E57" i="5"/>
  <c r="E100" i="5"/>
  <c r="E277" i="5"/>
  <c r="E185" i="5"/>
  <c r="E45" i="5"/>
  <c r="E83" i="5"/>
  <c r="E67" i="5"/>
  <c r="E183" i="5"/>
  <c r="E206" i="5"/>
  <c r="E357" i="5"/>
  <c r="E24" i="5"/>
  <c r="E29" i="5"/>
  <c r="E143" i="5"/>
  <c r="E131" i="5"/>
  <c r="E184" i="5"/>
  <c r="E241" i="5"/>
  <c r="E233" i="5"/>
  <c r="E142" i="5"/>
  <c r="E244" i="5"/>
  <c r="E119" i="5"/>
  <c r="E208" i="5"/>
  <c r="E28" i="5"/>
  <c r="E84" i="5"/>
  <c r="E104" i="5"/>
  <c r="E162" i="5"/>
  <c r="E116" i="5"/>
  <c r="E349" i="5"/>
  <c r="E4" i="5"/>
  <c r="E6" i="5"/>
  <c r="E11" i="5"/>
  <c r="E40" i="5"/>
  <c r="E16" i="5"/>
  <c r="E50" i="5"/>
  <c r="E56" i="5"/>
  <c r="E36" i="5"/>
  <c r="E21" i="5"/>
  <c r="E14" i="5"/>
  <c r="E70" i="5"/>
  <c r="E27" i="5"/>
  <c r="E31" i="5"/>
  <c r="E61" i="5"/>
  <c r="E64" i="5"/>
  <c r="K3" i="5" l="1"/>
  <c r="J3" i="5"/>
  <c r="K269" i="5"/>
  <c r="K78" i="5"/>
  <c r="J55" i="5"/>
  <c r="J47" i="5"/>
  <c r="K302" i="5"/>
  <c r="K276" i="5"/>
  <c r="J257" i="5"/>
  <c r="K148" i="5"/>
  <c r="K141" i="5"/>
  <c r="J70" i="5"/>
  <c r="J39" i="5"/>
  <c r="K294" i="5"/>
  <c r="J262" i="5"/>
  <c r="K245" i="5"/>
  <c r="K216" i="5"/>
  <c r="K178" i="5"/>
  <c r="J287" i="5"/>
  <c r="J237" i="5"/>
  <c r="K156" i="5"/>
  <c r="K303" i="5"/>
  <c r="K63" i="5"/>
  <c r="K31" i="5"/>
  <c r="J307" i="5"/>
  <c r="K268" i="5"/>
  <c r="K251" i="5"/>
  <c r="J224" i="5"/>
  <c r="J208" i="5"/>
  <c r="J201" i="5"/>
  <c r="K186" i="5"/>
  <c r="J133" i="5"/>
  <c r="K126" i="5"/>
  <c r="K118" i="5"/>
  <c r="J110" i="5"/>
  <c r="J102" i="5"/>
  <c r="K94" i="5"/>
  <c r="K86" i="5"/>
  <c r="J17" i="5"/>
  <c r="J9" i="5"/>
  <c r="K25" i="5"/>
  <c r="J16" i="5"/>
  <c r="J8" i="5"/>
  <c r="J311" i="5"/>
  <c r="K18" i="5"/>
  <c r="J15" i="5"/>
  <c r="J7" i="5"/>
  <c r="K23" i="5"/>
  <c r="J74" i="5"/>
  <c r="J66" i="5"/>
  <c r="J59" i="5"/>
  <c r="J51" i="5"/>
  <c r="J43" i="5"/>
  <c r="J35" i="5"/>
  <c r="J27" i="5"/>
  <c r="K320" i="5"/>
  <c r="J315" i="5"/>
  <c r="K310" i="5"/>
  <c r="J298" i="5"/>
  <c r="K291" i="5"/>
  <c r="K283" i="5"/>
  <c r="J277" i="5"/>
  <c r="K272" i="5"/>
  <c r="J265" i="5"/>
  <c r="K253" i="5"/>
  <c r="J248" i="5"/>
  <c r="J220" i="5"/>
  <c r="J212" i="5"/>
  <c r="J198" i="5"/>
  <c r="J190" i="5"/>
  <c r="J167" i="5"/>
  <c r="J152" i="5"/>
  <c r="J137" i="5"/>
  <c r="J130" i="5"/>
  <c r="J106" i="5"/>
  <c r="J90" i="5"/>
  <c r="J65" i="5"/>
  <c r="J50" i="5"/>
  <c r="J42" i="5"/>
  <c r="J13" i="5"/>
  <c r="J5" i="5"/>
  <c r="J339" i="5"/>
  <c r="K335" i="5"/>
  <c r="K330" i="5"/>
  <c r="K314" i="5"/>
  <c r="K305" i="5"/>
  <c r="J297" i="5"/>
  <c r="K290" i="5"/>
  <c r="J282" i="5"/>
  <c r="K271" i="5"/>
  <c r="K264" i="5"/>
  <c r="J247" i="5"/>
  <c r="J233" i="5"/>
  <c r="J227" i="5"/>
  <c r="J204" i="5"/>
  <c r="J189" i="5"/>
  <c r="J174" i="5"/>
  <c r="J166" i="5"/>
  <c r="J144" i="5"/>
  <c r="J129" i="5"/>
  <c r="J113" i="5"/>
  <c r="J105" i="5"/>
  <c r="J81" i="5"/>
  <c r="K57" i="5"/>
  <c r="K49" i="5"/>
  <c r="K41" i="5"/>
  <c r="K2" i="5"/>
  <c r="K43" i="5"/>
  <c r="J320" i="5"/>
  <c r="J264" i="5"/>
  <c r="K282" i="5"/>
  <c r="K248" i="5"/>
  <c r="K113" i="5"/>
  <c r="J254" i="5"/>
  <c r="J143" i="5"/>
  <c r="K105" i="5"/>
  <c r="J314" i="5"/>
  <c r="J104" i="5"/>
  <c r="K102" i="5"/>
  <c r="J150" i="5"/>
  <c r="J305" i="5"/>
  <c r="J252" i="5"/>
  <c r="J94" i="5"/>
  <c r="K247" i="5"/>
  <c r="K90" i="5"/>
  <c r="J303" i="5"/>
  <c r="J226" i="5"/>
  <c r="J44" i="5"/>
  <c r="K66" i="5"/>
  <c r="J299" i="5"/>
  <c r="J210" i="5"/>
  <c r="K212" i="5"/>
  <c r="K65" i="5"/>
  <c r="J272" i="5"/>
  <c r="J209" i="5"/>
  <c r="K153" i="5"/>
  <c r="K55" i="5"/>
  <c r="J271" i="5"/>
  <c r="J196" i="5"/>
  <c r="K297" i="5"/>
  <c r="K144" i="5"/>
  <c r="J276" i="5"/>
  <c r="J156" i="5"/>
  <c r="K262" i="5"/>
  <c r="K164" i="5"/>
  <c r="J358" i="5"/>
  <c r="J216" i="5"/>
  <c r="J100" i="5"/>
  <c r="J52" i="5"/>
  <c r="K257" i="5"/>
  <c r="K224" i="5"/>
  <c r="K161" i="5"/>
  <c r="K350" i="5"/>
  <c r="K287" i="5"/>
  <c r="J268" i="5"/>
  <c r="J86" i="5"/>
  <c r="J291" i="5"/>
  <c r="J242" i="5"/>
  <c r="J138" i="5"/>
  <c r="J83" i="5"/>
  <c r="J23" i="5"/>
  <c r="K347" i="5"/>
  <c r="K323" i="5"/>
  <c r="K277" i="5"/>
  <c r="K201" i="5"/>
  <c r="K139" i="5"/>
  <c r="K39" i="5"/>
  <c r="K327" i="5"/>
  <c r="J249" i="5"/>
  <c r="J31" i="5"/>
  <c r="J353" i="5"/>
  <c r="J328" i="5"/>
  <c r="J283" i="5"/>
  <c r="J239" i="5"/>
  <c r="J191" i="5"/>
  <c r="J126" i="5"/>
  <c r="J78" i="5"/>
  <c r="K315" i="5"/>
  <c r="K137" i="5"/>
  <c r="K36" i="5"/>
  <c r="J340" i="5"/>
  <c r="J281" i="5"/>
  <c r="J260" i="5"/>
  <c r="J180" i="5"/>
  <c r="J118" i="5"/>
  <c r="J63" i="5"/>
  <c r="K311" i="5"/>
  <c r="K273" i="5"/>
  <c r="K235" i="5"/>
  <c r="K189" i="5"/>
  <c r="K74" i="5"/>
  <c r="K28" i="5"/>
  <c r="J318" i="5"/>
  <c r="K208" i="5"/>
  <c r="J349" i="5"/>
  <c r="J228" i="5"/>
  <c r="J175" i="5"/>
  <c r="J112" i="5"/>
  <c r="J57" i="5"/>
  <c r="K266" i="5"/>
  <c r="K167" i="5"/>
  <c r="K115" i="5"/>
  <c r="K67" i="5"/>
  <c r="K27" i="5"/>
  <c r="K332" i="5"/>
  <c r="J332" i="5"/>
  <c r="K306" i="5"/>
  <c r="J306" i="5"/>
  <c r="K275" i="5"/>
  <c r="J275" i="5"/>
  <c r="K244" i="5"/>
  <c r="J244" i="5"/>
  <c r="K215" i="5"/>
  <c r="J215" i="5"/>
  <c r="K77" i="5"/>
  <c r="J77" i="5"/>
  <c r="K46" i="5"/>
  <c r="J46" i="5"/>
  <c r="J322" i="5"/>
  <c r="K322" i="5"/>
  <c r="K300" i="5"/>
  <c r="J300" i="5"/>
  <c r="J279" i="5"/>
  <c r="K279" i="5"/>
  <c r="K292" i="5"/>
  <c r="K184" i="5"/>
  <c r="J19" i="5"/>
  <c r="K19" i="5"/>
  <c r="K225" i="5"/>
  <c r="J225" i="5"/>
  <c r="K195" i="5"/>
  <c r="J195" i="5"/>
  <c r="J187" i="5"/>
  <c r="K187" i="5"/>
  <c r="J179" i="5"/>
  <c r="K179" i="5"/>
  <c r="J172" i="5"/>
  <c r="K172" i="5"/>
  <c r="J157" i="5"/>
  <c r="K157" i="5"/>
  <c r="J149" i="5"/>
  <c r="K149" i="5"/>
  <c r="J142" i="5"/>
  <c r="K142" i="5"/>
  <c r="J134" i="5"/>
  <c r="K134" i="5"/>
  <c r="J127" i="5"/>
  <c r="J119" i="5"/>
  <c r="K119" i="5"/>
  <c r="J361" i="5"/>
  <c r="J337" i="5"/>
  <c r="J295" i="5"/>
  <c r="J246" i="5"/>
  <c r="J200" i="5"/>
  <c r="J163" i="5"/>
  <c r="J125" i="5"/>
  <c r="K214" i="5"/>
  <c r="K92" i="5"/>
  <c r="K301" i="5"/>
  <c r="J301" i="5"/>
  <c r="K261" i="5"/>
  <c r="J261" i="5"/>
  <c r="K85" i="5"/>
  <c r="J85" i="5"/>
  <c r="J24" i="5"/>
  <c r="K24" i="5"/>
  <c r="K229" i="5"/>
  <c r="J229" i="5"/>
  <c r="J84" i="5"/>
  <c r="K84" i="5"/>
  <c r="J26" i="5"/>
  <c r="K26" i="5"/>
  <c r="J194" i="5"/>
  <c r="K194" i="5"/>
  <c r="J171" i="5"/>
  <c r="K171" i="5"/>
  <c r="J360" i="5"/>
  <c r="J354" i="5"/>
  <c r="J336" i="5"/>
  <c r="J330" i="5"/>
  <c r="J321" i="5"/>
  <c r="J294" i="5"/>
  <c r="J253" i="5"/>
  <c r="J245" i="5"/>
  <c r="J230" i="5"/>
  <c r="J213" i="5"/>
  <c r="J199" i="5"/>
  <c r="J178" i="5"/>
  <c r="J162" i="5"/>
  <c r="J141" i="5"/>
  <c r="J120" i="5"/>
  <c r="J101" i="5"/>
  <c r="J80" i="5"/>
  <c r="J62" i="5"/>
  <c r="J41" i="5"/>
  <c r="J20" i="5"/>
  <c r="K359" i="5"/>
  <c r="K352" i="5"/>
  <c r="K339" i="5"/>
  <c r="K298" i="5"/>
  <c r="K265" i="5"/>
  <c r="K233" i="5"/>
  <c r="K190" i="5"/>
  <c r="K166" i="5"/>
  <c r="K116" i="5"/>
  <c r="K91" i="5"/>
  <c r="K42" i="5"/>
  <c r="K346" i="5"/>
  <c r="J346" i="5"/>
  <c r="K140" i="5"/>
  <c r="J140" i="5"/>
  <c r="K109" i="5"/>
  <c r="J109" i="5"/>
  <c r="K61" i="5"/>
  <c r="J183" i="5"/>
  <c r="K183" i="5"/>
  <c r="J123" i="5"/>
  <c r="K123" i="5"/>
  <c r="J60" i="5"/>
  <c r="K60" i="5"/>
  <c r="J345" i="5"/>
  <c r="J335" i="5"/>
  <c r="J325" i="5"/>
  <c r="J310" i="5"/>
  <c r="J302" i="5"/>
  <c r="J290" i="5"/>
  <c r="J278" i="5"/>
  <c r="J269" i="5"/>
  <c r="J251" i="5"/>
  <c r="J238" i="5"/>
  <c r="J223" i="5"/>
  <c r="J207" i="5"/>
  <c r="J192" i="5"/>
  <c r="J173" i="5"/>
  <c r="J154" i="5"/>
  <c r="J132" i="5"/>
  <c r="J93" i="5"/>
  <c r="J75" i="5"/>
  <c r="J54" i="5"/>
  <c r="K356" i="5"/>
  <c r="K341" i="5"/>
  <c r="K333" i="5"/>
  <c r="K307" i="5"/>
  <c r="K243" i="5"/>
  <c r="K227" i="5"/>
  <c r="K204" i="5"/>
  <c r="K131" i="5"/>
  <c r="K106" i="5"/>
  <c r="K81" i="5"/>
  <c r="K29" i="5"/>
  <c r="K342" i="5"/>
  <c r="J342" i="5"/>
  <c r="K286" i="5"/>
  <c r="J286" i="5"/>
  <c r="K256" i="5"/>
  <c r="J256" i="5"/>
  <c r="K170" i="5"/>
  <c r="J170" i="5"/>
  <c r="J38" i="5"/>
  <c r="J147" i="5"/>
  <c r="K147" i="5"/>
  <c r="J193" i="5"/>
  <c r="J155" i="5"/>
  <c r="J117" i="5"/>
  <c r="J76" i="5"/>
  <c r="J37" i="5"/>
  <c r="K22" i="5"/>
  <c r="J22" i="5"/>
  <c r="J241" i="5"/>
  <c r="K241" i="5"/>
  <c r="J234" i="5"/>
  <c r="K234" i="5"/>
  <c r="J205" i="5"/>
  <c r="K205" i="5"/>
  <c r="J182" i="5"/>
  <c r="K182" i="5"/>
  <c r="J160" i="5"/>
  <c r="K160" i="5"/>
  <c r="J145" i="5"/>
  <c r="K145" i="5"/>
  <c r="J122" i="5"/>
  <c r="K122" i="5"/>
  <c r="J114" i="5"/>
  <c r="K114" i="5"/>
  <c r="J98" i="5"/>
  <c r="K98" i="5"/>
  <c r="J82" i="5"/>
  <c r="K82" i="5"/>
  <c r="J334" i="5"/>
  <c r="J288" i="5"/>
  <c r="J222" i="5"/>
  <c r="J206" i="5"/>
  <c r="J169" i="5"/>
  <c r="J69" i="5"/>
  <c r="J30" i="5"/>
  <c r="K355" i="5"/>
  <c r="K176" i="5"/>
  <c r="K130" i="5"/>
  <c r="K53" i="5"/>
  <c r="K326" i="5"/>
  <c r="J326" i="5"/>
  <c r="K293" i="5"/>
  <c r="J293" i="5"/>
  <c r="K250" i="5"/>
  <c r="J250" i="5"/>
  <c r="J177" i="5"/>
  <c r="J21" i="5"/>
  <c r="K21" i="5"/>
  <c r="J240" i="5"/>
  <c r="K240" i="5"/>
  <c r="J219" i="5"/>
  <c r="K219" i="5"/>
  <c r="J211" i="5"/>
  <c r="K211" i="5"/>
  <c r="J197" i="5"/>
  <c r="K197" i="5"/>
  <c r="J181" i="5"/>
  <c r="J159" i="5"/>
  <c r="K159" i="5"/>
  <c r="J151" i="5"/>
  <c r="K151" i="5"/>
  <c r="J136" i="5"/>
  <c r="K136" i="5"/>
  <c r="J121" i="5"/>
  <c r="K121" i="5"/>
  <c r="J97" i="5"/>
  <c r="K97" i="5"/>
  <c r="J89" i="5"/>
  <c r="K89" i="5"/>
  <c r="J73" i="5"/>
  <c r="K73" i="5"/>
  <c r="J58" i="5"/>
  <c r="K58" i="5"/>
  <c r="J34" i="5"/>
  <c r="K34" i="5"/>
  <c r="J343" i="5"/>
  <c r="J316" i="5"/>
  <c r="J308" i="5"/>
  <c r="J258" i="5"/>
  <c r="J236" i="5"/>
  <c r="J221" i="5"/>
  <c r="J202" i="5"/>
  <c r="J186" i="5"/>
  <c r="J168" i="5"/>
  <c r="J148" i="5"/>
  <c r="J108" i="5"/>
  <c r="J88" i="5"/>
  <c r="J68" i="5"/>
  <c r="J49" i="5"/>
  <c r="K331" i="5"/>
  <c r="K317" i="5"/>
  <c r="K285" i="5"/>
  <c r="K255" i="5"/>
  <c r="K237" i="5"/>
  <c r="K152" i="5"/>
  <c r="K129" i="5"/>
  <c r="K357" i="5"/>
  <c r="J357" i="5"/>
  <c r="K312" i="5"/>
  <c r="J312" i="5"/>
  <c r="K280" i="5"/>
  <c r="J280" i="5"/>
  <c r="J274" i="5"/>
  <c r="K274" i="5"/>
  <c r="K351" i="5"/>
  <c r="J351" i="5"/>
  <c r="K348" i="5"/>
  <c r="J348" i="5"/>
  <c r="K344" i="5"/>
  <c r="J344" i="5"/>
  <c r="K338" i="5"/>
  <c r="J338" i="5"/>
  <c r="K329" i="5"/>
  <c r="J329" i="5"/>
  <c r="K313" i="5"/>
  <c r="J313" i="5"/>
  <c r="K309" i="5"/>
  <c r="J309" i="5"/>
  <c r="K304" i="5"/>
  <c r="J304" i="5"/>
  <c r="K296" i="5"/>
  <c r="J296" i="5"/>
  <c r="K289" i="5"/>
  <c r="J289" i="5"/>
  <c r="K270" i="5"/>
  <c r="J270" i="5"/>
  <c r="K263" i="5"/>
  <c r="J263" i="5"/>
  <c r="K259" i="5"/>
  <c r="J259" i="5"/>
  <c r="K232" i="5"/>
  <c r="J232" i="5"/>
  <c r="K218" i="5"/>
  <c r="J218" i="5"/>
  <c r="K203" i="5"/>
  <c r="J203" i="5"/>
  <c r="K188" i="5"/>
  <c r="J188" i="5"/>
  <c r="K158" i="5"/>
  <c r="J158" i="5"/>
  <c r="K135" i="5"/>
  <c r="J135" i="5"/>
  <c r="K128" i="5"/>
  <c r="J128" i="5"/>
  <c r="K96" i="5"/>
  <c r="J96" i="5"/>
  <c r="K72" i="5"/>
  <c r="J72" i="5"/>
  <c r="K64" i="5"/>
  <c r="J64" i="5"/>
  <c r="K33" i="5"/>
  <c r="J33" i="5"/>
  <c r="J324" i="5"/>
  <c r="J284" i="5"/>
  <c r="J231" i="5"/>
  <c r="J217" i="5"/>
  <c r="J185" i="5"/>
  <c r="J165" i="5"/>
  <c r="J146" i="5"/>
  <c r="J107" i="5"/>
  <c r="J45" i="5"/>
  <c r="J25" i="5"/>
  <c r="K267" i="5"/>
  <c r="K220" i="5"/>
  <c r="K198" i="5"/>
  <c r="K174"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3" i="5"/>
  <c r="K70" i="5"/>
  <c r="K59" i="5"/>
  <c r="J11" i="5"/>
  <c r="K17" i="5"/>
  <c r="K13" i="5"/>
  <c r="K9" i="5"/>
  <c r="K5" i="5"/>
  <c r="K15" i="5"/>
  <c r="K7" i="5"/>
  <c r="K16" i="5"/>
  <c r="K14" i="5"/>
  <c r="K12" i="5"/>
  <c r="K10" i="5"/>
  <c r="K8" i="5"/>
  <c r="K6" i="5"/>
  <c r="K4" i="5"/>
  <c r="G20" i="2" l="1"/>
  <c r="T20" i="2"/>
  <c r="U20" i="2"/>
  <c r="T114" i="2"/>
  <c r="U114" i="2"/>
  <c r="T100" i="2"/>
  <c r="U100" i="2"/>
  <c r="T107" i="2"/>
  <c r="U107" i="2"/>
  <c r="T3" i="2"/>
  <c r="G11" i="1"/>
  <c r="G347" i="1"/>
  <c r="G348" i="1"/>
  <c r="T54" i="2"/>
  <c r="U50" i="2"/>
  <c r="T24" i="2"/>
  <c r="T8" i="2"/>
  <c r="T17" i="2"/>
  <c r="T112" i="2"/>
  <c r="T67" i="2"/>
  <c r="T22" i="2"/>
  <c r="T73" i="2"/>
  <c r="T69" i="2"/>
  <c r="T120" i="2"/>
  <c r="T9" i="2"/>
  <c r="T52" i="2"/>
  <c r="T126" i="2"/>
  <c r="T43" i="2"/>
  <c r="T45" i="2"/>
  <c r="T56" i="2"/>
  <c r="T94" i="2"/>
  <c r="T59" i="2"/>
  <c r="T18" i="2"/>
  <c r="T129" i="2"/>
  <c r="T96" i="2"/>
  <c r="T131" i="2"/>
  <c r="T137" i="2"/>
  <c r="T99" i="2"/>
  <c r="T121" i="2"/>
  <c r="T90" i="2"/>
  <c r="T6" i="2"/>
  <c r="T93" i="2"/>
  <c r="T30" i="2"/>
  <c r="T87" i="2"/>
  <c r="T64" i="2"/>
  <c r="T65" i="2"/>
  <c r="T102" i="2"/>
  <c r="T32" i="2"/>
  <c r="T34" i="2"/>
  <c r="T84" i="2"/>
  <c r="T27" i="2"/>
  <c r="T37" i="2"/>
  <c r="T72" i="2"/>
  <c r="T47" i="2"/>
  <c r="T106" i="2"/>
  <c r="T104" i="2"/>
  <c r="T78" i="2"/>
  <c r="T42" i="2"/>
  <c r="T117" i="2"/>
  <c r="T55" i="2"/>
  <c r="T132" i="2"/>
  <c r="T115" i="2"/>
  <c r="T143" i="2"/>
  <c r="T62" i="2"/>
  <c r="T36" i="2"/>
  <c r="T77" i="2"/>
  <c r="T63" i="2"/>
  <c r="T66" i="2"/>
  <c r="U119" i="2"/>
  <c r="T92" i="2"/>
  <c r="T61" i="2"/>
  <c r="T97" i="2"/>
  <c r="T53" i="2"/>
  <c r="T70" i="2"/>
  <c r="T35" i="2"/>
  <c r="T51" i="2"/>
  <c r="T79" i="2"/>
  <c r="T13" i="2"/>
  <c r="T111" i="2"/>
  <c r="T123" i="2"/>
  <c r="T113" i="2"/>
  <c r="T48" i="2"/>
  <c r="T95" i="2"/>
  <c r="T4" i="2"/>
  <c r="T10" i="2"/>
  <c r="T124" i="2"/>
  <c r="T127" i="2"/>
  <c r="T125" i="2"/>
  <c r="T14" i="2"/>
  <c r="T110" i="2"/>
  <c r="T12" i="2"/>
  <c r="T145" i="2"/>
  <c r="T98" i="2"/>
  <c r="T122" i="2"/>
  <c r="T80" i="2"/>
  <c r="T133" i="2"/>
  <c r="T31" i="2"/>
  <c r="T58" i="2"/>
  <c r="T85" i="2"/>
  <c r="T19" i="2"/>
  <c r="T144" i="2"/>
  <c r="T141" i="2"/>
  <c r="T103" i="2"/>
  <c r="G141" i="2"/>
  <c r="G133" i="2"/>
  <c r="G58" i="2"/>
  <c r="G3" i="2"/>
  <c r="G48" i="2"/>
  <c r="G61" i="2"/>
  <c r="G92" i="2"/>
  <c r="G63" i="2"/>
  <c r="G77" i="2"/>
  <c r="G36" i="2"/>
  <c r="G55" i="2"/>
  <c r="G117" i="2"/>
  <c r="G42" i="2"/>
  <c r="G78" i="2"/>
  <c r="G47" i="2"/>
  <c r="G84" i="2"/>
  <c r="G73" i="2"/>
  <c r="G56" i="2"/>
  <c r="G94" i="2"/>
  <c r="G59" i="2"/>
  <c r="G129" i="2"/>
  <c r="G96" i="2"/>
  <c r="G87" i="2"/>
  <c r="G65" i="2"/>
  <c r="G102" i="2"/>
  <c r="G32" i="2"/>
  <c r="G44" i="1"/>
  <c r="U3" i="2" l="1"/>
  <c r="U87" i="2"/>
  <c r="U17" i="2"/>
  <c r="U19" i="2"/>
  <c r="U13" i="2"/>
  <c r="U69" i="2"/>
  <c r="U53" i="2"/>
  <c r="U145" i="2"/>
  <c r="U66" i="2"/>
  <c r="U92" i="2"/>
  <c r="U123" i="2"/>
  <c r="U27" i="2"/>
  <c r="U120" i="2"/>
  <c r="U36" i="2"/>
  <c r="U112" i="2"/>
  <c r="U99" i="2"/>
  <c r="U6" i="2"/>
  <c r="U47" i="2"/>
  <c r="U124" i="2"/>
  <c r="U18" i="2"/>
  <c r="U103" i="2"/>
  <c r="U141" i="2"/>
  <c r="U22" i="2"/>
  <c r="T50" i="2"/>
  <c r="U32" i="2"/>
  <c r="U65" i="2"/>
  <c r="U125" i="2"/>
  <c r="U104" i="2"/>
  <c r="U84" i="2"/>
  <c r="U46" i="2"/>
  <c r="U56" i="2"/>
  <c r="U96" i="2"/>
  <c r="U97" i="2"/>
  <c r="U132" i="2"/>
  <c r="U102" i="2"/>
  <c r="U73" i="2"/>
  <c r="U35" i="2"/>
  <c r="U63" i="2"/>
  <c r="U126" i="2"/>
  <c r="U131" i="2"/>
  <c r="U137" i="2"/>
  <c r="U4" i="2"/>
  <c r="U61" i="2"/>
  <c r="U24" i="2"/>
  <c r="U85" i="2"/>
  <c r="U113" i="2"/>
  <c r="U144" i="2"/>
  <c r="U117" i="2"/>
  <c r="U45" i="2"/>
  <c r="U98" i="2"/>
  <c r="U110" i="2"/>
  <c r="U129" i="2"/>
  <c r="U127" i="2"/>
  <c r="U94" i="2"/>
  <c r="U133" i="2"/>
  <c r="U67" i="2"/>
  <c r="U14" i="2"/>
  <c r="U59" i="2"/>
  <c r="U70" i="2"/>
  <c r="U43" i="2"/>
  <c r="U12" i="2"/>
  <c r="U143" i="2"/>
  <c r="U9" i="2"/>
  <c r="U115" i="2"/>
  <c r="U8" i="2"/>
  <c r="T119" i="2"/>
  <c r="T149" i="2" s="1"/>
  <c r="U54" i="2"/>
  <c r="U48" i="2"/>
  <c r="U78" i="2"/>
  <c r="U135" i="2"/>
  <c r="U80" i="2"/>
  <c r="U37" i="2"/>
  <c r="U93" i="2"/>
  <c r="U90" i="2"/>
  <c r="U55" i="2"/>
  <c r="U52" i="2"/>
  <c r="U72" i="2"/>
  <c r="U42" i="2"/>
  <c r="U34" i="2"/>
  <c r="U106" i="2"/>
  <c r="U64" i="2"/>
  <c r="U58" i="2"/>
  <c r="U95" i="2"/>
  <c r="U79" i="2"/>
  <c r="U77" i="2"/>
  <c r="U30" i="2"/>
  <c r="U121" i="2"/>
  <c r="U62" i="2"/>
  <c r="U111" i="2"/>
  <c r="U51" i="2"/>
  <c r="U122" i="2"/>
  <c r="U31" i="2"/>
  <c r="G284" i="1"/>
  <c r="G195" i="1"/>
  <c r="G113" i="1"/>
  <c r="G272" i="1"/>
  <c r="G220" i="1"/>
  <c r="G286" i="1"/>
  <c r="G120" i="1"/>
  <c r="G151" i="1"/>
  <c r="G75" i="1"/>
  <c r="G109" i="1"/>
  <c r="G290" i="1"/>
  <c r="G163" i="1"/>
  <c r="G173" i="1"/>
  <c r="G187" i="1"/>
  <c r="G106" i="1"/>
  <c r="G344" i="1"/>
  <c r="G179" i="1"/>
  <c r="G127" i="1"/>
  <c r="G59" i="1"/>
  <c r="G283" i="1"/>
  <c r="G208" i="1"/>
  <c r="G115" i="1"/>
  <c r="G142" i="1"/>
  <c r="G35" i="1"/>
  <c r="G153" i="1"/>
  <c r="G91" i="1"/>
  <c r="G204" i="1"/>
  <c r="G205" i="1"/>
  <c r="G84" i="1"/>
  <c r="G77" i="1"/>
  <c r="G139" i="1"/>
  <c r="G160" i="1"/>
  <c r="G63" i="1"/>
  <c r="G140" i="1"/>
  <c r="G125" i="1"/>
  <c r="G291" i="1"/>
  <c r="G72" i="1"/>
  <c r="G166" i="1"/>
  <c r="G202" i="1"/>
  <c r="G250" i="1"/>
  <c r="G279" i="1"/>
  <c r="G338" i="1"/>
  <c r="G150" i="1"/>
  <c r="G236" i="1"/>
  <c r="G191" i="1"/>
  <c r="G225" i="1"/>
  <c r="G34" i="1"/>
  <c r="G232" i="1"/>
  <c r="G36" i="1"/>
  <c r="G294" i="1"/>
  <c r="G76" i="1"/>
  <c r="G137" i="1"/>
  <c r="G206" i="1"/>
  <c r="G10" i="1"/>
  <c r="G244" i="1"/>
  <c r="G87" i="1"/>
  <c r="G145" i="1"/>
  <c r="G124" i="1"/>
  <c r="G189" i="1"/>
  <c r="G332" i="1"/>
  <c r="G162" i="1"/>
  <c r="G165" i="1"/>
  <c r="G257" i="1"/>
  <c r="G302" i="1"/>
  <c r="G95" i="1"/>
  <c r="G215" i="1"/>
  <c r="G197" i="1"/>
  <c r="G52" i="1"/>
  <c r="G83" i="1"/>
  <c r="G292" i="1"/>
  <c r="G216" i="1"/>
  <c r="G217" i="1"/>
  <c r="G342" i="1"/>
  <c r="G169" i="1"/>
  <c r="G135" i="1"/>
  <c r="G119" i="1"/>
  <c r="G219" i="1"/>
  <c r="G122" i="1"/>
  <c r="G104" i="1"/>
  <c r="G90" i="1"/>
  <c r="G211" i="1"/>
  <c r="G235" i="1"/>
  <c r="G98" i="1"/>
  <c r="G193" i="1"/>
  <c r="G213" i="1"/>
  <c r="G233" i="1"/>
  <c r="G108" i="1"/>
  <c r="G62" i="1"/>
  <c r="G310" i="1"/>
  <c r="G70" i="1"/>
  <c r="G116" i="1"/>
  <c r="G97" i="1"/>
  <c r="G26" i="1"/>
  <c r="G314" i="1"/>
  <c r="G78" i="1"/>
  <c r="G336" i="1"/>
  <c r="G255" i="1"/>
  <c r="G67" i="1"/>
  <c r="G231" i="1"/>
  <c r="G175" i="1"/>
  <c r="G180" i="1"/>
  <c r="G24" i="1"/>
  <c r="G147" i="1"/>
  <c r="G27" i="1"/>
  <c r="G345" i="1"/>
  <c r="G280" i="1"/>
  <c r="G275" i="1"/>
  <c r="G138" i="1"/>
  <c r="G131" i="1"/>
  <c r="G305" i="1"/>
  <c r="G316" i="1"/>
  <c r="G43" i="1"/>
  <c r="G224" i="1"/>
  <c r="G278" i="1"/>
  <c r="G121" i="1"/>
  <c r="G315" i="1"/>
  <c r="G252" i="1"/>
  <c r="G33" i="1"/>
  <c r="G268" i="1"/>
  <c r="G186" i="1"/>
  <c r="G253" i="1"/>
  <c r="G19" i="1"/>
  <c r="G105" i="1"/>
  <c r="G47" i="1"/>
  <c r="G214" i="1"/>
  <c r="G46" i="1"/>
  <c r="G298" i="1"/>
  <c r="G346" i="1"/>
  <c r="G7" i="1"/>
  <c r="G188" i="1"/>
  <c r="G251" i="1"/>
  <c r="G149" i="1"/>
  <c r="G71" i="1"/>
  <c r="G174" i="1"/>
  <c r="G313" i="1"/>
  <c r="G129" i="1"/>
  <c r="G141" i="1"/>
  <c r="G293" i="1"/>
  <c r="G230" i="1"/>
  <c r="G133" i="1"/>
  <c r="G229" i="1"/>
  <c r="G114" i="1"/>
  <c r="G66" i="1"/>
  <c r="G181" i="1"/>
  <c r="G103" i="1"/>
  <c r="G228" i="1"/>
  <c r="G288" i="1"/>
  <c r="G111" i="1"/>
  <c r="G289" i="1"/>
  <c r="G249" i="1"/>
  <c r="G196" i="1"/>
  <c r="G143" i="1"/>
  <c r="G81" i="1"/>
  <c r="G274" i="1"/>
  <c r="G164" i="1"/>
  <c r="G85" i="1"/>
  <c r="G73" i="1"/>
  <c r="G254" i="1"/>
  <c r="G198" i="1"/>
  <c r="G210" i="1"/>
  <c r="G212" i="1"/>
  <c r="G42" i="1"/>
  <c r="G183" i="1"/>
  <c r="G171" i="1"/>
  <c r="G194" i="1"/>
  <c r="G15" i="2" l="1"/>
  <c r="K116" i="1"/>
  <c r="AC131" i="2"/>
</calcChain>
</file>

<file path=xl/sharedStrings.xml><?xml version="1.0" encoding="utf-8"?>
<sst xmlns="http://schemas.openxmlformats.org/spreadsheetml/2006/main" count="5833" uniqueCount="1533">
  <si>
    <t>Spend</t>
  </si>
  <si>
    <t>Ad Sales</t>
  </si>
  <si>
    <t>Spend Difference</t>
  </si>
  <si>
    <t>Total Sales</t>
  </si>
  <si>
    <t>Title</t>
  </si>
  <si>
    <t>Row Labels</t>
  </si>
  <si>
    <t>Sum of Units Ordered</t>
  </si>
  <si>
    <t>Consistency</t>
  </si>
  <si>
    <t>Diff 08-09</t>
  </si>
  <si>
    <t>Diff %</t>
  </si>
  <si>
    <t>Aug</t>
  </si>
  <si>
    <t>Sep</t>
  </si>
  <si>
    <t>Ad Sales 09</t>
  </si>
  <si>
    <t>Diff</t>
  </si>
  <si>
    <t>KC</t>
  </si>
  <si>
    <t>Multi-Collagen Capsules</t>
  </si>
  <si>
    <t>B0D16FNPY5</t>
  </si>
  <si>
    <t xml:space="preserve">Vitamin D3K2 10,000IU 180 count </t>
  </si>
  <si>
    <t>B0D2SRGD76</t>
  </si>
  <si>
    <t>Electrolyte Powder Pineapple Flavor 2lb</t>
  </si>
  <si>
    <t>B0D3T8WHH4</t>
  </si>
  <si>
    <t>Organic Matcha Green Tea Powder, 1 Pound (16 Ounce), Culinary Grade, First Harvest Authentic Japanese Origin, 100% Pure Matcha for Smoothies, Latte and Baking, Unflavored, Non-Irradiation</t>
  </si>
  <si>
    <t>B08PY3Q8XS</t>
  </si>
  <si>
    <t>Multi Collagen Protein Powder, 2 Pounds – Type I,II,III,V,X with Biotin 10000mcg, Hyaluronic Acid, Vitamin C – Unflavored Collagen Peptides – Keto &amp; Paleo Friendly, Easy Dissolve, Non-GMO</t>
  </si>
  <si>
    <t>B01BHF3OMW</t>
  </si>
  <si>
    <t xml:space="preserve">Super Enzymes+ with Prebiotics + Probiotics vegetarian capsules 240 count </t>
  </si>
  <si>
    <t>B0DX44RL58</t>
  </si>
  <si>
    <t>Marine Collagen Protein Powder, 1lb</t>
  </si>
  <si>
    <t>B0CVTQ4G5Z</t>
  </si>
  <si>
    <t>Micro Ingredients Organic Coconut Milk Powder, 2 Pound (32 Ounce), Plant-Based Creamer, Perfect for Coffee, Tea and Smoothie, Non-GMO and Keto Friendly</t>
  </si>
  <si>
    <t>B07X37D16H</t>
  </si>
  <si>
    <t>Micro Ingredients Organic Spirulina Powder, 16 Ounce, Raw Spirulina (Arthrospira Platensis), The Richest Sources of 70% Vegan Protein, Containers Minerals, Vitamins, Non-GMO &amp; Non-Irradiation</t>
  </si>
  <si>
    <t>B01DPW5FWW</t>
  </si>
  <si>
    <t>Organic Blue Spirulina 30g</t>
  </si>
  <si>
    <t>B0DDW2L4YM</t>
  </si>
  <si>
    <t>Mega Probiotics 40 strains 200 billion CFU</t>
  </si>
  <si>
    <t>B0DVN41167</t>
  </si>
  <si>
    <t xml:space="preserve">TUDCA 2000mg Complex capsules 240 count </t>
  </si>
  <si>
    <t>B0F4HH894D</t>
  </si>
  <si>
    <t>Moringa 6000mg capsules</t>
  </si>
  <si>
    <t>B0DDWPH39G</t>
  </si>
  <si>
    <t xml:space="preserve">Resveratrol Complex 3000mg </t>
  </si>
  <si>
    <t>B0DVMN2XB5</t>
  </si>
  <si>
    <t xml:space="preserve">Organic Spirulina Chlorella Mixed Mini-Tablets 2500 count </t>
  </si>
  <si>
    <t>B0F3GG32FF</t>
  </si>
  <si>
    <t>Pure Methylated Multivitamin 240 count</t>
  </si>
  <si>
    <t>B0DLLG833V</t>
  </si>
  <si>
    <t>Microingredients Hydration Electrolyte Powder, Lemon Raspberry, 2 Lbs - High Potassium (1000mg), 0 Calorie, Sugar-Free, Hydration Drink Mix with Real Lemon Juice - Keto, Paleo, Non-GMO</t>
  </si>
  <si>
    <t>B0CG7TB55T</t>
  </si>
  <si>
    <t>Multi-Collagen Gummies 120 count</t>
  </si>
  <si>
    <t>B0DDWNGRKL</t>
  </si>
  <si>
    <t xml:space="preserve">Organic Whole Psyllium Husks Powder 3lb </t>
  </si>
  <si>
    <t>B0DS6MHM6Z</t>
  </si>
  <si>
    <t xml:space="preserve">Black Seed Oil 3000mg with Oregano Oil </t>
  </si>
  <si>
    <t>B0F3G35G6W</t>
  </si>
  <si>
    <t xml:space="preserve">Organic MCT Liquid Oil 32 fl oz (946mL) </t>
  </si>
  <si>
    <t>B0C325P6Z4</t>
  </si>
  <si>
    <t>Organic Goji Berries 2lbs, Large Whole Sun-Dried Berries | Sulfate Free, Natural Antioxidant | Raw Superfood Berry for Energy, Eye, &amp; Immune Health | Non-GMO</t>
  </si>
  <si>
    <t>B0BXYB91BJ</t>
  </si>
  <si>
    <t>Omega-3 Fish Oil 1200mg</t>
  </si>
  <si>
    <t>B0DGRNC1VW</t>
  </si>
  <si>
    <t>Organic Blue Spirulina Powder (Phycocyanin Extract), 50 Servings - No Fishy Smell, 100% Vegan Protein from Blue-Green Algae, Natural Luminous Blue Food Coloring for Smoothies, Baking, Drinks &amp; Cooking</t>
  </si>
  <si>
    <t>B0B2379WMW</t>
  </si>
  <si>
    <t>Goat Milk Powder, 2lbs | Grass Fed Source, Australian Farm Derived, Unadulterated Formula, Easily Digested | Rich in Protein, Calcium, &amp; Probiotics | Non-GMO, Gluten Free, Pet Friendly</t>
  </si>
  <si>
    <t>B0BXYDSGC4</t>
  </si>
  <si>
    <t>L-Arginine1600mg + L-Citrulline 800mg bisected tablets 240 count </t>
  </si>
  <si>
    <t>B0DWD26MMF</t>
  </si>
  <si>
    <t xml:space="preserve">Melatonin 10mg tablets strawberry flavor 400 count </t>
  </si>
  <si>
    <t>B0DX4D8Q84</t>
  </si>
  <si>
    <t>Chlorophyll Complex 2000mg 240 Veg Caps</t>
  </si>
  <si>
    <t>B0DX44D7FF</t>
  </si>
  <si>
    <t>Organic Ceylon Cinnamon Powder 1lb</t>
  </si>
  <si>
    <t>B0D2S665WK</t>
  </si>
  <si>
    <t xml:space="preserve">Glycine 2000mg 240 count </t>
  </si>
  <si>
    <t>B0DW1BXPMV</t>
  </si>
  <si>
    <t>Organic Hibiscus Flowers, 2lbs | Loose Leaf Flower Source for Tea Bags | Cut &amp; Sifted Dried Leaves | Great for Iced or Hot Brewed Herbal Tea | Caffeine Free, Non-GMO, No Sugar</t>
  </si>
  <si>
    <t>B0C9PGR822</t>
  </si>
  <si>
    <t>Potassium Chloride Powder, 1 Kg (2.2 Pounds), Salt Substitute &amp; Electrolyte Powder, Pure Potassium Chloride Supplement, Essential Mineral, Filler Free and Dissolve Easily</t>
  </si>
  <si>
    <t>B07T1LZ4D2</t>
  </si>
  <si>
    <t>Organic Strawberry Freeze Dried Powder, 12 Ounce (56 Serving), Strawberry Powder for Baking, Best Super Foods for Smoothie &amp; Beverage Blend, Non-GMO, Vegan</t>
  </si>
  <si>
    <t>B07CXZBRZP</t>
  </si>
  <si>
    <t>Organic MCT Oil Powder with Prebiotic Fiber,1 Pound(16 Ounce), Fast Fuel for Body and Brain, C8 MCT Oil for Coffee Creamer, Delicious for Tea, Smoothie, Drink and Beverage, No GMOs, Keto Diet, Vegan</t>
  </si>
  <si>
    <t>B07T5X85N9</t>
  </si>
  <si>
    <t xml:space="preserve">NAC+NAD with MCT Oil softgels </t>
  </si>
  <si>
    <t>B0DK65J8YX</t>
  </si>
  <si>
    <t xml:space="preserve">Hyaluronic Acid Powder 50g </t>
  </si>
  <si>
    <t>B0F3BH66BZ</t>
  </si>
  <si>
    <t>Liposomal Vitamin C 2500mg</t>
  </si>
  <si>
    <t>B0DW142NNT</t>
  </si>
  <si>
    <t>Sunflower Lecithin 1,600mg Per Serving, 300 Softgels</t>
  </si>
  <si>
    <t>B0CVTMQBGR</t>
  </si>
  <si>
    <t xml:space="preserve">Mega Omega-3 Krill &amp; Fish Oil 2000mg (350mg EPA + 230mg DHA) Complex Softgels 240 count </t>
  </si>
  <si>
    <t>B0F4HPY7D5</t>
  </si>
  <si>
    <t>Micro Ingredients Raw Organic Ginkgo Biloba Powder, 8 Ounce (18 Months Supply), Filler Free, Supports Brain Function and Mental Alertness, No GMOs and Vegan Friendly</t>
  </si>
  <si>
    <t>B01L2TGUHO</t>
  </si>
  <si>
    <t>Organic Hibiscus Tea Bags, 200 Count | Caffeine Free, Loose Leaf Flower Source | Eco-Friendly Hemp Paper Bags | Great for Iced or Hot Brewed Tea | Non-GMO, No Sugar</t>
  </si>
  <si>
    <t>B0C35TKL3M</t>
  </si>
  <si>
    <t>US Origin Pure Magnesium Citrate Powder, 2 Pounds (32 Ounce), Pure and Filler Free, Relaxation and Nutrient Utilization, Vegan</t>
  </si>
  <si>
    <t>B01BHF3GMK</t>
  </si>
  <si>
    <t>Grape Seed Extract 36000mg with Resveratrol</t>
  </si>
  <si>
    <t>B0DX3W24CJ</t>
  </si>
  <si>
    <t>Whole Milk Powder, 4lbs | rBST Hormone Free, Pasture Raised Source, Premium Grade Dry Powdered Form | Great for Baking | Rich in Protein | Non-GMO</t>
  </si>
  <si>
    <t>B0CLFXDX4Z</t>
  </si>
  <si>
    <t>Vitamin B1 Benfotiamine 600mg Per Serving, 240 Coconut Oil Softgels | Essential B Vitamins Supplement, Fat Soluble | Supports Metabolism &amp; Healthy Nervous System | Non-GMO, Easy to Swallow</t>
  </si>
  <si>
    <t>B0CG7ZTT7B</t>
  </si>
  <si>
    <t xml:space="preserve">Myo &amp; D-Chiro Inositol Powder 1lb </t>
  </si>
  <si>
    <t>B0DGRG846L</t>
  </si>
  <si>
    <t>Oil of Oregano 6000mg 150 count</t>
  </si>
  <si>
    <t>B0DK7XKTM6</t>
  </si>
  <si>
    <t xml:space="preserve">Oregano Oil with Black Seed Oil Drop 4 fl oz (118mL) </t>
  </si>
  <si>
    <t>B0DS6MGRHD</t>
  </si>
  <si>
    <t>Glutathione reduced 1000mg</t>
  </si>
  <si>
    <t>B0DWD6PXP2</t>
  </si>
  <si>
    <t>Magnesium Glycinate 400mg with Vitamin C - 200 Capsules, Elemental Magnesium 400mg Supplement, 100% Chelated, Support Healthy Muscle, Bones &amp; Mood</t>
  </si>
  <si>
    <t>B087F4HLJ3</t>
  </si>
  <si>
    <t>Electrolyte Powder 1lb</t>
  </si>
  <si>
    <t>B0CS4VV8MD</t>
  </si>
  <si>
    <t>Omega-3 Fish Oil 1000mg 300 count</t>
  </si>
  <si>
    <t>B0DK69SLY9</t>
  </si>
  <si>
    <t>Alpha Lipoic Acid (ALA) 600mg</t>
  </si>
  <si>
    <t>B0DVMNZ1HR</t>
  </si>
  <si>
    <t xml:space="preserve">Premium Vital Wheat Gluten Powder 6lb </t>
  </si>
  <si>
    <t>B0DK7WV3MS</t>
  </si>
  <si>
    <t>NAD+ with resveratrol</t>
  </si>
  <si>
    <t>B0DS6NNCP9</t>
  </si>
  <si>
    <t>Organic Pumpkin Seeds 4lb</t>
  </si>
  <si>
    <t>B0CLFY72DS</t>
  </si>
  <si>
    <t>Micro Ingredients Sustainably US Grown, Organic Slippery Elm Bark Powder, 1 Pound (645 Servings), Helps Soothe The Throat and Coughing, No Irradiated, No Contaminated, No GMOs, Pet Friendly</t>
  </si>
  <si>
    <t>B075VFCQBC</t>
  </si>
  <si>
    <t>Apple Cider Vinegar Capsules</t>
  </si>
  <si>
    <t>B0DX4GZDW9</t>
  </si>
  <si>
    <t>Magnesium Glycinate 350mg</t>
  </si>
  <si>
    <t>B0DWDHJZ4T</t>
  </si>
  <si>
    <t>Organic Freeze-Dried Acai Powder 8oz, Sustainably Grown in Brazilian Amazon, 100% Pure Berry Pulp, Raw, Bulk, No Filler, No additives, Great for Acai Bowls, Yogurt, Smoothies, and More</t>
  </si>
  <si>
    <t>B09TG36LYR</t>
  </si>
  <si>
    <t>Micro Ingredients Organic Lemon Juice Powder, 10 Ounce, Cold Pressed Concentrated Powder, Filler Free, Rich in Natural Vitamin C for Immune System Booster, Great Flavor for Soda, Baking and Cooking, Vegan Friendly</t>
  </si>
  <si>
    <t>B07NY4MF5Y</t>
  </si>
  <si>
    <t>Multi Collagen Peptides Powder, 16 Oz - Hydrolyzed Protein Peptides | Type I,II,III,V,X with Hyaluronic Acid, Biotin 10,000mcg &amp; Vitamin C - Unflavored - Keto &amp; Paleo Friendly, Ez Mix in Drinks</t>
  </si>
  <si>
    <t>B0BKK4X56L</t>
  </si>
  <si>
    <t>Magnesium Glycinate 400mg</t>
  </si>
  <si>
    <t>B0DGRNP1ZL</t>
  </si>
  <si>
    <t>Organic Chlorella Tablets, 500mg Per Tablet, 720 Tabs (360 Grams), 4 Months Supply, Broken Cell Wall, Rich in Vegan Protein &amp; Vitamins, No Filler, No Additives &amp; Non-GMO | Pure Green Algae Superfood</t>
  </si>
  <si>
    <t>B01FMWFG86</t>
  </si>
  <si>
    <t>Monk Fruit Sweetener with Allulose, 2 lbs | No Erythritol | No Aftertaste, 1:1 White Sugar Substitute, Keto &amp; Vegan Friendly, Zero Calorie | Great for Drinks, Coffee, Tea, Cookies | Non-GMO</t>
  </si>
  <si>
    <t>B0BR4N7C2F</t>
  </si>
  <si>
    <t xml:space="preserve">Pure Vitamin C 2000mg vegetarian capsules 240 count </t>
  </si>
  <si>
    <t>B0F3GV9QWR</t>
  </si>
  <si>
    <t>Organic Soluble Prebiotics Fiber Supplement (Inulin, Acacia, Psyllium Husk), 2 Pounds, 3 in 1 Fiber Formula, Daily Fiber, Unflavored, for Digestive Health, Hunger Control, Vegan</t>
  </si>
  <si>
    <t>B07RG8M2XB</t>
  </si>
  <si>
    <t>Creatine Monohydrate Powder 500 Grams (1.1 LBS), 5000mg Per Serv, Micronized Creatine Powder, Unflavored, Pure, No Filler, Keto &amp; Vegan, Easy Dissolve Pre Workout Creatine for Women and Men</t>
  </si>
  <si>
    <t>B09TNMZBQ5</t>
  </si>
  <si>
    <t>Pure L-Theanine Powder, 100 Grams (1 Year Supply), Filler Free, No GMOs and Vegan Friendly</t>
  </si>
  <si>
    <t>B01DPW5F5O</t>
  </si>
  <si>
    <t>Organic Daily Prebiotic Dietary Fiber Supplement Powder, (Inulin Fiber from Chicory Root), 10 Ounce, Highly Promote Intestinal Colon, Gut Health and Digestive Function, Vegan Friendly</t>
  </si>
  <si>
    <t>B07P3GKXKK</t>
  </si>
  <si>
    <t>Micro Ingredients Organic Chlorella Powder, 10 Ounce, Broken Cell Wall, Rich in Vegan Proteins &amp; Vitamins, Raw, Bulk Premium Chlorella Supplement, Vegan Friendly, Non-Irradiation</t>
  </si>
  <si>
    <t>B01L2TGOEI</t>
  </si>
  <si>
    <t>Organic Whole Yellow Mustard Seed, 4lbs</t>
  </si>
  <si>
    <t>B0CLFJ81NC</t>
  </si>
  <si>
    <t>Micro Ingredients Organic Chlorella Powder, 20 Ounces | Broken Cell Wall for Complete Absorption | Raw Superfood Supplement, Rich in Protein &amp; Vitamins | Non-GMO, Vegan, Non-Irradiated</t>
  </si>
  <si>
    <t>B01NCTZSPF</t>
  </si>
  <si>
    <t>Micro Ingredients Organic Pineapple Powder, 8 Ounce, Freeze Dried, Rich in Bromelain and Immune Vitamin C for Immune System Booster, Great Flavor for Drinks, Baking and Cooking, Non-GMO</t>
  </si>
  <si>
    <t>B07W9B5K1R</t>
  </si>
  <si>
    <t>Triple Strength Omega 3 Fish Oil Supplements 3000mg, 200 Softgels - Lemon Flavored - Burpless (Enteric-Coated) | EPA 1200mg + DHA 900mg | Deep Sea Fish, Wild Caught from Norwegian Waters</t>
  </si>
  <si>
    <t>B07L45XQBR</t>
  </si>
  <si>
    <t>Organic Instant 10 in 1 Mushroom Coffee Powder, 28 Ounce (317 Servings) | Premium Arabica Coffee with Lion’s Mane, Chaga, Reishi, &amp; More | Smooth Medium Roast, Clean Energy, &amp; Immune Support</t>
  </si>
  <si>
    <t>B0BCMKNMZB</t>
  </si>
  <si>
    <t>Goat Milk Powder 1lb</t>
  </si>
  <si>
    <t>B0D2S64JP2</t>
  </si>
  <si>
    <t>CoQ10 200mg with MCT Oil</t>
  </si>
  <si>
    <t>B0DGRK52HZ</t>
  </si>
  <si>
    <t>US Origin Potassium Citrate Powder, 1 KG (35 Ounce), Essential Electrolyte Supplement, Supports Mineral Balance, Heart Health and Immune System, Vegan Friendly</t>
  </si>
  <si>
    <t>B01KFALQ34</t>
  </si>
  <si>
    <t>Women’s Probiotics 40 strains 100 bullion CFU</t>
  </si>
  <si>
    <t>B0DW1K3367</t>
  </si>
  <si>
    <t>Magnesium Citrate 400mg with Vitamin D3 1000IU &amp; B6, 240 Capsules | Elemental Mineral &amp; Vitamins Complex | Combats Constipation, Supports Muscle, Heart, &amp; Bone Health – Non-GMO</t>
  </si>
  <si>
    <t>B087F7DTR7</t>
  </si>
  <si>
    <t>Organic Schisandra Extract Powder, 8 Ounce, Traditional Adaptogen and Filler Free, Pure Schisandra Supplement, Supports Liver Detox and Cognitive Health, No GMOs</t>
  </si>
  <si>
    <t>B07GF4QLJJ</t>
  </si>
  <si>
    <t>Moringa Powder Organic (Moringa Oleifera Leaf Powder), 2 Pounds, Rich in Antioxidants and Immune Vitamin, Great Superfoods for Moringa Tea, Moringa Drink, Moringa Powder for Hair, India Grown, Vegan</t>
  </si>
  <si>
    <t>B01L2TGLTG</t>
  </si>
  <si>
    <t>Magnesium Oxide 400mg</t>
  </si>
  <si>
    <t>B0DDWD83GF</t>
  </si>
  <si>
    <t>2 Pack Micro Ingredients Organic Lemon Juice Powder, 10 Ounce, Rich in Natural Vitamin C (Immune Vitamins) for Immune System, Great Flavor for Drinks, Smoothie &amp; Beverages, Vegan</t>
  </si>
  <si>
    <t>B07XGDGNH9</t>
  </si>
  <si>
    <t>Organic Collagen Peptides Powder 12oz</t>
  </si>
  <si>
    <t>B0D3SH3DVW</t>
  </si>
  <si>
    <t xml:space="preserve">Organic Instant Coffee 1lb </t>
  </si>
  <si>
    <t>B0DGSDQ2XG</t>
  </si>
  <si>
    <t>Micro Ingredients L Citrulline Capsules, 1500mg Per Serving, 360 Counts, Citrulline Pre-Workout Supplement, Non-GMO</t>
  </si>
  <si>
    <t>B08N3BG2SR</t>
  </si>
  <si>
    <t>Sustainably Canada Grown, Organic Blueberry Extract 50:1 Concentrated Powder, 6 Ounce, Wild Grown and Freeze Dried, Natural Flavor for Beverage, Smoothie and Baking, No GMOs</t>
  </si>
  <si>
    <t>B07CY1TLH2</t>
  </si>
  <si>
    <t xml:space="preserve">HMB 1000mg with coconut oil softgels 240 count </t>
  </si>
  <si>
    <t>B0F5M5HXC3</t>
  </si>
  <si>
    <t xml:space="preserve">Selenium 200mcg with coconut oil 500 count </t>
  </si>
  <si>
    <t>B0F3GKVDHY</t>
  </si>
  <si>
    <t xml:space="preserve">Organic Ceremonial Matcha Powder 100g </t>
  </si>
  <si>
    <t>B0F3GD9TWT</t>
  </si>
  <si>
    <t>Micro Ingredients Maximum Strength Vitamin A 25000 IU | 500 Softgels with Coconut Oil for Better Absorption | Essential Vitamins for Vision, Growth, &amp; Reproduction | Non-GMO, Easy to Swallow</t>
  </si>
  <si>
    <t>B087DVF12V</t>
  </si>
  <si>
    <t xml:space="preserve">Vitality Fiber Prebiotic Powder 1lb </t>
  </si>
  <si>
    <t>B0DK69WWNQ</t>
  </si>
  <si>
    <t>Fadogia Agrestis 600mg Per Serving, 50:1 Extract Powder, 4 Ounce, Highly Purified and Bioavailable, USA Third Party Tested, Maximum Strength, No Filler, No Additives, Non-GMO &amp; No Gluten</t>
  </si>
  <si>
    <t>B0B22T88RH</t>
  </si>
  <si>
    <t>Micro Ingredients Ground Cayenne Pepper Powder Bulk, 6 Pounds - 60,000 Heat Units, Spicy and Filler Free, Garden Protection from Wildlife, No Gluten, No GMOs, Vegan Friendly</t>
  </si>
  <si>
    <t>B08TB8F5LL</t>
  </si>
  <si>
    <t xml:space="preserve">Organic Butterfly Pea Flowers, 8oz </t>
  </si>
  <si>
    <t>B0CLFQJ9V2</t>
  </si>
  <si>
    <t>Multi-Collagen Powder Chocolate Flavor 2lb</t>
  </si>
  <si>
    <t>B0D68JXS1L</t>
  </si>
  <si>
    <t>Organic Moringa Powder 1lb</t>
  </si>
  <si>
    <t>B0DW17X7XS</t>
  </si>
  <si>
    <t>MiracleMag Magnesium Supplement, 2lbs</t>
  </si>
  <si>
    <t>B0CVT7ZLLH</t>
  </si>
  <si>
    <t>Pure L Citrulline Malate 2:1 Powder, 500 Grams, Filler Free, Vegan Citrulline Supplement and Citrulline Nitrate, Supports Muscle Performance, Endurance and Strength, Unflavored, Dissolve Easily</t>
  </si>
  <si>
    <t>B01HFOBO7Q</t>
  </si>
  <si>
    <t>Double Strength Yohimbine Supplements for Men and Women, 10mg Per Serving, 300 Softgels, Yohimbine HCL with Virgin Sunflower Seed Oil for Better Absorption, Supports Energy Production, African Raw</t>
  </si>
  <si>
    <t>B08MX72C55</t>
  </si>
  <si>
    <t>Organic French Chicory Root, 2lbs | Roasted Chicory Granule for Chicory Coffee | Brews like Regular Coffee | Caffeine Free Coffee Substitute | Rich in Prebiotic Fiber | Non-GMO</t>
  </si>
  <si>
    <t>B0CG7VSS1Z</t>
  </si>
  <si>
    <t>Pure Green Coffee Bean Extract, 4 Ounce, Filler Free with Natural Caffeine, Green Coffee Bean Fat Burn Supplement with 50% Chlorogenic Acid, Supports Metabolism and Weight Management, Vegan Friendly</t>
  </si>
  <si>
    <t>B074WGLHFM</t>
  </si>
  <si>
    <t>Psyllium Husk 3000mg veg caps</t>
  </si>
  <si>
    <t>B0DWDVSHZW</t>
  </si>
  <si>
    <t>Stevia Sweetener Powder with Plant-based Erythritol, 4 Pounds (64 Ounces) | Keto, 0 Calorie, Low Carb, 4:1 Sugar Substitute, Natural Sweetener, Bitterless, Reb-A Stevia Leaf Extract, Non-GMO, Vegan</t>
  </si>
  <si>
    <t>B09NQXJHYQ</t>
  </si>
  <si>
    <t>Micro Ingredients Sustainably US Grown, Organic Wheat Grass Powder (100% Whole-Leaf), 16 Ounce, Rich in Immune Vitamins, Fibers and Minerals, Support Digestion Function, Vegan Friendly</t>
  </si>
  <si>
    <t>B01NH4ZI46</t>
  </si>
  <si>
    <t xml:space="preserve">Organic Butterfly Pea Powder 8oz </t>
  </si>
  <si>
    <t>B0D3ST21FG</t>
  </si>
  <si>
    <t>Pure D Ribose Powder, 1 KG (2.2 Pound and 200 Servings), Natural Simple Sugar, Dissolves Clear, Pharmaceutical Grade, Filler Free, No GMOs, No Gluten. and Water Soluble</t>
  </si>
  <si>
    <t>B01JNFGDUI</t>
  </si>
  <si>
    <t xml:space="preserve">Peanut Powder 4lb </t>
  </si>
  <si>
    <t>B0DGRPBBZY</t>
  </si>
  <si>
    <t>Micro Ingredients Organic Barley Grass Juice Powder, 10 Ounce, Cold Pressed, US Grown, Rich in Immune Vitamin, Fibers, Minerals, Antioxidants and Protein, Support Immune System and Digestion, Vegan</t>
  </si>
  <si>
    <t>B01MT7T5XX</t>
  </si>
  <si>
    <t>North America Grown, Organic Pea Protein Powder, 1KG (2.2 Pounds), Plant-Based Vegan Protein Organic, Rich in Branched Chain Amino Acids, Flavonoids and Minerals, No GMOs &amp; Vegan Friendly</t>
  </si>
  <si>
    <t>B01DWUEQ7C</t>
  </si>
  <si>
    <t>Pure Pine Pollen Powder, 6 Ounce, Wild Harvest an Broken Cell Wall, Supports Immune System Health, Boosts Energy, Antioxidant &amp; Androgenic, No GMOs, Vegan Friendly</t>
  </si>
  <si>
    <t>B079N44L9C</t>
  </si>
  <si>
    <t>Creatine Monohydrate Powder 1 kg (2.2 Lbs), 5000mg Per Serv, Micronized Creatine Powder, Unflavored, Pure, No Filler, Keto &amp; Vegan Friendly, Easy Dissolve Pre Workout Creatine for Women and Men</t>
  </si>
  <si>
    <t>B09YFHGK3F</t>
  </si>
  <si>
    <t>Brewers Yeast Powder for Lactation, 3lbs</t>
  </si>
  <si>
    <t>B0CLFRYPPT</t>
  </si>
  <si>
    <t xml:space="preserve">Vitamin E 400IU Softgels 300 count </t>
  </si>
  <si>
    <t>B0F3G6VH73</t>
  </si>
  <si>
    <t>Micro Ingredients Vitamin B12 5000mcg | Methyl B12 Active Form – 180 Chewable Tablets | Fast Dissolve, Natural Strawberry Flavor, Support Energy, Metabolism Health | Vegan, Non-GMO, &amp; No Gluten</t>
  </si>
  <si>
    <t>B08MX1ZWB4</t>
  </si>
  <si>
    <t>Micro Ingredients Organic Ashwagandha Root Powder | 2 Pound, No Filler, No Additives, Highly Purified | Active Withanolides, Adaptogenic Ayurvedic Herbal Supplements, No GMO, Gluten Free, India Origin</t>
  </si>
  <si>
    <t>B01N3U3WO4</t>
  </si>
  <si>
    <t>Organic Whole Rainbow Peppercorn Blend, 2lbs | Black, Green, Pink, &amp; White Fresh Peppercorns for Easy Grinder Refill | Multi Purpose Seasoning for Cooking or Baking | Non-GMO</t>
  </si>
  <si>
    <t>B0C9PGG2WV</t>
  </si>
  <si>
    <t>Micro Ingredients Pantothenic Acid Vitamin B5 Supplement, Vitamin B5 500mg Per Count, 365 Capsules (1 Year Supply), B-Complex Vitamin, Support Energy Production and Nervous System, Non-GMO</t>
  </si>
  <si>
    <t>B08MX59VV3</t>
  </si>
  <si>
    <t>KSM-66 Ashwagandha Gummies</t>
  </si>
  <si>
    <t>B0F3B3Y86P</t>
  </si>
  <si>
    <t>Organic Dried Lavender Flowers, 2lbs | Raw from France, Extra Grade Loose Lavender Buds | Great for Herbal Tea or Culinary Baking | Rich in Antioxidants &amp; Essential Oil | Non-GMO</t>
  </si>
  <si>
    <t>B07YQCX5WR</t>
  </si>
  <si>
    <t>Organic Turkey Tail Mushroom Powder (50:1 Extract), 8 Ounce | Sustainably US Grown, Freeze Dried with Active Polysaccharides, Supports Immune Response &amp; Cellular Level, Pet Friendly</t>
  </si>
  <si>
    <t>B07P2BWC78</t>
  </si>
  <si>
    <t>Organic Arrowroot Powder, 5lbs | Food Grade, All Purpose Flour, Corn Starch Substitute</t>
  </si>
  <si>
    <t>B0CLFXD4XS</t>
  </si>
  <si>
    <t>Micro Ingredients Organic Marshmallow Root Powder, 8 Ounce, Filler Free and Traditionally Used, Supports Digestive Gastrointestinal Health, Non-Irradiated and No GMOs, Vegan Friendly</t>
  </si>
  <si>
    <t>B074WLN3WN</t>
  </si>
  <si>
    <t>Omega 3 Fish Oil 4200mg 120 Softgels</t>
  </si>
  <si>
    <t>B0CS56P75L</t>
  </si>
  <si>
    <t>Micro Ingredients Organic Boswellia Serrata Extract Powder, 8 Ounce, Pure Boswellia Supplement with 65% Boswellic Acid, Supports Joints, Knees and Bones Health, Non-GMO, Pet Friendly, India Origin</t>
  </si>
  <si>
    <t>B01DPW5I6U</t>
  </si>
  <si>
    <t xml:space="preserve">Cod Liver Oil 2000mg </t>
  </si>
  <si>
    <t>B0D3T12XYP</t>
  </si>
  <si>
    <t>Micro Ingredients North American Grown, Pea Protein Powder, 5 Pounds | Plant Based, Unflavored | Complete Vegan Protein Source – 27g Serving | Rich in BCAAs &amp; EAAs | Non-GMO, Keto Friendly</t>
  </si>
  <si>
    <t>B0C35LNMRF</t>
  </si>
  <si>
    <t>Organic Shredded Coconut Flakes, 4lbs</t>
  </si>
  <si>
    <t>B0CLFYHSV2</t>
  </si>
  <si>
    <t>Micro Ingredients Evening Primrose Oil 1300mg Perserving, 240 Softgels | Enhanced with 40mg Black Cohosh Extract, Cold Pressed – 10% Active GLA, Non-GMO, No Gluten, Easy to Swallow</t>
  </si>
  <si>
    <t>B01DPW5LR6</t>
  </si>
  <si>
    <t>Psyllium Husk 500mg capsules 500 count</t>
  </si>
  <si>
    <t>B0DF425DGX</t>
  </si>
  <si>
    <t>Omega 3 Fish Oil DHA Supplements 1000mg with EPA 500mg, 200 Softgels – Lemon Flavored, Burpless (Enteric Coated) | Deep Sea Fresh Fish, Wild Caught from Norwegian Waters | Mercury Free</t>
  </si>
  <si>
    <t>B08MX16TYC</t>
  </si>
  <si>
    <t>Pure Potassium Magnesium with Vitamin C</t>
  </si>
  <si>
    <t>B0DLLLB5TL</t>
  </si>
  <si>
    <t>Micro Ingredients Sustainably US Grown, Organic Spinach Powder, 1 Pound, Freeze Dried from Whole Leaf, Rich in Beneficial Thylakoids and Chlorophyll, Contains Multivitamins, Non-GMO, Vegan Friendly</t>
  </si>
  <si>
    <t>B07WH4DXVX</t>
  </si>
  <si>
    <t>Agar Agar Powder, 1lb | Vegan Substitute for Beef Gelatin, Unflavored Thickening Agent, Plant Based Red Algae | Great for Desserts or Baked Plates | Non-GMO, Sugar Free</t>
  </si>
  <si>
    <t>B0C35H321V</t>
  </si>
  <si>
    <t>Sustainably US Grown, Organic Freeze Dried Raspberry Juice Powder, 8 Ounce, Contains Immune Vitamin C for Immune System Booster, Rich in Raspberry Ketones, Fatty Acids, Minerals and Antioxidant, Vegan</t>
  </si>
  <si>
    <t>B07L466GW8</t>
  </si>
  <si>
    <t>Micro Ingredients Organic Papaya Fruit Powder, 8 Ounce, Freeze Dried, Naturally Rich in Papaya Enzyme, Supports Antioxidant and Digestive Function, No GMOs &amp; Vegan Friendly</t>
  </si>
  <si>
    <t>B07NY5GKYG</t>
  </si>
  <si>
    <t>Pure Quercetin Dihydrate Powder, Quercetin 500mg Per Serving, 100 Grams, Most Bioavailable Grade and Filler Free, Powerful Antioxidant Supports Energy, Immune System , No GMOs and Vegan</t>
  </si>
  <si>
    <t>B01DPW5IWY</t>
  </si>
  <si>
    <t>Micro Ingredients Organic Bamboo Extract Powder, 8 Ounce (1 Year Supply), Rich in Silica and Minerals, Supports Healthy Skin, Nail, Hair, Joints and Bones, Non-GMO and Vegan Friendly</t>
  </si>
  <si>
    <t>B07CXK6M1G</t>
  </si>
  <si>
    <t>Turmeric Extract 95% Curcuminoids (Natural Turmeric Extract and Turmeric Supplements), 100 Grams, Rich in Antioxidants for Joint &amp; Immune Support, No GMOs, Vegan Friendly, India Origin</t>
  </si>
  <si>
    <t>B01JNPEPOE</t>
  </si>
  <si>
    <t>Bovine Collagen Protein Powder, 1 Pound</t>
  </si>
  <si>
    <t>B0D16G8C8P</t>
  </si>
  <si>
    <t>Organic Dried Red Raspberry Leaf, 2lbs | Raw from Germany, Cut &amp; Sifted Whole Leaves | Makes Traditional Herbal Tea | Great for Refilling Tea Bags | Non-GMO, Vegan, Gluten Free</t>
  </si>
  <si>
    <t>B07YQBYZ75</t>
  </si>
  <si>
    <t xml:space="preserve">Electrolyte Powder Grape Flavor 2lb </t>
  </si>
  <si>
    <t>B0D3T248FJ</t>
  </si>
  <si>
    <t>Citric Acid 6 Pounds, Food Grade, Fine Granular Powder | 100% Pure, Concentrated Anhydrous Form | Natural Preservative + Great for Cooking, Cleaning, &amp; DIY Bath Bombs | Non-GMO</t>
  </si>
  <si>
    <t>B0BXYCL8KP</t>
  </si>
  <si>
    <t>Organic Bamboo Fiber Powder, 2lbs</t>
  </si>
  <si>
    <t>B0CVTJKVFQ</t>
  </si>
  <si>
    <t>Pure Inositol Powder, Myo-Inositol B8 Powder, 1KG (2.2 Pounds), Strongly Supports Liver Health &amp; Antioxidant, Super Inositol for Hair and Inositol for Sleep, Non-GMO and Vegan Friendly</t>
  </si>
  <si>
    <t>B01DPW5E46</t>
  </si>
  <si>
    <t>Micro Ingredients Water Soluble COQ10 Supplement (COQ10 200mg Per Serving in Powder Form), 50 Grams (8 Months Supply), Extra Absorption, Support Heart Health and Energy Production, Vegan Friendly</t>
  </si>
  <si>
    <t>B07RH9L848</t>
  </si>
  <si>
    <t>Organic Barley Grass Powder, 16 Ounces | US Grown | Rich in Vitamins, Minerals, Fibers, &amp; Antioxidants | Superfood Greens Mix for Immune Health and Digestion Support | Non-GMO</t>
  </si>
  <si>
    <t>B01NCTM200</t>
  </si>
  <si>
    <t>Pure Saffron Extract 88.5mg</t>
  </si>
  <si>
    <t>B0DWDGKDMC</t>
  </si>
  <si>
    <t>Micro Ingredients Organic Chaga Mushroom Extract 100:1 Powder, 6 Ounce | Sustainably Maine Grown, Wild Harvest, Chaga Tea, Superfood for Beverage and Smoothie, Vegan Friendly</t>
  </si>
  <si>
    <t>B07CY1LGVZ</t>
  </si>
  <si>
    <t>Kids Methylated Multivitamins Orange Flavor Gummies 120 count</t>
  </si>
  <si>
    <t>B0FGKQ3X48</t>
  </si>
  <si>
    <t>Vitamin D3 10,000IU Softgels 400 counts</t>
  </si>
  <si>
    <t>B0DK67ZTSP</t>
  </si>
  <si>
    <t xml:space="preserve">Supreme Omega-3 rTG Fish Oil 1300mg (700mg EPA + 500mg DHA) with Vitamin D3 1000IU Softgels 60 counts </t>
  </si>
  <si>
    <t>B0FN26WGH8</t>
  </si>
  <si>
    <t xml:space="preserve">Mega Mushroom with ashwagandha gummies raspberry and pomegranate flavor 120 count </t>
  </si>
  <si>
    <t>B0FGKJD22C</t>
  </si>
  <si>
    <t>Creatine Monohydrate 5000mg Gummies Strawberry Raspberry Flavor, 120 count</t>
  </si>
  <si>
    <t>B0DS6KG42Q</t>
  </si>
  <si>
    <t xml:space="preserve">Vitamin B1 500mg with Benfotiamine with MCT Oil Softgels 240 counts </t>
  </si>
  <si>
    <t>B0F5M8Z61H</t>
  </si>
  <si>
    <t>Sustainably US Grown, Kale Powder Organic, 1 Pound (454 Servings), Freeze Dried, Most Nutrient-Dense Food on the Planet, Green Superfood for Kale Tea and Kale Drink, No GMOs and Vegan Friendly</t>
  </si>
  <si>
    <t>B07L46RH6P</t>
  </si>
  <si>
    <t xml:space="preserve">Turmeric Ginger Peach Mango Flavor Gummies 120 count </t>
  </si>
  <si>
    <t>B0FGKN2XZX</t>
  </si>
  <si>
    <t>Pure Trans-Resveratrol Powder with Natural Vitamin E, 5 Ounce, 2 in 1 Formula, Micronized Powder for Better Absorption, Premium Resveratrol Supplement, Super Antioxidant, Vegan Friendly</t>
  </si>
  <si>
    <t>B0812F3JGG</t>
  </si>
  <si>
    <t>Organic Goji Powder, Freeze Dried Goji Berry Powder, 1 Pound (16 Ounce), Sulfate Free, Pure Goji Supplement, Natural Booster for Energy, Eye Health, and Super Immune Vitamin C for Antioxidant, Non-GMO</t>
  </si>
  <si>
    <t>B06XKJQVZ8</t>
  </si>
  <si>
    <t>Micro Ingredients Tongkat Ali Extract 200:1 (Longjack) Powder, 100 Grams, Grown in Indonesia, 100% Pure Eurycoma Longifolia Root Extract, Bitter Taste - No Filler, No Additive, Non-GMO</t>
  </si>
  <si>
    <t>B01L2TFQHY</t>
  </si>
  <si>
    <t>Micro Ingredients Lutein &amp; Zeaxanthin 40mg Softgels, 240 Count, with Astaxanthin, Omega-3s, &amp; Phospholipids | Eye + Vision Health Vitamins | Third Party Tested, Non-GMO, Gluten Free</t>
  </si>
  <si>
    <t>B0812QPT4J</t>
  </si>
  <si>
    <t>Organic Freeze-Dried Dragon Fruit Powder (Pink Pitaya/Pitahaya), 10 Ounce, Perfect for Shakes, Baking &amp; Smoothie, Non-GMO, No Gluten, Vegan Friendly</t>
  </si>
  <si>
    <t>B07P4M1YGN</t>
  </si>
  <si>
    <t>Vitamin K Complex with coconut oil softgels</t>
  </si>
  <si>
    <t>B0C9PNMGR3</t>
  </si>
  <si>
    <t>Calm Powder 1lb</t>
  </si>
  <si>
    <t>B0FH5PPJVM</t>
  </si>
  <si>
    <t>DIM Active Supplement, DIM 300mg, 240 Veggie Capsules (8-Month Supply), 2 in 1 Formula, Estrogen Metabolism, Premium DIM-Plus Broccoli Extract Supplement With Black Pepper for Better Absorption</t>
  </si>
  <si>
    <t>B08MX153BT</t>
  </si>
  <si>
    <t>Organic Turmeric Powder 5lb</t>
  </si>
  <si>
    <t>B0DGYLR7W1</t>
  </si>
  <si>
    <t>Smoked Paprika Powder, 4lbs | Spanish Origin, Fine Ground, Oak Wood Smoked, Raw Sweet &amp; Spicy Flavor | Spice Rack Seasoning | Great for Chicken, Steak, or Vegetables | Additive Free, Non-GMO</t>
  </si>
  <si>
    <t>B0CLFZ81GG</t>
  </si>
  <si>
    <t>Vitamin D3K2 5000IU with sunflower oil 180 count</t>
  </si>
  <si>
    <t>B0D2S6DMDS</t>
  </si>
  <si>
    <t>Organic He Shou Wu, Pure Fo Ti Extract Powder, 6 Ounce, Prepared Foti Steaming with Black Bean, Traditional Anti Aging Herb, Promotes Hair Health and Antioxidant, Filler Free and No GMOs</t>
  </si>
  <si>
    <t>B06XKV2PK3</t>
  </si>
  <si>
    <t>Pure Organic Stevia Powder, 4 Ounces, 706 Serving, Highest Grade Stevia Green Leaf Extract Reb-A, Reduced Bitter Aftertaste, 0 Calorie, Natural Sweetener, Sugar Alternative, Keto Friendly</t>
  </si>
  <si>
    <t>B01DPW5GRG</t>
  </si>
  <si>
    <t>Xanthan Gum Powder 2lb - Premium Food Grade for Cooking, Keto Baking, Thickening Soups &amp; Sauces, Dressings, Vegan Friendly, Non-GMO, Gluten Free</t>
  </si>
  <si>
    <t>B0BXY6BMHQ</t>
  </si>
  <si>
    <t>Vitamin D3 2000IU with coconut oil softgels</t>
  </si>
  <si>
    <t>B0DS6L2MFW</t>
  </si>
  <si>
    <t>L-Theanine 400mg 400 Softgels</t>
  </si>
  <si>
    <t>B0F5S2PCLD</t>
  </si>
  <si>
    <t>Vitamin B12 1000mcg</t>
  </si>
  <si>
    <t>B0DK64ZGK4</t>
  </si>
  <si>
    <t>Sustainably US Grown, Organic Cordyceps Mushroom Extract Powder 100:1 | 6 Ounce, 30% Polysaccharides and Cordycepic Acid, From Fruit Body and Mycelium, Supports Energy &amp; Immune Health</t>
  </si>
  <si>
    <t>B074WL37DN</t>
  </si>
  <si>
    <t>Organic Garlic Powder, 3lbs | Culinary Grade | Freshly Harvested Raw Allium Sativum Bulb | Natural Herbal Spice | Great for Seasonings, Meats, or Vegetables | Non-GMO</t>
  </si>
  <si>
    <t>B0BXYB635P</t>
  </si>
  <si>
    <t>L Glutamine Powder Gut Health, 1Kg, 100% Pure, Free Form - Unflavored- Vegan Friendly, No Filler, No additives, Supports Muscle Recovery, Post Workout | Non-GMO &amp; Gluten-Free</t>
  </si>
  <si>
    <t>B01HFN37MC</t>
  </si>
  <si>
    <t>Pure Methylated Multivitamin for Men 240 Capsules</t>
  </si>
  <si>
    <t>B0F8FX9SXY</t>
  </si>
  <si>
    <t>Micro Ingredients Organic Triphala Powder, 2 Pounds (Amla + Haritaki + Bibhitaki) | India Origin, Herbal Adaptogen Supplement, Supports Colon &amp; Immune Health | Vegan, No GMOS</t>
  </si>
  <si>
    <t>B01L2U1RHG</t>
  </si>
  <si>
    <t>NAC 600mg with NAD+ with coconut oil softgels 150 count</t>
  </si>
  <si>
    <t>B0F6J2MW5T</t>
  </si>
  <si>
    <t>Organic Chia Seeds 4lb</t>
  </si>
  <si>
    <t>B0F3GFTM5J</t>
  </si>
  <si>
    <t>Organic 10 in 1 Ground Mushroom Coffee Powder, 24 Ounce | Premium Arabica Coffee with Lion’s Mane, Chaga, Reishi, &amp; More | Smooth Medium Roast, Clean Energy, &amp; Immune Support</t>
  </si>
  <si>
    <t>B0C9PNDL22</t>
  </si>
  <si>
    <t>Organic Amla Powder (Amalaki) | 32oz, India Origin Gooseberry Powder | Rich in Vitamin C, Antioxidants, Supports Immune, Digestive &amp; Skin Health, Non-GMO, Vegan &amp; Keto Friendly</t>
  </si>
  <si>
    <t>B06XKYNFY1</t>
  </si>
  <si>
    <t>Hyaluronic Acid Serum Powder, High Molecular Weight, Cosmetics Grade, 30 Gram, Support Hydration and Moisture, Water Soluble (Within 2 Hours), Vegan Friendly</t>
  </si>
  <si>
    <t>B01DPW5C5W</t>
  </si>
  <si>
    <t>有競品來搶量, PPU 8/ounce, 我們PPU10.51/ounce,</t>
  </si>
  <si>
    <t>Glutathione Supplement, Pure Glutathione Reduced Powder with Inositol, 5 Ounce (9 Months Supply), 2 in 1 Formula, Powerful Ingredients for Antioxidants, Supports Liver Function, Vegan</t>
  </si>
  <si>
    <t>B0812D49XG</t>
  </si>
  <si>
    <t>Magnesium Glycinate 400mg Gummies Grape Blueberry Flavor, 120 count</t>
  </si>
  <si>
    <t>B0F7NR5HSH</t>
  </si>
  <si>
    <t>Micro Ingredients Red Panax Ginseng 1200mg Per Serving, 200 Softgels | High Potency Korean Ginseng Extract with Active Ginsenosides, Non-GMO &amp; No Gluten</t>
  </si>
  <si>
    <t>B07S17DJS3</t>
  </si>
  <si>
    <t>Biotin 5000mcg with coconut oil</t>
  </si>
  <si>
    <t>B0DK64NZS8</t>
  </si>
  <si>
    <t>Micro Ingredients Black Seed Oil 2000 mg with Vitamin D3 1000 IU, 240 Softgels | Cold Pressed - Nigella Sativa Pills from Egypt, Virgin Oil, Odorless, Non-GMO &amp; No Gluten</t>
  </si>
  <si>
    <t>B08TB8VX8P</t>
  </si>
  <si>
    <t>Organic Black Cumin Seed (Nigella Sativa), 2lbs | Premium Grade Whole Black Seed from Egypt | Rich in Healthy Black Seed Oil | Raw Seeds for Baking, Seasoning, and Cooking | Non-GMO</t>
  </si>
  <si>
    <t>B0CG7S11B6</t>
  </si>
  <si>
    <t>Organic Kelp Powder Supplement, 2lbs | Sustainably US Grown, Raw Ascophyllum Nodosum Source | Rich in Iodine for Thyroid Support, Body Scrubs, &amp; Skin Care | Non-GMO, Vegan</t>
  </si>
  <si>
    <t>B01LFPNJ8S</t>
  </si>
  <si>
    <t>Micro Ingredients Sustainably US Grown, Organic Reishi Mushroom Powder, 8 Ounce, Pure Reishi Supplement 100:1 Extract (Reishi Mushroom)</t>
  </si>
  <si>
    <t>B01JNNAQVW</t>
  </si>
  <si>
    <t>Folic Acid 1,000 mcg, 500 Coconut Oil Softgels (1mg) | Essential Prenatal Vitamins (Vitamin B9) | 1,667 mcg DFE | Third Party Tested, No Artificial Colors or Flavors | Non-GMO, Gluten Free</t>
  </si>
  <si>
    <t>B087F3WYNW</t>
  </si>
  <si>
    <t>Organic Milk Thistle Extract, 3.5 Ounces, Pure Milk Thistle Powder Organic, Milk Thistle Tea, Contains 80% Active Silymarin, Strongly Supports Liver Health and Antioxidant, Vegan Friendly</t>
  </si>
  <si>
    <t>B01L2TGS30</t>
  </si>
  <si>
    <t>Vegan omega 3</t>
  </si>
  <si>
    <t>B0D3T51D3C</t>
  </si>
  <si>
    <t>Lutein &amp; Zeaxanthin 20mg Softgels, 400 Coun</t>
  </si>
  <si>
    <t>B0CVTTDTP9</t>
  </si>
  <si>
    <t xml:space="preserve">Pure KSM-66 Ashwagandha 1000mg vegetarian capsules 120 count </t>
  </si>
  <si>
    <t>B0F7NM5CXF</t>
  </si>
  <si>
    <t>Organic Broccoli Powder, 1 Pound, Freeze Dried, Contains Natural DIM (Diindolylmethane), and Rich in Fiber and Immune Vitamin C, Green Superfood for Smoothie &amp; Drinks, Vegan Friendly</t>
  </si>
  <si>
    <t>B07QQ3HTM5</t>
  </si>
  <si>
    <t>CoQ10 100mg with MCT Oil</t>
  </si>
  <si>
    <t>B0DK69D35M</t>
  </si>
  <si>
    <t>Micro Ingredients Organic Tart Cherry Powder, 4 Ounce, Sustainably US Grown, Uric Acid Cleanse, Antioxidant and Flavonoids, Enhance Joint Health, Sleep Cycles &amp; Immune System</t>
  </si>
  <si>
    <t>B07G3KLNM7</t>
  </si>
  <si>
    <t>Sustainably US Grown, Organic Cranberry Juice Powder (Wild Cranberry Supplements Cold Pressed), 8 Ounce, Enhance Urinary Tract Cleanse &amp; Prostate Health, Water Soluble and Pet Friendly</t>
  </si>
  <si>
    <t>B07G3L5SX7</t>
  </si>
  <si>
    <t>Sustainably US Grown, Organic Saw Palmetto Powder, 4 Ounce, with Active Fatty Acid, Pure Saw Palmetto Prostate &amp; Hair Growth Supplement, Healthy Urination Frequency &amp; Hair Loss Blocker Supplement</t>
  </si>
  <si>
    <t>B07WLMT9FS</t>
  </si>
  <si>
    <t>Magnesium Glycinate Powder 12oz</t>
  </si>
  <si>
    <t>B0DG3QT3M2</t>
  </si>
  <si>
    <t>Micro Ingredients Sustainably US Grown, Organic Dandelion Root Tea Powder, Pure Dandelion Supplement, 1 Pound (16 Ounce, 1 Year Supply)</t>
  </si>
  <si>
    <t>B079MTDMK8</t>
  </si>
  <si>
    <t>Super greens Superfood Powder 1lb</t>
  </si>
  <si>
    <t>B0DK7WVQQY</t>
  </si>
  <si>
    <t>Maximum Strength Organic Pure Horny Goat Weed with Active Icariins for Men and Women, 100 Grams, Organic Epimedium Powder for Energy and Immune System Booster, Filler Free and Vegan Friendly</t>
  </si>
  <si>
    <t>B01L2TGSVM</t>
  </si>
  <si>
    <t>Sustainably US Grown, Organic Shiitake Mushrooms Powder, 8 Ounce, Made from The Finest Dried Shiitake Mushroom, Stronger Umami Flavor Than Fresh Mushrooms, Great for Sauce, Soup and Pasta</t>
  </si>
  <si>
    <t>B08PXYB6RH</t>
  </si>
  <si>
    <t>2 Pack of Pure USDA Organic Acerola Cherry Powder, Natural and Organic Vitamin C for Immune System, 8 Ounce, No GMO, No Gluten, Brazil Origin</t>
  </si>
  <si>
    <t>B01L2TGTK2</t>
  </si>
  <si>
    <t>Organic Ground Ginger Powder, 2 Pounds (32 Ounce), Great Flavor and Highly Aromatic, Fine Loose Powder for Better Mixing without Settling, Best for Cooking, Baking, Tea &amp; More, Product of India</t>
  </si>
  <si>
    <t>B08TBBBJK8</t>
  </si>
  <si>
    <t>Organic Bee Pollen Granules, 1lb | Pure Fresh Harvest, Natural Superfood, Raw Sweet Flavor | Rich in B Vitamins, Minerals, Protein, &amp; Antioxidants | Keto, Non-GMO</t>
  </si>
  <si>
    <t>B0CLFGBK2B</t>
  </si>
  <si>
    <t>Micro Ingredients Full Spectrum Vitamin K2 MK-4 + MK-7 Supplement, 150 mcg, 300 Coconut Oil Softgles | Easily Absorbed, Active Menaquinone Complex | Immune, Joint, &amp; Heart Support | Non-GMO</t>
  </si>
  <si>
    <t>B087DZKHVW</t>
  </si>
  <si>
    <t>Micro Ingredients Riboflavin Vitamin B2, 400mg Per Serving, 180 Mini Tablets, Premium Vitamin B2 400mg Riboflavin Supplements, Easy to Swallow, Non-GMO</t>
  </si>
  <si>
    <t>B08C7BCJPM</t>
  </si>
  <si>
    <t>Micro Ingredients Vitamin B3 Nicotinamide 1,000mg Per Serving, 400 Capsules | Flush Free Niacin, Essential B Vitamin Supplement | Skin Care Health &amp; Energy Support | Non-GMO, Gluten Free</t>
  </si>
  <si>
    <t>B08C9MWZD9</t>
  </si>
  <si>
    <t xml:space="preserve">Pure Methylated B Complex 2 Pack </t>
  </si>
  <si>
    <t>B0FMC1W6ZH</t>
  </si>
  <si>
    <t>Micro Ingredients Biotin 10,000mcg w/Hyaluronic Acid 25mg | 360 Virgin Coconut Oil Softgels, Fast Release, One Year Supply, Supports Healthy Hair, Skin &amp; Nails, Non-GMO &amp; No Gluten</t>
  </si>
  <si>
    <t>B08MX3DD8G</t>
  </si>
  <si>
    <t>Organic Beet Root Powder, 4 Pounds | Cold Pressed, Water Soluble, High Concentrated Raw Beet Supplement | Superfood Drink Mix | Non-GMO, Vegan Friendly, Plant Based</t>
  </si>
  <si>
    <t>B01N20ON39</t>
  </si>
  <si>
    <t>Hair Vitamins Complex 240 capsules</t>
  </si>
  <si>
    <t>B0DLDXLQ4B</t>
  </si>
  <si>
    <t>Organic Dandelion Root Powder 8oz</t>
  </si>
  <si>
    <t>B0D2S4DZ7L</t>
  </si>
  <si>
    <t>Berberine 3000mg vegetarian capsules 240 count</t>
  </si>
  <si>
    <t>B0DW192P2Z</t>
  </si>
  <si>
    <t>Taurine Powder Supplement | 1 KG, 2000mg Per Serving | Unflavored | 100% Pure, Easily Absorbed Free Form | Essential Amino Acids for Exercise, Energy, &amp; Heart Support</t>
  </si>
  <si>
    <t>B0C88H675D</t>
  </si>
  <si>
    <t>Erythritol Granules, 6 Pounds (96 Ounce), 1:1 Sugar Substitute, No After Taste, 0 Calorie, Natural Sweetener, Erythritol Keto Sugar Substitute, Non-GMO, Vegan</t>
  </si>
  <si>
    <t>B07SZHV7RN</t>
  </si>
  <si>
    <t>Vitamin B2 Riboflavin 400mg</t>
  </si>
  <si>
    <t>B0F5M2GGC3</t>
  </si>
  <si>
    <t xml:space="preserve">CoQ10 400mg with MCT Oil Softgels 240 count </t>
  </si>
  <si>
    <t>B0F3FXTP4V</t>
  </si>
  <si>
    <t>Micro Ingredients Pure Vitamin C Crystal Powder (Water Soluble Vitamin C 1000mg Per Serving), 1 KG (2.2 Pounds), Immune Vitamins and Strong Antioxidant, Pure Ascorbic Acid Powder Supplement</t>
  </si>
  <si>
    <t>B01HFOJBG2</t>
  </si>
  <si>
    <t>Flaxseed Oil 1400mg Softgels, 300 Counts | w/ 700mg ALA Omega 3, Cold Pressed, Rich in Fatty Acids, Alpha Linolenic Acid, Support Heart Health &amp; Immune System | Non-GMO, No Gluten - 300 Servings</t>
  </si>
  <si>
    <t>B01DPW5TXW</t>
  </si>
  <si>
    <t>Micro Ingredients Organic Rhodiola Rosea Root Extract, 50g Powder | Adaptogenic Herb Based Supplement with Active Rosavins &amp; Salidrosides | Supports Energy &amp; Relaxation | No GMOs, Filler Free</t>
  </si>
  <si>
    <t>B01DPW5LN0</t>
  </si>
  <si>
    <t>Micro Ingredients Pure Bee Pollen Granules, 2lbs | Fresh Harvest, Natural Superfood, Raw Sweet Flavor | Rich in B Vitamins, Minerals, Protein, &amp; Antioxidants | Keto, Non-GMO</t>
  </si>
  <si>
    <t>B0BV3DFDK5</t>
  </si>
  <si>
    <t>Pure Birch Xylitol Sweetener (Xylitol Sugar Crystal Powder), 6 Pounds (96 Ounce &amp; 680 Serving), Natural Sweetener, 1:1 Brown Sugar Substitute and Low Calorie, Best for Baking and Cooking, No After Taste, Keto Friendly and Product of USA</t>
  </si>
  <si>
    <t>B07T5WW8LF</t>
  </si>
  <si>
    <t>Micro Ingredients Organic Acacia Senegal Powder, 2 Pounds (32 Ounce), Instant Soluble Fiber Powder, Plant-Based Prebiotic Superfood for Gut Health, Non-GMO, No Gluten, Vegan</t>
  </si>
  <si>
    <t>B09NQVBGQK</t>
  </si>
  <si>
    <t>Vegan Omega-7 Sea Buckthorn Oil 6000mg</t>
  </si>
  <si>
    <t>B0DS6MT295</t>
  </si>
  <si>
    <t>Allulose Sweetener, 3 Pounds (48 Ounces), Zero Calorie, Plant Based Sugar Alternative, No After Taste, Best for Coffee, Drinks, Tea, Cooking and Baking, Keto Diet and Vegan Friendly</t>
  </si>
  <si>
    <t>B08PY5ZJTX</t>
  </si>
  <si>
    <t>Micro Ingredients Melatonin 20mg Tablets, 400 Counts, Natural Strawberry Flavor, Fast Dissolve | No Drug, Vegetarian Friendly, Non-GMO &amp; No Gluten</t>
  </si>
  <si>
    <t>B07RY554K5</t>
  </si>
  <si>
    <t>Blood Booster 60 Capsules</t>
  </si>
  <si>
    <t>B0F8XQDMXS</t>
  </si>
  <si>
    <t>Electrolyte tablets tubes 40 tablets</t>
  </si>
  <si>
    <t>B0DK68J877</t>
  </si>
  <si>
    <t>Pure Organic Stevia Powder, 1lb</t>
  </si>
  <si>
    <t>B0D2LYMLJT</t>
  </si>
  <si>
    <t>Bariatric Multivitamin with 45mg Iron 240 Veggie Capsules</t>
  </si>
  <si>
    <t>B0F6H61S1J</t>
  </si>
  <si>
    <t>Calcium 1200mg with Vitamin D3K2 1000IU</t>
  </si>
  <si>
    <t>B0DDWNT45S</t>
  </si>
  <si>
    <t xml:space="preserve">Liposomal Vitamin C 1000mg 40 packets </t>
  </si>
  <si>
    <t>B0F3GDQTLS</t>
  </si>
  <si>
    <t>Monk Fruit Sweetener with Erythritol Granules, 4 Pounds, No After Taste, 1:1 White Sugar Substitute, Keto Diet Friendly, Zero Calorie, Natural Sweetener for Drinks, Coffee, Tea, Cookies, No-GMO, Vegan</t>
  </si>
  <si>
    <t>B07X4BL4GC</t>
  </si>
  <si>
    <t>Organic Tomato Powder 2lb</t>
  </si>
  <si>
    <t>B0CLFZXMRB</t>
  </si>
  <si>
    <t>Instant Bovine Colostrum Powder 8oz</t>
  </si>
  <si>
    <t>B0D3SNSJ47</t>
  </si>
  <si>
    <t xml:space="preserve">Vitamin D3K2 5000IU Golden Passion Fruit Flavor Gummies 120 count </t>
  </si>
  <si>
    <t>B0DS6MBN7J</t>
  </si>
  <si>
    <t>Vitamin D3 1,000 iu Plus K2 (MK-7) 25 mcg, 300 Virgin Coconut Oil Softgels</t>
  </si>
  <si>
    <t>B0CVTRSWQ1</t>
  </si>
  <si>
    <t>Micro Ingredients Antarctic Krill Oil Supplement, 1000mg Per Serving, 300 Soft-Gels, Rich in Omega-3s EPA, DHA &amp; Natural Astaxanthin, Supports Immune System &amp; Brain Health, Easy to Swallow</t>
  </si>
  <si>
    <t>B01JNNAN4C</t>
  </si>
  <si>
    <t>Micro Ingredients Organic European Black Elderberry Juice Powder, 4 Ounce, Cold Pressed, Flash Pasteurized for Safety, Supports Immune System, Energy and Vascular Health, No GMOs, Vegan Friendly</t>
  </si>
  <si>
    <t>B07QTCDMBW</t>
  </si>
  <si>
    <t>Micro Ingredients Organic Spirulina Supplement, 3000MG Per Serving, 720 Tablets (4 Month Supply), No Filler &amp; Non-GMO, Rich in Vegan Protein, Vitamins &amp; Prebiotics, Premium Spirulina Pills Organic</t>
  </si>
  <si>
    <t>B01DPW5DC4</t>
  </si>
  <si>
    <t>Pure Magnesium Flakes, 6lbs | Great for Foot &amp; Body Bath Soaks | Natural Magnesium Chloride Minerals | Better Absorption Over Epsom Salt | Relaxation &amp; Skin Hydration Support</t>
  </si>
  <si>
    <t>B0C9PGM325</t>
  </si>
  <si>
    <t>Vitamin D3 5000 iu Plus K2 (MK-7) 100 mcg, 300 Virgin Coconut Oil Softgels | 2 in 1 Vitamins D &amp; K Complex | Supports Calcium Absorption, Bone, Immune, &amp; Heart Health – Easy to Swallow</t>
  </si>
  <si>
    <t>B0CG7M9HWP</t>
  </si>
  <si>
    <t>Micro Ingredients Organic Camu Camu Powder, 12 oz | High Natural Vitamin C Level | Fresh Freeze-Dried Berries Source | Supports Energy and Immune Health | No GMOs, Vegan Friendly</t>
  </si>
  <si>
    <t>B01L2TGRFO</t>
  </si>
  <si>
    <t>Golden Monk Fruit Sweetener with Erythritol, 4 Pounds - No After Taste - Brown Sugar Substitute, Keto Diet Friendly, Zero Calorie, Natural Sweetener for Drinks, Coffee, Tea, Cookies, No-GMO, Vegan</t>
  </si>
  <si>
    <t>B0BCN5XPBX</t>
  </si>
  <si>
    <t xml:space="preserve">Ginkgo Ginseng Complex 5600mg </t>
  </si>
  <si>
    <t>B0DVMLWR97</t>
  </si>
  <si>
    <t>Micro Ingredients Vitamin E 1000 IU, 240 Softgels | Pure Vitamin E Oil Pills | Antioxidant Supplements for Skin, Face, &amp; Immune Health | Non-GMO, Gluten Free</t>
  </si>
  <si>
    <t>B0845QRGV5</t>
  </si>
  <si>
    <t>Indian Healing Clay Powder 2lb</t>
  </si>
  <si>
    <t>B0DDWH3NNX</t>
  </si>
  <si>
    <t>Melatonin Gummies 20mg</t>
  </si>
  <si>
    <t>B0F7NYGQ58</t>
  </si>
  <si>
    <t>Pure D-Mannose 1300mg with cranberry</t>
  </si>
  <si>
    <t>B0DLLMC7DS</t>
  </si>
  <si>
    <t>Hair, Skin &amp; Nails softgels 400 Count</t>
  </si>
  <si>
    <t>B0F4HSLBW8</t>
  </si>
  <si>
    <t>Lions Mane Capsules</t>
  </si>
  <si>
    <t>B0D68FCQVT</t>
  </si>
  <si>
    <t>Micro Ingredients 2 Pack Liver Detox, 480 Capsules</t>
  </si>
  <si>
    <t>B0FMBVXBNV</t>
  </si>
  <si>
    <t>Cranbery 400mg Vitamin C &amp; MCT 300 Softgel</t>
  </si>
  <si>
    <t>B0F5RKBCJJ</t>
  </si>
  <si>
    <t>Organic Spirulina Powder 2lb</t>
  </si>
  <si>
    <t>B0F3G992L6</t>
  </si>
  <si>
    <t xml:space="preserve">2pack Multi-Collagen Complex Capsules 240 count </t>
  </si>
  <si>
    <t>B0F6ZJ1NXP</t>
  </si>
  <si>
    <t>Beet Root 3000mg with grape seed &amp; CoQ10</t>
  </si>
  <si>
    <t>B0DK65FRV2</t>
  </si>
  <si>
    <t>Organic Freeze Dried Strawberries Sliced, 6.4oz | Fresh Raw Fruit Slices, Great Healthy Snacks or as a Garnish for Chocolate, Shortcake, and Smoothies | Non-GMO, 0 Sugar Added</t>
  </si>
  <si>
    <t>B0C9PLML31</t>
  </si>
  <si>
    <t>Nitric Oxide Booster 3600mg 240 tablets</t>
  </si>
  <si>
    <t>B0DK6684NK</t>
  </si>
  <si>
    <t>Ashwagandha 6000mg with MCT Oil Softgels</t>
  </si>
  <si>
    <t>B0DK6596L8</t>
  </si>
  <si>
    <t>L-Theanine + Magnesium Glycinate</t>
  </si>
  <si>
    <t>B0DK65BMV7</t>
  </si>
  <si>
    <t>Sustainably US Grown, Organic Sunflower Lecithin Powder, 1 Pound, Sustainable Farmed, Cold Pressed, Rich in Phosphatidyl Choline and Protein, Making Liposomal Vitamin C, Lactation Supplement, Non-GMO</t>
  </si>
  <si>
    <t>B01N02YNF5</t>
  </si>
  <si>
    <t>Hair Vitamins Complex, 120 Capsules</t>
  </si>
  <si>
    <t>B0CVTRS7KJ</t>
  </si>
  <si>
    <t>D Mannose Powder, 8.8 Ounce, Pure Mannose Supplement, Quick Water Soluble, Support Urinary Tract Cleanse &amp; Bladder Health, Premium Mannose for Women and Men, Vegan Friendly</t>
  </si>
  <si>
    <t>B01L2TFP1Q</t>
  </si>
  <si>
    <t>Micro Ingredients Antarctic Krill Oil Supplement, 2,000mg Per Serving, 240 Softgels, Triple Strength, Rich in Omega-3s EPA, DHA &amp; Natural Astaxanthin, Supports Immune System &amp; Brain Health</t>
  </si>
  <si>
    <t>B0C35GYDV3</t>
  </si>
  <si>
    <t>Omega-3 for Kids 240 Chewable Veggie Softgel</t>
  </si>
  <si>
    <t>B0F4HHCGGC</t>
  </si>
  <si>
    <t>Myo + D-Chiro Inositol Blend Powder 2lb</t>
  </si>
  <si>
    <t>B0F1QXFLBK</t>
  </si>
  <si>
    <t>Golden Monk Fruit Sweetener with Allulose, 2 lbs | No Erythritol, No Aftertaste, 1:1 Brown Sugar Substitute | Zero Calorie, Great for Drinks, Coffee, Tea, Cookies | Keto, Vegan, Non-GMO</t>
  </si>
  <si>
    <t>B0C9P7L7YJ</t>
  </si>
  <si>
    <t>Ultra Omega 3-6-9 3600mg Perserv, 300 Burpless Softgels | Lemon Flavor – Blend of Fish, Flaxseed, Borage Oils | Bioavailable Source, Non-GMO, No Gluten, Mercury Free</t>
  </si>
  <si>
    <t>B07RD8T952</t>
  </si>
  <si>
    <t>Beef Gelatin Powder | Grass Fed, 2lbs | Unflavored Thickening Agent, Pasture Raised Source, Rich in Natural Protein | Great for Cooking &amp; Baking | Non-GMO</t>
  </si>
  <si>
    <t>B0C35DQQM9</t>
  </si>
  <si>
    <t>Organic Sunflower Seeds (Kernels) 4lb</t>
  </si>
  <si>
    <t>B0CLFLQ8DJ</t>
  </si>
  <si>
    <t xml:space="preserve">Pure Methylated Prenatal Vitamins for Women 240 Veggie Capsules </t>
  </si>
  <si>
    <t>B0F8FYNB8X</t>
  </si>
  <si>
    <t>Micro Ingredients Maximum Strength Organic Korean Ginseng Root 200:1 Powder, 4 Ounce, Red Panax Ginseng Powder, Active Ginsenosides, Vegan Friendly</t>
  </si>
  <si>
    <t>B079MNQXLF</t>
  </si>
  <si>
    <t>Micro Ingredients Glycine Powder, 1KG (2.2 Pounds), Glycine 1000mg Per Serving, Supports Restful Sleep and Neurotransmitter, Water Soluble and Products of USA</t>
  </si>
  <si>
    <t>B01LBILPCG</t>
  </si>
  <si>
    <t xml:space="preserve">Multi-Collagen Peptides Powder 8oz </t>
  </si>
  <si>
    <t>B0D2S5S6D7</t>
  </si>
  <si>
    <t>Micro Ingredients Organic Beet Root Juice Powder, 1 Pound -Superfood Drink Mix | Non-GMO</t>
  </si>
  <si>
    <t>B01N32M7BR</t>
  </si>
  <si>
    <t xml:space="preserve">Organic Instant Mushroom Coffee 14oz </t>
  </si>
  <si>
    <t>B0CWN8C5KR</t>
  </si>
  <si>
    <t>Organic Pomegranate Juice Powder, 1 Pound (91 Serving), Freeze Dried &amp; Cold Pressed, Natural Vitamin C (Immune Vitamin), Support Immune System, Organic Flavor for Smoothie &amp; Beverage, Vegan Friendly</t>
  </si>
  <si>
    <t>B01HN63W4Y</t>
  </si>
  <si>
    <t>Organic Maca Root Powder, 2 Pound, Gelatinized for Better Absorption, Rich in Antioxidants, Help Energy, Stamina, Endurance, Strength and Immune System, No GMOs, Vegan Friendly and Peru Origin</t>
  </si>
  <si>
    <t>B01JNM6NTW</t>
  </si>
  <si>
    <t>Pure Acerola Cherry Powder Organic, Natural Organic Vitamin C for Immune System Booster, 8 Ounce, Best Superfoods for Beverage, Smoothie and Drinks, Vegan Friendly, Brazil Origin</t>
  </si>
  <si>
    <t>B06XC72G8G</t>
  </si>
  <si>
    <t>Micro Ingredients Organic Lions Mane Mushroom Supplement Powder, 16 Ounce | Sustainably US Grown, Nootropic for Mental Clarity, Energy, &amp; Immune Support | Non-GMO, Vegan</t>
  </si>
  <si>
    <t>B07P2CWWVV</t>
  </si>
  <si>
    <t>Micro Ingredients Quercetin with Vitamin C and Zinc, 240 Capsules | Quercetin 500mg, Vitamin C 500mg, Zinc 50mg (Picolinate, Citrate, Glycinate, Gluconate) | Complete Immune Support Supplements</t>
  </si>
  <si>
    <t>B087Z8PSW6</t>
  </si>
  <si>
    <t>Organic Chlorella Spirulina Tablets, 3000mg Per Serving, 720 Counts, 4 Months Supply, 50/50 Blend Superfood, No Filler, No Additives, Cracked Cell Wall, Rich in Vegan Protein &amp; Chlorophyll</t>
  </si>
  <si>
    <t>B01DPW5JSW</t>
  </si>
  <si>
    <t>2 Pack Vitamin D3 5000IU Plus K2, 2 in 1 Formula, Vitamin D3 Liquid with Vitamin K2, 300 Soft-Gels, Immune Vitamin Complex with Virgin Sunflower Seed Oil, Support Your Heart, Teeth &amp; Joint Health</t>
  </si>
  <si>
    <t>B07VF2S2LC</t>
  </si>
  <si>
    <t>L Methylfolate 15mg with B6 Plus Methyl B12</t>
  </si>
  <si>
    <t>B0F5S1V6ZQ</t>
  </si>
  <si>
    <t xml:space="preserve">Saw Palmetto 4800mg with Pumpkin Seed Oil softgels 240 count </t>
  </si>
  <si>
    <t>B0F5M6PZSY</t>
  </si>
  <si>
    <t xml:space="preserve">Pure Methylated Multivitamin 2pk </t>
  </si>
  <si>
    <t>B0FMBGZZM1</t>
  </si>
  <si>
    <t>Organic Ceylon Cinnamon Powder | 2 Lb - [Sourced from Sri Lanka] - Inner Bark Cinnamomum Verum, Delicate Flavor and Aroma, Third Party Tested for Purity, Vegan, Non-GMO &amp; Gluten Free</t>
  </si>
  <si>
    <t>B01BHF3IXM</t>
  </si>
  <si>
    <t>Vitamin D3 5000IU with coconut oil</t>
  </si>
  <si>
    <t>B0DGRWCTN8</t>
  </si>
  <si>
    <t>L Tyrosine Supplement 500mg with Omega-3</t>
  </si>
  <si>
    <t>B0F5S28X8S</t>
  </si>
  <si>
    <t>Pure Magnesium Glycinate 1000mg with Vitamin C</t>
  </si>
  <si>
    <t>B0DLLLZD5K</t>
  </si>
  <si>
    <t>Organic Celery Juice Powder, 20 Ounce (1.25 Pound), 71 Serving, Celery Detox and Cold Pressed, Boosts Immune System, Energy and Supports Gut Health, Rich in Immune Vitamin C and Minerals, Vegan</t>
  </si>
  <si>
    <t>B0846SDQZG</t>
  </si>
  <si>
    <t xml:space="preserve">Green Tea 9000mg capsules 300 count </t>
  </si>
  <si>
    <t>B0DVMFPFJ1</t>
  </si>
  <si>
    <t>Red Yeast Rice 1200mg with CoQ10 100mg 240 Veggie Capsules</t>
  </si>
  <si>
    <t>B0F7NQ81NX</t>
  </si>
  <si>
    <t>Vitamin D3 50,000 IU Plus K2 (MK-7) 200 mcg, 240 Virgin Coconut Oil Softgels | 2 in 1 Vitamins D &amp; K Complex | Supports Calcium Absorption, Bone, Immune, &amp; Heart Health | Easy to Swallow</t>
  </si>
  <si>
    <t>B0C35N273V</t>
  </si>
  <si>
    <t>Pure Methylated B Complex with Vitamin C</t>
  </si>
  <si>
    <t>B0DLLHRVLY</t>
  </si>
  <si>
    <t xml:space="preserve">Glucosamine Chondroitin 4000mg </t>
  </si>
  <si>
    <t>B0DK683WHV</t>
  </si>
  <si>
    <t xml:space="preserve">Niacin (Vitamin B3) 500mg capsules 400 count </t>
  </si>
  <si>
    <t>B0DLLJLMKD</t>
  </si>
  <si>
    <t>Organic Mega 10 Mushroom Powder 5oz</t>
  </si>
  <si>
    <t>B0D2S5M4DK</t>
  </si>
  <si>
    <t>Organic Matcha Green Tea Powder, 2 Pound (32 Ounce), Culinary Grade - Unflavored - First Harvest Authentic Japanese Origin, 100% Pure Matcha for Smoothies, Latte and Baking, Non-GMO, Non-Irradiation</t>
  </si>
  <si>
    <t>B09TG3RDGS</t>
  </si>
  <si>
    <t>Electrolyte Powder Strawberry &amp; Kiwi Flavor 2lb</t>
  </si>
  <si>
    <t>B0FGKJCC9X</t>
  </si>
  <si>
    <t>Pure Liposomal NAD+ 9000mg for women</t>
  </si>
  <si>
    <t>B0F8FP7F8T</t>
  </si>
  <si>
    <t>Pure Organic Stevia Powder, 8 Ounces, 1418 Serving, High Grade Stevia Green Leaf Extract Reb-A, Reduced Bitter Aftertaste, 0 Calorie, Natural Sweetener, Sugar Alternative, Keto Friendly</t>
  </si>
  <si>
    <t>B01DPW5H84</t>
  </si>
  <si>
    <t>Creatine Monohydrate 5,000mg, 500 Capsules | Pure Creatine Pills – Micronized + Unflavored Powder Source, Easy Absorption | Pre Workout &amp; Muscle Health Support | Keto, Non-GMO</t>
  </si>
  <si>
    <t>B0B9289VLY</t>
  </si>
  <si>
    <t>Organic Whole Cinnamon Stick, 2lbs | 2 ¾” Stick Size | Raw Cinnamon Spice Flavor &amp; Aroma | Great for Tea, Desserts, or Cooking | Non-GMO, Vegan Friendly, Bulk Supply</t>
  </si>
  <si>
    <t>B0C9PGM2LW</t>
  </si>
  <si>
    <t>Organic Fortified Nutritional Yeast Flakes, 2LB | Rich in Vegan Protein, B Vitamins, &amp; Beta-Glucans | Keto Friendly, Dairy Free Cheese Substitute, Non-GMO, Gluten Free</t>
  </si>
  <si>
    <t>B0C35PK9GJ</t>
  </si>
  <si>
    <t xml:space="preserve">Milk Thistle 6000mg with Grape Seed Oil softgels 360 count </t>
  </si>
  <si>
    <t>B0F5S4X7L6</t>
  </si>
  <si>
    <t>Beet Root 300mg with MCT Oil 360 softgels</t>
  </si>
  <si>
    <t>B0F5LZYS78</t>
  </si>
  <si>
    <t>Pure Myo &amp; D-Chiro Inositol 2050mg caps</t>
  </si>
  <si>
    <t>B0F4HQ6C1C</t>
  </si>
  <si>
    <t xml:space="preserve">Multi Collagen Peptides Packets 40-count </t>
  </si>
  <si>
    <t>B0D3FQWRV4</t>
  </si>
  <si>
    <t>Nattokinase 4,000 FU Equivalent 240 Softgels with MCT Oil</t>
  </si>
  <si>
    <t>B0F5MHP4Q8</t>
  </si>
  <si>
    <t>Vitamin D3 2,000 iu Plus K2 (MK-7) 50 mcg, 300 Virgin Coconut Oil Softgels</t>
  </si>
  <si>
    <t>B0CVTDBXW5</t>
  </si>
  <si>
    <t>R Alpha Lipoic Acid 600mg 120 Softgels</t>
  </si>
  <si>
    <t>B0F5LP6MH6</t>
  </si>
  <si>
    <t xml:space="preserve">Astaxanthin 24mg Softgels 60 count </t>
  </si>
  <si>
    <t>B0F4M8Y6V6</t>
  </si>
  <si>
    <t>Triple Magnesium Complex (Glycinate + Malate + Taurate) 400mg capsules 300 count</t>
  </si>
  <si>
    <t>B0DLLHGKDM</t>
  </si>
  <si>
    <t xml:space="preserve">Pure L-Lysine 2000mg </t>
  </si>
  <si>
    <t>B0DVM9M4DS</t>
  </si>
  <si>
    <t>Liposomal NAD+ Ultimate 1000mg</t>
  </si>
  <si>
    <t>B0F8FZSPTY</t>
  </si>
  <si>
    <t xml:space="preserve">Bromelain 500mg with Quercetin &amp; MCT Oil </t>
  </si>
  <si>
    <t>B0F5M2HRX9</t>
  </si>
  <si>
    <t>Magnesium Glycinate 1500mg</t>
  </si>
  <si>
    <t>B0DWCQGFWP</t>
  </si>
  <si>
    <t xml:space="preserve">Maca Root Complex 5000mg </t>
  </si>
  <si>
    <t>B0DW1M7VQK</t>
  </si>
  <si>
    <t>Organic Black Seed Oil Bottle 16 fl oz (473mL)</t>
  </si>
  <si>
    <t>B0CVR6MX33</t>
  </si>
  <si>
    <t>Micro Ingredients Odorless Garlic 7500mg Per Servings, 300 Softgels | 2 Years Aged Garlic Extract, Grown Allium Sativum Bulb | Potent Antioxidant Supplement, Immune Support, and Heart Health</t>
  </si>
  <si>
    <t>B0812DJRSK</t>
  </si>
  <si>
    <t>Organic Lion's Mane Powder 8oz</t>
  </si>
  <si>
    <t>B0D2S6H23L</t>
  </si>
  <si>
    <t>Pure Methylated Multivitamin for Women</t>
  </si>
  <si>
    <t>B0F8FWJN2Q</t>
  </si>
  <si>
    <t>Pure Magnesium Citrate 500mg with Vitamin C</t>
  </si>
  <si>
    <t>B0DLLJ7HTQ</t>
  </si>
  <si>
    <t>Organic Non-Fortified Nutritional Yeast Flakes, 2 Pounds | Rich in Vegan Protein, B Vitamins &amp; Beta-glucans | Keto Friendly, Dairy Free Cheese Substitute, Non-GMO, Gluten Free</t>
  </si>
  <si>
    <t>B0BCMNBZPR</t>
  </si>
  <si>
    <t xml:space="preserve">Pure Turmeric Curcumin 95% 1000mg </t>
  </si>
  <si>
    <t>B0DS6LCFRH</t>
  </si>
  <si>
    <t>Sustainably US Grown, Organic Mega Mushroom 10 in 1 Complex Formula Powder for Immune System Booster, 10 Ounce (284 Days Supply), Chaga, Lions Mane, Cordyceps, Reishi &amp; More, Filler Free, Vegan</t>
  </si>
  <si>
    <t>B07RG8MMXW</t>
  </si>
  <si>
    <t xml:space="preserve">Ceylon Cinnamon 600mg  300 count </t>
  </si>
  <si>
    <t>B0F5RHY51V</t>
  </si>
  <si>
    <t xml:space="preserve">Pumpkin Seed Oil Softgels 150 count </t>
  </si>
  <si>
    <t>B0F3B84SDQ</t>
  </si>
  <si>
    <t>2 Pack Pure Turmeric Curcumin</t>
  </si>
  <si>
    <t>B0FBP4NMKK</t>
  </si>
  <si>
    <t>Natural Astaxanthin 12mg, 90 Softgels, 3 Month Supply, Premium Astaxanthin Supplements (MicroAlgae), Supports Eye, Joint, Internal Circulation Health and Antioxidant, Easy to Swallow</t>
  </si>
  <si>
    <t>B08MWZQ4S6</t>
  </si>
  <si>
    <t xml:space="preserve">Turmeric Curcumin 3000mg with MCT Oil </t>
  </si>
  <si>
    <t>B0DK66NCWL</t>
  </si>
  <si>
    <t>Organic Inulin FOS Powder (Jerusalem Artichoke), 2.2 Pounds (35 Ounce), Quick Water Soluble, Prebiotic Intestinal Support for Colon and Gut Health, Natural Fibers for Smoothie &amp; Drinks, Vegan Friendly</t>
  </si>
  <si>
    <t>B074WKCPS4</t>
  </si>
  <si>
    <t>Micro Ingredients Oil of Oregano Softgels 6000mg Per Serving, 300 Count | with Black Seed Oil, 4X Strength Carvacrol &amp; Thymoquinone | Plant Based, Non-GMO | Antioxidant &amp; Immune Support</t>
  </si>
  <si>
    <t>B0BXYKQBDC</t>
  </si>
  <si>
    <t>Pumpkin Seed Oil with Saw Palmetto, 3,000mg Per Serving, 300 Softgels | Cold Pressed, Pure Virgin Oil, Herbal Supplement | Supports Urinary, Bladder &amp; Prostate Health | Non-GMO</t>
  </si>
  <si>
    <t>B01BHF3KRG</t>
  </si>
  <si>
    <t>Micro Ingredients Vitamin D3 5000 IU with K2 100 mcg, 300 Soft-Gels | K2 MK-7 with D3 Vitamin Supplement, 2 in 1 Support Immune, Heart, Joint, Teeth &amp; Bone Health - Easy to Swallow</t>
  </si>
  <si>
    <t>B07RX4P4RL</t>
  </si>
  <si>
    <t>Vitamin D3 10000 iu Plus K2 (MK-7) 200 mcg, 180 Virgin Coconut Oil Softgels| 2 in 1 Vitamins D &amp; K Complex | Supports Calcium Absorption, Bone, Immune, &amp; Heart Health – Easy to Swallow</t>
  </si>
  <si>
    <t>B07YMJLTR6</t>
  </si>
  <si>
    <t>Total Unit</t>
  </si>
  <si>
    <t>Diff Unit</t>
  </si>
  <si>
    <t>Total Spend</t>
  </si>
  <si>
    <t>Total Ad Sales</t>
  </si>
  <si>
    <t>Total Diff</t>
  </si>
  <si>
    <t>ACOS</t>
  </si>
  <si>
    <t>Tcos</t>
  </si>
  <si>
    <t>November</t>
  </si>
  <si>
    <t>JC</t>
  </si>
  <si>
    <t>CL</t>
  </si>
  <si>
    <t>HL</t>
  </si>
  <si>
    <t>GP</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</si>
  <si>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</si>
  <si>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</si>
  <si>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</si>
  <si>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Magnesium Complex Supplement 500mg, 300 Capsules | 10 Active Forms – Glycinate, Citrate, Taurate, Plus More | 100% Chelated &amp; Purified | Bone, Heart, &amp; Muscle Support | Non-GMO</t>
  </si>
  <si>
    <t>B0C2SLBPRK</t>
  </si>
  <si>
    <t>Creatine Monohydrate Jar 1kg</t>
  </si>
  <si>
    <t>B0DJWVMRR9</t>
  </si>
  <si>
    <t>2 Pack Magnesium Glycinate 500mg, 480 Capsules – 100% Chelated for Max Absorption – Bioavailable Mineral Supplement for Muscle, Joint, Enzyme, &amp; Heart Health</t>
  </si>
  <si>
    <t>B07RD4DFNZ</t>
  </si>
  <si>
    <t xml:space="preserve">Electrolyte Powder Lemon &amp; Raspberry Flavor 500g </t>
  </si>
  <si>
    <t>B0CX3GYCNN</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</si>
  <si>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</si>
  <si>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</si>
  <si>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</si>
  <si>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Hyaluronic Acid Supplements 250mg | 240 Capsules, with Biotin 5000mcg &amp; Vitamin C 25mg, 3 in 1 Support - Skin Hydration, Joint Lubrication, Hair and Eye Health</t>
  </si>
  <si>
    <t>B076FH7639</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</si>
  <si>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</si>
  <si>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</si>
  <si>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</si>
  <si>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 xml:space="preserve">Multi Collagen Complex capsules 300 count </t>
  </si>
  <si>
    <t>B0F11WDDHF</t>
  </si>
  <si>
    <t>Berberine Supplement 500mg | 300 Veggie Capsules, 97% Pure Berberine HCL, 5:1 Root Extract – Healthy Glucose Metabolism &amp; Immune Support – Plant Based, Vegan, Non-GMO</t>
  </si>
  <si>
    <t>B0C7FF131K</t>
  </si>
  <si>
    <t>CoQ10 (Ubiquinone) 400mg with Omega 3 Fatty Acids, 240 Capsules | Stable High Absorption Form – Antioxidant Support for Heart &amp; Energy Health – Extra Strength Coenzyme Q10 Supplement</t>
  </si>
  <si>
    <t>B0BSP5GTMQ</t>
  </si>
  <si>
    <t>Vitamin D3 K2 (10,000 IU Vitamin D + 200mcg Vitamin K MK-7) 240 Softgels with Coconut Oil for Complete Absorption | Bone, Heart, Immune, &amp; Calcium Support | One a Day, Non-GMO</t>
  </si>
  <si>
    <t>B0C6WY48KJ</t>
  </si>
  <si>
    <t>NatureBell Moringa Oleifera 8000mg Per Serving | 240 Capsules, Made with Organic Moringa Leaf Powder, Non-GMO, Gluten Free, Superfood Antioxidant, Skin Health &amp; Immune Support</t>
  </si>
  <si>
    <t>B07MTTBMD1</t>
  </si>
  <si>
    <t xml:space="preserve">Magnesium Oxide 400mg capsules 400 counts </t>
  </si>
  <si>
    <t>B0F11PGHN9</t>
  </si>
  <si>
    <t>NatureBell DHEA 100mg, 240 Capsules | Extra Strength, Micronized Grade for Better Absorption, Supports Energy Level, Metabolism and Healthy Aging for Men and Women, No GMOs and Made in U.S.A</t>
  </si>
  <si>
    <t>B074Q2KK6Z</t>
  </si>
  <si>
    <t>NatureBell Quercetin 1000mg Per Serving | 240 Capsules, Ultra Strength Quercetin Supplement | Bioflavonoids for Healthy Immune Support, Third Party Tested, Non-GMO &amp; No Gluten</t>
  </si>
  <si>
    <t>B07H9LGDPM</t>
  </si>
  <si>
    <t>NatureBell Organic Myco Guardians 10 in 1 Mushroom Powder, 10oz | Fresh Superfood Mushrooms Complex – Lions Mane, Turkey Tail, 8 More | Immune Booster &amp; Brain Health Supplement | No Fillers</t>
  </si>
  <si>
    <t>B0C485JWYV</t>
  </si>
  <si>
    <t>NatureBell Everyday Fruits and Vegetables Supplements, 480 Total Vegetarian Capsules</t>
  </si>
  <si>
    <t>B0CMK41YYD</t>
  </si>
  <si>
    <t>Valerian Root Complex 5000mg</t>
  </si>
  <si>
    <t>B0F11D462D</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</si>
  <si>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</si>
  <si>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</si>
  <si>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</si>
  <si>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Citrus Bergamot 5000mg</t>
  </si>
  <si>
    <t>B0CFPBNWCF</t>
  </si>
  <si>
    <t>Triple Complex Magnesium Supplement, 240 Capsules | Magnesium Glycinate 500mg with Citrate &amp; Malate | Chelated &amp; Purified | Bone, Heart, &amp; Muscle Support | Non-GMO</t>
  </si>
  <si>
    <t>B0CMK2Z12X</t>
  </si>
  <si>
    <t xml:space="preserve">Boron 10mg with MCT Oil softgels 300 counts </t>
  </si>
  <si>
    <t>B0F11Z2BLQ</t>
  </si>
  <si>
    <t>Organic Lion's Mane Powder</t>
  </si>
  <si>
    <t>B0CFP9DF3C</t>
  </si>
  <si>
    <t>NatureBell 2 Pack Ceylon Cinnamon 9000mg Per Serving, 480 Capsules, Made with Organic Ceylon Cinnamon Plus Bitter Melon, Non-GMO</t>
  </si>
  <si>
    <t>B08DK1M6FL</t>
  </si>
  <si>
    <t>Organic Mushroom Coffee with MCT Oil</t>
  </si>
  <si>
    <t>B0DS6Q88VS</t>
  </si>
  <si>
    <t xml:space="preserve">Advanced Glucosamine </t>
  </si>
  <si>
    <t>B0D85XVGMQ</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</si>
  <si>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</si>
  <si>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</si>
  <si>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</si>
  <si>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</si>
  <si>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Digestive Enzymes with Prebiotics | 240 Veggie Capsules - 20 Enzyme &amp; 5 Prebiotic Complex – Support Gut Health, Bloating Relief for Women &amp; Men, Non-GMO, Vegan Friendly</t>
  </si>
  <si>
    <t>B0CJK5JRPV</t>
  </si>
  <si>
    <t>NAC Supplement (N-Acetyl Cysteine) with Quercetin, 1,200mg Per Serving, 240 Capsules | Double Strength Antioxidant Support for Immune, Liver, &amp; Lung Health – Non-GMO</t>
  </si>
  <si>
    <t>B0866BQP63</t>
  </si>
  <si>
    <t>DHEA 50mg</t>
  </si>
  <si>
    <t>B0CX3MJQKM</t>
  </si>
  <si>
    <t>2 Pack NAC Supplement (N-Acetyl Cysteine) with Quercetin, 1,200mg Per Serving, 480 Capsules | Double Strength Antioxidant Support for Immune, Liver, &amp; Lung Health – Non-GMO</t>
  </si>
  <si>
    <t>B086QBQ7X4</t>
  </si>
  <si>
    <t>Magnesium Complex 400mg Supplement, 300 Capsules | Magnesium Glycinate + Citrate Elemental Forms – Essential Minerals for Heart, Muscle, &amp; Digestion Support – Non-GMO &amp; No Gluten</t>
  </si>
  <si>
    <t>B0BSP3CD3N</t>
  </si>
  <si>
    <t>NatureBell Psyllium Husk Powder, 3 Lbs(48 Oz), 9000mg Per Serving - Unflavored | No Fillers, No Additives, Gluten Free, Soluble Fiber, Great for Gut Health, Keto Baking, Mixing Shakes, Juices &amp; More</t>
  </si>
  <si>
    <t>B09ZPVMQ9F</t>
  </si>
  <si>
    <t>L Tyrosine Supplement, 1,500mg Per Serving, 240 Capsules | Essential Amino Acids – Brain Health Support for Memory, Cognitive Health, and Mental Alertness – Non-GMO</t>
  </si>
  <si>
    <t>B08X6JSZ69</t>
  </si>
  <si>
    <t>Choline 500mg with Omega-3 capsules 240 count</t>
  </si>
  <si>
    <t>B0D85V6X3G</t>
  </si>
  <si>
    <t xml:space="preserve">Advanced Electrolyte hydration capsules </t>
  </si>
  <si>
    <t>B0DDCW84F6</t>
  </si>
  <si>
    <t>Liver Cleanse Detox &amp; Repair Supplement, 240 Veggie Capsules</t>
  </si>
  <si>
    <t>B0CWN5QQ8V</t>
  </si>
  <si>
    <t xml:space="preserve">Psyllium Husk 2000mg capsules 360 counts </t>
  </si>
  <si>
    <t>B0F11QQ8ND</t>
  </si>
  <si>
    <t>Naturebell Ginkgo Biloba Extract 500mg Per Serving, 300 Capsules | GinkoVida | Extra Strength Ginko Biloba Supplement - Promote Memory, Focus and Brain Health</t>
  </si>
  <si>
    <t>B09F4ML3FF</t>
  </si>
  <si>
    <t>Huperzine A 400mcg Per Serving, 180 Capsules, (Huperzine A Supplement), Supports Focus, Cognition, Memory and Learning Ability, Premium Brain Health Supplement, No GMOs</t>
  </si>
  <si>
    <t>B07BKSH9GW</t>
  </si>
  <si>
    <t xml:space="preserve">Potassium Citrate 99mg capsules 500 count </t>
  </si>
  <si>
    <t>B0DDCTG43B</t>
  </si>
  <si>
    <t>NatureBell 2 Pack Plant Based Hyaluronic Acid Supplements 250mg with 25mg Vitamin C &amp; Biotin 5000mcg, 480 Total Capsules | Essential for Hair Growth, Joint Support, &amp; Hydrating Skin | Non-GMO</t>
  </si>
  <si>
    <t>B07GBMPZKD</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</si>
  <si>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</si>
  <si>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</si>
  <si>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</si>
  <si>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</si>
  <si>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</si>
  <si>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NatureBell Astaxanthin 12mg, 240 Softgels, Made with Astax (Max Strength from MicroAlgae), Natural Antioxidant for Skin &amp; Eye Health – Non-GMO &amp; No Gluten, 4 Month Supply</t>
  </si>
  <si>
    <t>B0923B4XLX</t>
  </si>
  <si>
    <t>NatureBell Resveratrol Supplement 1000mg Per Serving, 180 Veggie Capsules, 99% Pure Trans-Resveratrol, Antioxidant for Healthy Aging, Brain, &amp; Heart Support – Non-GMO</t>
  </si>
  <si>
    <t>B0C2SCVL8Z</t>
  </si>
  <si>
    <t>Organic Matcha Green Tea Powder Jar, 2lbs</t>
  </si>
  <si>
    <t>B0DT2NH3V9</t>
  </si>
  <si>
    <t>NatureBell 2 Pack Hyaluronic Acid Supplements 2000mg | 480 Total Capsules, with MSM &amp; Multi Collagen – 3 in 1 Support – Skin Hydration, Joint Lubrication, Hair, and Eye Health</t>
  </si>
  <si>
    <t>B01FL9DFR4</t>
  </si>
  <si>
    <t>NatureBell Vitamin B2 Riboflavin 400mg Per Serving, 240 Capsules | Essential Daily B Vitamin, Easily Absorbed Form – Supports Energy, Skin, and Cellular Health – Non-GMO, Gluten Free</t>
  </si>
  <si>
    <t>B0BSP461K1</t>
  </si>
  <si>
    <t>2 Pack Magnesium Citrate 500mg, 480 Capsules | High Purity Elemental Form – Extra Strength | Essential Mineral for Heart, Muscle, &amp; Digestion Support – Non-GMO &amp; No Gluten</t>
  </si>
  <si>
    <t>B07755F5YT</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</si>
  <si>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</si>
  <si>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</si>
  <si>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</si>
  <si>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</si>
  <si>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Lutein 40mg and Zeaxanthin 1,600mcg Per Serving, 360 Softgels | 4 in 1 with Omega-3s, Astaxanthin, &amp; Phospholipids – Marigold Flower Extract – Eye Antioxidant Vitamins – Non-GMO</t>
  </si>
  <si>
    <t>B0C2S5MC6J</t>
  </si>
  <si>
    <t>NatureBell Glutathione Supplement 1000mg, 180 Veggie Capsules | 98%+ Purity Verified, Bioavailable Reduced Glutathione Pills, Active Form, Master Antioxidant – Vegan Friendly &amp; Non-GMO</t>
  </si>
  <si>
    <t>B09KTCYFZ7</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</si>
  <si>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</si>
  <si>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</si>
  <si>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</si>
  <si>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 xml:space="preserve">Magnesium Taurate 1500mg 240 Capsules </t>
  </si>
  <si>
    <t>B0CWK143JD</t>
  </si>
  <si>
    <t>NatureBell Lions Mane Supplement 9,000mg Per Serving, 240 Veggie Capsules | Made with Organic Lion’s Mane Powder Extract – Cognitive Brain Nootropic &amp; Immune Health Mushroom – Non-GMO</t>
  </si>
  <si>
    <t>B0CJK6YZYX</t>
  </si>
  <si>
    <t>St John's Wort Supplement, 1500mg Per Serving with 2250mcg Hypericin, 2 in 1 Formula St John's Wort Complex, 200 Capsules, Promote Emotional Balance, Joyful Mood &amp; Stress Response</t>
  </si>
  <si>
    <t>B07H9JTLWY</t>
  </si>
  <si>
    <t>Magnesium Glycinate 500mg vegetarian</t>
  </si>
  <si>
    <t>B0DNVCPMYW</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</si>
  <si>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</si>
  <si>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</si>
  <si>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</si>
  <si>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NatureBell Fadogia Agrestis 600mg Complexed with Tongkat Ali 400mg, 180 Capsules, Optimal Dosage for Enhanced Bioavailability, 20:1 Fadogia Argrestis Extract Indonesia Tongkat-Ali (Longjack)</t>
  </si>
  <si>
    <t>B09WJV9D1Y</t>
  </si>
  <si>
    <t>NatureBell Quercetin 500mg Per Serving | 300 Capsules, Ultra Strength Quercetin Supplement | Bioflavonoids for Healthy Immune Support, Third Party Tested, Non-GMO &amp; No Gluten</t>
  </si>
  <si>
    <t>B0B8TJLSSP</t>
  </si>
  <si>
    <t>2 Pack Olive Leaf Extract 30000mg, 480 Total Capsules | 40% Active Oleuropein, 50:1 Herbal Equivalent – Rich in Polyphenol &amp; Flavonoid Antioxidants for Immune &amp; Heart Health – Non-GMO</t>
  </si>
  <si>
    <t>B07VNJ97G1</t>
  </si>
  <si>
    <t>Advanced Turkey Tail Quercetin Supplements, Turkey Tail (Coriolus Versicolor) with Quercetin 1100mg Per Serving, 180 Counts, 2 in 1 Formula, Immune System Booster, Daily Mushroom Mycelium Supplement</t>
  </si>
  <si>
    <t>B07YF52935</t>
  </si>
  <si>
    <t>NatureBell Melatonin 20mg, 365 Fast Dissolve Tablets - Natural Strawberry Flavor - Vegetarian Chewable Lozenges for 1 Year Supply, High Potency | Non-GMO, No Gluten</t>
  </si>
  <si>
    <t>B0B92XZZPJ</t>
  </si>
  <si>
    <t>NatureBell D Mannose Powder, 12oz | Instantized for Max Absorption – Fast Acting Cleanse – Urinary Tract &amp; Bladder Health Support – Flush UTI Impurities – Non-GMO, Vegan</t>
  </si>
  <si>
    <t>B075G4N2K1</t>
  </si>
  <si>
    <t>TMG (Trimethylglycine) 1500mg capsules</t>
  </si>
  <si>
    <t>B0D883PXW4</t>
  </si>
  <si>
    <t>Olive Leaf Extract 30000mg, 240 Capsules | 40% Active Oleuropein, 50:1 Herbal Equivalent – Rich in Polyphenol &amp; Flavonoid Antioxidants for Immune &amp; Heart Health – Non-GMO</t>
  </si>
  <si>
    <t>B076B7TYL7</t>
  </si>
  <si>
    <t>Tongkat Ali 200:1 (Longjack) Extract for Men, 2000mg Per Serving, Indonesia Origin, Eurycoma Longifolia | with Panax Ginseng for Energy, Stamina, &amp; Male Health Support (150 Count (Pack of 2))</t>
  </si>
  <si>
    <t>B0BMF3TMWZ</t>
  </si>
  <si>
    <t>Organic Hibiscus Tea Bags</t>
  </si>
  <si>
    <t>B0C6WP15YQ</t>
  </si>
  <si>
    <t>NatureBell Cold Pressed Black Seed Oil 3,000mg Per Serving with Vitamin D3 2,000IU, 180 Softgels | Egyptian Nigella Sativa, Odorless Black Cumin Seed, Virgin Liquid Oil Capsules – Non-GMO</t>
  </si>
  <si>
    <t>B09238QQ52</t>
  </si>
  <si>
    <t>NatureBell Double Strength Triphala Supplement (Made with Organic Amla, Bibhitaki, Haritaki Fruit Complex), 1200mg Per Serving, 180 Capsules, 3 in 1 Formula, Supports Digestive Health, Non-GMO</t>
  </si>
  <si>
    <t>B076B5V4RQ</t>
  </si>
  <si>
    <t xml:space="preserve">Vegan Omega-3 Algae Oil 1250mg vegetarian softgels 120 counts </t>
  </si>
  <si>
    <t>B0FCVZQMT1</t>
  </si>
  <si>
    <t>Organic Inulin Powder Jar 1lb</t>
  </si>
  <si>
    <t>B0F11HLBFC</t>
  </si>
  <si>
    <t>Vitamin E 400iu</t>
  </si>
  <si>
    <t>B0CWKDYC5Q</t>
  </si>
  <si>
    <t>NatureBell Biotin 10000mcg + Hyaluronic Acid 25mg | 250 Coconut Oil Softgels, Premium Biotin Vitamins for Hair Skin and Nails, Highly Purified and Bioavailable, Quick Release</t>
  </si>
  <si>
    <t>B0B34CDHNS</t>
  </si>
  <si>
    <t>L-Lysine 1000mg + Quercetin 250mg Supplement, 240 Capsules, Free Form, 4-in-1 Lysine Complex, Quercetin with Vitamin C and Zinc | Immune Support | Promote Lips &amp; Skin Health</t>
  </si>
  <si>
    <t>B09F4GYTDQ</t>
  </si>
  <si>
    <t>Omega 3 Fish Oil 4,200mg, 180 Burpless Softgels, Highly Purified EPA 1,200mg &amp; DHA 900mg | Lemon Flavored | Premium Wild Caught Fish from Deep Sea – Heart &amp; Brain Support – Mercury Free &amp; Non-GMO</t>
  </si>
  <si>
    <t>B0BSP4P38R</t>
  </si>
  <si>
    <t>NatureBell L Methylfolate 15mg (5-MTHF) with Methyl B12 1,000mcg, 240 Vegetarian Capsules | High Potency Dual Action for Energy &amp; Cognitive Support, Active Folic Acid – Methyl Folate Supplement</t>
  </si>
  <si>
    <t>B0CHX3CST7</t>
  </si>
  <si>
    <t xml:space="preserve">Taurine 1000mg capsules 500 count </t>
  </si>
  <si>
    <t>B0D87LZF99</t>
  </si>
  <si>
    <t>Creatine Monohydrate 5000mg capsules</t>
  </si>
  <si>
    <t>B0DDB5BWYP</t>
  </si>
  <si>
    <t>Vaginal Probiotics 10 Billion 120 Veggie Capsules</t>
  </si>
  <si>
    <t>B0DJWW2B1L</t>
  </si>
  <si>
    <t>Pregnenolone 100mg, 200 Capsules | 99%+ Purity, Micronized Grade for Higher Absorption, Plant Based – Hormone*, Cognitive, &amp; Immune Health Supplement – Non-GMO, Soy Free</t>
  </si>
  <si>
    <t>B087CMV1PD</t>
  </si>
  <si>
    <t>NatureBell Irish Sea Moss Capsules, 3,000mg Per Serving, 240 Veggie Pills | Made with Organic Raw Powder – 3 in 1 Plus Bladderwrack &amp; Burdock Root – Immune &amp; Thyroid Superfood Support – Non-GMO</t>
  </si>
  <si>
    <t>B0CP2YGSCZ</t>
  </si>
  <si>
    <t>Magnesium Malate 1500mg capsules 240 count</t>
  </si>
  <si>
    <t>B0CWMWHRFC</t>
  </si>
  <si>
    <t>High Potency Zinc Picolinate 100mg - 240 Capsules, Bioavailable Form of Zinc for Immune Support and Skin Health - Non-GMO and Gluten- Zinc Supplements</t>
  </si>
  <si>
    <t>B07VC1M3S3</t>
  </si>
  <si>
    <t>R-Alpha Lipoic Acid (R-ALA) 1200mg</t>
  </si>
  <si>
    <t>B0DJWWQSPX</t>
  </si>
  <si>
    <t>Colostrum with probiotics Powder 12oz</t>
  </si>
  <si>
    <t>B0DJWWQVHC</t>
  </si>
  <si>
    <t>NatureBell 2 Pack Cranberry Pills 36,000mg with Acerola, 480 Veggie Capsules | 100:1 Fresh Cranberries Extract – Organic Ingredients – Supports Urinary Tract Health – Sugar Free</t>
  </si>
  <si>
    <t>B07RD4CKP4</t>
  </si>
  <si>
    <t>Allulose Sweetener 5lb</t>
  </si>
  <si>
    <t>B0DDCVSPP5</t>
  </si>
  <si>
    <t>NatureBell Magnesium Glycinate 400mg (Elemental), 270 Capsules – 100% Chelated for Max Absorption | Non-GMO &amp; No Gluten, Bioavailable Mineral Supplement for Muscle, Joint, Enzyme, &amp; Heart Health</t>
  </si>
  <si>
    <t>B0BJ198K28</t>
  </si>
  <si>
    <t>NatureBell L Tryptophan 1500mg with L Theanine 200mg, 300 Capsules | Active Free Form, Plant Based Supplement – Calm Formula, Supports Relaxation – Non-GMO &amp; No Gluten</t>
  </si>
  <si>
    <t>B07V8LRWZK</t>
  </si>
  <si>
    <t>NatureBell P5P Vitamin B6 100mg Per Serving, 240 Capsules | Activated Pyridoxal 5 Phosphate Supplements – Essential B Vitamins for Brain &amp; Memory Health – Non-GMO</t>
  </si>
  <si>
    <t>B07GCBWP2M</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</si>
  <si>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</si>
  <si>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</si>
  <si>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</si>
  <si>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</si>
  <si>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Mucuna Pruriens Capsules, Triple Strength 1500mg Per Serving, 2 in 1 Formula, Made with Mucuna and Ashwagandha, 240 Capsules, Potent Seed Extract, Positive Mood, Relaxation &amp; Restoration Support</t>
  </si>
  <si>
    <t>B07K6Z195K</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</si>
  <si>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</si>
  <si>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</si>
  <si>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</si>
  <si>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</si>
  <si>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</si>
  <si>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Xylitol Sweetener, 5lbs | Natural Birch Crystal Source – 1:1 Sugar Substitute – Sweet Flavor with No Erythritol – Low Calorie &amp; Glycemic Impact – Sugar Free, No Aftertaste, Non-GMO</t>
  </si>
  <si>
    <t>B0CFPJ5BRM</t>
  </si>
  <si>
    <t>NatureBell D-Mannose 2000mg with Cranberry Extract 400mg, 240 Veggie Capsules, Double Strength | Fast Acting Urinary Tract Health Pills, Flush Impurities, Ultra UTI Support for Women &amp; Men</t>
  </si>
  <si>
    <t>B07QBVHK8H</t>
  </si>
  <si>
    <t>Vitamin B Complex for Women, 240 Veggie Capsules</t>
  </si>
  <si>
    <t>B0CMK1YPQN</t>
  </si>
  <si>
    <t>L-Theanine 400mg capsules 400 count</t>
  </si>
  <si>
    <t>B0DDCW97QV</t>
  </si>
  <si>
    <t>Zinc Quercetin 1300mg with Vitamin D3 5000IU, 120 Capsules, 4 in 1 Formula, Zinc 50mg, Vitamin C 250mg, Vitamin D3 5000 IU - Advanced Immune Defense, Non-GMO</t>
  </si>
  <si>
    <t>B085WGFPYS</t>
  </si>
  <si>
    <t>NatureBell Hyaluronic Acid Supplements 2000mg Per Serving | 240 Capsules, with MSM &amp; Multi Collagen – 3 in 1 Support – Skin Hydration, Joint Lubrication, Hair, and Eye Health</t>
  </si>
  <si>
    <t>B01DPW5BNA</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</si>
  <si>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</si>
  <si>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</si>
  <si>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</si>
  <si>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</si>
  <si>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 xml:space="preserve">Magnesium Citrate Calm Powder Jar 1lb </t>
  </si>
  <si>
    <t>B0FCVC7LKV</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</si>
  <si>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</si>
  <si>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</si>
  <si>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</si>
  <si>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</si>
  <si>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</si>
  <si>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CoQ10 (Ubiquinone) 300mg with Omega 3 Fatty Acids, 240 Capsules</t>
  </si>
  <si>
    <t>B0CMK3LBGJ</t>
  </si>
  <si>
    <t>Dihydroberberine 500mg</t>
  </si>
  <si>
    <t>B0DDMM94BF</t>
  </si>
  <si>
    <t>Ginger Root with MCT Oil</t>
  </si>
  <si>
    <t>B0F11MGDGT</t>
  </si>
  <si>
    <t>Benfotiamine 300mg with Thiamine 100mg Per Serving | 240 Veggie Capsules, Essential Vitamin B1 Benfotiamine Supplement, Bioavailable Fat &amp; Water Soluble Forms – Energy &amp; Nerve Support – Non-GMO</t>
  </si>
  <si>
    <t>B0C6YKYN2B</t>
  </si>
  <si>
    <t>Antarctic Krill Oil 2000mg Supplement, 240 Softgels, 3X Strength Natural Source of Omega-3s, EPA 240mg + DHA 160mg + Astaxanthin 800mcg – No Fishy Aftertaste – Mercury Free &amp; Non-GMO</t>
  </si>
  <si>
    <t>B0BSP5TBP3</t>
  </si>
  <si>
    <t>Ultra Strength Phosphatidylserine Supplement 500mg Per Serving, 240 Capsules | Soy Free, Derived from Sunflower Lecithin – Supports Cognitive Health and Brain Function – Non-GMO</t>
  </si>
  <si>
    <t>B074R8XH2Q</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</si>
  <si>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</si>
  <si>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</si>
  <si>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</si>
  <si>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</si>
  <si>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NatureBell Bromelain, 1,000mg Per Serving, 240 Veggie Capsules</t>
  </si>
  <si>
    <t>B0CMK9SWBJ</t>
  </si>
  <si>
    <t>NatureBell Vitamin D3 5000 K2 (MK7) with Virgin Coconut Oil, 240 Softgels, 100mcg, 2 in 1 Support, Duo-Ack | 8 Months Supply | Third Party Tested, Non GMO &amp; No Gluten</t>
  </si>
  <si>
    <t>B09MJYVXX9</t>
  </si>
  <si>
    <t xml:space="preserve">Electrolyte Jar Grape Flavor 500g </t>
  </si>
  <si>
    <t>B0DJWX4ZNQ</t>
  </si>
  <si>
    <t>TUDCA 500mg with Black Pepper Extract, 60 Capsules – High Absorption Livamate Formula, Natural Bitter Taste | Bile Salt Supplement | Third Party Tested</t>
  </si>
  <si>
    <t>B09KTBBYLQ</t>
  </si>
  <si>
    <t>Magnesium Glycinate 200mg with Valerian Root, 300 Capsules</t>
  </si>
  <si>
    <t>B0CWNDCY6V</t>
  </si>
  <si>
    <t>NatureBell Alpha Lipoic Acid 600mg Per Serving | 300 Capsules - with Vitamin B1 Complex | 4 in 1 - [R-ALA | S-ALA | Thiamine | Benfotiamine] - High Bioavailability, Third Party Tested | Non-GMO</t>
  </si>
  <si>
    <t>B0BB53JDMF</t>
  </si>
  <si>
    <t>NatureBell Cranberry Pills 36,000mg with Acerola, 240 Veggie Capsules | 100:1 Fresh Cranberries Extract – Made with Organic Ingredients – Supports Urinary Tract Health – Sugar Free</t>
  </si>
  <si>
    <t>B076BFRPNS</t>
  </si>
  <si>
    <t>NatureBell Full Spectrum Vitamin K2 Supplement with MK-7 &amp; MK-4, 200 mcg, 240 Capsules | 2 in 1 Formula, K Vitamins Complex – Supports Bone, Joint, and Heart Health – Non-GMO</t>
  </si>
  <si>
    <t>B07R8JTQSZ</t>
  </si>
  <si>
    <t>NatureBell Red Yeast Rice 2,400mg with CoQ10 100mg | 240 Veggie Capsules (1,200mg Per Capsule) – Max Strength Herbal Supplement – Antioxidant Support for Energy &amp; Heart Health – Non-GMO</t>
  </si>
  <si>
    <t>B0CFPLT75L</t>
  </si>
  <si>
    <t>NatureBell 2 Pack Creatine Monohydrate Powder 500 Grams, 5000mg Per Serving, Pure Unflavored Creatine Powder - Micronized - Pre Workout | Keto | Vegan | Dissolves Easy | Filler Free</t>
  </si>
  <si>
    <t>B0BT2V8YK4</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</si>
  <si>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</si>
  <si>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</si>
  <si>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</si>
  <si>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</si>
  <si>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</si>
  <si>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</si>
  <si>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</si>
  <si>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NatureBell Antarctic Krill Oil 1000mg Supplement, 180 Softgels, Natural Source of Omega-3s, EPA, DHA and Astaxanthin - No Aftertaste - Support Heart Health, Mercury Free &amp; Non-GMO</t>
  </si>
  <si>
    <t>B07BKN8S81</t>
  </si>
  <si>
    <t>NatureBell Evening Primrose Oil with Black Cohosh, 1,300mg Per Serving, 300 Mini-Softgels | Cold Pressed Seeds, Retains 130mg GLA for Womens Health &amp; Skin Care Support – Hexane Free, Non-GMO</t>
  </si>
  <si>
    <t>B0C6WN52Q9</t>
  </si>
  <si>
    <t>CoQ10 100mg with Omega-3</t>
  </si>
  <si>
    <t>B0DJWWMBTF</t>
  </si>
  <si>
    <t>NatureBell Virgin Pumpkin Seed Oil 3,000mg Per Serving with Saw Palmetto, 240 Softgel Capsules | Cold Pressed – Rich in Omega 6 &amp; 9 Essential Fatty Acids – Prostate &amp; Bladder Supplements, Non-GMO</t>
  </si>
  <si>
    <t>B07K6XGYPL</t>
  </si>
  <si>
    <t>Magnesium Glycinate Powder Peach-Mango Flavor Jar 1lb</t>
  </si>
  <si>
    <t>B0DLXM7ZTC</t>
  </si>
  <si>
    <t>NatureBell Ceylon Cinnamon 1800mg Per Serving, 180 Capsules, Made with Organic Sri Lanka Ceylon Cinnamon and Bitter Melon, 2 in 1 Support, Non-GMO, No Gluten</t>
  </si>
  <si>
    <t>B07MTVDV6Y</t>
  </si>
  <si>
    <t>NatureBell PQQ 40mg with CoQ10, 180 Veggie Capsules | Active Pyrroloquinoline Quinone, Highly Bioavailable ZenPQQ+ Formula – Promotes Heart, Brain, &amp; Mitochondrial Health – Non-GMO</t>
  </si>
  <si>
    <t>B09KTDRCYD</t>
  </si>
  <si>
    <t>Nattokinase Supplement 8,000 FU Per Serving, 240 Veggie Capsules | Traditional Natto Extract Source – Max Strength Enzyme &amp; Heart Health Support – Non-GMO</t>
  </si>
  <si>
    <t>B0CJK4JF1V</t>
  </si>
  <si>
    <t>Ashwagandha 12,500mg with black pepper</t>
  </si>
  <si>
    <t>B0DDM8LQMS</t>
  </si>
  <si>
    <t>2 Pack Berberine Supplement 1500mg Per Serving, 480 Veggie Capsules | Plus 1200mg True Ceylon Cinnamon, 97% Berberine HCL, Plant-Based, Vegan, Non-GMO, Gluten Free</t>
  </si>
  <si>
    <t>B01L2TFPNE</t>
  </si>
  <si>
    <t xml:space="preserve">Colostrum 1000mg capsules 240 count </t>
  </si>
  <si>
    <t>B0DJTVL9H4</t>
  </si>
  <si>
    <t>Korean Red Ginseng 2,250mg Per Serving, 240 Softgels | Panax Ginseng Root, Standardized to 10% Ginsenosides, Non-GMO, Support Energy, Male Performance, &amp; Immune System</t>
  </si>
  <si>
    <t>B07MTW3QDD</t>
  </si>
  <si>
    <t xml:space="preserve">NAD+ 1500mg vegetarian capsules 240 count </t>
  </si>
  <si>
    <t>B0D85VVNF7</t>
  </si>
  <si>
    <t>Methylated Multivitamin 240 Capsules</t>
  </si>
  <si>
    <t>B0FCW45JZF</t>
  </si>
  <si>
    <t>Liposomal Vitamin C 2000mg capsules</t>
  </si>
  <si>
    <t>B0D85XBLCH</t>
  </si>
  <si>
    <t>NatureBell Oregano Oil with Black Seed Oil 7,500mg, 360 Softgels | Wild Harvested, 50:1 Fresh Oregano Extract – Retains Carvacrol &amp; Thymoquinone – Essential Oils for Immune Health – Non-GMO</t>
  </si>
  <si>
    <t>B0CFPQN4J1</t>
  </si>
  <si>
    <t xml:space="preserve">Probiotics+ 200 billion CFU 40 </t>
  </si>
  <si>
    <t>B0DDCWYPWR</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</si>
  <si>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</si>
  <si>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</si>
  <si>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</si>
  <si>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</si>
  <si>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NatureBell CoQ10 (Ubiquinone) 200mg with PQQ, 240 Veggie Capsules | Stable High Absorption Form – Antioxidant Support for Brain, Heart, &amp; Energy Health – Extra Strength Coenzyme Q10 Supplement</t>
  </si>
  <si>
    <t>B0CFPMHB25</t>
  </si>
  <si>
    <t>Magnesium Glycinate Supplement 1,000mg | 500mg Per Capsule, 240 Pills | 100% Chelated &amp; Purified – Non-GMO &amp; Gluten Free</t>
  </si>
  <si>
    <t>B0CFPG9M5K</t>
  </si>
  <si>
    <t>Ad Sales09</t>
  </si>
  <si>
    <t>HB</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</si>
  <si>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</si>
  <si>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</si>
  <si>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</si>
  <si>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</si>
  <si>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</si>
  <si>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</si>
  <si>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Nitric Oxide Booster 3,000mg Per Serving, 300 Capsules</t>
  </si>
  <si>
    <t>B0CZGHL1TW</t>
  </si>
  <si>
    <t>CoQ10 100mg, 240 Capsules – with Omega 3 Fatty Acid 100mg – Bioavailable Coenzyme Q10 Supplements – Heart, Energy, &amp; Brain Health Antioxidant Support – Non-GMO, One A Day</t>
  </si>
  <si>
    <t>B0CF3M3Y1M</t>
  </si>
  <si>
    <t>Vitamin D3 10,000 IU + K2 MK7 200 mcg, Infused with Virgin Coconut Oil, 250 Softgels, Double Strength Vitamin D &amp; K, Promotes Heart, Bone &amp; Teeth Health - Very Easy to Swallow</t>
  </si>
  <si>
    <t>B08FXX6WSZ</t>
  </si>
  <si>
    <t>2 Pack Magnesium Glycinate 500mg, 480 Veggie Capsules | Chelated for Easy Absorption | Highly Purified Essential Trace Mineral for Muscle, Joint, Heart, &amp; Digestive Health</t>
  </si>
  <si>
    <t>B0C6V5K27L</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</si>
  <si>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</si>
  <si>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</si>
  <si>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</si>
  <si>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 xml:space="preserve">Organic Matcha Green Tea Powder Jar 1lb </t>
  </si>
  <si>
    <t>B0DJWSLKQS</t>
  </si>
  <si>
    <t>Irish Sea Moss 7,000mg Per Serving, 240 Veggie Capsules</t>
  </si>
  <si>
    <t>B0CZFZYXN3</t>
  </si>
  <si>
    <t>Ginkgo Biloba 500mg Per Serving, 300 Capsules, 5 Month Supply – Grown in Northern Asia – Extra Strength, Non-GMO, No Gluten</t>
  </si>
  <si>
    <t>B081NW5N61</t>
  </si>
  <si>
    <t>DEAL SUPPLEMENT Odorless Aged Garlic Pills, 6,000mg Per Serving, 500 Softgels – 24:1 Garlic Oil Extract – Fresh Allium Sativum Bulb Source – Heart &amp; Immune Antioxidant Supplements – Non-GMO</t>
  </si>
  <si>
    <t>B0CF3CTC2V</t>
  </si>
  <si>
    <t>Organic Matcha Green Tea Powder, 2lbs (907g) | Zero Sugar, First Harvest | Culinary Grade, Cafe Mix, Keto Friendly, Genuine Japanese Source, Non-GMO, Vegetarian</t>
  </si>
  <si>
    <t>B0BY3V6ZR7</t>
  </si>
  <si>
    <t>Berberine 500mg with Yohimbine</t>
  </si>
  <si>
    <t>B0CZGQN3Y4</t>
  </si>
  <si>
    <t>2 Pack Deal Supplement Vitamin D3 K2 Softgel, 250 Count, 2-1 Complex, Vitamin D3 5000 IU &amp; Vitamin K2 MK7, Promotes Heart, Bone &amp; Teeth Health – Very Easy to Swallow</t>
  </si>
  <si>
    <t>B08LMTG54X</t>
  </si>
  <si>
    <t>Essential Amino Acids (EAA) 2000mg Per Serving, 300 Capsules – Unflavored - 9 in 1, All BCAAs (Branched-Chain Aminos) – Lean Muscle Support &amp; Natural Pre Workout Supplement</t>
  </si>
  <si>
    <t>B0BWH3JMNB</t>
  </si>
  <si>
    <t>Allulose Sweetener Powder 4lb</t>
  </si>
  <si>
    <t>B0DCKRMSJ8</t>
  </si>
  <si>
    <t>5-HTP 200mg Per Serving, 240 Capsules, 98% African Derived Griffonia Seed Extract | 4 in 1 Formula Plus Active L-Theanine, L-Tryptophan &amp; GABA, Complete Support for Positive Mood, Relaxation</t>
  </si>
  <si>
    <t>B08WHFZQSJ</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</si>
  <si>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</si>
  <si>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</si>
  <si>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</si>
  <si>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 xml:space="preserve">Goat Milk 1lb </t>
  </si>
  <si>
    <t>B0F2L2SQT8</t>
  </si>
  <si>
    <t>DEAL SUPPLEMENT Lutein and Zeaxanthin Supplements, 40mg Per Serving, 300 Softgels – Plus Astaxanthin, Omega-3s, &amp; Phospholipids – Essential Eye Vitamins &amp; Vision Health Support – Non-GMO</t>
  </si>
  <si>
    <t>B0C2XFMKWL</t>
  </si>
  <si>
    <t xml:space="preserve">CoQ10 300mg with Omega-3 capsules 240 count </t>
  </si>
  <si>
    <t>B0F1C28KV6</t>
  </si>
  <si>
    <t>Organic Lions Mane Mushroom Powder Supplement, 1,500mg Per Serving, 1lb – Active Fruiting Body &amp; Mycelium Extract – Natural Brain Nootropic &amp; Immune System Booster – Non-GMO</t>
  </si>
  <si>
    <t>B0C8LTR6L1</t>
  </si>
  <si>
    <t>DEAL SUPPLEMENT Ultra Strength HMB Supplements 3,000mg Per Serving, 240 Capsules | Third Party Tested | Supports Muscle Growth, Retention &amp; Lean Muscle Mass | Fast Workout Recovery</t>
  </si>
  <si>
    <t>B0C8M8X8PG</t>
  </si>
  <si>
    <t>Bioactive Vitamin B Complex | 240 Veggie Capsules - Methylated B Vitamins &amp; Esterified Vitamin C, High Potency &amp; Easy Absorption – Immune, Energy, &amp; Metabolism Supplement – Non-GMO, Vegan</t>
  </si>
  <si>
    <t>B0BWGKFVS9</t>
  </si>
  <si>
    <t>Ultra Strength CLA 3000mg | 240 Softgels, Active Conjugated Linoleic Acid from Non-GMO Safflower Oil, Non-Stimulating, Supports Weight Management | Lean Muscle Mass</t>
  </si>
  <si>
    <t>B07WWK3SMQ</t>
  </si>
  <si>
    <t>DEAL SUPPLEMENT Unflavored Pea Protein Powder, 5lbs – Premium North American Grown Peas – Easily Digested Isolate Form – Great for Shakes, Bars, or Snacks – 27g Protein Serving, Soy Free, Vegan</t>
  </si>
  <si>
    <t>B0C2WJHQLT</t>
  </si>
  <si>
    <t>Bromelain Supplement 2,000mg Per Serving, 240 Capsules – Natural Proteolytic Enzymes from Fresh Pineapple – Supports Nutrient Digestion</t>
  </si>
  <si>
    <t>B09BDHTR2H</t>
  </si>
  <si>
    <t>整体水平没有变化只是primeday多出了一些</t>
  </si>
  <si>
    <t xml:space="preserve">Astaxanthin 24mg softgels 120 count </t>
  </si>
  <si>
    <t>B0DNRKCZGT</t>
  </si>
  <si>
    <t>Benfotiamine 600mg Per Serving, 180 Veggie Capsules (300mg Per Cap), Fat Soluble Vitamin B1 Thiamine Supplement – Supports Energy &amp; Nervous System Health – 3rd Party Tested, Non-GMO, Gluten Free</t>
  </si>
  <si>
    <t>B0BWH53V3J</t>
  </si>
  <si>
    <t>Lions Mane Mushroom Supplement, 7,500mg Per Serving, 240 Capsules – Active Fruiting Body &amp; Mycelium 10:1 Extract – Natural Brain Nootropic &amp; Immune System Booster – Non-GMO</t>
  </si>
  <si>
    <t>B09KZ1VNPF</t>
  </si>
  <si>
    <t>DEAL SUPPLEMENT Psyllium Husk Powder 3 lbs, 9,000mg Per Serving – Unflavored, Plant Based, Soluble Dietary Fiber – Great for Baking &amp; Cooking – Keto Friendly, Gluten Free, Non-GMO</t>
  </si>
  <si>
    <t>B0C3NM9959</t>
  </si>
  <si>
    <t>Glutathione Supplement 1000mg Per Serving, 98% Purity | Plus Vitamin C 500mg, Active Reduced Form (GSH) | 60 Capsules - Intracellular Antioxidant, Detoxification* Support, Immune &amp; Skin Whitening</t>
  </si>
  <si>
    <t>B09BDNFL58</t>
  </si>
  <si>
    <t>DEAL SUPPLEMENT Slippery Elm Capsules, 6,000mg Per Serving – 300 Pills, Made with Organic Inner Bark Powder Extract – Natural Herb for Soothing Throat &amp; Digestive Support – Non-GMO</t>
  </si>
  <si>
    <t>B0C2XJGG1H</t>
  </si>
  <si>
    <t>DEAL SUPPLEMENT High Potency Vitamin A 25000 IU, 500 Coconut Oil Softgels | Easily Absorbed, Natural Fish Liver Oil Source – Vitamins for Eye, Immune, &amp; Skin Health – Easy to Swallow, Non-GMO</t>
  </si>
  <si>
    <t>B0BKR14XL3</t>
  </si>
  <si>
    <t>DEAL SUPPLEMENT Methyl B-12 Vitamins 5000 mcg, 240 Chewable Tablets | Active Form - Strawberry Flavored - Energy Support &amp; Brain Health Function - Vegetarian &amp; GMO Free</t>
  </si>
  <si>
    <t>B0BKR522Q9</t>
  </si>
  <si>
    <t>Omega 3 Fish Oil Supplements, 3,000mg Per Serving, 240 Softgels – EPA 1,200mg + DHA 900mg – Burpless Pills, Lemon Flavored, Wild Caught – Brain &amp; Heart Support – Mercury Free, Non-GMO</t>
  </si>
  <si>
    <t>B0CF38KTZQ</t>
  </si>
  <si>
    <t>2 Pack of Tongkat Ali Extract 300:1 Enhanced with Horny Goat, 1100mg Per Serving, 180 Capsules, 2-1 Formula, Indonesia Origin Eurycoma Longifolia (Longjack), Max Strength Tongkat Ali for Men</t>
  </si>
  <si>
    <t>B0BMDPLQ3K</t>
  </si>
  <si>
    <t>CoQ10 200mg &amp; PQQ 200mcg, 240 Veggie Capsules – 2 in 1 Coenzyme Q10 Supplement for Better Absorption – Antioxidant Support for Energy, Brain, &amp; Heart Health – Non-GMO</t>
  </si>
  <si>
    <t>B0C2WV9FGF</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</si>
  <si>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</si>
  <si>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</si>
  <si>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</si>
  <si>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DEAL SUPPLEMENT Oil of Oregano Softgels with Black Seed Oil, 9,000mg Per Serving, 300 Count – 30:1 Extract, Active Carvacrol &amp; Thymoquinone – Antioxidant Immune Health Support – Plant Based, Non-GMO</t>
  </si>
  <si>
    <t>B0BWGY19D1</t>
  </si>
  <si>
    <t>Dihydroberberine 100mg</t>
  </si>
  <si>
    <t>B0DCKRBV9T</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</si>
  <si>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</si>
  <si>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</si>
  <si>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</si>
  <si>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Allulose Sweetener 2 Pounds – Natural Sugar Subsitutes, No Aftertaste - Keto Friendly, Vegan, Zero Net Carb, Zero Calorie, Great for Cooking &amp; Baking</t>
  </si>
  <si>
    <t>B0BL1R1T8Y</t>
  </si>
  <si>
    <t>DEAL SUPPLEMENT Premium K Complete - High Potency Vitamin K1, K2 MK-7 &amp; MK-4 Complex, 200 Coconut Oil Infused Softgels - Full Spectrum Triple Vitamin K, Optimal Bone &amp; Heart Health Support</t>
  </si>
  <si>
    <t>B0BWH7QPX6</t>
  </si>
  <si>
    <t>Eagleshine Vitamins 2 Pack NAC Supplement (N-Acetyl Cysteine) 1,000mg Per Serving with Reduced Glutathione, 480 Total Capsules – Antioxidant Support for Immune Health, Lung, &amp; Liver Function</t>
  </si>
  <si>
    <t>B08M245LZF</t>
  </si>
  <si>
    <t>Multi Collagen Protein Powder,1Lb - Type I, II, III, V, X Collagen Peptides with Biotin 10000mcg, Vitamin C &amp; Hyaluronic Acid - Unflavored - Keto &amp; Paleo Friendly, Great for Hair, Skin, Nails &amp; Joints</t>
  </si>
  <si>
    <t>B0BL1NMB59</t>
  </si>
  <si>
    <t>Kava Kava Supplement 750mg, 180 Capsules, 3 Months Supply, Kava Kava Root Extract, Promotes Stress &amp; Anxiety Relief, Mental Calmness and Restful Sleep</t>
  </si>
  <si>
    <t>B07XVS9MS3</t>
  </si>
  <si>
    <t>Tongkat Ali Extract 300:1 400mg &amp; Maca Root 400mg | 300 Capsules, Ultra Strength Longjack (Eurycoma Longifolia) + Peru Maca – Non-GMO, Herbal Supplement for Men Health, Performance, &amp; Energy</t>
  </si>
  <si>
    <t>B0C2WG9NLL</t>
  </si>
  <si>
    <t>Ultra Strength HMB Supplements 1000mg Per Serving, 300 Capsules | Third Party Tested | Supports Muscle Growth, Retention &amp; Lean Muscle Mass | Fast Workout Recovery</t>
  </si>
  <si>
    <t>B0971W4PSN</t>
  </si>
  <si>
    <t>DEAL SUPPLEMENT 2 Pack of Ultra Strength HMB Supplements 1000mg Per Serving, 600 Capsules | Third Party Tested | Supports Muscle Growth, Retention &amp; Lean Muscle Mass | Fast Workout Recover</t>
  </si>
  <si>
    <t>B0B7CMR12N</t>
  </si>
  <si>
    <t>Red Yeast Rice 1,200mg Per Serving with CoQ10 100mg, 300 Capsules – Heart Health Supplement &amp; Antioxidant Support – Pure Monascus Purpureus Powder Source – Citrinin Free, Non-GMO</t>
  </si>
  <si>
    <t>B07WV6898X</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</si>
  <si>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</si>
  <si>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</si>
  <si>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</si>
  <si>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Apigenin, 100mg Per Serving, 240 Capsules – Plant Extract from Chamomile Flower – Active Bioflavonoids &amp; Antioxidants – Sleep &amp; Relaxation Supplement</t>
  </si>
  <si>
    <t>B09LFFGQXM</t>
  </si>
  <si>
    <t>Quercetin 1000mg Per Serving (2 Pack) | 300 Capsules, High Bioavailable Flavonoids, Third Party Tested, Supports Healthy Immune System, Non-GMO, No Gluten</t>
  </si>
  <si>
    <t>B08M23CLN5</t>
  </si>
  <si>
    <t>Hyaluronic Acid Supplements 1,500mg – 240 Capsules, with MSM &amp; Vitamin C – Pure 95% | Non-GMO + Plant Based HA – Supports Healthy Joints, Bones, Connective Tissue, &amp; Skin Hydration</t>
  </si>
  <si>
    <t>B091G5YF1J</t>
  </si>
  <si>
    <t>Ceylon Cinnamon 6000mg with Chromium 1000mcg, 240 Capsules | Active Inner Bark Extract, True Sri Lanka Source | Natural Cinnamon Supplements</t>
  </si>
  <si>
    <t>B084Z9VQ2Q</t>
  </si>
  <si>
    <t>Cayenne Pepper 5lb</t>
  </si>
  <si>
    <t>B0CDDY9DJL</t>
  </si>
  <si>
    <t>Bitter Melon 15,000mg Per Serving | 300 Capsules, with Berberine HCL | 15:1 Wild Bitter Melon Fruit Extract | Third Party Tested | Plant Based, Non-GMO &amp; No Gluten</t>
  </si>
  <si>
    <t>B081ZH92R6</t>
  </si>
  <si>
    <t>Magnesium Citrate Powder 500mg, 3lbs – Unflavored, Easily Absorbed – Purified Trace Mineral for Muscle, Heart, &amp; Digestive Support – One a Day, Non-GMO, Filler Free</t>
  </si>
  <si>
    <t>B0C8M1F4V7</t>
  </si>
  <si>
    <t>DEAL SUPPLEMENT Quercetin 1,000mg Per Serving, 300 Capsules – Healthy Immune Support Supplements, High Bioavailable Flavonoids, Natural Antioxidant – Non-GMO, Soy Free, No Gluten</t>
  </si>
  <si>
    <t>B07XW8BXDS</t>
  </si>
  <si>
    <t>CoQ10 600mg with DHA</t>
  </si>
  <si>
    <t>B0F1CC797J</t>
  </si>
  <si>
    <t>Vitamin K2 Supplement 600mcg, 180 Virgin Coconut Oil Softgels – Full Spectrum MK-7 &amp; MK-4 Forms, High Absorption, Triple Strength K Vitamins – Bone, Joint, &amp; Immune Support – Non-GMO</t>
  </si>
  <si>
    <t>B0CF3N7PNY</t>
  </si>
  <si>
    <t>DEAL SUPPLEMENT Folic Acid 1000 mcg (1 mg), 500 Coconut Oil Softgels | Bioavailable Prenatal Vitamins (Vitamin B9) – 1,667 mcg DFE – Easy to Swallow, Non-GMO, &amp; No Gluten</t>
  </si>
  <si>
    <t>B09F2NL4H6</t>
  </si>
  <si>
    <t>2 Pack Creatine Monohydrate Powder 600 Grams (21.2oz), Unflavored | Pure | Micronized Creatine Powder, 5000mg Per Serving, 4 Month Supply, Vegan | Keto, Non-GMO, No Filler, No Additives - 120 Servings</t>
  </si>
  <si>
    <t>B0BGR22RG6</t>
  </si>
  <si>
    <t>Organic Beet Root Powder 3lb</t>
  </si>
  <si>
    <t>B0C2XJ92Y6</t>
  </si>
  <si>
    <t>Organic Lemon Powder, 1lb – Real Freeze-Dried Lemon Source – Rich in Essential Vitamin C – Natural Immune Support – Raw Lemon Juice Flavor &amp; Aroma – Non-GMO, Filler Free, No Sugar</t>
  </si>
  <si>
    <t>B0CF3RZQCZ</t>
  </si>
  <si>
    <t>B0F1BWQL3C</t>
  </si>
  <si>
    <t xml:space="preserve">Organic Stevia Extract Powder 12oz </t>
  </si>
  <si>
    <t>B0CF3K9R3G</t>
  </si>
  <si>
    <t>DHA Supplements | 240 Softgels, Burpless, Lemon Flavor, DHA 1000mg + EPA 500mg, Wild Caught Fish, Rich in Omega-3s, Mercury Free, Non-GMO, Support Brain Heart &amp; Joint Health</t>
  </si>
  <si>
    <t>B08WHZZP5F</t>
  </si>
  <si>
    <t xml:space="preserve">Saccaromyces Boulardii + FOS </t>
  </si>
  <si>
    <t>B0DJWTDKW3</t>
  </si>
  <si>
    <t>Zinc 50mg with Selenium 200mcg + Copper, 240 Capsules, 8 Month Supply, 3 in 1 Mineral Formula, Zinc Picolinate Complex Supplement, Supports Healthy Immune System for Adults and Kid</t>
  </si>
  <si>
    <t>B08FXYT1RT</t>
  </si>
  <si>
    <t>DEAL SUPPLEMENT Vitamin D3 50,000 IU + K2 MK7 200 mcg,240 Softgels | Virgin Coconut Oil, Max Strength Vitamin D &amp; K, Promotes Heart, Bone, &amp; Teeth Health – One Softgel Weekly, Easy to Swallow</t>
  </si>
  <si>
    <t>B0C8LR3L5M</t>
  </si>
  <si>
    <t>Myo-Inositol &amp; D-Chiro Inositol Supplement for Women 40:1</t>
  </si>
  <si>
    <t>B0FCWBBR9Z</t>
  </si>
  <si>
    <t>Whole milk powder 3lb</t>
  </si>
  <si>
    <t>B0DJWTBLGH</t>
  </si>
  <si>
    <t>Psyllium Husk Fiber, 300 Capsules | 1500mg Per Serving, Complexed with Inulin &amp; Acacia – Natural Soluble Fiber Supplement, Plant Based, Non-GMO | Supports Digestive and Colon Health for Men and Women</t>
  </si>
  <si>
    <t>B0BKR4ZNH1</t>
  </si>
  <si>
    <t>9.9低價產品</t>
  </si>
  <si>
    <t>Myo-Inositol &amp; D-Chiro Inositol (40:1) 2,050mg Per Serving, 240 Veggie Capsules – with Folate, Vitamin D3, &amp; Vitex Complex – Hormonal, Ovarian, &amp; Liver Support Supplement</t>
  </si>
  <si>
    <t>B0BWGKT1PJ</t>
  </si>
  <si>
    <t>Vitamin B2 400mg (Riboflavin) | with Magnesium Glycinate 400mg, 240 Capsules – 2 in 1 Support Healthy Nervous System, Mood, Blood &amp; Energy Production, Non-GMO</t>
  </si>
  <si>
    <t>B085PZLP29</t>
  </si>
  <si>
    <t>NAD+ 1000mg</t>
  </si>
  <si>
    <t>B0DJWRXKPX</t>
  </si>
  <si>
    <t>Eagle Shine Vitamins 2 Pack Antarctic Krill Oil, 1,000mg Per Serving, 480 Softgels – Mercury Free, No Fishy Taste – Rich in Omega-3s, EPA, DHA, Astaxanthin, &amp; Phospholipids – Non-GMO, No Gluten</t>
  </si>
  <si>
    <t>B08X63BXLZ</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</si>
  <si>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</si>
  <si>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</si>
  <si>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</si>
  <si>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 xml:space="preserve">Omega 3-6-9 3600mg 240 count </t>
  </si>
  <si>
    <t>B0F1C8CM23</t>
  </si>
  <si>
    <t>Moringa 9,000mg capsules 240 count</t>
  </si>
  <si>
    <t>B0DJWPJ2MX</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</si>
  <si>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</si>
  <si>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</si>
  <si>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</si>
  <si>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Vitamin D3K2 5,000IU with coconut oil</t>
  </si>
  <si>
    <t>B0CZFY5H2J</t>
  </si>
  <si>
    <t>DEAL SUPPLEMENT Rhodiola Rosea with Ashwagandha 5,000mg Per Serving, 240 Veggie Capsules – Max Strength 10:1 Root Extract – Adaptogenic Supplements for Relaxation, Energy, &amp; Brain Health – Non-GMO</t>
  </si>
  <si>
    <t>B0C8PVGKSK</t>
  </si>
  <si>
    <t>Vitamin K2 (MK-7) 200mcg, 240 Virgin Coconut Oil Softgels | Premium Menaquinone-7 Form, Easily Absorbed Vitamin K Supplement – Bone, Joint, &amp; Immune Support – Non-GMO</t>
  </si>
  <si>
    <t>B088B4L5WB</t>
  </si>
  <si>
    <t>Multi Collagen Pills with Hyaluronic Acid, Vitamin C &amp; Biotin 5000mcg, 300 Capsules - Type I, II, III, V, X Collagen Supplements for Women or Men - Hair, Skin, Nail, &amp; Joint Health - Unflavored, Keto</t>
  </si>
  <si>
    <t>B0C2WPPTNM</t>
  </si>
  <si>
    <t>Pumpkin Seed Oil 3,000mg with Saw Palmetto, 240 Softgels</t>
  </si>
  <si>
    <t>B0FCW9DX6Y</t>
  </si>
  <si>
    <t xml:space="preserve">Norwegian Cod Liver Oil 2000mg softgels 240 count </t>
  </si>
  <si>
    <t>B0FCVRCJ2S</t>
  </si>
  <si>
    <t>Nattokinase 4,000 FU Per Serving, 240 Veggie Capsules – Bromelain, Turmeric Curcumin, with Black Pepper Complex – Heart Health &amp; Digestive Enzymes Supplement – Non-GMO, Vegan</t>
  </si>
  <si>
    <t>B0CF3HM62X</t>
  </si>
  <si>
    <t>Mushroom Supplement, 8,000mg Per Serving, 240 Capsules – 10 in 1 Defense Formula</t>
  </si>
  <si>
    <t>B0BWH9RWC9</t>
  </si>
  <si>
    <t>DEAL SUPPLEMENT D Mannose Veggie Capsules, 2,000mg Per Serving, 240 Pills – Fast Acting Water-Soluble Form – Extra Strength Urinary Tract (UTI) Health Support – Non-GMO, Vegan Friendly</t>
  </si>
  <si>
    <t>B0C2SSC3XZ</t>
  </si>
  <si>
    <t>Vitamin B1 500mg with Benfotiamine, 240 Capsules – 2 in 1 Enhanced Formula – Fat &amp; Water Soluble Thiamine B1 Supplement – Third Party Tested, Non-GMO, No Gluten</t>
  </si>
  <si>
    <t>B081ZJQYVK</t>
  </si>
  <si>
    <t>Unsweetened Organic Coconut Milk Powder, 3lbs – Dairy Free Creamer Alternative – Sugar Free Raw Flavor – Rich Source of MCT Oil – Great for Coffee or Tea – Non-GMO, Plant Based, Keto</t>
  </si>
  <si>
    <t>B0CF3HYSHR</t>
  </si>
  <si>
    <t>2 Pack Magnesium Complex 500mg</t>
  </si>
  <si>
    <t>B0FMBTVDK2</t>
  </si>
  <si>
    <t>DIM Supplement 300mg, 240 Veggie Caps, 4 Months Supply, Diindolylmethane DIM Plus Black Pepper Extract, Estrogen Balance, Supports Acne &amp; PCOS Relief</t>
  </si>
  <si>
    <t>B07WV689LY</t>
  </si>
  <si>
    <t xml:space="preserve">Vitamin D3K2 2000IU with coconut oil </t>
  </si>
  <si>
    <t>B0DCJ6L37S</t>
  </si>
  <si>
    <t>DEAL SUPPLEMENT Alpha GPC 600mg Per Serving, 240 Capsules – Bioavailable Choline Replenishment –Nootropic Brain Health Supplements for Memory and Focus – Non-GMO, Gluten Free</t>
  </si>
  <si>
    <t>B0C2X5QQRR</t>
  </si>
  <si>
    <t>Alpha Lipoic Acid 1,000mg, 180 Veggie Capsules – 50/50 R-ALA &amp; S-ALA for Max Bioavailability – Antioxidant Supplement – Energy &amp; Nervous System Support – Non-GMO</t>
  </si>
  <si>
    <t>B0BWHLHMHY</t>
  </si>
  <si>
    <t>Allulose Sweetener 6 Pounds</t>
  </si>
  <si>
    <t>B0F2L717LV</t>
  </si>
  <si>
    <t>Organic Peruvian Maca Root Powder, 3lbs</t>
  </si>
  <si>
    <t>B0CF3MT9NR</t>
  </si>
  <si>
    <t xml:space="preserve">Organic Mushroom Coffee Jar 10oz </t>
  </si>
  <si>
    <t>B0DJWQN3G7</t>
  </si>
  <si>
    <t>Unscented Magnesium Flakes, 10lbs</t>
  </si>
  <si>
    <t>B0CZFY5HHJ</t>
  </si>
  <si>
    <t>Magnesium Citrate 400mg Per Serving, 300 Veggie Capsules – Chelated for Easy Absorption – Purified Trace Mineral – Supports Muscle, Heart, &amp; Digestive Health – Non-GMO</t>
  </si>
  <si>
    <t>B0BWGPJNTR</t>
  </si>
  <si>
    <t>Magnesium Glycinate 400mg | Elemental Magnesium - 300 Capsules | Chelated for Easy Absorption | Highly Purified Essential Trace Mineral for Muscle, Joint, Heart, &amp; Immune Support</t>
  </si>
  <si>
    <t>B0BKRPXKWD</t>
  </si>
  <si>
    <t>Berberine Max Supplement, 5,000mg Per Serving, 240 Veggie Capsules – 97% Pure Berberine HCL – 25:1 Root Extract – Glucose Metabolism &amp; Weight Management Support– Non-GMO</t>
  </si>
  <si>
    <t>B0C7FPF4TT</t>
  </si>
  <si>
    <t>R Alpha Lipoic Acid 600mg with Benfotiamine 300mg Per Serving, 120 Veggie Capsules – 200mg R-ALA Per Capsule – Antioxidant Supplement for Energy &amp; Nervous System Support</t>
  </si>
  <si>
    <t>B0CF3P11B1</t>
  </si>
  <si>
    <t>Max Strength Magnesium Glycinate 500mg Per Serving, 240 Capsules | Chelated, Highly Purified, Essential Mineral | Magnesium Supplement for Muscle, Joint, &amp; Heart Health</t>
  </si>
  <si>
    <t>B0CF3JV16Q</t>
  </si>
  <si>
    <t>Mullein Leaf 20,000mg, 240 Veggie Capsules – 20:1 Max Strength Leaf Extract – Natural Soothing Herb for Lungs – Supports Respiratory &amp; Immune Health – Non-GMO, Vegan</t>
  </si>
  <si>
    <t>B0C8LYLM61</t>
  </si>
  <si>
    <t>Eagleshine Vitamins Phosphatidylserine Supplement, 400mg Per Serving, 240 Capsules – Soy Free Sunflower Lecithin Source – Retains 20% Active PS – Nootropic Brain Health Support – Non-GMO</t>
  </si>
  <si>
    <t>B0971RLCR2</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</si>
  <si>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</si>
  <si>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</si>
  <si>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</si>
  <si>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DEAL SUPPLEMENT Citicoline CDP Choline, 1,000mg Per Serving, 120 Capsules – Extra Strength Choline Supplements – Nootropic B Vitamin Properties – Promotes Brain Health, Memory, &amp; Focus – Non-GMO</t>
  </si>
  <si>
    <t>B0C2WY5ZN1</t>
  </si>
  <si>
    <t>Creatine Monohydrate Powder 600 Grams (1.32lb), Unflavored | Pure | Micronized Creatine Powder, 5000mg(5g) Per Serving, 4 Month Supply, Vegan | Keto, Non-GMO, No Filler, No Additives - 120 Servings</t>
  </si>
  <si>
    <t>B0B2FF7XN9</t>
  </si>
  <si>
    <t>DEAL SUPPLEMENT Vitamin E Supplements, 1,000 IU Per Serving, 240 Softgels – Extra Strength Antioxidant Protection – Bioavailable Stable Form – Skin, Heart, Brain, &amp; Immune Support – Non-GMO</t>
  </si>
  <si>
    <t>B0C2X2BW68</t>
  </si>
  <si>
    <t>Magnesium Complex Supplement 500mg, 240 Veggie Capsules – 10 in 1 Blend with Glycinate, Citrate, Malate, &amp; More – Chelated for Easy Absorption – Muscle, Joint, &amp; Relaxation Support</t>
  </si>
  <si>
    <t>B07WS2TFP1</t>
  </si>
  <si>
    <t xml:space="preserve">Beef Gelatin Powder 1lb </t>
  </si>
  <si>
    <t>B0F1C28MLR</t>
  </si>
  <si>
    <t xml:space="preserve">Fruits &amp; Veggies 240 caps </t>
  </si>
  <si>
    <t>B0DJWV79NT</t>
  </si>
  <si>
    <t>KSM-66 Ashwagandha 1200mg</t>
  </si>
  <si>
    <t>B0DJWP1442</t>
  </si>
  <si>
    <t>Korean Red Panax Ginseng Root Extract, 7,500mg Per Serving, 240 Softgels – 150mg Active Ginsenosides, 5:1 Max Strength Extract – Energy &amp; Immune Health Supplement – Non-GMO</t>
  </si>
  <si>
    <t>B08517K5QY</t>
  </si>
  <si>
    <t xml:space="preserve">Electrolyte Powder Lemon Lime Flavor Jar </t>
  </si>
  <si>
    <t>B0DJWN567H</t>
  </si>
  <si>
    <t>Vitamin B3 Nicotinamide 1,000mg Per Serving – 500 Capsules, Flush Free Niacin, Essential B3 Vitamin Supplement – Supports Healthy Skin &amp; Energy Production – Non-GMO</t>
  </si>
  <si>
    <t>B0C2X6VR58</t>
  </si>
  <si>
    <t>Resveratrol Complex 2000mg</t>
  </si>
  <si>
    <t>B0DJWR8MZ3</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</si>
  <si>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</si>
  <si>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</si>
  <si>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</si>
  <si>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Creatine Monohydrate Powder 300 Grams (60 Servings), Unflavored | Pure | Micronized Creatine Powder, 5000mg(5g) Per Serving, 2 Month Supply, Vegan | Keto, Non-GMO, No Filler, No Additives</t>
  </si>
  <si>
    <t>B09YX7G6JJ</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</si>
  <si>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</si>
  <si>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</si>
  <si>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</si>
  <si>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</si>
  <si>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</si>
  <si>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</si>
  <si>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</si>
  <si>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</si>
  <si>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</si>
  <si>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</si>
  <si>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</si>
  <si>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</si>
  <si>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</si>
  <si>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</si>
  <si>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</si>
  <si>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</si>
  <si>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</si>
  <si>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</si>
  <si>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</si>
  <si>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</si>
  <si>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</si>
  <si>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</si>
  <si>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</si>
  <si>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</si>
  <si>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</si>
  <si>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</si>
  <si>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</si>
  <si>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</si>
  <si>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</si>
  <si>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</si>
  <si>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</si>
  <si>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</si>
  <si>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</si>
  <si>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</si>
  <si>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</si>
  <si>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</si>
  <si>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</si>
  <si>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Year to Date</t>
  </si>
  <si>
    <t>MI</t>
  </si>
  <si>
    <t>NB</t>
  </si>
  <si>
    <t>DS</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</si>
  <si>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</si>
  <si>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</si>
  <si>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</si>
  <si>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</si>
  <si>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</si>
  <si>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</si>
  <si>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</si>
  <si>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</si>
  <si>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</si>
  <si>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</si>
  <si>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</si>
  <si>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</si>
  <si>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</si>
  <si>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</si>
  <si>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</si>
  <si>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</si>
  <si>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</si>
  <si>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</si>
  <si>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</si>
  <si>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</si>
  <si>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</si>
  <si>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</si>
  <si>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</si>
  <si>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</si>
  <si>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</si>
  <si>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</si>
  <si>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</si>
  <si>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</si>
  <si>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</si>
  <si>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</si>
  <si>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</si>
  <si>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Asin</t>
  </si>
  <si>
    <t>Sum of Units Ordered (2/1-2/28)</t>
  </si>
  <si>
    <t>Sum of Session (2/1-2/28)</t>
  </si>
  <si>
    <t>Sum of Units Ordered (3/1-3/31)</t>
  </si>
  <si>
    <t>Sum of Session (3/1-3/31)</t>
  </si>
  <si>
    <t>Sum of Units Ordered (4/1-4/28)</t>
  </si>
  <si>
    <t>Sum of Session (4/1-4/28)</t>
  </si>
  <si>
    <t>B07G7YPJSJ</t>
  </si>
  <si>
    <t>B07P3HDQD9</t>
  </si>
  <si>
    <t>B07W86RNBX</t>
  </si>
  <si>
    <t>B07W8XG27G</t>
  </si>
  <si>
    <t>B07WTXS4BL</t>
  </si>
  <si>
    <t>B08MX256RL</t>
  </si>
  <si>
    <t>B081NWFC6W</t>
  </si>
  <si>
    <t>B085176YLP</t>
  </si>
  <si>
    <t>B086M6FBG4</t>
  </si>
  <si>
    <t>B0872L4YZS</t>
  </si>
  <si>
    <t>B08C4NZQYY</t>
  </si>
  <si>
    <t>B08WHGBYD3</t>
  </si>
  <si>
    <t>B08WHPNJTT</t>
  </si>
  <si>
    <t>B08C73K1PR</t>
  </si>
  <si>
    <t>B08X6N1YBK</t>
  </si>
  <si>
    <t>B092373KF3</t>
  </si>
  <si>
    <t>B087F1HYB7</t>
  </si>
  <si>
    <t>B0CG7C5X2F</t>
  </si>
  <si>
    <t>B07RD8TVDG</t>
  </si>
  <si>
    <t>B01MTLG2HR</t>
  </si>
  <si>
    <t>B01M3YCOJ4</t>
  </si>
  <si>
    <t>B01DPW5DD8</t>
  </si>
  <si>
    <t>B0BWH9Y7PZ</t>
  </si>
  <si>
    <t>B0C2SKQBDB</t>
  </si>
  <si>
    <t>B0C2W734WL</t>
  </si>
  <si>
    <t>B0CLFG8QLY</t>
  </si>
  <si>
    <t>B0CFPQWQNC</t>
  </si>
  <si>
    <t>B0C6VXPZTS</t>
  </si>
  <si>
    <t>B0C6W3MPRS</t>
  </si>
  <si>
    <t>B0C6WK3P6H</t>
  </si>
  <si>
    <t>B0C6WRVJQV</t>
  </si>
  <si>
    <t>B0C6WZJ2K6</t>
  </si>
  <si>
    <t>B0C6X5CZ98</t>
  </si>
  <si>
    <t>B0C88PXW63</t>
  </si>
  <si>
    <t>B0C8LWRXVV</t>
  </si>
  <si>
    <t>B0C8LXD8F2</t>
  </si>
  <si>
    <t>B0C8M8MQMR</t>
  </si>
  <si>
    <t>B0C8QZLF18</t>
  </si>
  <si>
    <t>B0CVTNMFSK</t>
  </si>
  <si>
    <t>B0CXGX8QTQ</t>
  </si>
  <si>
    <t>B0CYKDW4QQ</t>
  </si>
  <si>
    <t>B0D21244KR</t>
  </si>
  <si>
    <t>B0D2FGQB84</t>
  </si>
  <si>
    <t>B0D2FTRPL1</t>
  </si>
  <si>
    <t>B0D2MDHWT5</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</si>
  <si>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</si>
  <si>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</si>
  <si>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</si>
  <si>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</si>
  <si>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</si>
  <si>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</si>
  <si>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</si>
  <si>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</si>
  <si>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</si>
  <si>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</si>
  <si>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</si>
  <si>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</si>
  <si>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</si>
  <si>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</si>
  <si>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</si>
  <si>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</si>
  <si>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</si>
  <si>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</si>
  <si>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</si>
  <si>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</si>
  <si>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</si>
  <si>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</si>
  <si>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</si>
  <si>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</si>
  <si>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</si>
  <si>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</si>
  <si>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</si>
  <si>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</si>
  <si>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</si>
  <si>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</si>
  <si>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</si>
  <si>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</si>
  <si>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</si>
  <si>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</si>
  <si>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</si>
  <si>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</si>
  <si>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</si>
  <si>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</si>
  <si>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</si>
  <si>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</si>
  <si>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</si>
  <si>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</si>
  <si>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</si>
  <si>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</si>
  <si>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</si>
  <si>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</si>
  <si>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</si>
  <si>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Jan</t>
  </si>
  <si>
    <t>Feb</t>
  </si>
  <si>
    <t>Mar</t>
  </si>
  <si>
    <t>Apr</t>
  </si>
  <si>
    <t>May</t>
  </si>
  <si>
    <t>June</t>
  </si>
  <si>
    <t>July</t>
  </si>
  <si>
    <t>August</t>
  </si>
  <si>
    <t>September</t>
  </si>
  <si>
    <t>B0BFJXC2JN</t>
  </si>
  <si>
    <t>Brand</t>
  </si>
  <si>
    <t>Name</t>
  </si>
  <si>
    <t>Units 28 Days</t>
  </si>
  <si>
    <t>Daily Units</t>
  </si>
  <si>
    <t>Actual Ad Spend</t>
  </si>
  <si>
    <t>Expected Budget</t>
  </si>
  <si>
    <t>1.2X</t>
  </si>
  <si>
    <t>Responsible</t>
  </si>
  <si>
    <t xml:space="preserve">Comments </t>
  </si>
  <si>
    <t xml:space="preserve">Review </t>
  </si>
  <si>
    <t>Micro Ingredients</t>
  </si>
  <si>
    <t>NatureBell</t>
  </si>
  <si>
    <t>Deal Supplement</t>
  </si>
  <si>
    <t>B0BSP1W5JW</t>
  </si>
  <si>
    <t>B085WGL72X</t>
  </si>
  <si>
    <t>B0BR4NQGSC</t>
  </si>
  <si>
    <t>B01JNNAGEY</t>
  </si>
  <si>
    <t>B09TG497BW</t>
  </si>
  <si>
    <t>B07L44PJYM</t>
  </si>
  <si>
    <t>B0B239F6JW</t>
  </si>
  <si>
    <t>B0BCMY5TBJ</t>
  </si>
  <si>
    <t>B0CG7M7PRM</t>
  </si>
  <si>
    <t>B01N91404L</t>
  </si>
  <si>
    <t>B01DPW5EIM</t>
  </si>
  <si>
    <t>B07CRQ7NJ5</t>
  </si>
  <si>
    <t>B01DPW5MJI</t>
  </si>
  <si>
    <t>B09SBP5D35</t>
  </si>
  <si>
    <t>B01N02YD5I</t>
  </si>
  <si>
    <t>B01BHF3J4K</t>
  </si>
  <si>
    <t>B08C9JP3L2</t>
  </si>
  <si>
    <t>B08MX453B9</t>
  </si>
  <si>
    <t>B08C77PT4J</t>
  </si>
  <si>
    <t>B07P3H1872</t>
  </si>
  <si>
    <t>B07L47VZ1Z</t>
  </si>
  <si>
    <t>B0C35H2G42</t>
  </si>
  <si>
    <t>B07P3HRXK4</t>
  </si>
  <si>
    <t>B0B43XFX6P</t>
  </si>
  <si>
    <t>B0CG2L2N1J</t>
  </si>
  <si>
    <t>B0BSP38B2S</t>
  </si>
  <si>
    <t>B076B63VJC</t>
  </si>
  <si>
    <t>B0C2SCGYD4</t>
  </si>
  <si>
    <t>B09WXLZZRX</t>
  </si>
  <si>
    <t>B07R8FQG58</t>
  </si>
  <si>
    <t>B0C2SH4J85</t>
  </si>
  <si>
    <t>B087CMLT8J</t>
  </si>
  <si>
    <t>B076XMGV8M</t>
  </si>
  <si>
    <t>B07Y8Y19GR</t>
  </si>
  <si>
    <t>B08QDRP99J</t>
  </si>
  <si>
    <t>B08QDZLP2G</t>
  </si>
  <si>
    <t>B07G8GGRNT</t>
  </si>
  <si>
    <t>B0B9HVBQ4F</t>
  </si>
  <si>
    <t>B0BSJ4RLWX</t>
  </si>
  <si>
    <t>B0923BYLMS</t>
  </si>
  <si>
    <t>B0BFJVZYN5</t>
  </si>
  <si>
    <t>B07MTTWGWJ</t>
  </si>
  <si>
    <t>B0BJ1BRV7Z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</si>
</sst>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34">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58">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1" xfId="0" applyFont="1" applyFill="1" applyBorder="1"/>
    <xf numFmtId="8" fontId="9" fillId="10" borderId="12" xfId="0" applyNumberFormat="1" applyFont="1" applyFill="1" applyBorder="1"/>
    <xf numFmtId="0" fontId="8" fillId="11" borderId="13" xfId="0" applyFont="1" applyFill="1" applyBorder="1"/>
    <xf numFmtId="8" fontId="9" fillId="11" borderId="14"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2" xfId="0" applyFont="1" applyFill="1" applyBorder="1"/>
    <xf numFmtId="0" fontId="9" fillId="11" borderId="14" xfId="0" applyFont="1" applyFill="1" applyBorder="1"/>
    <xf numFmtId="0" fontId="8" fillId="10" borderId="15" xfId="0" applyFont="1" applyFill="1" applyBorder="1"/>
    <xf numFmtId="10" fontId="9" fillId="10" borderId="7" xfId="0" applyNumberFormat="1" applyFont="1" applyFill="1" applyBorder="1"/>
    <xf numFmtId="0" fontId="8" fillId="0" borderId="16" xfId="0" applyFont="1" applyBorder="1"/>
    <xf numFmtId="10" fontId="9" fillId="0" borderId="10" xfId="0" applyNumberFormat="1" applyFont="1" applyBorder="1"/>
    <xf numFmtId="0" fontId="8" fillId="10" borderId="17" xfId="0" applyFont="1" applyFill="1" applyBorder="1"/>
    <xf numFmtId="10" fontId="9" fillId="10" borderId="12" xfId="0" applyNumberFormat="1" applyFont="1" applyFill="1" applyBorder="1"/>
    <xf numFmtId="0" fontId="8" fillId="11" borderId="18" xfId="0" applyFont="1" applyFill="1" applyBorder="1"/>
    <xf numFmtId="10" fontId="9" fillId="11"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19" xfId="0" applyFont="1" applyFill="1" applyBorder="1"/>
    <xf numFmtId="3" fontId="9" fillId="10" borderId="20" xfId="0" applyNumberFormat="1" applyFont="1" applyFill="1" applyBorder="1"/>
    <xf numFmtId="0" fontId="8" fillId="0" borderId="21" xfId="0" applyFont="1" applyBorder="1"/>
    <xf numFmtId="3" fontId="9" fillId="0" borderId="22" xfId="0" applyNumberFormat="1" applyFont="1" applyBorder="1"/>
    <xf numFmtId="0" fontId="8" fillId="10" borderId="21" xfId="0" applyFont="1" applyFill="1" applyBorder="1"/>
    <xf numFmtId="3" fontId="9" fillId="10" borderId="22" xfId="0" applyNumberFormat="1" applyFont="1" applyFill="1" applyBorder="1"/>
    <xf numFmtId="0" fontId="8" fillId="11" borderId="21" xfId="0" applyFont="1" applyFill="1" applyBorder="1"/>
    <xf numFmtId="3" fontId="9" fillId="11"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10" borderId="2" xfId="0" applyNumberFormat="1" applyFont="1" applyFill="1" applyBorder="1"/>
    <xf numFmtId="8" fontId="9" fillId="0" borderId="9" xfId="0" applyNumberFormat="1" applyFont="1" applyBorder="1"/>
    <xf numFmtId="8" fontId="9" fillId="10" borderId="11" xfId="0" applyNumberFormat="1" applyFont="1" applyFill="1" applyBorder="1"/>
    <xf numFmtId="8" fontId="9" fillId="11" borderId="13" xfId="0" applyNumberFormat="1" applyFont="1" applyFill="1" applyBorder="1"/>
    <xf numFmtId="10" fontId="9" fillId="10" borderId="2" xfId="0" applyNumberFormat="1" applyFont="1" applyFill="1" applyBorder="1"/>
    <xf numFmtId="10" fontId="9" fillId="0" borderId="9" xfId="0" applyNumberFormat="1" applyFont="1" applyBorder="1"/>
    <xf numFmtId="10" fontId="9" fillId="10" borderId="11" xfId="0" applyNumberFormat="1" applyFont="1" applyFill="1" applyBorder="1"/>
    <xf numFmtId="10" fontId="9" fillId="11" borderId="13" xfId="0" applyNumberFormat="1" applyFont="1" applyFill="1" applyBorder="1"/>
    <xf numFmtId="3" fontId="9" fillId="10" borderId="25" xfId="0" applyNumberFormat="1" applyFont="1" applyFill="1" applyBorder="1"/>
    <xf numFmtId="3" fontId="9" fillId="0" borderId="26" xfId="0" applyNumberFormat="1" applyFont="1" applyBorder="1"/>
    <xf numFmtId="3" fontId="9" fillId="10" borderId="26" xfId="0" applyNumberFormat="1" applyFont="1" applyFill="1" applyBorder="1"/>
    <xf numFmtId="3" fontId="9" fillId="11" borderId="26" xfId="0" applyNumberFormat="1" applyFont="1" applyFill="1" applyBorder="1"/>
    <xf numFmtId="9" fontId="7" fillId="0" borderId="27" xfId="0" applyNumberFormat="1" applyFont="1" applyBorder="1"/>
    <xf numFmtId="3" fontId="9" fillId="10" borderId="28" xfId="0" applyNumberFormat="1" applyFont="1" applyFill="1" applyBorder="1"/>
    <xf numFmtId="3" fontId="9" fillId="10" borderId="29" xfId="0" applyNumberFormat="1" applyFont="1" applyFill="1" applyBorder="1"/>
    <xf numFmtId="3" fontId="9" fillId="0" borderId="30" xfId="0" applyNumberFormat="1" applyFont="1" applyBorder="1"/>
    <xf numFmtId="3" fontId="9" fillId="10" borderId="30" xfId="0" applyNumberFormat="1" applyFont="1" applyFill="1" applyBorder="1"/>
    <xf numFmtId="3" fontId="9" fillId="11"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0" fontId="10" fillId="0" borderId="0" xfId="0" applyFont="1" applyAlignment="1">
      <alignment horizontal="left" vertical="center"/>
    </xf>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10" fillId="0" borderId="0" xfId="0" applyFont="1" applyAlignment="1">
      <alignment horizontal="left"/>
    </xf>
    <xf numFmtId="0" fontId="10" fillId="0" borderId="0" xfId="0" applyFont="1" applyAlignment="1">
      <alignment readingOrder="1"/>
    </xf>
    <xf numFmtId="0" fontId="7" fillId="0" borderId="0" xfId="0" applyFont="1" applyAlignment="1">
      <alignment horizontal="left" vertical="top"/>
    </xf>
    <xf numFmtId="0" fontId="8" fillId="0" borderId="33" xfId="0" applyFont="1" applyBorder="1"/>
    <xf numFmtId="164" fontId="4" fillId="0" borderId="0" xfId="2" applyNumberFormat="1" applyFont="1" applyBorder="1"/>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xf numFmtId="0" fontId="4" fillId="0" borderId="0" xfId="0" applyFont="1" applyBorder="1"/>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TCOS'!$B$37:$AG$37</c:f>
              <c:numCache>
                <c:formatCode>#,##0</c:formatCode>
                <c:ptCount val="32"/>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TCOS'!$B$38:$AG$38</c:f>
              <c:numCache>
                <c:formatCode>#,##0</c:formatCode>
                <c:ptCount val="32"/>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TCOS'!$B$39:$AG$39</c:f>
              <c:numCache>
                <c:formatCode>#,##0</c:formatCode>
                <c:ptCount val="32"/>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TCOS'!$B$40:$AG$40</c:f>
              <c:numCache>
                <c:formatCode>#,##0</c:formatCode>
                <c:ptCount val="32"/>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944537749216404E-2"/>
          <c:y val="8.115657659416417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CVR!$A$432:$U$432</c:f>
              <c:strCache>
                <c:ptCount val="21"/>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June</c:v>
                </c:pt>
                <c:pt idx="18">
                  <c:v>July</c:v>
                </c:pt>
                <c:pt idx="19">
                  <c:v>August</c:v>
                </c:pt>
                <c:pt idx="20">
                  <c:v>September</c:v>
                </c:pt>
              </c:strCache>
            </c:strRef>
          </c:cat>
          <c:val>
            <c:numRef>
              <c:f>CVR!$A$433:$U$433</c:f>
              <c:numCache>
                <c:formatCode>0.00%</c:formatCode>
                <c:ptCount val="21"/>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pt idx="16">
                  <c:v>0.26180803845821882</c:v>
                </c:pt>
                <c:pt idx="17">
                  <c:v>0.27239999999999998</c:v>
                </c:pt>
                <c:pt idx="18">
                  <c:v>0.28406653769105228</c:v>
                </c:pt>
                <c:pt idx="19">
                  <c:v>0.26958061467591166</c:v>
                </c:pt>
                <c:pt idx="20">
                  <c:v>0.2873</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38660</xdr:colOff>
      <xdr:row>47</xdr:row>
      <xdr:rowOff>105332</xdr:rowOff>
    </xdr:from>
    <xdr:to>
      <xdr:col>23</xdr:col>
      <xdr:colOff>537883</xdr:colOff>
      <xdr:row>99</xdr:row>
      <xdr:rowOff>0</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1324032</xdr:colOff>
      <xdr:row>439</xdr:row>
      <xdr:rowOff>2406</xdr:rowOff>
    </xdr:from>
    <xdr:to>
      <xdr:col>11</xdr:col>
      <xdr:colOff>1016000</xdr:colOff>
      <xdr:row>471</xdr:row>
      <xdr:rowOff>90934</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65"/>
  <sheetViews>
    <sheetView zoomScaleNormal="100" workbookViewId="0">
      <pane xSplit="2" ySplit="2" topLeftCell="F3" activePane="bottomRight" state="frozen"/>
      <selection pane="bottomRight" activeCell="J6" sqref="J6"/>
      <selection pane="bottomLeft" activeCell="A3" sqref="A3"/>
      <selection pane="topRight" activeCell="C1" sqref="C1"/>
    </sheetView>
  </sheetViews>
  <sheetFormatPr defaultRowHeight="15" customHeight="1"/>
  <cols>
    <col min="1" max="1" width="65.57031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30" customWidth="1"/>
    <col min="22" max="22" width="10.28515625" customWidth="1"/>
    <col min="23" max="23" width="15.85546875" customWidth="1"/>
    <col min="24" max="24" width="15.42578125" customWidth="1"/>
    <col min="25" max="25" width="9.7109375" customWidth="1"/>
  </cols>
  <sheetData>
    <row r="1" spans="1:26" ht="14.45" customHeight="1">
      <c r="B1" s="154">
        <v>45870</v>
      </c>
      <c r="C1" s="153"/>
      <c r="E1" s="154">
        <v>45901</v>
      </c>
      <c r="F1" s="153"/>
      <c r="J1" s="155"/>
      <c r="K1" s="155"/>
      <c r="M1" s="156" t="s">
        <v>0</v>
      </c>
      <c r="N1" s="156"/>
      <c r="O1" s="1"/>
      <c r="Q1" s="10" t="s">
        <v>1</v>
      </c>
      <c r="R1" s="1"/>
      <c r="U1" s="153" t="s">
        <v>2</v>
      </c>
      <c r="V1" s="153"/>
      <c r="W1" s="153" t="s">
        <v>3</v>
      </c>
      <c r="X1" s="153"/>
    </row>
    <row r="2" spans="1:26">
      <c r="A2" s="3" t="s">
        <v>4</v>
      </c>
      <c r="B2" s="3" t="s">
        <v>5</v>
      </c>
      <c r="C2" s="3" t="s">
        <v>6</v>
      </c>
      <c r="E2" s="3" t="s">
        <v>5</v>
      </c>
      <c r="F2" s="3" t="s">
        <v>6</v>
      </c>
      <c r="G2" t="s">
        <v>7</v>
      </c>
      <c r="J2" t="s">
        <v>8</v>
      </c>
      <c r="K2" t="s">
        <v>9</v>
      </c>
      <c r="M2" t="s">
        <v>10</v>
      </c>
      <c r="N2" t="s">
        <v>11</v>
      </c>
      <c r="Q2" s="5" t="s">
        <v>12</v>
      </c>
      <c r="U2" s="130" t="s">
        <v>13</v>
      </c>
      <c r="V2" t="s">
        <v>9</v>
      </c>
      <c r="W2" t="s">
        <v>10</v>
      </c>
      <c r="X2" t="s">
        <v>11</v>
      </c>
      <c r="Y2" t="s">
        <v>9</v>
      </c>
      <c r="Z2" t="s">
        <v>14</v>
      </c>
    </row>
    <row r="3" spans="1:26" ht="13.9" customHeight="1">
      <c r="A3" t="s">
        <v>15</v>
      </c>
      <c r="B3" t="s">
        <v>16</v>
      </c>
      <c r="C3" s="28">
        <v>21279</v>
      </c>
      <c r="E3" t="s">
        <v>16</v>
      </c>
      <c r="F3" s="28">
        <v>12307</v>
      </c>
      <c r="G3" t="b">
        <f>IF(B3=E3,TRUE,FALSE)</f>
        <v>1</v>
      </c>
      <c r="J3" s="25">
        <f>F3-C3</f>
        <v>-8972</v>
      </c>
      <c r="K3" s="4">
        <f>F3/C3-1</f>
        <v>-0.42163635509187458</v>
      </c>
      <c r="M3" s="5">
        <v>20357.07</v>
      </c>
      <c r="N3" s="5">
        <v>12143.25</v>
      </c>
      <c r="Q3" s="143">
        <v>71264.05</v>
      </c>
      <c r="U3" s="130">
        <f>N3-M3</f>
        <v>-8213.82</v>
      </c>
      <c r="V3" s="4">
        <f>IF(M3=0,0,N3/M3-1)</f>
        <v>-0.40348733879679144</v>
      </c>
      <c r="W3" s="18">
        <v>442393.62</v>
      </c>
      <c r="X3" s="18">
        <v>299614.83</v>
      </c>
      <c r="Y3" s="4">
        <f>X3/W3-1</f>
        <v>-0.32274152145322521</v>
      </c>
    </row>
    <row r="4" spans="1:26" ht="13.9" customHeight="1">
      <c r="A4" s="55" t="s">
        <v>17</v>
      </c>
      <c r="B4" s="37" t="s">
        <v>18</v>
      </c>
      <c r="C4" s="19">
        <v>5771</v>
      </c>
      <c r="E4" s="37" t="s">
        <v>18</v>
      </c>
      <c r="F4" s="19">
        <v>4108</v>
      </c>
      <c r="G4" t="b">
        <f>IF(B4=E4,TRUE,FALSE)</f>
        <v>1</v>
      </c>
      <c r="J4" s="25">
        <f>F4-C4</f>
        <v>-1663</v>
      </c>
      <c r="K4" s="4">
        <f>F4/C4-1</f>
        <v>-0.28816496274475822</v>
      </c>
      <c r="M4" s="5">
        <v>5277.72</v>
      </c>
      <c r="N4" s="5">
        <v>3845.1</v>
      </c>
      <c r="Q4" s="142">
        <v>31070.82</v>
      </c>
      <c r="U4" s="130">
        <f>N4-M4</f>
        <v>-1432.6200000000003</v>
      </c>
      <c r="V4" s="4">
        <f>IF(M4=0,0,N4/M4-1)</f>
        <v>-0.27144676110138477</v>
      </c>
      <c r="W4">
        <v>121480.89</v>
      </c>
      <c r="X4">
        <v>95011.82</v>
      </c>
      <c r="Y4" s="4">
        <f>X4/W4-1</f>
        <v>-0.21788669806419747</v>
      </c>
    </row>
    <row r="5" spans="1:26" ht="13.9" customHeight="1">
      <c r="A5" t="s">
        <v>19</v>
      </c>
      <c r="B5" t="s">
        <v>20</v>
      </c>
      <c r="C5" s="28">
        <v>1576</v>
      </c>
      <c r="E5" t="s">
        <v>20</v>
      </c>
      <c r="F5" s="28">
        <v>30</v>
      </c>
      <c r="G5" t="b">
        <f>IF(B5=E5,TRUE,FALSE)</f>
        <v>1</v>
      </c>
      <c r="J5" s="25">
        <f>F5-C5</f>
        <v>-1546</v>
      </c>
      <c r="K5" s="4">
        <f>F5/C5-1</f>
        <v>-0.98096446700507611</v>
      </c>
      <c r="M5" s="5">
        <v>956.47</v>
      </c>
      <c r="N5" s="5">
        <v>0</v>
      </c>
      <c r="Q5" s="143">
        <v>0</v>
      </c>
      <c r="U5" s="130">
        <f>N5-M5</f>
        <v>-956.47</v>
      </c>
      <c r="V5" s="4">
        <f>IF(M5=0,0,N5/M5-1)</f>
        <v>-1</v>
      </c>
      <c r="W5" s="18">
        <v>44589.440000000002</v>
      </c>
      <c r="X5" s="18">
        <v>899.7</v>
      </c>
      <c r="Y5" s="4">
        <f>X5/W5-1</f>
        <v>-0.97982257682536489</v>
      </c>
    </row>
    <row r="6" spans="1:26">
      <c r="A6" t="s">
        <v>21</v>
      </c>
      <c r="B6" t="s">
        <v>22</v>
      </c>
      <c r="C6" s="28">
        <v>12215</v>
      </c>
      <c r="E6" t="s">
        <v>22</v>
      </c>
      <c r="F6" s="28">
        <v>10712</v>
      </c>
      <c r="G6" t="b">
        <f>IF(B6=E6,TRUE,FALSE)</f>
        <v>1</v>
      </c>
      <c r="J6" s="25">
        <f>F6-C6</f>
        <v>-1503</v>
      </c>
      <c r="K6" s="4">
        <f>F6/C6-1</f>
        <v>-0.12304543593941875</v>
      </c>
      <c r="M6" s="5">
        <v>20296.990000000002</v>
      </c>
      <c r="N6" s="5">
        <v>16270.87</v>
      </c>
      <c r="Q6" s="143">
        <v>100506.92</v>
      </c>
      <c r="U6" s="130">
        <f>N6-M6</f>
        <v>-4026.1200000000008</v>
      </c>
      <c r="V6" s="4">
        <f>IF(M6=0,0,N6/M6-1)</f>
        <v>-0.19836044654897111</v>
      </c>
      <c r="W6" s="18">
        <v>318371.92</v>
      </c>
      <c r="X6" s="18">
        <v>276334.53000000003</v>
      </c>
      <c r="Y6" s="4">
        <f>X6/W6-1</f>
        <v>-0.13203862325546789</v>
      </c>
    </row>
    <row r="7" spans="1:26" ht="13.9" customHeight="1">
      <c r="A7" t="s">
        <v>23</v>
      </c>
      <c r="B7" t="s">
        <v>24</v>
      </c>
      <c r="C7" s="28">
        <v>21908</v>
      </c>
      <c r="E7" t="s">
        <v>24</v>
      </c>
      <c r="F7" s="28">
        <v>20514</v>
      </c>
      <c r="G7" t="b">
        <f>IF(B7=E7,TRUE,FALSE)</f>
        <v>1</v>
      </c>
      <c r="J7" s="25">
        <f>F7-C7</f>
        <v>-1394</v>
      </c>
      <c r="K7" s="4">
        <f>F7/C7-1</f>
        <v>-6.3629724301624946E-2</v>
      </c>
      <c r="M7" s="5">
        <v>17709.07</v>
      </c>
      <c r="N7" s="5">
        <v>18983.129999999997</v>
      </c>
      <c r="Q7" s="143">
        <v>147157.61000000002</v>
      </c>
      <c r="U7" s="130">
        <f>N7-M7</f>
        <v>1274.0599999999977</v>
      </c>
      <c r="V7" s="4">
        <f>IF(M7=0,0,N7/M7-1)</f>
        <v>7.1943924779787949E-2</v>
      </c>
      <c r="W7" s="18">
        <v>1018704.03</v>
      </c>
      <c r="X7" s="18">
        <v>1023039.37</v>
      </c>
      <c r="Y7" s="4">
        <f>X7/W7-1</f>
        <v>4.2557405019787442E-3</v>
      </c>
    </row>
    <row r="8" spans="1:26" ht="14.45" customHeight="1">
      <c r="A8" s="55" t="s">
        <v>25</v>
      </c>
      <c r="B8" s="37" t="s">
        <v>26</v>
      </c>
      <c r="C8" s="28">
        <v>1971</v>
      </c>
      <c r="E8" s="37" t="s">
        <v>26</v>
      </c>
      <c r="F8" s="28">
        <v>618</v>
      </c>
      <c r="G8" t="b">
        <f>IF(B8=E8,TRUE,FALSE)</f>
        <v>1</v>
      </c>
      <c r="J8" s="25">
        <f>F8-C8</f>
        <v>-1353</v>
      </c>
      <c r="K8" s="4">
        <f>F8/C8-1</f>
        <v>-0.68645357686453579</v>
      </c>
      <c r="M8" s="5">
        <v>2504.3200000000002</v>
      </c>
      <c r="N8" s="5">
        <v>1100.54</v>
      </c>
      <c r="Q8" s="142">
        <v>7706.53</v>
      </c>
      <c r="U8" s="130">
        <f>N8-M8</f>
        <v>-1403.7800000000002</v>
      </c>
      <c r="V8" s="4">
        <f>IF(M8=0,0,N8/M8-1)</f>
        <v>-0.56054338103756707</v>
      </c>
      <c r="W8" s="18">
        <v>30106.29</v>
      </c>
      <c r="X8" s="18">
        <v>12352.62</v>
      </c>
      <c r="Y8" s="4">
        <f>X8/W8-1</f>
        <v>-0.58969969398421385</v>
      </c>
    </row>
    <row r="9" spans="1:26" ht="13.9" customHeight="1">
      <c r="A9" t="s">
        <v>27</v>
      </c>
      <c r="B9" t="s">
        <v>28</v>
      </c>
      <c r="C9" s="28">
        <v>4487</v>
      </c>
      <c r="E9" t="s">
        <v>28</v>
      </c>
      <c r="F9" s="28">
        <v>3201</v>
      </c>
      <c r="G9" t="b">
        <f>IF(B9=E9,TRUE,FALSE)</f>
        <v>1</v>
      </c>
      <c r="J9" s="25">
        <f>F9-C9</f>
        <v>-1286</v>
      </c>
      <c r="K9" s="4">
        <f>F9/C9-1</f>
        <v>-0.28660574994428345</v>
      </c>
      <c r="M9" s="5">
        <v>4439.75</v>
      </c>
      <c r="N9" s="5">
        <v>3958.13</v>
      </c>
      <c r="Q9" s="143">
        <v>16629.77</v>
      </c>
      <c r="U9" s="130">
        <f>N9-M9</f>
        <v>-481.61999999999989</v>
      </c>
      <c r="V9" s="4">
        <f>IF(M9=0,0,N9/M9-1)</f>
        <v>-0.10847908102933723</v>
      </c>
      <c r="W9" s="18">
        <v>119959.31</v>
      </c>
      <c r="X9" s="18">
        <v>94238.62</v>
      </c>
      <c r="Y9" s="4">
        <f>X9/W9-1</f>
        <v>-0.21441178679670636</v>
      </c>
    </row>
    <row r="10" spans="1:26" ht="13.9" customHeight="1">
      <c r="A10" t="s">
        <v>29</v>
      </c>
      <c r="B10" t="s">
        <v>30</v>
      </c>
      <c r="C10" s="28">
        <v>4547</v>
      </c>
      <c r="E10" t="s">
        <v>30</v>
      </c>
      <c r="F10" s="28">
        <v>3285</v>
      </c>
      <c r="G10" t="b">
        <f>IF(B10=E10,TRUE,FALSE)</f>
        <v>1</v>
      </c>
      <c r="J10" s="25">
        <f>F10-C10</f>
        <v>-1262</v>
      </c>
      <c r="K10" s="4">
        <f>F10/C10-1</f>
        <v>-0.27754563448427538</v>
      </c>
      <c r="M10" s="5">
        <v>7616.2</v>
      </c>
      <c r="N10" s="5">
        <v>4621.49</v>
      </c>
      <c r="Q10" s="143">
        <v>28213.3</v>
      </c>
      <c r="U10" s="130">
        <f>N10-M10</f>
        <v>-2994.71</v>
      </c>
      <c r="V10" s="4">
        <f>IF(M10=0,0,N10/M10-1)</f>
        <v>-0.39320264698931229</v>
      </c>
      <c r="W10" s="18">
        <v>124547.65</v>
      </c>
      <c r="X10" s="18">
        <v>95398.09</v>
      </c>
      <c r="Y10" s="4">
        <f>X10/W10-1</f>
        <v>-0.23404343638759939</v>
      </c>
    </row>
    <row r="11" spans="1:26" ht="13.9" customHeight="1">
      <c r="A11" t="s">
        <v>31</v>
      </c>
      <c r="B11" t="s">
        <v>32</v>
      </c>
      <c r="C11" s="28">
        <v>5030</v>
      </c>
      <c r="E11" t="s">
        <v>32</v>
      </c>
      <c r="F11" s="28">
        <v>3838</v>
      </c>
      <c r="G11" t="b">
        <f>IF(B11=E11,TRUE,FALSE)</f>
        <v>1</v>
      </c>
      <c r="J11" s="25">
        <f>F11-C11</f>
        <v>-1192</v>
      </c>
      <c r="K11" s="4">
        <f>F11/C11-1</f>
        <v>-0.23697813121272371</v>
      </c>
      <c r="M11" s="5">
        <v>8454.9</v>
      </c>
      <c r="N11" s="5">
        <v>7039.93</v>
      </c>
      <c r="Q11" s="143">
        <v>32374.7</v>
      </c>
      <c r="U11" s="130">
        <f>N11-M11</f>
        <v>-1414.9699999999993</v>
      </c>
      <c r="V11" s="4">
        <f>IF(M11=0,0,N11/M11-1)</f>
        <v>-0.16735502489680532</v>
      </c>
      <c r="W11" s="18">
        <v>105283.56</v>
      </c>
      <c r="X11" s="18">
        <v>84213.39</v>
      </c>
      <c r="Y11" s="4">
        <f>X11/W11-1</f>
        <v>-0.20012782622472114</v>
      </c>
    </row>
    <row r="12" spans="1:26" ht="13.9" customHeight="1">
      <c r="A12" s="56" t="s">
        <v>33</v>
      </c>
      <c r="B12" s="37" t="s">
        <v>34</v>
      </c>
      <c r="C12" s="28">
        <v>2691</v>
      </c>
      <c r="E12" s="37" t="s">
        <v>34</v>
      </c>
      <c r="F12" s="28">
        <v>1569</v>
      </c>
      <c r="G12" t="b">
        <f>IF(B12=E12,TRUE,FALSE)</f>
        <v>1</v>
      </c>
      <c r="J12" s="25">
        <f>F12-C12</f>
        <v>-1122</v>
      </c>
      <c r="K12" s="4">
        <f>F12/C12-1</f>
        <v>-0.41694537346711258</v>
      </c>
      <c r="M12" s="5">
        <v>4478.95</v>
      </c>
      <c r="N12" s="5">
        <v>3307.29</v>
      </c>
      <c r="Q12" s="143">
        <v>17385.330000000002</v>
      </c>
      <c r="U12" s="130">
        <f>N12-M12</f>
        <v>-1171.6599999999999</v>
      </c>
      <c r="V12" s="4">
        <f>IF(M12=0,0,N12/M12-1)</f>
        <v>-0.26159256075642723</v>
      </c>
      <c r="W12" s="18">
        <v>51296.42</v>
      </c>
      <c r="X12" s="18">
        <v>30527.47</v>
      </c>
      <c r="Y12" s="4">
        <f>X12/W12-1</f>
        <v>-0.40488108136981094</v>
      </c>
    </row>
    <row r="13" spans="1:26" ht="13.9" customHeight="1">
      <c r="A13" s="55" t="s">
        <v>35</v>
      </c>
      <c r="B13" s="37" t="s">
        <v>36</v>
      </c>
      <c r="C13" s="19">
        <v>2263</v>
      </c>
      <c r="E13" s="37" t="s">
        <v>36</v>
      </c>
      <c r="F13" s="19">
        <v>1218</v>
      </c>
      <c r="G13" t="b">
        <f>IF(B13=E13,TRUE,FALSE)</f>
        <v>1</v>
      </c>
      <c r="J13" s="25">
        <f>F13-C13</f>
        <v>-1045</v>
      </c>
      <c r="K13" s="4">
        <f>F13/C13-1</f>
        <v>-0.46177640300486078</v>
      </c>
      <c r="M13" s="5">
        <v>2983.23</v>
      </c>
      <c r="N13" s="5">
        <v>2314.7199999999998</v>
      </c>
      <c r="Q13" s="142">
        <v>16391.060000000001</v>
      </c>
      <c r="U13" s="130">
        <f>N13-M13</f>
        <v>-668.51000000000022</v>
      </c>
      <c r="V13" s="4">
        <f>IF(M13=0,0,N13/M13-1)</f>
        <v>-0.22408932599900111</v>
      </c>
      <c r="W13">
        <v>30920.74</v>
      </c>
      <c r="X13">
        <v>28450.05</v>
      </c>
      <c r="Y13" s="4">
        <f>X13/W13-1</f>
        <v>-7.9903973837624931E-2</v>
      </c>
    </row>
    <row r="14" spans="1:26" ht="13.9" customHeight="1">
      <c r="A14" s="55" t="s">
        <v>37</v>
      </c>
      <c r="B14" s="37" t="s">
        <v>38</v>
      </c>
      <c r="C14" s="28">
        <v>1485</v>
      </c>
      <c r="E14" s="37" t="s">
        <v>38</v>
      </c>
      <c r="F14" s="28">
        <v>528</v>
      </c>
      <c r="G14" t="b">
        <f>IF(B14=E14,TRUE,FALSE)</f>
        <v>1</v>
      </c>
      <c r="J14" s="25">
        <f>F14-C14</f>
        <v>-957</v>
      </c>
      <c r="K14" s="4">
        <f>F14/C14-1</f>
        <v>-0.64444444444444438</v>
      </c>
      <c r="M14" s="5">
        <v>2584.36</v>
      </c>
      <c r="N14" s="5">
        <v>1344.24</v>
      </c>
      <c r="Q14" s="142">
        <v>6621.95</v>
      </c>
      <c r="U14" s="130">
        <f>N14-M14</f>
        <v>-1240.1200000000001</v>
      </c>
      <c r="V14" s="4">
        <f>IF(M14=0,0,N14/M14-1)</f>
        <v>-0.47985574765125605</v>
      </c>
      <c r="W14" s="18">
        <v>18004.75</v>
      </c>
      <c r="X14" s="18">
        <v>10554.52</v>
      </c>
      <c r="Y14" s="4">
        <f>X14/W14-1</f>
        <v>-0.41379247143115006</v>
      </c>
    </row>
    <row r="15" spans="1:26" ht="13.9" customHeight="1">
      <c r="A15" t="s">
        <v>39</v>
      </c>
      <c r="B15" t="s">
        <v>40</v>
      </c>
      <c r="C15" s="28">
        <v>1642</v>
      </c>
      <c r="E15" t="s">
        <v>40</v>
      </c>
      <c r="F15" s="28">
        <v>707</v>
      </c>
      <c r="G15" t="b">
        <f>IF(B15=E15,TRUE,FALSE)</f>
        <v>1</v>
      </c>
      <c r="J15" s="25">
        <f>F15-C15</f>
        <v>-935</v>
      </c>
      <c r="K15" s="4">
        <f>F15/C15-1</f>
        <v>-0.56942752740560287</v>
      </c>
      <c r="M15" s="5">
        <v>4012.46</v>
      </c>
      <c r="N15" s="5">
        <v>1664.94</v>
      </c>
      <c r="Q15" s="143">
        <v>10778.49</v>
      </c>
      <c r="U15" s="130">
        <f>N15-M15</f>
        <v>-2347.52</v>
      </c>
      <c r="V15" s="4">
        <f>IF(M15=0,0,N15/M15-1)</f>
        <v>-0.58505754574500424</v>
      </c>
      <c r="W15" s="18">
        <v>32722.62</v>
      </c>
      <c r="X15" s="18">
        <v>14075.92</v>
      </c>
      <c r="Y15" s="4">
        <f>X15/W15-1</f>
        <v>-0.56984129021453667</v>
      </c>
    </row>
    <row r="16" spans="1:26" ht="13.9" customHeight="1">
      <c r="A16" s="55" t="s">
        <v>41</v>
      </c>
      <c r="B16" s="37" t="s">
        <v>42</v>
      </c>
      <c r="C16" s="28">
        <v>1569</v>
      </c>
      <c r="E16" s="37" t="s">
        <v>42</v>
      </c>
      <c r="F16" s="28">
        <v>677</v>
      </c>
      <c r="G16" t="b">
        <f>IF(B16=E16,TRUE,FALSE)</f>
        <v>1</v>
      </c>
      <c r="J16" s="25">
        <f>F16-C16</f>
        <v>-892</v>
      </c>
      <c r="K16" s="4">
        <f>F16/C16-1</f>
        <v>-0.56851497769279802</v>
      </c>
      <c r="M16" s="5">
        <v>2794.74</v>
      </c>
      <c r="N16" s="5">
        <v>1431.25</v>
      </c>
      <c r="Q16" s="142">
        <v>6864.08</v>
      </c>
      <c r="U16" s="130">
        <f>N16-M16</f>
        <v>-1363.4899999999998</v>
      </c>
      <c r="V16" s="4">
        <f>IF(M16=0,0,N16/M16-1)</f>
        <v>-0.4878772265040755</v>
      </c>
      <c r="W16" s="18">
        <v>23161.58</v>
      </c>
      <c r="X16" s="18">
        <v>15495.08</v>
      </c>
      <c r="Y16" s="4">
        <f>X16/W16-1</f>
        <v>-0.33100073483760617</v>
      </c>
    </row>
    <row r="17" spans="1:25" ht="14.25" customHeight="1">
      <c r="A17" s="55" t="s">
        <v>43</v>
      </c>
      <c r="B17" s="37" t="s">
        <v>44</v>
      </c>
      <c r="C17" s="28">
        <v>1964</v>
      </c>
      <c r="E17" s="37" t="s">
        <v>44</v>
      </c>
      <c r="F17" s="28">
        <v>1077</v>
      </c>
      <c r="G17" t="b">
        <f>IF(B17=E17,TRUE,FALSE)</f>
        <v>1</v>
      </c>
      <c r="J17" s="25">
        <f>F17-C17</f>
        <v>-887</v>
      </c>
      <c r="K17" s="4">
        <f>F17/C17-1</f>
        <v>-0.45162932790224031</v>
      </c>
      <c r="M17" s="5">
        <v>3821.81</v>
      </c>
      <c r="N17" s="5">
        <v>2544.52</v>
      </c>
      <c r="Q17" s="142">
        <v>17017.71</v>
      </c>
      <c r="U17" s="130">
        <f>N17-M17</f>
        <v>-1277.29</v>
      </c>
      <c r="V17" s="4">
        <f>IF(M17=0,0,N17/M17-1)</f>
        <v>-0.33421075354347807</v>
      </c>
      <c r="W17" s="18">
        <v>41231.699999999997</v>
      </c>
      <c r="X17" s="18">
        <v>28631.18</v>
      </c>
      <c r="Y17" s="4">
        <f>X17/W17-1</f>
        <v>-0.30560272799811794</v>
      </c>
    </row>
    <row r="18" spans="1:25" ht="13.9" customHeight="1">
      <c r="A18" s="55" t="s">
        <v>45</v>
      </c>
      <c r="B18" s="37" t="s">
        <v>46</v>
      </c>
      <c r="C18" s="28">
        <v>6241</v>
      </c>
      <c r="E18" s="37" t="s">
        <v>46</v>
      </c>
      <c r="F18" s="28">
        <v>5447</v>
      </c>
      <c r="G18" t="b">
        <f>IF(B18=E18,TRUE,FALSE)</f>
        <v>1</v>
      </c>
      <c r="J18" s="25">
        <f>F18-C18</f>
        <v>-794</v>
      </c>
      <c r="K18" s="4">
        <f>F18/C18-1</f>
        <v>-0.12722320141003041</v>
      </c>
      <c r="M18" s="5">
        <v>7527.14</v>
      </c>
      <c r="N18" s="5">
        <v>6649.61</v>
      </c>
      <c r="Q18" s="143">
        <v>37226.339999999997</v>
      </c>
      <c r="U18" s="130">
        <f>N18-M18</f>
        <v>-877.53000000000065</v>
      </c>
      <c r="V18" s="4">
        <f>IF(M18=0,0,N18/M18-1)</f>
        <v>-0.11658212813897451</v>
      </c>
      <c r="W18" s="18">
        <v>144236.06</v>
      </c>
      <c r="X18" s="18">
        <v>122061.95</v>
      </c>
      <c r="Y18" s="4">
        <f>X18/W18-1</f>
        <v>-0.15373485659550046</v>
      </c>
    </row>
    <row r="19" spans="1:25" ht="13.9" customHeight="1">
      <c r="A19" t="s">
        <v>47</v>
      </c>
      <c r="B19" t="s">
        <v>48</v>
      </c>
      <c r="C19" s="28">
        <v>7425</v>
      </c>
      <c r="E19" t="s">
        <v>48</v>
      </c>
      <c r="F19" s="28">
        <v>6697</v>
      </c>
      <c r="G19" t="b">
        <f>IF(B19=E19,TRUE,FALSE)</f>
        <v>1</v>
      </c>
      <c r="J19" s="25">
        <f>F19-C19</f>
        <v>-728</v>
      </c>
      <c r="K19" s="4">
        <f>F19/C19-1</f>
        <v>-9.8047138047138049E-2</v>
      </c>
      <c r="M19" s="5">
        <v>10591.28</v>
      </c>
      <c r="N19" s="5">
        <v>10565.92</v>
      </c>
      <c r="Q19" s="143">
        <v>63920.65</v>
      </c>
      <c r="U19" s="130">
        <f>N19-M19</f>
        <v>-25.360000000000582</v>
      </c>
      <c r="V19" s="4">
        <f>IF(M19=0,0,N19/M19-1)</f>
        <v>-2.3944225815955011E-3</v>
      </c>
      <c r="W19" s="18">
        <v>234115.65</v>
      </c>
      <c r="X19" s="18">
        <v>204820.46</v>
      </c>
      <c r="Y19" s="4">
        <f>X19/W19-1</f>
        <v>-0.12513127593136131</v>
      </c>
    </row>
    <row r="20" spans="1:25" ht="13.9" customHeight="1">
      <c r="A20" s="57" t="s">
        <v>49</v>
      </c>
      <c r="B20" s="37" t="s">
        <v>50</v>
      </c>
      <c r="C20" s="28">
        <v>2512</v>
      </c>
      <c r="E20" s="37" t="s">
        <v>50</v>
      </c>
      <c r="F20" s="28">
        <v>1796</v>
      </c>
      <c r="G20" t="b">
        <f>IF(B20=E20,TRUE,FALSE)</f>
        <v>1</v>
      </c>
      <c r="J20" s="25">
        <f>F20-C20</f>
        <v>-716</v>
      </c>
      <c r="K20" s="4">
        <f>F20/C20-1</f>
        <v>-0.28503184713375795</v>
      </c>
      <c r="M20" s="5">
        <v>3407.02</v>
      </c>
      <c r="N20" s="5">
        <v>2602.86</v>
      </c>
      <c r="Q20" s="143">
        <v>11634.76</v>
      </c>
      <c r="U20" s="130">
        <f>N20-M20</f>
        <v>-804.15999999999985</v>
      </c>
      <c r="V20" s="4">
        <f>IF(M20=0,0,N20/M20-1)</f>
        <v>-0.2360303138813391</v>
      </c>
      <c r="W20" s="18">
        <v>64264.87</v>
      </c>
      <c r="X20" s="18">
        <v>48359</v>
      </c>
      <c r="Y20" s="4">
        <f>X20/W20-1</f>
        <v>-0.24750489653211782</v>
      </c>
    </row>
    <row r="21" spans="1:25" ht="13.9" customHeight="1">
      <c r="A21" s="55" t="s">
        <v>51</v>
      </c>
      <c r="B21" s="37" t="s">
        <v>52</v>
      </c>
      <c r="C21" s="28">
        <v>2148</v>
      </c>
      <c r="E21" s="37" t="s">
        <v>52</v>
      </c>
      <c r="F21" s="28">
        <v>1493</v>
      </c>
      <c r="G21" t="b">
        <f>IF(B21=E21,TRUE,FALSE)</f>
        <v>1</v>
      </c>
      <c r="J21" s="25">
        <f>F21-C21</f>
        <v>-655</v>
      </c>
      <c r="K21" s="4">
        <f>F21/C21-1</f>
        <v>-0.30493482309124764</v>
      </c>
      <c r="M21" s="5">
        <v>4668.3999999999996</v>
      </c>
      <c r="N21" s="5">
        <v>3061.56</v>
      </c>
      <c r="Q21" s="143">
        <v>23418.02</v>
      </c>
      <c r="U21" s="130">
        <f>N21-M21</f>
        <v>-1606.8399999999997</v>
      </c>
      <c r="V21" s="4">
        <f>IF(M21=0,0,N21/M21-1)</f>
        <v>-0.34419501328078139</v>
      </c>
      <c r="W21" s="18">
        <v>64418.52</v>
      </c>
      <c r="X21" s="18">
        <v>47443.8</v>
      </c>
      <c r="Y21" s="4">
        <f>X21/W21-1</f>
        <v>-0.26350683002341557</v>
      </c>
    </row>
    <row r="22" spans="1:25" ht="13.9" customHeight="1">
      <c r="A22" t="s">
        <v>53</v>
      </c>
      <c r="B22" t="s">
        <v>54</v>
      </c>
      <c r="C22" s="28">
        <v>2329</v>
      </c>
      <c r="E22" t="s">
        <v>54</v>
      </c>
      <c r="F22" s="28">
        <v>1719</v>
      </c>
      <c r="G22" t="b">
        <f>IF(B22=E22,TRUE,FALSE)</f>
        <v>1</v>
      </c>
      <c r="J22" s="25">
        <f>F22-C22</f>
        <v>-610</v>
      </c>
      <c r="K22" s="4">
        <f>F22/C22-1</f>
        <v>-0.26191498497209098</v>
      </c>
      <c r="M22" s="5">
        <v>6453.91</v>
      </c>
      <c r="N22" s="5">
        <v>4872.88</v>
      </c>
      <c r="Q22" s="143">
        <v>31266.76</v>
      </c>
      <c r="U22" s="130">
        <f>N22-M22</f>
        <v>-1581.0299999999997</v>
      </c>
      <c r="V22" s="4">
        <f>IF(M22=0,0,N22/M22-1)</f>
        <v>-0.24497242756716464</v>
      </c>
      <c r="W22" s="18">
        <v>62001.8</v>
      </c>
      <c r="X22" s="18">
        <v>51111.51</v>
      </c>
      <c r="Y22" s="4">
        <f>X22/W22-1</f>
        <v>-0.175644739346277</v>
      </c>
    </row>
    <row r="23" spans="1:25" ht="13.9" customHeight="1">
      <c r="A23" s="55" t="s">
        <v>55</v>
      </c>
      <c r="B23" s="37" t="s">
        <v>56</v>
      </c>
      <c r="C23" s="28">
        <v>2231</v>
      </c>
      <c r="E23" s="37" t="s">
        <v>56</v>
      </c>
      <c r="F23" s="28">
        <v>1643</v>
      </c>
      <c r="G23" t="b">
        <f>IF(B23=E23,TRUE,FALSE)</f>
        <v>1</v>
      </c>
      <c r="J23" s="25">
        <f>F23-C23</f>
        <v>-588</v>
      </c>
      <c r="K23" s="4">
        <f>F23/C23-1</f>
        <v>-0.26355894217839537</v>
      </c>
      <c r="M23" s="5">
        <v>3659.08</v>
      </c>
      <c r="N23" s="5">
        <v>3241.66</v>
      </c>
      <c r="Q23" s="143">
        <v>14220.42</v>
      </c>
      <c r="U23" s="130">
        <f>N23-M23</f>
        <v>-417.42000000000007</v>
      </c>
      <c r="V23" s="4">
        <f>IF(M23=0,0,N23/M23-1)</f>
        <v>-0.11407785563584294</v>
      </c>
      <c r="W23" s="18">
        <v>55726.39</v>
      </c>
      <c r="X23" s="18">
        <v>44341.33</v>
      </c>
      <c r="Y23" s="4">
        <f>X23/W23-1</f>
        <v>-0.20430284466659332</v>
      </c>
    </row>
    <row r="24" spans="1:25" ht="13.9" customHeight="1">
      <c r="A24" t="s">
        <v>57</v>
      </c>
      <c r="B24" t="s">
        <v>58</v>
      </c>
      <c r="C24" s="28">
        <v>3075</v>
      </c>
      <c r="E24" t="s">
        <v>58</v>
      </c>
      <c r="F24" s="28">
        <v>2512</v>
      </c>
      <c r="G24" t="b">
        <f>IF(B24=E24,TRUE,FALSE)</f>
        <v>1</v>
      </c>
      <c r="J24" s="25">
        <f>F24-C24</f>
        <v>-563</v>
      </c>
      <c r="K24" s="4">
        <f>F24/C24-1</f>
        <v>-0.18308943089430896</v>
      </c>
      <c r="M24" s="5">
        <v>3846.18</v>
      </c>
      <c r="N24" s="5">
        <v>2938.93</v>
      </c>
      <c r="Q24" s="143">
        <v>20440.32</v>
      </c>
      <c r="U24" s="130">
        <f>N24-M24</f>
        <v>-907.25</v>
      </c>
      <c r="V24" s="4">
        <f>IF(M24=0,0,N24/M24-1)</f>
        <v>-0.23588339599290731</v>
      </c>
      <c r="W24" s="18">
        <v>92191.05</v>
      </c>
      <c r="X24" s="18">
        <v>75345.97</v>
      </c>
      <c r="Y24" s="4">
        <f>X24/W24-1</f>
        <v>-0.18271925528562694</v>
      </c>
    </row>
    <row r="25" spans="1:25" ht="13.9" customHeight="1">
      <c r="A25" s="57" t="s">
        <v>59</v>
      </c>
      <c r="B25" s="37" t="s">
        <v>60</v>
      </c>
      <c r="C25" s="28">
        <v>1358</v>
      </c>
      <c r="E25" s="37" t="s">
        <v>60</v>
      </c>
      <c r="F25" s="28">
        <v>805</v>
      </c>
      <c r="G25" t="b">
        <f>IF(B25=E25,TRUE,FALSE)</f>
        <v>1</v>
      </c>
      <c r="J25" s="25">
        <f>F25-C25</f>
        <v>-553</v>
      </c>
      <c r="K25" s="4">
        <f>F25/C25-1</f>
        <v>-0.40721649484536082</v>
      </c>
      <c r="M25" s="5">
        <v>2474.2199999999998</v>
      </c>
      <c r="N25" s="5">
        <v>2356.87</v>
      </c>
      <c r="Q25" s="143">
        <v>14452.06</v>
      </c>
      <c r="U25" s="130">
        <f>N25-M25</f>
        <v>-117.34999999999991</v>
      </c>
      <c r="V25" s="4">
        <f>IF(M25=0,0,N25/M25-1)</f>
        <v>-4.7429088763327409E-2</v>
      </c>
      <c r="W25" s="18">
        <v>21184.82</v>
      </c>
      <c r="X25" s="18">
        <v>16036.75</v>
      </c>
      <c r="Y25" s="4">
        <f>X25/W25-1</f>
        <v>-0.2430074931011923</v>
      </c>
    </row>
    <row r="26" spans="1:25" ht="13.9" customHeight="1">
      <c r="A26" t="s">
        <v>61</v>
      </c>
      <c r="B26" t="s">
        <v>62</v>
      </c>
      <c r="C26" s="28">
        <v>2311</v>
      </c>
      <c r="E26" t="s">
        <v>62</v>
      </c>
      <c r="F26" s="28">
        <v>1823</v>
      </c>
      <c r="G26" t="b">
        <f>IF(B26=E26,TRUE,FALSE)</f>
        <v>1</v>
      </c>
      <c r="J26" s="25">
        <f>F26-C26</f>
        <v>-488</v>
      </c>
      <c r="K26" s="4">
        <f>F26/C26-1</f>
        <v>-0.21116399826914756</v>
      </c>
      <c r="M26" s="5">
        <v>2297.11</v>
      </c>
      <c r="N26" s="5">
        <v>2166.79</v>
      </c>
      <c r="Q26" s="143">
        <v>16432</v>
      </c>
      <c r="U26" s="130">
        <f>N26-M26</f>
        <v>-130.32000000000016</v>
      </c>
      <c r="V26" s="4">
        <f>IF(M26=0,0,N26/M26-1)</f>
        <v>-5.673215475096971E-2</v>
      </c>
      <c r="W26" s="18">
        <v>64905.74</v>
      </c>
      <c r="X26" s="18">
        <v>54293.63</v>
      </c>
      <c r="Y26" s="4">
        <f>X26/W26-1</f>
        <v>-0.16350033140366327</v>
      </c>
    </row>
    <row r="27" spans="1:25" ht="13.9" customHeight="1">
      <c r="A27" t="s">
        <v>63</v>
      </c>
      <c r="B27" t="s">
        <v>64</v>
      </c>
      <c r="C27" s="28">
        <v>4989</v>
      </c>
      <c r="E27" t="s">
        <v>64</v>
      </c>
      <c r="F27" s="28">
        <v>4508</v>
      </c>
      <c r="G27" t="b">
        <f>IF(B27=E27,TRUE,FALSE)</f>
        <v>1</v>
      </c>
      <c r="J27" s="25">
        <f>F27-C27</f>
        <v>-481</v>
      </c>
      <c r="K27" s="4">
        <f>F27/C27-1</f>
        <v>-9.6412106634596095E-2</v>
      </c>
      <c r="M27" s="5">
        <v>4445.04</v>
      </c>
      <c r="N27" s="5">
        <v>4477.37</v>
      </c>
      <c r="Q27" s="143">
        <v>36371.15</v>
      </c>
      <c r="U27" s="130">
        <f>N27-M27</f>
        <v>32.329999999999927</v>
      </c>
      <c r="V27" s="4">
        <f>IF(M27=0,0,N27/M27-1)</f>
        <v>7.2732753810988982E-3</v>
      </c>
      <c r="W27" s="18">
        <v>175192.29</v>
      </c>
      <c r="X27" s="18">
        <v>166631.04000000001</v>
      </c>
      <c r="Y27" s="4">
        <f>X27/W27-1</f>
        <v>-4.8867732706730393E-2</v>
      </c>
    </row>
    <row r="28" spans="1:25" ht="13.9" customHeight="1">
      <c r="A28" s="55" t="s">
        <v>65</v>
      </c>
      <c r="B28" s="37" t="s">
        <v>66</v>
      </c>
      <c r="C28" s="19">
        <v>969</v>
      </c>
      <c r="E28" s="37" t="s">
        <v>66</v>
      </c>
      <c r="F28" s="19">
        <v>494</v>
      </c>
      <c r="G28" t="b">
        <f>IF(B28=E28,TRUE,FALSE)</f>
        <v>1</v>
      </c>
      <c r="J28" s="25">
        <f>F28-C28</f>
        <v>-475</v>
      </c>
      <c r="K28" s="4">
        <f>F28/C28-1</f>
        <v>-0.49019607843137258</v>
      </c>
      <c r="M28" s="5">
        <v>2072.48</v>
      </c>
      <c r="N28" s="5">
        <v>1160.33</v>
      </c>
      <c r="Q28" s="142">
        <v>5409.2</v>
      </c>
      <c r="U28" s="130">
        <f>N28-M28</f>
        <v>-912.15000000000009</v>
      </c>
      <c r="V28" s="4">
        <f>IF(M28=0,0,N28/M28-1)</f>
        <v>-0.44012487454643712</v>
      </c>
      <c r="W28">
        <v>10310.31</v>
      </c>
      <c r="X28">
        <v>7041.06</v>
      </c>
      <c r="Y28" s="4">
        <f>X28/W28-1</f>
        <v>-0.31708551925208839</v>
      </c>
    </row>
    <row r="29" spans="1:25" ht="13.9" customHeight="1">
      <c r="A29" s="55" t="s">
        <v>67</v>
      </c>
      <c r="B29" s="37" t="s">
        <v>68</v>
      </c>
      <c r="C29" s="19">
        <v>1010</v>
      </c>
      <c r="E29" s="37" t="s">
        <v>68</v>
      </c>
      <c r="F29" s="19">
        <v>538</v>
      </c>
      <c r="G29" t="b">
        <f>IF(B29=E29,TRUE,FALSE)</f>
        <v>1</v>
      </c>
      <c r="J29" s="25">
        <f>F29-C29</f>
        <v>-472</v>
      </c>
      <c r="K29" s="4">
        <f>F29/C29-1</f>
        <v>-0.4673267326732673</v>
      </c>
      <c r="M29" s="5">
        <v>1961.38</v>
      </c>
      <c r="N29" s="5">
        <v>975.27</v>
      </c>
      <c r="Q29" s="142">
        <v>6614.3</v>
      </c>
      <c r="U29" s="130">
        <f>N29-M29</f>
        <v>-986.11000000000013</v>
      </c>
      <c r="V29" s="4">
        <f>IF(M29=0,0,N29/M29-1)</f>
        <v>-0.50276336049108283</v>
      </c>
      <c r="W29">
        <v>11009.9</v>
      </c>
      <c r="X29">
        <v>7457.18</v>
      </c>
      <c r="Y29" s="4">
        <f>X29/W29-1</f>
        <v>-0.32268412973778138</v>
      </c>
    </row>
    <row r="30" spans="1:25" ht="13.9" customHeight="1">
      <c r="A30" s="55" t="s">
        <v>69</v>
      </c>
      <c r="B30" s="37" t="s">
        <v>70</v>
      </c>
      <c r="C30" s="19">
        <v>1590</v>
      </c>
      <c r="E30" s="37" t="s">
        <v>70</v>
      </c>
      <c r="F30" s="19">
        <v>1157</v>
      </c>
      <c r="G30" t="b">
        <f>IF(B30=E30,TRUE,FALSE)</f>
        <v>1</v>
      </c>
      <c r="J30" s="25">
        <f>F30-C30</f>
        <v>-433</v>
      </c>
      <c r="K30" s="4">
        <f>F30/C30-1</f>
        <v>-0.27232704402515728</v>
      </c>
      <c r="M30" s="5">
        <v>3154.73</v>
      </c>
      <c r="N30" s="5">
        <v>1966.32</v>
      </c>
      <c r="Q30" s="142">
        <v>9780.3799999999992</v>
      </c>
      <c r="U30" s="130">
        <f>N30-M30</f>
        <v>-1188.4100000000001</v>
      </c>
      <c r="V30" s="4">
        <f>IF(M30=0,0,N30/M30-1)</f>
        <v>-0.37670735688949608</v>
      </c>
      <c r="W30">
        <v>25667.279999999999</v>
      </c>
      <c r="X30">
        <v>23006</v>
      </c>
      <c r="Y30" s="4">
        <f>X30/W30-1</f>
        <v>-0.10368375612842495</v>
      </c>
    </row>
    <row r="31" spans="1:25" ht="13.9" customHeight="1">
      <c r="A31" t="s">
        <v>71</v>
      </c>
      <c r="B31" t="s">
        <v>72</v>
      </c>
      <c r="C31" s="28">
        <v>1489</v>
      </c>
      <c r="E31" t="s">
        <v>72</v>
      </c>
      <c r="F31" s="28">
        <v>1075</v>
      </c>
      <c r="G31" t="b">
        <f>IF(B31=E31,TRUE,FALSE)</f>
        <v>1</v>
      </c>
      <c r="J31" s="25">
        <f>F31-C31</f>
        <v>-414</v>
      </c>
      <c r="K31" s="4">
        <f>F31/C31-1</f>
        <v>-0.27803895231699127</v>
      </c>
      <c r="M31" s="5">
        <v>1941.73</v>
      </c>
      <c r="N31" s="5">
        <v>1177.52</v>
      </c>
      <c r="Q31" s="143">
        <v>8308.48</v>
      </c>
      <c r="U31" s="130">
        <f>N31-M31</f>
        <v>-764.21</v>
      </c>
      <c r="V31" s="4">
        <f>IF(M31=0,0,N31/M31-1)</f>
        <v>-0.39357171182399198</v>
      </c>
      <c r="W31" s="18">
        <v>26766.05</v>
      </c>
      <c r="X31" s="18">
        <v>19337.72</v>
      </c>
      <c r="Y31" s="4">
        <f>X31/W31-1</f>
        <v>-0.27752806260169127</v>
      </c>
    </row>
    <row r="32" spans="1:25" ht="13.9" customHeight="1">
      <c r="A32" s="55" t="s">
        <v>73</v>
      </c>
      <c r="B32" s="37" t="s">
        <v>74</v>
      </c>
      <c r="C32" s="28">
        <v>719</v>
      </c>
      <c r="E32" s="37" t="s">
        <v>74</v>
      </c>
      <c r="F32" s="28">
        <v>315</v>
      </c>
      <c r="G32" t="b">
        <f>IF(B32=E32,TRUE,FALSE)</f>
        <v>1</v>
      </c>
      <c r="J32" s="25">
        <f>F32-C32</f>
        <v>-404</v>
      </c>
      <c r="K32" s="4">
        <f>F32/C32-1</f>
        <v>-0.56189151599443665</v>
      </c>
      <c r="M32" s="5">
        <v>1414.75</v>
      </c>
      <c r="N32" s="5">
        <v>919.07</v>
      </c>
      <c r="Q32" s="142">
        <v>2965.62</v>
      </c>
      <c r="U32" s="130">
        <f>N32-M32</f>
        <v>-495.67999999999995</v>
      </c>
      <c r="V32" s="4">
        <f>IF(M32=0,0,N32/M32-1)</f>
        <v>-0.35036578900865878</v>
      </c>
      <c r="W32" s="18">
        <v>8446.81</v>
      </c>
      <c r="X32" s="18">
        <v>5198.6899999999996</v>
      </c>
      <c r="Y32" s="4">
        <f>X32/W32-1</f>
        <v>-0.38453806821746905</v>
      </c>
    </row>
    <row r="33" spans="1:25" ht="13.9" customHeight="1">
      <c r="A33" t="s">
        <v>75</v>
      </c>
      <c r="B33" t="s">
        <v>76</v>
      </c>
      <c r="C33" s="28">
        <v>493</v>
      </c>
      <c r="E33" t="s">
        <v>76</v>
      </c>
      <c r="F33" s="28">
        <v>90</v>
      </c>
      <c r="G33" t="b">
        <f>IF(B33=E33,TRUE,FALSE)</f>
        <v>1</v>
      </c>
      <c r="J33" s="25">
        <f>F33-C33</f>
        <v>-403</v>
      </c>
      <c r="K33" s="4">
        <f>F33/C33-1</f>
        <v>-0.81744421906693709</v>
      </c>
      <c r="M33" s="5">
        <v>1142.6400000000001</v>
      </c>
      <c r="N33" s="5">
        <v>0</v>
      </c>
      <c r="Q33" s="143">
        <v>0</v>
      </c>
      <c r="U33" s="130">
        <f>N33-M33</f>
        <v>-1142.6400000000001</v>
      </c>
      <c r="V33" s="4">
        <f>IF(M33=0,0,N33/M33-1)</f>
        <v>-1</v>
      </c>
      <c r="W33" s="18">
        <v>13302.29</v>
      </c>
      <c r="X33" s="18">
        <v>2428.83</v>
      </c>
      <c r="Y33" s="4">
        <f>X33/W33-1</f>
        <v>-0.8174126409813649</v>
      </c>
    </row>
    <row r="34" spans="1:25" ht="13.9" customHeight="1">
      <c r="A34" t="s">
        <v>77</v>
      </c>
      <c r="B34" t="s">
        <v>78</v>
      </c>
      <c r="C34" s="28">
        <v>1222</v>
      </c>
      <c r="E34" t="s">
        <v>78</v>
      </c>
      <c r="F34" s="28">
        <v>822</v>
      </c>
      <c r="G34" t="b">
        <f>IF(B34=E34,TRUE,FALSE)</f>
        <v>1</v>
      </c>
      <c r="J34" s="25">
        <f>F34-C34</f>
        <v>-400</v>
      </c>
      <c r="K34" s="4">
        <f>F34/C34-1</f>
        <v>-0.32733224222585922</v>
      </c>
      <c r="M34" s="5">
        <v>1781.1</v>
      </c>
      <c r="N34" s="5">
        <v>921.7</v>
      </c>
      <c r="Q34" s="143">
        <v>5740.95</v>
      </c>
      <c r="U34" s="130">
        <f>N34-M34</f>
        <v>-859.39999999999986</v>
      </c>
      <c r="V34" s="4">
        <f>IF(M34=0,0,N34/M34-1)</f>
        <v>-0.48251080792768508</v>
      </c>
      <c r="W34" s="18">
        <v>28033.17</v>
      </c>
      <c r="X34" s="18">
        <v>18862.37</v>
      </c>
      <c r="Y34" s="4">
        <f>X34/W34-1</f>
        <v>-0.32714102614866603</v>
      </c>
    </row>
    <row r="35" spans="1:25" ht="13.9" customHeight="1">
      <c r="A35" t="s">
        <v>79</v>
      </c>
      <c r="B35" t="s">
        <v>80</v>
      </c>
      <c r="C35" s="28">
        <v>2767</v>
      </c>
      <c r="E35" t="s">
        <v>80</v>
      </c>
      <c r="F35" s="28">
        <v>2383</v>
      </c>
      <c r="G35" t="b">
        <f>IF(B35=E35,TRUE,FALSE)</f>
        <v>1</v>
      </c>
      <c r="J35" s="25">
        <f>F35-C35</f>
        <v>-384</v>
      </c>
      <c r="K35" s="4">
        <f>F35/C35-1</f>
        <v>-0.1387784604264547</v>
      </c>
      <c r="M35" s="5">
        <v>3919.87</v>
      </c>
      <c r="N35" s="5">
        <v>3044.89</v>
      </c>
      <c r="Q35" s="143">
        <v>26198.26</v>
      </c>
      <c r="U35" s="130">
        <f>N35-M35</f>
        <v>-874.98</v>
      </c>
      <c r="V35" s="4">
        <f>IF(M35=0,0,N35/M35-1)</f>
        <v>-0.22321658626434038</v>
      </c>
      <c r="W35" s="18">
        <v>82871.649999999994</v>
      </c>
      <c r="X35" s="18">
        <v>71353.149999999994</v>
      </c>
      <c r="Y35" s="4">
        <f>X35/W35-1</f>
        <v>-0.13899204372062102</v>
      </c>
    </row>
    <row r="36" spans="1:25" ht="13.9" customHeight="1">
      <c r="A36" t="s">
        <v>81</v>
      </c>
      <c r="B36" t="s">
        <v>82</v>
      </c>
      <c r="C36" s="28">
        <v>10576</v>
      </c>
      <c r="E36" t="s">
        <v>82</v>
      </c>
      <c r="F36" s="28">
        <v>10209</v>
      </c>
      <c r="G36" t="b">
        <f>IF(B36=E36,TRUE,FALSE)</f>
        <v>1</v>
      </c>
      <c r="J36" s="25">
        <f>F36-C36</f>
        <v>-367</v>
      </c>
      <c r="K36" s="4">
        <f>F36/C36-1</f>
        <v>-3.4701210287443218E-2</v>
      </c>
      <c r="M36" s="5">
        <v>10529.73</v>
      </c>
      <c r="N36" s="5">
        <v>6943.26</v>
      </c>
      <c r="Q36" s="143">
        <v>57194.92</v>
      </c>
      <c r="U36" s="130">
        <f>N36-M36</f>
        <v>-3586.4699999999993</v>
      </c>
      <c r="V36" s="4">
        <f>IF(M36=0,0,N36/M36-1)</f>
        <v>-0.34060417503582707</v>
      </c>
      <c r="W36" s="18">
        <v>308874.28999999998</v>
      </c>
      <c r="X36" s="18">
        <v>305776.90000000002</v>
      </c>
      <c r="Y36" s="4">
        <f>X36/W36-1</f>
        <v>-1.0027995531774248E-2</v>
      </c>
    </row>
    <row r="37" spans="1:25" ht="13.9" customHeight="1">
      <c r="A37" s="55" t="s">
        <v>83</v>
      </c>
      <c r="B37" s="37" t="s">
        <v>84</v>
      </c>
      <c r="C37" s="28">
        <v>2058</v>
      </c>
      <c r="E37" s="37" t="s">
        <v>84</v>
      </c>
      <c r="F37" s="28">
        <v>1697</v>
      </c>
      <c r="G37" t="b">
        <f>IF(B37=E37,TRUE,FALSE)</f>
        <v>1</v>
      </c>
      <c r="J37" s="25">
        <f>F37-C37</f>
        <v>-361</v>
      </c>
      <c r="K37" s="4">
        <f>F37/C37-1</f>
        <v>-0.1754130223517979</v>
      </c>
      <c r="M37" s="5">
        <v>4603.8999999999996</v>
      </c>
      <c r="N37" s="5">
        <v>3841.55</v>
      </c>
      <c r="Q37" s="143">
        <v>23197.93</v>
      </c>
      <c r="U37" s="130">
        <f>N37-M37</f>
        <v>-762.34999999999945</v>
      </c>
      <c r="V37" s="4">
        <f>IF(M37=0,0,N37/M37-1)</f>
        <v>-0.16558787115271822</v>
      </c>
      <c r="W37" s="18">
        <v>49799.71</v>
      </c>
      <c r="X37" s="18">
        <v>42338.1</v>
      </c>
      <c r="Y37" s="4">
        <f>X37/W37-1</f>
        <v>-0.14983239862240161</v>
      </c>
    </row>
    <row r="38" spans="1:25" ht="13.9" customHeight="1">
      <c r="A38" s="55" t="s">
        <v>85</v>
      </c>
      <c r="B38" s="37" t="s">
        <v>86</v>
      </c>
      <c r="C38" s="19">
        <v>1941</v>
      </c>
      <c r="E38" s="37" t="s">
        <v>86</v>
      </c>
      <c r="F38" s="19">
        <v>1580</v>
      </c>
      <c r="G38" t="b">
        <f>IF(B38=E38,TRUE,FALSE)</f>
        <v>1</v>
      </c>
      <c r="J38" s="25">
        <f>F38-C38</f>
        <v>-361</v>
      </c>
      <c r="K38" s="4">
        <f>F38/C38-1</f>
        <v>-0.18598660484286456</v>
      </c>
      <c r="M38" s="5">
        <v>4381.32</v>
      </c>
      <c r="N38" s="5">
        <v>3844.15</v>
      </c>
      <c r="Q38" s="142">
        <v>24924.65</v>
      </c>
      <c r="U38" s="130">
        <f>N38-M38</f>
        <v>-537.16999999999962</v>
      </c>
      <c r="V38" s="4">
        <f>IF(M38=0,0,N38/M38-1)</f>
        <v>-0.12260460317895061</v>
      </c>
      <c r="W38">
        <v>45583.18</v>
      </c>
      <c r="X38">
        <v>36855.839999999997</v>
      </c>
      <c r="Y38" s="4">
        <f>X38/W38-1</f>
        <v>-0.19145965682955868</v>
      </c>
    </row>
    <row r="39" spans="1:25" ht="13.9" customHeight="1">
      <c r="A39" s="55" t="s">
        <v>87</v>
      </c>
      <c r="B39" s="37" t="s">
        <v>88</v>
      </c>
      <c r="C39" s="19">
        <v>1436</v>
      </c>
      <c r="E39" s="37" t="s">
        <v>88</v>
      </c>
      <c r="F39" s="19">
        <v>1075</v>
      </c>
      <c r="G39" t="b">
        <f>IF(B39=E39,TRUE,FALSE)</f>
        <v>1</v>
      </c>
      <c r="J39" s="25">
        <f>F39-C39</f>
        <v>-361</v>
      </c>
      <c r="K39" s="4">
        <f>F39/C39-1</f>
        <v>-0.25139275766016711</v>
      </c>
      <c r="M39" s="5">
        <v>3249.07</v>
      </c>
      <c r="N39" s="5">
        <v>2972.62</v>
      </c>
      <c r="Q39" s="142">
        <v>19663.34</v>
      </c>
      <c r="U39" s="130">
        <f>N39-M39</f>
        <v>-276.45000000000027</v>
      </c>
      <c r="V39" s="4">
        <f>IF(M39=0,0,N39/M39-1)</f>
        <v>-8.5085886115103815E-2</v>
      </c>
      <c r="W39">
        <v>23358.84</v>
      </c>
      <c r="X39">
        <v>24752.69</v>
      </c>
      <c r="Y39" s="4">
        <f>X39/W39-1</f>
        <v>5.9671199425998855E-2</v>
      </c>
    </row>
    <row r="40" spans="1:25" ht="13.9" customHeight="1">
      <c r="A40" t="s">
        <v>89</v>
      </c>
      <c r="B40" t="s">
        <v>90</v>
      </c>
      <c r="C40" s="28">
        <v>952</v>
      </c>
      <c r="E40" t="s">
        <v>90</v>
      </c>
      <c r="F40" s="28">
        <v>597</v>
      </c>
      <c r="G40" t="b">
        <f>IF(B40=E40,TRUE,FALSE)</f>
        <v>1</v>
      </c>
      <c r="J40" s="25">
        <f>F40-C40</f>
        <v>-355</v>
      </c>
      <c r="K40" s="4">
        <f>F40/C40-1</f>
        <v>-0.37289915966386555</v>
      </c>
      <c r="M40" s="5">
        <v>1661.18</v>
      </c>
      <c r="N40" s="5">
        <v>1116.02</v>
      </c>
      <c r="Q40" s="143">
        <v>4764.55</v>
      </c>
      <c r="U40" s="130">
        <f>N40-M40</f>
        <v>-545.16000000000008</v>
      </c>
      <c r="V40" s="4">
        <f>IF(M40=0,0,N40/M40-1)</f>
        <v>-0.32817635656581468</v>
      </c>
      <c r="W40" s="18">
        <v>9510.48</v>
      </c>
      <c r="X40" s="18">
        <v>8060.65</v>
      </c>
      <c r="Y40" s="4">
        <f>X40/W40-1</f>
        <v>-0.15244551273963036</v>
      </c>
    </row>
    <row r="41" spans="1:25" ht="13.9" customHeight="1">
      <c r="A41" s="55" t="s">
        <v>91</v>
      </c>
      <c r="B41" s="37" t="s">
        <v>92</v>
      </c>
      <c r="C41" s="28">
        <v>1027</v>
      </c>
      <c r="E41" s="37" t="s">
        <v>92</v>
      </c>
      <c r="F41" s="28">
        <v>681</v>
      </c>
      <c r="G41" t="b">
        <f>IF(B41=E41,TRUE,FALSE)</f>
        <v>1</v>
      </c>
      <c r="J41" s="25">
        <f>F41-C41</f>
        <v>-346</v>
      </c>
      <c r="K41" s="4">
        <f>F41/C41-1</f>
        <v>-0.33690360272638753</v>
      </c>
      <c r="M41" s="5">
        <v>2985.73</v>
      </c>
      <c r="N41" s="5">
        <v>1982.26</v>
      </c>
      <c r="Q41" s="142">
        <v>14840.59</v>
      </c>
      <c r="U41" s="130">
        <f>N41-M41</f>
        <v>-1003.47</v>
      </c>
      <c r="V41" s="4">
        <f>IF(M41=0,0,N41/M41-1)</f>
        <v>-0.33608866173431629</v>
      </c>
      <c r="W41" s="18">
        <v>17946.73</v>
      </c>
      <c r="X41" s="18">
        <v>13612.79</v>
      </c>
      <c r="Y41" s="4">
        <f>X41/W41-1</f>
        <v>-0.2414891180733203</v>
      </c>
    </row>
    <row r="42" spans="1:25" ht="13.9" customHeight="1">
      <c r="A42" t="s">
        <v>93</v>
      </c>
      <c r="B42" t="s">
        <v>94</v>
      </c>
      <c r="C42" s="28">
        <v>525</v>
      </c>
      <c r="E42" t="s">
        <v>94</v>
      </c>
      <c r="F42" s="28">
        <v>179</v>
      </c>
      <c r="G42" t="b">
        <f>IF(B42=E42,TRUE,FALSE)</f>
        <v>1</v>
      </c>
      <c r="J42" s="25">
        <f>F42-C42</f>
        <v>-346</v>
      </c>
      <c r="K42" s="4">
        <f>F42/C42-1</f>
        <v>-0.6590476190476191</v>
      </c>
      <c r="M42" s="5">
        <v>579</v>
      </c>
      <c r="N42" s="5">
        <v>208.29</v>
      </c>
      <c r="Q42" s="143">
        <v>1422.92</v>
      </c>
      <c r="U42" s="130">
        <f>N42-M42</f>
        <v>-370.71000000000004</v>
      </c>
      <c r="V42" s="4">
        <f>IF(M42=0,0,N42/M42-1)</f>
        <v>-0.64025906735751303</v>
      </c>
      <c r="W42" s="18">
        <v>11523.75</v>
      </c>
      <c r="X42" s="18">
        <v>3929.05</v>
      </c>
      <c r="Y42" s="4">
        <f>X42/W42-1</f>
        <v>-0.6590476190476191</v>
      </c>
    </row>
    <row r="43" spans="1:25" ht="13.9" customHeight="1">
      <c r="A43" t="s">
        <v>95</v>
      </c>
      <c r="B43" t="s">
        <v>96</v>
      </c>
      <c r="C43" s="28">
        <v>2232</v>
      </c>
      <c r="E43" t="s">
        <v>96</v>
      </c>
      <c r="F43" s="28">
        <v>1894</v>
      </c>
      <c r="G43" t="b">
        <f>IF(B43=E43,TRUE,FALSE)</f>
        <v>1</v>
      </c>
      <c r="J43" s="25">
        <f>F43-C43</f>
        <v>-338</v>
      </c>
      <c r="K43" s="4">
        <f>F43/C43-1</f>
        <v>-0.15143369175627241</v>
      </c>
      <c r="M43" s="5">
        <v>2746.43</v>
      </c>
      <c r="N43" s="5">
        <v>985.35</v>
      </c>
      <c r="Q43" s="143">
        <v>5949.34</v>
      </c>
      <c r="U43" s="130">
        <f>N43-M43</f>
        <v>-1761.08</v>
      </c>
      <c r="V43" s="4">
        <f>IF(M43=0,0,N43/M43-1)</f>
        <v>-0.6412251541091526</v>
      </c>
      <c r="W43" s="18">
        <v>60226.29</v>
      </c>
      <c r="X43" s="18">
        <v>51108.800000000003</v>
      </c>
      <c r="Y43" s="4">
        <f>X43/W43-1</f>
        <v>-0.15138720980488751</v>
      </c>
    </row>
    <row r="44" spans="1:25" ht="13.9" customHeight="1">
      <c r="A44" t="s">
        <v>97</v>
      </c>
      <c r="B44" t="s">
        <v>98</v>
      </c>
      <c r="C44" s="28">
        <v>2720</v>
      </c>
      <c r="E44" t="s">
        <v>98</v>
      </c>
      <c r="F44" s="28">
        <v>2389</v>
      </c>
      <c r="G44" t="b">
        <f>IF(B44=E44,TRUE,FALSE)</f>
        <v>1</v>
      </c>
      <c r="J44" s="25">
        <f>F44-C44</f>
        <v>-331</v>
      </c>
      <c r="K44" s="4">
        <f>F44/C44-1</f>
        <v>-0.12169117647058825</v>
      </c>
      <c r="M44" s="5">
        <v>2994.99</v>
      </c>
      <c r="N44" s="5">
        <v>2648.01</v>
      </c>
      <c r="Q44" s="143">
        <v>18646.78</v>
      </c>
      <c r="U44" s="130">
        <f>N44-M44</f>
        <v>-346.97999999999956</v>
      </c>
      <c r="V44" s="4">
        <f>IF(M44=0,0,N44/M44-1)</f>
        <v>-0.11585347530375711</v>
      </c>
      <c r="W44" s="18">
        <v>73498.25</v>
      </c>
      <c r="X44" s="18">
        <v>69154.880000000005</v>
      </c>
      <c r="Y44" s="4">
        <f>X44/W44-1</f>
        <v>-5.9094876408621877E-2</v>
      </c>
    </row>
    <row r="45" spans="1:25">
      <c r="A45" s="55" t="s">
        <v>99</v>
      </c>
      <c r="B45" s="37" t="s">
        <v>100</v>
      </c>
      <c r="C45" s="19">
        <v>727</v>
      </c>
      <c r="E45" s="37" t="s">
        <v>100</v>
      </c>
      <c r="F45" s="19">
        <v>402</v>
      </c>
      <c r="G45" t="b">
        <f>IF(B45=E45,TRUE,FALSE)</f>
        <v>1</v>
      </c>
      <c r="J45" s="25">
        <f>F45-C45</f>
        <v>-325</v>
      </c>
      <c r="K45" s="4">
        <f>F45/C45-1</f>
        <v>-0.44704264099037139</v>
      </c>
      <c r="M45" s="5">
        <v>1216.33</v>
      </c>
      <c r="N45" s="5">
        <v>561.92999999999995</v>
      </c>
      <c r="Q45" s="142">
        <v>2344.12</v>
      </c>
      <c r="U45" s="130">
        <f>N45-M45</f>
        <v>-654.4</v>
      </c>
      <c r="V45" s="4">
        <f>IF(M45=0,0,N45/M45-1)</f>
        <v>-0.53801188822112422</v>
      </c>
      <c r="W45">
        <v>7733.93</v>
      </c>
      <c r="X45">
        <v>6009.6</v>
      </c>
      <c r="Y45" s="4">
        <f>X45/W45-1</f>
        <v>-0.22295650464899475</v>
      </c>
    </row>
    <row r="46" spans="1:25">
      <c r="A46" t="s">
        <v>101</v>
      </c>
      <c r="B46" t="s">
        <v>102</v>
      </c>
      <c r="C46" s="28">
        <v>2975</v>
      </c>
      <c r="E46" t="s">
        <v>102</v>
      </c>
      <c r="F46" s="28">
        <v>2662</v>
      </c>
      <c r="G46" t="b">
        <f>IF(B46=E46,TRUE,FALSE)</f>
        <v>1</v>
      </c>
      <c r="J46" s="25">
        <f>F46-C46</f>
        <v>-313</v>
      </c>
      <c r="K46" s="4">
        <f>F46/C46-1</f>
        <v>-0.10521008403361343</v>
      </c>
      <c r="M46" s="5">
        <v>6372.17</v>
      </c>
      <c r="N46" s="5">
        <v>5555.27</v>
      </c>
      <c r="Q46" s="143">
        <v>36767.230000000003</v>
      </c>
      <c r="U46" s="130">
        <f>N46-M46</f>
        <v>-816.89999999999964</v>
      </c>
      <c r="V46" s="4">
        <f>IF(M46=0,0,N46/M46-1)</f>
        <v>-0.12819808636618291</v>
      </c>
      <c r="W46" s="18">
        <v>89944.06</v>
      </c>
      <c r="X46" s="18">
        <v>85037.46</v>
      </c>
      <c r="Y46" s="4">
        <f>X46/W46-1</f>
        <v>-5.4551684680455681E-2</v>
      </c>
    </row>
    <row r="47" spans="1:25">
      <c r="A47" t="s">
        <v>103</v>
      </c>
      <c r="B47" t="s">
        <v>104</v>
      </c>
      <c r="C47" s="28">
        <v>2015</v>
      </c>
      <c r="E47" t="s">
        <v>104</v>
      </c>
      <c r="F47" s="28">
        <v>1705</v>
      </c>
      <c r="G47" t="b">
        <f>IF(B47=E47,TRUE,FALSE)</f>
        <v>1</v>
      </c>
      <c r="J47" s="25">
        <f>F47-C47</f>
        <v>-310</v>
      </c>
      <c r="K47" s="4">
        <f>F47/C47-1</f>
        <v>-0.15384615384615385</v>
      </c>
      <c r="L47" s="5"/>
      <c r="M47" s="5">
        <v>3661.83</v>
      </c>
      <c r="N47" s="5">
        <v>3155.68</v>
      </c>
      <c r="O47" s="5"/>
      <c r="P47" s="5"/>
      <c r="Q47" s="143">
        <v>19288.37</v>
      </c>
      <c r="R47" s="5"/>
      <c r="S47" s="5"/>
      <c r="T47" s="5"/>
      <c r="U47" s="130">
        <f>N47-M47</f>
        <v>-506.15000000000009</v>
      </c>
      <c r="V47" s="4">
        <f>IF(M47=0,0,N47/M47-1)</f>
        <v>-0.13822323810772208</v>
      </c>
      <c r="W47" s="18">
        <v>59783.83</v>
      </c>
      <c r="X47" s="18">
        <v>51127.15</v>
      </c>
      <c r="Y47" s="4">
        <f>X47/W47-1</f>
        <v>-0.14479968914671404</v>
      </c>
    </row>
    <row r="48" spans="1:25" ht="13.5" customHeight="1">
      <c r="A48" s="27" t="s">
        <v>105</v>
      </c>
      <c r="B48" t="s">
        <v>106</v>
      </c>
      <c r="C48" s="28">
        <v>2240</v>
      </c>
      <c r="E48" t="s">
        <v>106</v>
      </c>
      <c r="F48" s="28">
        <v>1935</v>
      </c>
      <c r="G48" t="b">
        <f>IF(B48=E48,TRUE,FALSE)</f>
        <v>1</v>
      </c>
      <c r="J48" s="25">
        <f>F48-C48</f>
        <v>-305</v>
      </c>
      <c r="K48" s="4">
        <f>F48/C48-1</f>
        <v>-0.1361607142857143</v>
      </c>
      <c r="M48" s="5">
        <v>3698.82</v>
      </c>
      <c r="N48" s="5">
        <v>2941.58</v>
      </c>
      <c r="Q48" s="143">
        <v>15859.67</v>
      </c>
      <c r="U48" s="130">
        <f>N48-M48</f>
        <v>-757.24000000000024</v>
      </c>
      <c r="V48" s="4">
        <f>IF(M48=0,0,N48/M48-1)</f>
        <v>-0.20472475005542312</v>
      </c>
      <c r="W48" s="18">
        <v>66729.350000000006</v>
      </c>
      <c r="X48" s="18">
        <v>57620.04</v>
      </c>
      <c r="Y48" s="4">
        <f>X48/W48-1</f>
        <v>-0.1365112952546369</v>
      </c>
    </row>
    <row r="49" spans="1:25">
      <c r="A49" s="57" t="s">
        <v>107</v>
      </c>
      <c r="B49" s="37" t="s">
        <v>108</v>
      </c>
      <c r="C49" s="28">
        <v>19700</v>
      </c>
      <c r="E49" s="37" t="s">
        <v>108</v>
      </c>
      <c r="F49" s="28">
        <v>19401</v>
      </c>
      <c r="G49" t="b">
        <f>IF(B49=E49,TRUE,FALSE)</f>
        <v>1</v>
      </c>
      <c r="J49" s="25">
        <f>F49-C49</f>
        <v>-299</v>
      </c>
      <c r="K49" s="4">
        <f>F49/C49-1</f>
        <v>-1.5177664974619254E-2</v>
      </c>
      <c r="M49" s="5">
        <v>17433.86</v>
      </c>
      <c r="N49" s="5">
        <v>16555.47</v>
      </c>
      <c r="Q49" s="142">
        <v>147489.82999999999</v>
      </c>
      <c r="U49" s="130">
        <f>N49-M49</f>
        <v>-878.38999999999942</v>
      </c>
      <c r="V49" s="4">
        <f>IF(M49=0,0,N49/M49-1)</f>
        <v>-5.0384137534659534E-2</v>
      </c>
      <c r="W49" s="18">
        <v>470529.96</v>
      </c>
      <c r="X49" s="18">
        <v>484101.63</v>
      </c>
      <c r="Y49" s="4">
        <f>X49/W49-1</f>
        <v>2.8843370568794269E-2</v>
      </c>
    </row>
    <row r="50" spans="1:25">
      <c r="A50" t="s">
        <v>109</v>
      </c>
      <c r="B50" t="s">
        <v>110</v>
      </c>
      <c r="C50" s="28">
        <v>1212</v>
      </c>
      <c r="E50" t="s">
        <v>110</v>
      </c>
      <c r="F50" s="28">
        <v>913</v>
      </c>
      <c r="G50" t="b">
        <f>IF(B50=E50,TRUE,FALSE)</f>
        <v>1</v>
      </c>
      <c r="J50" s="25">
        <f>F50-C50</f>
        <v>-299</v>
      </c>
      <c r="K50" s="4">
        <f>F50/C50-1</f>
        <v>-0.24669966996699666</v>
      </c>
      <c r="M50" s="5">
        <v>2183.6</v>
      </c>
      <c r="N50" s="5">
        <v>794.58</v>
      </c>
      <c r="Q50" s="143">
        <v>3640.35</v>
      </c>
      <c r="U50" s="130">
        <f>N50-M50</f>
        <v>-1389.02</v>
      </c>
      <c r="V50" s="4">
        <f>IF(M50=0,0,N50/M50-1)</f>
        <v>-0.63611467301703606</v>
      </c>
      <c r="W50" s="18">
        <v>14115.69</v>
      </c>
      <c r="X50" s="18">
        <v>11184.7</v>
      </c>
      <c r="Y50" s="4">
        <f>X50/W50-1</f>
        <v>-0.20764057584149265</v>
      </c>
    </row>
    <row r="51" spans="1:25">
      <c r="A51" s="55" t="s">
        <v>111</v>
      </c>
      <c r="B51" s="37" t="s">
        <v>112</v>
      </c>
      <c r="C51" s="19">
        <v>1026</v>
      </c>
      <c r="E51" s="37" t="s">
        <v>112</v>
      </c>
      <c r="F51" s="19">
        <v>737</v>
      </c>
      <c r="G51" t="b">
        <f>IF(B51=E51,TRUE,FALSE)</f>
        <v>1</v>
      </c>
      <c r="J51" s="25">
        <f>F51-C51</f>
        <v>-289</v>
      </c>
      <c r="K51" s="4">
        <f>F51/C51-1</f>
        <v>-0.28167641325536064</v>
      </c>
      <c r="M51" s="5">
        <v>1312.06</v>
      </c>
      <c r="N51" s="5">
        <v>796.85</v>
      </c>
      <c r="Q51" s="142">
        <v>4615.25</v>
      </c>
      <c r="U51" s="130">
        <f>N51-M51</f>
        <v>-515.20999999999992</v>
      </c>
      <c r="V51" s="4">
        <f>IF(M51=0,0,N51/M51-1)</f>
        <v>-0.39267259119247588</v>
      </c>
      <c r="W51">
        <v>14353.74</v>
      </c>
      <c r="X51">
        <v>12853.98</v>
      </c>
      <c r="Y51" s="4">
        <f>X51/W51-1</f>
        <v>-0.10448566018333905</v>
      </c>
    </row>
    <row r="52" spans="1:25">
      <c r="A52" t="s">
        <v>113</v>
      </c>
      <c r="B52" t="s">
        <v>114</v>
      </c>
      <c r="C52" s="28">
        <v>2613</v>
      </c>
      <c r="E52" t="s">
        <v>114</v>
      </c>
      <c r="F52" s="28">
        <v>2338</v>
      </c>
      <c r="G52" t="b">
        <f>IF(B52=E52,TRUE,FALSE)</f>
        <v>1</v>
      </c>
      <c r="J52" s="25">
        <f>F52-C52</f>
        <v>-275</v>
      </c>
      <c r="K52" s="4">
        <f>F52/C52-1</f>
        <v>-0.10524301569077688</v>
      </c>
      <c r="M52" s="5">
        <v>2983.73</v>
      </c>
      <c r="N52" s="5">
        <v>2127.77</v>
      </c>
      <c r="Q52" s="143">
        <v>12778.4</v>
      </c>
      <c r="U52" s="130">
        <f>N52-M52</f>
        <v>-855.96</v>
      </c>
      <c r="V52" s="4">
        <f>IF(M52=0,0,N52/M52-1)</f>
        <v>-0.28687582321456706</v>
      </c>
      <c r="W52" s="18">
        <v>71754.75</v>
      </c>
      <c r="X52" s="18">
        <v>69606.39</v>
      </c>
      <c r="Y52" s="4">
        <f>X52/W52-1</f>
        <v>-2.9940317539953853E-2</v>
      </c>
    </row>
    <row r="53" spans="1:25">
      <c r="A53" t="s">
        <v>115</v>
      </c>
      <c r="B53" t="s">
        <v>116</v>
      </c>
      <c r="C53" s="28">
        <v>2054</v>
      </c>
      <c r="E53" t="s">
        <v>116</v>
      </c>
      <c r="F53" s="28">
        <v>1782</v>
      </c>
      <c r="G53" t="b">
        <f>IF(B53=E53,TRUE,FALSE)</f>
        <v>1</v>
      </c>
      <c r="J53" s="25">
        <f>F53-C53</f>
        <v>-272</v>
      </c>
      <c r="K53" s="4">
        <f>F53/C53-1</f>
        <v>-0.13242453748782868</v>
      </c>
      <c r="M53" s="5">
        <v>3229.93</v>
      </c>
      <c r="N53" s="5">
        <v>2591.87</v>
      </c>
      <c r="Q53" s="143">
        <v>14444.34</v>
      </c>
      <c r="U53" s="130">
        <f>N53-M53</f>
        <v>-638.05999999999995</v>
      </c>
      <c r="V53" s="4">
        <f>IF(M53=0,0,N53/M53-1)</f>
        <v>-0.19754607684996273</v>
      </c>
      <c r="W53" s="18">
        <v>46431.199999999997</v>
      </c>
      <c r="X53" s="18">
        <v>39170.5</v>
      </c>
      <c r="Y53" s="4">
        <f>X53/W53-1</f>
        <v>-0.15637545443581036</v>
      </c>
    </row>
    <row r="54" spans="1:25">
      <c r="A54" s="57" t="s">
        <v>117</v>
      </c>
      <c r="B54" s="37" t="s">
        <v>118</v>
      </c>
      <c r="C54" s="28">
        <v>1732</v>
      </c>
      <c r="E54" s="37" t="s">
        <v>118</v>
      </c>
      <c r="F54" s="28">
        <v>1474</v>
      </c>
      <c r="G54" t="b">
        <f>IF(B54=E54,TRUE,FALSE)</f>
        <v>1</v>
      </c>
      <c r="J54" s="25">
        <f>F54-C54</f>
        <v>-258</v>
      </c>
      <c r="K54" s="4">
        <f>F54/C54-1</f>
        <v>-0.14896073903002305</v>
      </c>
      <c r="M54" s="5">
        <v>3243.77</v>
      </c>
      <c r="N54" s="5">
        <v>2545.0300000000002</v>
      </c>
      <c r="Q54" s="143">
        <v>15885.2</v>
      </c>
      <c r="U54" s="130">
        <f>N54-M54</f>
        <v>-698.73999999999978</v>
      </c>
      <c r="V54" s="4">
        <f>IF(M54=0,0,N54/M54-1)</f>
        <v>-0.21540984718398648</v>
      </c>
      <c r="W54" s="18">
        <v>26726.880000000001</v>
      </c>
      <c r="X54" s="18">
        <v>27918.5</v>
      </c>
      <c r="Y54" s="4">
        <f>X54/W54-1</f>
        <v>4.4585076896368037E-2</v>
      </c>
    </row>
    <row r="55" spans="1:25">
      <c r="A55" s="55" t="s">
        <v>119</v>
      </c>
      <c r="B55" s="37" t="s">
        <v>120</v>
      </c>
      <c r="C55" s="28">
        <v>1103</v>
      </c>
      <c r="E55" s="37" t="s">
        <v>120</v>
      </c>
      <c r="F55" s="28">
        <v>847</v>
      </c>
      <c r="G55" t="b">
        <f>IF(B55=E55,TRUE,FALSE)</f>
        <v>1</v>
      </c>
      <c r="J55" s="25">
        <f>F55-C55</f>
        <v>-256</v>
      </c>
      <c r="K55" s="4">
        <f>F55/C55-1</f>
        <v>-0.23209428830462375</v>
      </c>
      <c r="M55" s="5">
        <v>2572.52</v>
      </c>
      <c r="N55" s="5">
        <v>2178.85</v>
      </c>
      <c r="Q55" s="142">
        <v>12189.68</v>
      </c>
      <c r="U55" s="130">
        <f>N55-M55</f>
        <v>-393.67000000000007</v>
      </c>
      <c r="V55" s="4">
        <f>IF(M55=0,0,N55/M55-1)</f>
        <v>-0.15302893660690686</v>
      </c>
      <c r="W55" s="18">
        <v>18356.97</v>
      </c>
      <c r="X55" s="18">
        <v>16931.13</v>
      </c>
      <c r="Y55" s="4">
        <f>X55/W55-1</f>
        <v>-7.7672949293919435E-2</v>
      </c>
    </row>
    <row r="56" spans="1:25">
      <c r="A56" s="55" t="s">
        <v>121</v>
      </c>
      <c r="B56" s="37" t="s">
        <v>122</v>
      </c>
      <c r="C56" s="28">
        <v>1474</v>
      </c>
      <c r="E56" s="37" t="s">
        <v>122</v>
      </c>
      <c r="F56" s="28">
        <v>1222</v>
      </c>
      <c r="G56" t="b">
        <f>IF(B56=E56,TRUE,FALSE)</f>
        <v>1</v>
      </c>
      <c r="J56" s="25">
        <f>F56-C56</f>
        <v>-252</v>
      </c>
      <c r="K56" s="4">
        <f>F56/C56-1</f>
        <v>-0.17096336499321574</v>
      </c>
      <c r="M56" s="5">
        <v>4137.75</v>
      </c>
      <c r="N56" s="5">
        <v>2831.44</v>
      </c>
      <c r="Q56" s="142">
        <v>22954.76</v>
      </c>
      <c r="U56" s="130">
        <f>N56-M56</f>
        <v>-1306.31</v>
      </c>
      <c r="V56" s="4">
        <f>IF(M56=0,0,N56/M56-1)</f>
        <v>-0.31570539544438403</v>
      </c>
      <c r="W56" s="18">
        <v>41403.46</v>
      </c>
      <c r="X56" s="18">
        <v>35364.9</v>
      </c>
      <c r="Y56" s="4">
        <f>X56/W56-1</f>
        <v>-0.14584674807371167</v>
      </c>
    </row>
    <row r="57" spans="1:25">
      <c r="A57" s="55" t="s">
        <v>123</v>
      </c>
      <c r="B57" s="37" t="s">
        <v>124</v>
      </c>
      <c r="C57" s="19">
        <v>595</v>
      </c>
      <c r="E57" s="37" t="s">
        <v>124</v>
      </c>
      <c r="F57" s="19">
        <v>348</v>
      </c>
      <c r="G57" t="b">
        <f>IF(B57=E57,TRUE,FALSE)</f>
        <v>1</v>
      </c>
      <c r="J57" s="25">
        <f>F57-C57</f>
        <v>-247</v>
      </c>
      <c r="K57" s="4">
        <f>F57/C57-1</f>
        <v>-0.41512605042016804</v>
      </c>
      <c r="M57" s="5">
        <v>2292.88</v>
      </c>
      <c r="N57" s="5">
        <v>941.32</v>
      </c>
      <c r="Q57" s="142">
        <v>4535.8</v>
      </c>
      <c r="U57" s="130">
        <f>N57-M57</f>
        <v>-1351.56</v>
      </c>
      <c r="V57" s="4">
        <f>IF(M57=0,0,N57/M57-1)</f>
        <v>-0.58945954432852998</v>
      </c>
      <c r="W57">
        <v>8310.06</v>
      </c>
      <c r="X57">
        <v>6644.08</v>
      </c>
      <c r="Y57" s="4">
        <f>X57/W57-1</f>
        <v>-0.2004774935439696</v>
      </c>
    </row>
    <row r="58" spans="1:25">
      <c r="A58" t="s">
        <v>125</v>
      </c>
      <c r="B58" t="s">
        <v>126</v>
      </c>
      <c r="C58" s="28">
        <v>1466</v>
      </c>
      <c r="E58" t="s">
        <v>126</v>
      </c>
      <c r="F58" s="28">
        <v>1228</v>
      </c>
      <c r="G58" t="b">
        <f>IF(B58=E58,TRUE,FALSE)</f>
        <v>1</v>
      </c>
      <c r="J58" s="25">
        <f>F58-C58</f>
        <v>-238</v>
      </c>
      <c r="K58" s="4">
        <f>F58/C58-1</f>
        <v>-0.16234652114597548</v>
      </c>
      <c r="M58" s="5">
        <v>3165.56</v>
      </c>
      <c r="N58" s="5">
        <v>2350.4</v>
      </c>
      <c r="Q58" s="143">
        <v>25402.55</v>
      </c>
      <c r="U58" s="130">
        <f>N58-M58</f>
        <v>-815.15999999999985</v>
      </c>
      <c r="V58" s="4">
        <f>IF(M58=0,0,N58/M58-1)</f>
        <v>-0.25750893996638824</v>
      </c>
      <c r="W58" s="18">
        <v>39970.339999999997</v>
      </c>
      <c r="X58" s="18">
        <v>36826.82</v>
      </c>
      <c r="Y58" s="4">
        <f>X58/W58-1</f>
        <v>-7.8646316243494496E-2</v>
      </c>
    </row>
    <row r="59" spans="1:25">
      <c r="A59" t="s">
        <v>127</v>
      </c>
      <c r="B59" t="s">
        <v>128</v>
      </c>
      <c r="C59" s="28">
        <v>1568</v>
      </c>
      <c r="E59" t="s">
        <v>128</v>
      </c>
      <c r="F59" s="28">
        <v>1339</v>
      </c>
      <c r="G59" t="b">
        <f>IF(B59=E59,TRUE,FALSE)</f>
        <v>1</v>
      </c>
      <c r="J59" s="25">
        <f>F59-C59</f>
        <v>-229</v>
      </c>
      <c r="K59" s="4">
        <f>F59/C59-1</f>
        <v>-0.14604591836734693</v>
      </c>
      <c r="M59" s="5">
        <v>2542.66</v>
      </c>
      <c r="N59" s="5">
        <v>2334.58</v>
      </c>
      <c r="Q59" s="143">
        <v>19843.52</v>
      </c>
      <c r="U59" s="130">
        <f>N59-M59</f>
        <v>-208.07999999999993</v>
      </c>
      <c r="V59" s="4">
        <f>IF(M59=0,0,N59/M59-1)</f>
        <v>-8.1835558037645639E-2</v>
      </c>
      <c r="W59" s="18">
        <v>60544.81</v>
      </c>
      <c r="X59" s="18">
        <v>52036.36</v>
      </c>
      <c r="Y59" s="4">
        <f>X59/W59-1</f>
        <v>-0.14053145100298436</v>
      </c>
    </row>
    <row r="60" spans="1:25">
      <c r="A60" s="55" t="s">
        <v>129</v>
      </c>
      <c r="B60" s="37" t="s">
        <v>130</v>
      </c>
      <c r="C60" s="19">
        <v>1302</v>
      </c>
      <c r="E60" s="37" t="s">
        <v>130</v>
      </c>
      <c r="F60" s="19">
        <v>1080</v>
      </c>
      <c r="G60" t="b">
        <f>IF(B60=E60,TRUE,FALSE)</f>
        <v>1</v>
      </c>
      <c r="J60" s="25">
        <f>F60-C60</f>
        <v>-222</v>
      </c>
      <c r="K60" s="4">
        <f>F60/C60-1</f>
        <v>-0.17050691244239635</v>
      </c>
      <c r="M60" s="5">
        <v>2829.72</v>
      </c>
      <c r="N60" s="5">
        <v>2036.63</v>
      </c>
      <c r="Q60" s="142">
        <v>8849.92</v>
      </c>
      <c r="U60" s="130">
        <f>N60-M60</f>
        <v>-793.08999999999969</v>
      </c>
      <c r="V60" s="4">
        <f>IF(M60=0,0,N60/M60-1)</f>
        <v>-0.28027154630140072</v>
      </c>
      <c r="W60">
        <v>19890.98</v>
      </c>
      <c r="X60">
        <v>17197.400000000001</v>
      </c>
      <c r="Y60" s="4">
        <f>X60/W60-1</f>
        <v>-0.1354171589333456</v>
      </c>
    </row>
    <row r="61" spans="1:25">
      <c r="A61" s="55" t="s">
        <v>131</v>
      </c>
      <c r="B61" s="37" t="s">
        <v>132</v>
      </c>
      <c r="C61" s="19">
        <v>849</v>
      </c>
      <c r="E61" s="37" t="s">
        <v>132</v>
      </c>
      <c r="F61" s="19">
        <v>632</v>
      </c>
      <c r="G61" t="b">
        <f>IF(B61=E61,TRUE,FALSE)</f>
        <v>1</v>
      </c>
      <c r="J61" s="25">
        <f>F61-C61</f>
        <v>-217</v>
      </c>
      <c r="K61" s="4">
        <f>F61/C61-1</f>
        <v>-0.2555948174322733</v>
      </c>
      <c r="M61" s="5">
        <v>987.18</v>
      </c>
      <c r="N61" s="5">
        <v>888.03</v>
      </c>
      <c r="Q61" s="142">
        <v>4207.58</v>
      </c>
      <c r="U61" s="130">
        <f>N61-M61</f>
        <v>-99.149999999999977</v>
      </c>
      <c r="V61" s="4">
        <f>IF(M61=0,0,N61/M61-1)</f>
        <v>-0.10043761016228037</v>
      </c>
      <c r="W61">
        <v>11877.51</v>
      </c>
      <c r="X61">
        <v>10536.68</v>
      </c>
      <c r="Y61" s="4">
        <f>X61/W61-1</f>
        <v>-0.11288813901230144</v>
      </c>
    </row>
    <row r="62" spans="1:25">
      <c r="A62" t="s">
        <v>133</v>
      </c>
      <c r="B62" t="s">
        <v>134</v>
      </c>
      <c r="C62" s="28">
        <v>1211</v>
      </c>
      <c r="E62" t="s">
        <v>134</v>
      </c>
      <c r="F62" s="28">
        <v>995</v>
      </c>
      <c r="G62" t="b">
        <f>IF(B62=E62,TRUE,FALSE)</f>
        <v>1</v>
      </c>
      <c r="J62" s="25">
        <f>F62-C62</f>
        <v>-216</v>
      </c>
      <c r="K62" s="4">
        <f>F62/C62-1</f>
        <v>-0.17836498761354258</v>
      </c>
      <c r="M62" s="5">
        <v>2042.55</v>
      </c>
      <c r="N62" s="5">
        <v>2103.6999999999998</v>
      </c>
      <c r="Q62" s="143">
        <v>11664.09</v>
      </c>
      <c r="U62" s="130">
        <f>N62-M62</f>
        <v>61.149999999999864</v>
      </c>
      <c r="V62" s="4">
        <f>IF(M62=0,0,N62/M62-1)</f>
        <v>2.9938067611563923E-2</v>
      </c>
      <c r="W62" s="18">
        <v>32684.89</v>
      </c>
      <c r="X62" s="18">
        <v>28037.05</v>
      </c>
      <c r="Y62" s="4">
        <f>X62/W62-1</f>
        <v>-0.14220148821060741</v>
      </c>
    </row>
    <row r="63" spans="1:25">
      <c r="A63" t="s">
        <v>135</v>
      </c>
      <c r="B63" t="s">
        <v>136</v>
      </c>
      <c r="C63" s="28">
        <v>2165</v>
      </c>
      <c r="E63" t="s">
        <v>136</v>
      </c>
      <c r="F63" s="28">
        <v>1959</v>
      </c>
      <c r="G63" t="b">
        <f>IF(B63=E63,TRUE,FALSE)</f>
        <v>1</v>
      </c>
      <c r="J63" s="25">
        <f>F63-C63</f>
        <v>-206</v>
      </c>
      <c r="K63" s="4">
        <f>F63/C63-1</f>
        <v>-9.5150115473441099E-2</v>
      </c>
      <c r="M63" s="5">
        <v>3612.7</v>
      </c>
      <c r="N63" s="5">
        <v>2788.45</v>
      </c>
      <c r="Q63" s="143">
        <v>23250.080000000002</v>
      </c>
      <c r="U63" s="130">
        <f>N63-M63</f>
        <v>-824.25</v>
      </c>
      <c r="V63" s="4">
        <f>IF(M63=0,0,N63/M63-1)</f>
        <v>-0.22815345863204806</v>
      </c>
      <c r="W63" s="18">
        <v>54025.77</v>
      </c>
      <c r="X63" s="18">
        <v>47471.08</v>
      </c>
      <c r="Y63" s="4">
        <f>X63/W63-1</f>
        <v>-0.12132524904318798</v>
      </c>
    </row>
    <row r="64" spans="1:25">
      <c r="A64" t="s">
        <v>137</v>
      </c>
      <c r="B64" t="s">
        <v>138</v>
      </c>
      <c r="C64" s="28">
        <v>13244</v>
      </c>
      <c r="E64" t="s">
        <v>138</v>
      </c>
      <c r="F64" s="28">
        <v>13043</v>
      </c>
      <c r="G64" t="b">
        <f>IF(B64=E64,TRUE,FALSE)</f>
        <v>1</v>
      </c>
      <c r="J64" s="25">
        <f>F64-C64</f>
        <v>-201</v>
      </c>
      <c r="K64" s="4">
        <f>F64/C64-1</f>
        <v>-1.5176683781334965E-2</v>
      </c>
      <c r="M64" s="5">
        <v>13534.58</v>
      </c>
      <c r="N64" s="5">
        <v>15919.06</v>
      </c>
      <c r="Q64" s="143">
        <v>127913.92</v>
      </c>
      <c r="U64" s="130">
        <f>N64-M64</f>
        <v>2384.4799999999996</v>
      </c>
      <c r="V64" s="4">
        <f>IF(M64=0,0,N64/M64-1)</f>
        <v>0.17617687434704288</v>
      </c>
      <c r="W64" s="18">
        <v>432579.28</v>
      </c>
      <c r="X64" s="18">
        <v>455515.1</v>
      </c>
      <c r="Y64" s="4">
        <f>X64/W64-1</f>
        <v>5.3021078587027981E-2</v>
      </c>
    </row>
    <row r="65" spans="1:25">
      <c r="A65" s="55" t="s">
        <v>139</v>
      </c>
      <c r="B65" s="37" t="s">
        <v>140</v>
      </c>
      <c r="C65" s="28">
        <v>704</v>
      </c>
      <c r="E65" s="37" t="s">
        <v>140</v>
      </c>
      <c r="F65" s="28">
        <v>515</v>
      </c>
      <c r="G65" t="b">
        <f>IF(B65=E65,TRUE,FALSE)</f>
        <v>1</v>
      </c>
      <c r="J65" s="25">
        <f>F65-C65</f>
        <v>-189</v>
      </c>
      <c r="K65" s="4">
        <f>F65/C65-1</f>
        <v>-0.26846590909090906</v>
      </c>
      <c r="M65" s="5">
        <v>1051.6300000000001</v>
      </c>
      <c r="N65" s="5">
        <v>637.16999999999996</v>
      </c>
      <c r="Q65" s="143">
        <v>5176.2299999999996</v>
      </c>
      <c r="U65" s="130">
        <f>N65-M65</f>
        <v>-414.46000000000015</v>
      </c>
      <c r="V65" s="4">
        <f>IF(M65=0,0,N65/M65-1)</f>
        <v>-0.39411199756568382</v>
      </c>
      <c r="W65" s="18">
        <v>10594.56</v>
      </c>
      <c r="X65" s="18">
        <v>9430.85</v>
      </c>
      <c r="Y65" s="4">
        <f>X65/W65-1</f>
        <v>-0.10984033315210817</v>
      </c>
    </row>
    <row r="66" spans="1:25">
      <c r="A66" t="s">
        <v>141</v>
      </c>
      <c r="B66" t="s">
        <v>142</v>
      </c>
      <c r="C66" s="28">
        <v>1608</v>
      </c>
      <c r="E66" t="s">
        <v>142</v>
      </c>
      <c r="F66" s="28">
        <v>1422</v>
      </c>
      <c r="G66" t="b">
        <f>IF(B66=E66,TRUE,FALSE)</f>
        <v>1</v>
      </c>
      <c r="J66" s="25">
        <f>F66-C66</f>
        <v>-186</v>
      </c>
      <c r="K66" s="4">
        <f>F66/C66-1</f>
        <v>-0.11567164179104472</v>
      </c>
      <c r="M66" s="5">
        <v>1467.76</v>
      </c>
      <c r="N66" s="5">
        <v>1209.94</v>
      </c>
      <c r="Q66" s="143">
        <v>8713.2199999999993</v>
      </c>
      <c r="U66" s="130">
        <f>N66-M66</f>
        <v>-257.81999999999994</v>
      </c>
      <c r="V66" s="4">
        <f>IF(M66=0,0,N66/M66-1)</f>
        <v>-0.17565542050471461</v>
      </c>
      <c r="W66" s="18">
        <v>48122.75</v>
      </c>
      <c r="X66" s="18">
        <v>42586.2</v>
      </c>
      <c r="Y66" s="4">
        <f>X66/W66-1</f>
        <v>-0.1150505737930605</v>
      </c>
    </row>
    <row r="67" spans="1:25">
      <c r="A67" t="s">
        <v>143</v>
      </c>
      <c r="B67" t="s">
        <v>144</v>
      </c>
      <c r="C67" s="28">
        <v>2089</v>
      </c>
      <c r="E67" t="s">
        <v>144</v>
      </c>
      <c r="F67" s="28">
        <v>1905</v>
      </c>
      <c r="G67" t="b">
        <f>IF(B67=E67,TRUE,FALSE)</f>
        <v>1</v>
      </c>
      <c r="J67" s="25">
        <f>F67-C67</f>
        <v>-184</v>
      </c>
      <c r="K67" s="4">
        <f>F67/C67-1</f>
        <v>-8.8080421254188579E-2</v>
      </c>
      <c r="M67" s="5">
        <v>3823.9</v>
      </c>
      <c r="N67" s="5">
        <v>3624.46</v>
      </c>
      <c r="Q67" s="143">
        <v>18192.02</v>
      </c>
      <c r="U67" s="130">
        <f>N67-M67</f>
        <v>-199.44000000000005</v>
      </c>
      <c r="V67" s="4">
        <f>IF(M67=0,0,N67/M67-1)</f>
        <v>-5.2156175632207979E-2</v>
      </c>
      <c r="W67" s="18">
        <v>56289.37</v>
      </c>
      <c r="X67" s="18">
        <v>51330.57</v>
      </c>
      <c r="Y67" s="4">
        <f>X67/W67-1</f>
        <v>-8.8094785924944685E-2</v>
      </c>
    </row>
    <row r="68" spans="1:25">
      <c r="A68" s="55" t="s">
        <v>145</v>
      </c>
      <c r="B68" s="37" t="s">
        <v>146</v>
      </c>
      <c r="C68" s="28">
        <v>1300</v>
      </c>
      <c r="E68" s="37" t="s">
        <v>146</v>
      </c>
      <c r="F68" s="28">
        <v>1120</v>
      </c>
      <c r="G68" t="b">
        <f>IF(B68=E68,TRUE,FALSE)</f>
        <v>1</v>
      </c>
      <c r="J68" s="25">
        <f>F68-C68</f>
        <v>-180</v>
      </c>
      <c r="K68" s="4">
        <f>F68/C68-1</f>
        <v>-0.13846153846153841</v>
      </c>
      <c r="M68" s="5">
        <v>2742.71</v>
      </c>
      <c r="N68" s="5">
        <v>3103.99</v>
      </c>
      <c r="Q68" s="142">
        <v>16249.85</v>
      </c>
      <c r="U68" s="130">
        <f>N68-M68</f>
        <v>361.27999999999975</v>
      </c>
      <c r="V68" s="4">
        <f>IF(M68=0,0,N68/M68-1)</f>
        <v>0.13172373309609831</v>
      </c>
      <c r="W68" s="18">
        <v>19399</v>
      </c>
      <c r="X68" s="18">
        <v>19027.78</v>
      </c>
      <c r="Y68" s="4">
        <f>X68/W68-1</f>
        <v>-1.9136037940100104E-2</v>
      </c>
    </row>
    <row r="69" spans="1:25">
      <c r="A69" t="s">
        <v>147</v>
      </c>
      <c r="B69" t="s">
        <v>148</v>
      </c>
      <c r="C69" s="28">
        <v>2764</v>
      </c>
      <c r="E69" t="s">
        <v>148</v>
      </c>
      <c r="F69" s="28">
        <v>2585</v>
      </c>
      <c r="G69" t="b">
        <f>IF(B69=E69,TRUE,FALSE)</f>
        <v>1</v>
      </c>
      <c r="J69" s="25">
        <f>F69-C69</f>
        <v>-179</v>
      </c>
      <c r="K69" s="4">
        <f>F69/C69-1</f>
        <v>-6.4761215629522417E-2</v>
      </c>
      <c r="M69" s="5">
        <v>4252.3599999999997</v>
      </c>
      <c r="N69" s="5">
        <v>3829.71</v>
      </c>
      <c r="Q69" s="143">
        <v>29624.22</v>
      </c>
      <c r="U69" s="130">
        <f>N69-M69</f>
        <v>-422.64999999999964</v>
      </c>
      <c r="V69" s="4">
        <f>IF(M69=0,0,N69/M69-1)</f>
        <v>-9.9391867104384302E-2</v>
      </c>
      <c r="W69" s="18">
        <v>101999.71</v>
      </c>
      <c r="X69" s="18">
        <v>95319.74</v>
      </c>
      <c r="Y69" s="4">
        <f>X69/W69-1</f>
        <v>-6.5490088158093762E-2</v>
      </c>
    </row>
    <row r="70" spans="1:25">
      <c r="A70" t="s">
        <v>149</v>
      </c>
      <c r="B70" t="s">
        <v>150</v>
      </c>
      <c r="C70" s="28">
        <v>1479</v>
      </c>
      <c r="E70" t="s">
        <v>150</v>
      </c>
      <c r="F70" s="28">
        <v>1305</v>
      </c>
      <c r="G70" t="b">
        <f>IF(B70=E70,TRUE,FALSE)</f>
        <v>1</v>
      </c>
      <c r="J70" s="25">
        <f>F70-C70</f>
        <v>-174</v>
      </c>
      <c r="K70" s="4">
        <f>F70/C70-1</f>
        <v>-0.11764705882352944</v>
      </c>
      <c r="M70" s="5">
        <v>3066.96</v>
      </c>
      <c r="N70" s="5">
        <v>2224.62</v>
      </c>
      <c r="Q70" s="143">
        <v>13838.72</v>
      </c>
      <c r="U70" s="130">
        <f>N70-M70</f>
        <v>-842.34000000000015</v>
      </c>
      <c r="V70" s="4">
        <f>IF(M70=0,0,N70/M70-1)</f>
        <v>-0.27464981610454653</v>
      </c>
      <c r="W70" s="18">
        <v>29466.95</v>
      </c>
      <c r="X70" s="18">
        <v>26015.77</v>
      </c>
      <c r="Y70" s="4">
        <f>X70/W70-1</f>
        <v>-0.11712036705529416</v>
      </c>
    </row>
    <row r="71" spans="1:25">
      <c r="A71" t="s">
        <v>151</v>
      </c>
      <c r="B71" t="s">
        <v>152</v>
      </c>
      <c r="C71" s="28">
        <v>1035</v>
      </c>
      <c r="E71" t="s">
        <v>152</v>
      </c>
      <c r="F71" s="28">
        <v>862</v>
      </c>
      <c r="G71" t="b">
        <f>IF(B71=E71,TRUE,FALSE)</f>
        <v>1</v>
      </c>
      <c r="J71" s="25">
        <f>F71-C71</f>
        <v>-173</v>
      </c>
      <c r="K71" s="4">
        <f>F71/C71-1</f>
        <v>-0.16714975845410629</v>
      </c>
      <c r="M71" s="5">
        <v>1373.51</v>
      </c>
      <c r="N71" s="5">
        <v>773.26</v>
      </c>
      <c r="Q71" s="143">
        <v>3231.38</v>
      </c>
      <c r="U71" s="130">
        <f>N71-M71</f>
        <v>-600.25</v>
      </c>
      <c r="V71" s="4">
        <f>IF(M71=0,0,N71/M71-1)</f>
        <v>-0.43701902425173456</v>
      </c>
      <c r="W71" s="18">
        <v>16508.25</v>
      </c>
      <c r="X71" s="18">
        <v>13748.9</v>
      </c>
      <c r="Y71" s="4">
        <f>X71/W71-1</f>
        <v>-0.16714975845410629</v>
      </c>
    </row>
    <row r="72" spans="1:25">
      <c r="A72" t="s">
        <v>153</v>
      </c>
      <c r="B72" t="s">
        <v>154</v>
      </c>
      <c r="C72" s="28">
        <v>994</v>
      </c>
      <c r="E72" t="s">
        <v>154</v>
      </c>
      <c r="F72" s="28">
        <v>828</v>
      </c>
      <c r="G72" t="b">
        <f>IF(B72=E72,TRUE,FALSE)</f>
        <v>1</v>
      </c>
      <c r="J72" s="25">
        <f>F72-C72</f>
        <v>-166</v>
      </c>
      <c r="K72" s="4">
        <f>F72/C72-1</f>
        <v>-0.16700201207243459</v>
      </c>
      <c r="M72" s="5">
        <v>1475.03</v>
      </c>
      <c r="N72" s="5">
        <v>1508.3</v>
      </c>
      <c r="Q72" s="143">
        <v>12282.33</v>
      </c>
      <c r="U72" s="130">
        <f>N72-M72</f>
        <v>33.269999999999982</v>
      </c>
      <c r="V72" s="4">
        <f>IF(M72=0,0,N72/M72-1)</f>
        <v>2.2555473447997576E-2</v>
      </c>
      <c r="W72" s="18">
        <v>29609.33</v>
      </c>
      <c r="X72" s="18">
        <v>24796.35</v>
      </c>
      <c r="Y72" s="4">
        <f>X72/W72-1</f>
        <v>-0.1625494396529743</v>
      </c>
    </row>
    <row r="73" spans="1:25">
      <c r="A73" t="s">
        <v>155</v>
      </c>
      <c r="B73" t="s">
        <v>156</v>
      </c>
      <c r="C73" s="28">
        <v>783</v>
      </c>
      <c r="E73" t="s">
        <v>156</v>
      </c>
      <c r="F73" s="28">
        <v>618</v>
      </c>
      <c r="G73" t="b">
        <f>IF(B73=E73,TRUE,FALSE)</f>
        <v>1</v>
      </c>
      <c r="J73" s="25">
        <f>F73-C73</f>
        <v>-165</v>
      </c>
      <c r="K73" s="4">
        <f>F73/C73-1</f>
        <v>-0.21072796934865901</v>
      </c>
      <c r="M73" s="5">
        <v>1324.82</v>
      </c>
      <c r="N73" s="5">
        <v>936.63</v>
      </c>
      <c r="Q73" s="143">
        <v>5111.0200000000004</v>
      </c>
      <c r="U73" s="130">
        <f>N73-M73</f>
        <v>-388.18999999999994</v>
      </c>
      <c r="V73" s="4">
        <f>IF(M73=0,0,N73/M73-1)</f>
        <v>-0.29301339049833186</v>
      </c>
      <c r="W73" s="18">
        <v>15618.05</v>
      </c>
      <c r="X73" s="18">
        <v>12328.5</v>
      </c>
      <c r="Y73" s="4">
        <f>X73/W73-1</f>
        <v>-0.2106248859492702</v>
      </c>
    </row>
    <row r="74" spans="1:25">
      <c r="A74" t="s">
        <v>157</v>
      </c>
      <c r="B74" t="s">
        <v>158</v>
      </c>
      <c r="C74" s="28">
        <v>671</v>
      </c>
      <c r="E74" t="s">
        <v>158</v>
      </c>
      <c r="F74" s="28">
        <v>506</v>
      </c>
      <c r="G74" t="b">
        <f>IF(B74=E74,TRUE,FALSE)</f>
        <v>1</v>
      </c>
      <c r="J74" s="25">
        <f>F74-C74</f>
        <v>-165</v>
      </c>
      <c r="K74" s="4">
        <f>F74/C74-1</f>
        <v>-0.24590163934426235</v>
      </c>
      <c r="M74" s="5">
        <v>1524.01</v>
      </c>
      <c r="N74" s="5">
        <v>1061.49</v>
      </c>
      <c r="Q74" s="143">
        <v>6304.73</v>
      </c>
      <c r="U74" s="130">
        <f>N74-M74</f>
        <v>-462.52</v>
      </c>
      <c r="V74" s="4">
        <f>IF(M74=0,0,N74/M74-1)</f>
        <v>-0.3034888222518225</v>
      </c>
      <c r="W74" s="18">
        <v>14755.29</v>
      </c>
      <c r="X74" s="18">
        <v>10835.44</v>
      </c>
      <c r="Y74" s="4">
        <f>X74/W74-1</f>
        <v>-0.26565726597037398</v>
      </c>
    </row>
    <row r="75" spans="1:25">
      <c r="A75" t="s">
        <v>159</v>
      </c>
      <c r="B75" t="s">
        <v>160</v>
      </c>
      <c r="C75" s="28">
        <v>1207</v>
      </c>
      <c r="E75" t="s">
        <v>160</v>
      </c>
      <c r="F75" s="28">
        <v>1052</v>
      </c>
      <c r="G75" t="b">
        <f>IF(B75=E75,TRUE,FALSE)</f>
        <v>1</v>
      </c>
      <c r="J75" s="25">
        <f>F75-C75</f>
        <v>-155</v>
      </c>
      <c r="K75" s="4">
        <f>F75/C75-1</f>
        <v>-0.12841756420878214</v>
      </c>
      <c r="M75" s="5">
        <v>1487.28</v>
      </c>
      <c r="N75" s="5">
        <v>1286.52</v>
      </c>
      <c r="Q75" s="143">
        <v>9780.44</v>
      </c>
      <c r="U75" s="130">
        <f>N75-M75</f>
        <v>-200.76</v>
      </c>
      <c r="V75" s="4">
        <f>IF(M75=0,0,N75/M75-1)</f>
        <v>-0.13498467000161363</v>
      </c>
      <c r="W75" s="18">
        <v>36182.629999999997</v>
      </c>
      <c r="X75" s="18">
        <v>31334.68</v>
      </c>
      <c r="Y75" s="4">
        <f>X75/W75-1</f>
        <v>-0.13398556158023889</v>
      </c>
    </row>
    <row r="76" spans="1:25">
      <c r="A76" t="s">
        <v>161</v>
      </c>
      <c r="B76" t="s">
        <v>162</v>
      </c>
      <c r="C76" s="28">
        <v>1019</v>
      </c>
      <c r="E76" t="s">
        <v>162</v>
      </c>
      <c r="F76" s="28">
        <v>864</v>
      </c>
      <c r="G76" t="b">
        <f>IF(B76=E76,TRUE,FALSE)</f>
        <v>1</v>
      </c>
      <c r="J76" s="25">
        <f>F76-C76</f>
        <v>-155</v>
      </c>
      <c r="K76" s="4">
        <f>F76/C76-1</f>
        <v>-0.15210991167811583</v>
      </c>
      <c r="M76" s="5">
        <v>1722.82</v>
      </c>
      <c r="N76" s="5">
        <v>1493.71</v>
      </c>
      <c r="Q76" s="143">
        <v>8761.7000000000007</v>
      </c>
      <c r="U76" s="130">
        <f>N76-M76</f>
        <v>-229.1099999999999</v>
      </c>
      <c r="V76" s="4">
        <f>IF(M76=0,0,N76/M76-1)</f>
        <v>-0.13298545408109952</v>
      </c>
      <c r="W76" s="18">
        <v>30589.8</v>
      </c>
      <c r="X76" s="18">
        <v>25911.360000000001</v>
      </c>
      <c r="Y76" s="4">
        <f>X76/W76-1</f>
        <v>-0.15294117647058825</v>
      </c>
    </row>
    <row r="77" spans="1:25">
      <c r="A77" t="s">
        <v>163</v>
      </c>
      <c r="B77" t="s">
        <v>164</v>
      </c>
      <c r="C77" s="28">
        <v>12795</v>
      </c>
      <c r="E77" t="s">
        <v>164</v>
      </c>
      <c r="F77" s="28">
        <v>12642</v>
      </c>
      <c r="G77" t="b">
        <f>IF(B77=E77,TRUE,FALSE)</f>
        <v>1</v>
      </c>
      <c r="J77" s="25">
        <f>F77-C77</f>
        <v>-153</v>
      </c>
      <c r="K77" s="4">
        <f>F77/C77-1</f>
        <v>-1.195779601406799E-2</v>
      </c>
      <c r="M77" s="5">
        <v>22307.31</v>
      </c>
      <c r="N77" s="5">
        <v>18791.47</v>
      </c>
      <c r="Q77" s="143">
        <v>113956.01</v>
      </c>
      <c r="U77" s="130">
        <f>N77-M77</f>
        <v>-3515.84</v>
      </c>
      <c r="V77" s="4">
        <f>IF(M77=0,0,N77/M77-1)</f>
        <v>-0.15760932178734233</v>
      </c>
      <c r="W77" s="18">
        <v>412270.61</v>
      </c>
      <c r="X77" s="18">
        <v>428352.22</v>
      </c>
      <c r="Y77" s="4">
        <f>X77/W77-1</f>
        <v>3.900741311635092E-2</v>
      </c>
    </row>
    <row r="78" spans="1:25">
      <c r="A78" t="s">
        <v>165</v>
      </c>
      <c r="B78" t="s">
        <v>166</v>
      </c>
      <c r="C78" s="28">
        <v>4742</v>
      </c>
      <c r="E78" t="s">
        <v>166</v>
      </c>
      <c r="F78" s="28">
        <v>4596</v>
      </c>
      <c r="G78" t="b">
        <f>IF(B78=E78,TRUE,FALSE)</f>
        <v>1</v>
      </c>
      <c r="J78" s="25">
        <f>F78-C78</f>
        <v>-146</v>
      </c>
      <c r="K78" s="4">
        <f>F78/C78-1</f>
        <v>-3.0788696752425126E-2</v>
      </c>
      <c r="M78" s="5">
        <v>6093.21</v>
      </c>
      <c r="N78" s="5">
        <v>5430.23</v>
      </c>
      <c r="Q78" s="143">
        <v>43301.120000000003</v>
      </c>
      <c r="U78" s="130">
        <f>N78-M78</f>
        <v>-662.98000000000047</v>
      </c>
      <c r="V78" s="4">
        <f>IF(M78=0,0,N78/M78-1)</f>
        <v>-0.10880635986614617</v>
      </c>
      <c r="W78" s="18">
        <v>180250.02</v>
      </c>
      <c r="X78" s="18">
        <v>175797.7</v>
      </c>
      <c r="Y78" s="4">
        <f>X78/W78-1</f>
        <v>-2.4700801697553065E-2</v>
      </c>
    </row>
    <row r="79" spans="1:25">
      <c r="A79" s="55" t="s">
        <v>167</v>
      </c>
      <c r="B79" s="37" t="s">
        <v>168</v>
      </c>
      <c r="C79" s="28">
        <v>1137</v>
      </c>
      <c r="E79" s="37" t="s">
        <v>168</v>
      </c>
      <c r="F79" s="28">
        <v>993</v>
      </c>
      <c r="G79" t="b">
        <f>IF(B79=E79,TRUE,FALSE)</f>
        <v>1</v>
      </c>
      <c r="J79" s="25">
        <f>F79-C79</f>
        <v>-144</v>
      </c>
      <c r="K79" s="4">
        <f>F79/C79-1</f>
        <v>-0.12664907651715041</v>
      </c>
      <c r="M79" s="5">
        <v>2469.58</v>
      </c>
      <c r="N79" s="5">
        <v>2501.5300000000002</v>
      </c>
      <c r="Q79" s="142">
        <v>14140.13</v>
      </c>
      <c r="U79" s="130">
        <f>N79-M79</f>
        <v>31.950000000000273</v>
      </c>
      <c r="V79" s="4">
        <f>IF(M79=0,0,N79/M79-1)</f>
        <v>1.2937422557681932E-2</v>
      </c>
      <c r="W79" s="18">
        <v>21556.11</v>
      </c>
      <c r="X79" s="18">
        <v>19809.47</v>
      </c>
      <c r="Y79" s="4">
        <f>X79/W79-1</f>
        <v>-8.1027606557955045E-2</v>
      </c>
    </row>
    <row r="80" spans="1:25">
      <c r="A80" s="55" t="s">
        <v>169</v>
      </c>
      <c r="B80" s="37" t="s">
        <v>170</v>
      </c>
      <c r="C80" s="28">
        <v>2512</v>
      </c>
      <c r="E80" s="37" t="s">
        <v>170</v>
      </c>
      <c r="F80" s="28">
        <v>2369</v>
      </c>
      <c r="G80" t="b">
        <f>IF(B80=E80,TRUE,FALSE)</f>
        <v>1</v>
      </c>
      <c r="J80" s="25">
        <f>F80-C80</f>
        <v>-143</v>
      </c>
      <c r="K80" s="4">
        <f>F80/C80-1</f>
        <v>-5.6926751592356717E-2</v>
      </c>
      <c r="M80" s="5">
        <v>4082.69</v>
      </c>
      <c r="N80" s="5">
        <v>4407.3999999999996</v>
      </c>
      <c r="Q80" s="143">
        <v>32802.31</v>
      </c>
      <c r="U80" s="130">
        <f>N80-M80</f>
        <v>324.70999999999958</v>
      </c>
      <c r="V80" s="4">
        <f>IF(M80=0,0,N80/M80-1)</f>
        <v>7.9533346886488943E-2</v>
      </c>
      <c r="W80" s="18">
        <v>55321.43</v>
      </c>
      <c r="X80" s="18">
        <v>58212.95</v>
      </c>
      <c r="Y80" s="4">
        <f>X80/W80-1</f>
        <v>5.2267629379790126E-2</v>
      </c>
    </row>
    <row r="81" spans="1:25">
      <c r="A81" t="s">
        <v>171</v>
      </c>
      <c r="B81" t="s">
        <v>172</v>
      </c>
      <c r="C81" s="28">
        <v>945</v>
      </c>
      <c r="E81" t="s">
        <v>172</v>
      </c>
      <c r="F81" s="28">
        <v>802</v>
      </c>
      <c r="G81" t="b">
        <f>IF(B81=E81,TRUE,FALSE)</f>
        <v>1</v>
      </c>
      <c r="J81" s="25">
        <f>F81-C81</f>
        <v>-143</v>
      </c>
      <c r="K81" s="4">
        <f>F81/C81-1</f>
        <v>-0.1513227513227513</v>
      </c>
      <c r="M81" s="5">
        <v>1359.63</v>
      </c>
      <c r="N81" s="5">
        <v>1026.45</v>
      </c>
      <c r="Q81" s="143">
        <v>6678.53</v>
      </c>
      <c r="U81" s="130">
        <f>N81-M81</f>
        <v>-333.18000000000006</v>
      </c>
      <c r="V81" s="4">
        <f>IF(M81=0,0,N81/M81-1)</f>
        <v>-0.24505196266631368</v>
      </c>
      <c r="W81" s="18">
        <v>24517.03</v>
      </c>
      <c r="X81" s="18">
        <v>20758.18</v>
      </c>
      <c r="Y81" s="4">
        <f>X81/W81-1</f>
        <v>-0.15331587879934883</v>
      </c>
    </row>
    <row r="82" spans="1:25">
      <c r="A82" s="55" t="s">
        <v>173</v>
      </c>
      <c r="B82" s="37" t="s">
        <v>174</v>
      </c>
      <c r="C82" s="19">
        <v>1228</v>
      </c>
      <c r="E82" s="37" t="s">
        <v>174</v>
      </c>
      <c r="F82" s="19">
        <v>1086</v>
      </c>
      <c r="G82" t="b">
        <f>IF(B82=E82,TRUE,FALSE)</f>
        <v>1</v>
      </c>
      <c r="J82" s="25">
        <f>F82-C82</f>
        <v>-142</v>
      </c>
      <c r="K82" s="4">
        <f>F82/C82-1</f>
        <v>-0.11563517915309451</v>
      </c>
      <c r="M82" s="5">
        <v>1715.8</v>
      </c>
      <c r="N82" s="5">
        <v>1793.89</v>
      </c>
      <c r="Q82" s="142">
        <v>11243.85</v>
      </c>
      <c r="U82" s="130">
        <f>N82-M82</f>
        <v>78.090000000000146</v>
      </c>
      <c r="V82" s="4">
        <f>IF(M82=0,0,N82/M82-1)</f>
        <v>4.5512297470567731E-2</v>
      </c>
      <c r="W82">
        <v>16968.63</v>
      </c>
      <c r="X82">
        <v>20143.28</v>
      </c>
      <c r="Y82" s="4">
        <f>X82/W82-1</f>
        <v>0.18708935252875447</v>
      </c>
    </row>
    <row r="83" spans="1:25">
      <c r="A83" t="s">
        <v>175</v>
      </c>
      <c r="B83" t="s">
        <v>176</v>
      </c>
      <c r="C83" s="28">
        <v>547</v>
      </c>
      <c r="E83" t="s">
        <v>176</v>
      </c>
      <c r="F83" s="28">
        <v>405</v>
      </c>
      <c r="G83" t="b">
        <f>IF(B83=E83,TRUE,FALSE)</f>
        <v>1</v>
      </c>
      <c r="J83" s="25">
        <f>F83-C83</f>
        <v>-142</v>
      </c>
      <c r="K83" s="4">
        <f>F83/C83-1</f>
        <v>-0.25959780621572215</v>
      </c>
      <c r="M83" s="5">
        <v>939.79</v>
      </c>
      <c r="N83" s="5">
        <v>698.37</v>
      </c>
      <c r="Q83" s="143">
        <v>4796.38</v>
      </c>
      <c r="U83" s="130">
        <f>N83-M83</f>
        <v>-241.41999999999996</v>
      </c>
      <c r="V83" s="4">
        <f>IF(M83=0,0,N83/M83-1)</f>
        <v>-0.25688717692250396</v>
      </c>
      <c r="W83" s="18">
        <v>10365.65</v>
      </c>
      <c r="X83" s="18">
        <v>6695.23</v>
      </c>
      <c r="Y83" s="4">
        <f>X83/W83-1</f>
        <v>-0.35409453338671482</v>
      </c>
    </row>
    <row r="84" spans="1:25">
      <c r="A84" t="s">
        <v>177</v>
      </c>
      <c r="B84" t="s">
        <v>178</v>
      </c>
      <c r="C84" s="28">
        <v>581</v>
      </c>
      <c r="E84" t="s">
        <v>178</v>
      </c>
      <c r="F84" s="28">
        <v>440</v>
      </c>
      <c r="G84" t="b">
        <f>IF(B84=E84,TRUE,FALSE)</f>
        <v>1</v>
      </c>
      <c r="J84" s="25">
        <f>F84-C84</f>
        <v>-141</v>
      </c>
      <c r="K84" s="4">
        <f>F84/C84-1</f>
        <v>-0.24268502581755591</v>
      </c>
      <c r="M84" s="5">
        <v>662.16</v>
      </c>
      <c r="N84" s="5">
        <v>618.88</v>
      </c>
      <c r="Q84" s="143">
        <v>3672.22</v>
      </c>
      <c r="U84" s="130">
        <f>N84-M84</f>
        <v>-43.279999999999973</v>
      </c>
      <c r="V84" s="4">
        <f>IF(M84=0,0,N84/M84-1)</f>
        <v>-6.5361846079497354E-2</v>
      </c>
      <c r="W84" s="18">
        <v>17400.95</v>
      </c>
      <c r="X84" s="18">
        <v>13178</v>
      </c>
      <c r="Y84" s="4">
        <f>X84/W84-1</f>
        <v>-0.24268502581755602</v>
      </c>
    </row>
    <row r="85" spans="1:25">
      <c r="A85" t="s">
        <v>179</v>
      </c>
      <c r="B85" t="s">
        <v>180</v>
      </c>
      <c r="C85" s="28">
        <v>2732</v>
      </c>
      <c r="E85" t="s">
        <v>180</v>
      </c>
      <c r="F85" s="28">
        <v>2593</v>
      </c>
      <c r="G85" t="b">
        <f>IF(B85=E85,TRUE,FALSE)</f>
        <v>1</v>
      </c>
      <c r="J85" s="25">
        <f>F85-C85</f>
        <v>-139</v>
      </c>
      <c r="K85" s="4">
        <f>F85/C85-1</f>
        <v>-5.0878477306002923E-2</v>
      </c>
      <c r="M85" s="5">
        <v>3939.99</v>
      </c>
      <c r="N85" s="5">
        <v>4311.1899999999996</v>
      </c>
      <c r="Q85" s="143">
        <v>28688.28</v>
      </c>
      <c r="U85" s="130">
        <f>N85-M85</f>
        <v>371.19999999999982</v>
      </c>
      <c r="V85" s="4">
        <f>IF(M85=0,0,N85/M85-1)</f>
        <v>9.4213437089941898E-2</v>
      </c>
      <c r="W85" s="18">
        <v>81715.240000000005</v>
      </c>
      <c r="X85" s="18">
        <v>77663.87</v>
      </c>
      <c r="Y85" s="4">
        <f>X85/W85-1</f>
        <v>-4.9579123796246738E-2</v>
      </c>
    </row>
    <row r="86" spans="1:25">
      <c r="A86" s="55" t="s">
        <v>181</v>
      </c>
      <c r="B86" s="37" t="s">
        <v>182</v>
      </c>
      <c r="C86" s="28">
        <v>1088</v>
      </c>
      <c r="E86" s="37" t="s">
        <v>182</v>
      </c>
      <c r="F86" s="28">
        <v>950</v>
      </c>
      <c r="G86" t="b">
        <f>IF(B86=E86,TRUE,FALSE)</f>
        <v>1</v>
      </c>
      <c r="J86" s="25">
        <f>F86-C86</f>
        <v>-138</v>
      </c>
      <c r="K86" s="4">
        <f>F86/C86-1</f>
        <v>-0.12683823529411764</v>
      </c>
      <c r="M86" s="5">
        <v>2403.79</v>
      </c>
      <c r="N86" s="5">
        <v>1525.37</v>
      </c>
      <c r="Q86" s="143">
        <v>8201.3799999999992</v>
      </c>
      <c r="U86" s="130">
        <f>N86-M86</f>
        <v>-878.42000000000007</v>
      </c>
      <c r="V86" s="4">
        <f>IF(M86=0,0,N86/M86-1)</f>
        <v>-0.36543125647415131</v>
      </c>
      <c r="W86" s="18">
        <v>18707.8</v>
      </c>
      <c r="X86" s="18">
        <v>17448.099999999999</v>
      </c>
      <c r="Y86" s="4">
        <f>X86/W86-1</f>
        <v>-6.7335549877591161E-2</v>
      </c>
    </row>
    <row r="87" spans="1:25">
      <c r="A87" t="s">
        <v>183</v>
      </c>
      <c r="B87" t="s">
        <v>184</v>
      </c>
      <c r="C87" s="28">
        <v>738</v>
      </c>
      <c r="E87" t="s">
        <v>184</v>
      </c>
      <c r="F87" s="28">
        <v>603</v>
      </c>
      <c r="G87" t="b">
        <f>IF(B87=E87,TRUE,FALSE)</f>
        <v>1</v>
      </c>
      <c r="J87" s="25">
        <f>F87-C87</f>
        <v>-135</v>
      </c>
      <c r="K87" s="4">
        <f>F87/C87-1</f>
        <v>-0.18292682926829273</v>
      </c>
      <c r="M87" s="5">
        <v>564.49</v>
      </c>
      <c r="N87" s="5">
        <v>389.87</v>
      </c>
      <c r="Q87" s="143">
        <v>4219.84</v>
      </c>
      <c r="U87" s="130">
        <f>N87-M87</f>
        <v>-174.62</v>
      </c>
      <c r="V87" s="4">
        <f>IF(M87=0,0,N87/M87-1)</f>
        <v>-0.30934117522011018</v>
      </c>
      <c r="W87" s="18">
        <v>28812.86</v>
      </c>
      <c r="X87" s="18">
        <v>23484.12</v>
      </c>
      <c r="Y87" s="4">
        <f>X87/W87-1</f>
        <v>-0.18494311220753512</v>
      </c>
    </row>
    <row r="88" spans="1:25">
      <c r="A88" t="s">
        <v>185</v>
      </c>
      <c r="B88" t="s">
        <v>186</v>
      </c>
      <c r="C88" s="28">
        <v>518</v>
      </c>
      <c r="E88" t="s">
        <v>186</v>
      </c>
      <c r="F88" s="28">
        <v>390</v>
      </c>
      <c r="G88" t="b">
        <f>IF(B88=E88,TRUE,FALSE)</f>
        <v>1</v>
      </c>
      <c r="J88" s="25">
        <f>F88-C88</f>
        <v>-128</v>
      </c>
      <c r="K88" s="4">
        <f>F88/C88-1</f>
        <v>-0.24710424710424705</v>
      </c>
      <c r="M88" s="5">
        <v>1098.99</v>
      </c>
      <c r="N88" s="5">
        <v>1003.15</v>
      </c>
      <c r="Q88" s="143">
        <v>5765.3</v>
      </c>
      <c r="U88" s="130">
        <f>N88-M88</f>
        <v>-95.840000000000032</v>
      </c>
      <c r="V88" s="4">
        <f>IF(M88=0,0,N88/M88-1)</f>
        <v>-8.7207344925795516E-2</v>
      </c>
      <c r="W88" s="18">
        <v>13209.45</v>
      </c>
      <c r="X88" s="18">
        <v>10509.54</v>
      </c>
      <c r="Y88" s="4">
        <f>X88/W88-1</f>
        <v>-0.20439231005075909</v>
      </c>
    </row>
    <row r="89" spans="1:25">
      <c r="A89" s="55" t="s">
        <v>187</v>
      </c>
      <c r="B89" s="37" t="s">
        <v>188</v>
      </c>
      <c r="C89" s="28">
        <v>1069</v>
      </c>
      <c r="E89" s="37" t="s">
        <v>188</v>
      </c>
      <c r="F89" s="28">
        <v>947</v>
      </c>
      <c r="G89" t="b">
        <f>IF(B89=E89,TRUE,FALSE)</f>
        <v>1</v>
      </c>
      <c r="J89" s="25">
        <f>F89-C89</f>
        <v>-122</v>
      </c>
      <c r="K89" s="4">
        <f>F89/C89-1</f>
        <v>-0.11412535079513564</v>
      </c>
      <c r="M89" s="5">
        <v>2645.12</v>
      </c>
      <c r="N89" s="5">
        <v>2179.13</v>
      </c>
      <c r="Q89" s="143">
        <v>10043.56</v>
      </c>
      <c r="U89" s="130">
        <f>N89-M89</f>
        <v>-465.98999999999978</v>
      </c>
      <c r="V89" s="4">
        <f>IF(M89=0,0,N89/M89-1)</f>
        <v>-0.1761697011855794</v>
      </c>
      <c r="W89" s="18">
        <v>23457.83</v>
      </c>
      <c r="X89" s="18">
        <v>20819.91</v>
      </c>
      <c r="Y89" s="4">
        <f>X89/W89-1</f>
        <v>-0.11245370948634215</v>
      </c>
    </row>
    <row r="90" spans="1:25">
      <c r="A90" t="s">
        <v>189</v>
      </c>
      <c r="B90" t="s">
        <v>190</v>
      </c>
      <c r="C90" s="28">
        <v>482</v>
      </c>
      <c r="E90" t="s">
        <v>190</v>
      </c>
      <c r="F90" s="28">
        <v>364</v>
      </c>
      <c r="G90" t="b">
        <f>IF(B90=E90,TRUE,FALSE)</f>
        <v>1</v>
      </c>
      <c r="J90" s="25">
        <f>F90-C90</f>
        <v>-118</v>
      </c>
      <c r="K90" s="4">
        <f>F90/C90-1</f>
        <v>-0.24481327800829877</v>
      </c>
      <c r="M90" s="5">
        <v>698.54</v>
      </c>
      <c r="N90" s="5">
        <v>463.64</v>
      </c>
      <c r="Q90" s="143">
        <v>1169.55</v>
      </c>
      <c r="U90" s="130">
        <f>N90-M90</f>
        <v>-234.89999999999998</v>
      </c>
      <c r="V90" s="4">
        <f>IF(M90=0,0,N90/M90-1)</f>
        <v>-0.33627279754917394</v>
      </c>
      <c r="W90" s="18">
        <v>9133.9</v>
      </c>
      <c r="X90" s="18">
        <v>6900.72</v>
      </c>
      <c r="Y90" s="4">
        <f>X90/W90-1</f>
        <v>-0.24449358981377067</v>
      </c>
    </row>
    <row r="91" spans="1:25">
      <c r="A91" t="s">
        <v>191</v>
      </c>
      <c r="B91" t="s">
        <v>192</v>
      </c>
      <c r="C91" s="28">
        <v>1385</v>
      </c>
      <c r="E91" t="s">
        <v>192</v>
      </c>
      <c r="F91" s="28">
        <v>1270</v>
      </c>
      <c r="G91" t="b">
        <f>IF(B91=E91,TRUE,FALSE)</f>
        <v>1</v>
      </c>
      <c r="J91" s="25">
        <f>F91-C91</f>
        <v>-115</v>
      </c>
      <c r="K91" s="4">
        <f>F91/C91-1</f>
        <v>-8.3032490974729201E-2</v>
      </c>
      <c r="M91" s="5">
        <v>1799.84</v>
      </c>
      <c r="N91" s="5">
        <v>1545.99</v>
      </c>
      <c r="Q91" s="143">
        <v>12661.7</v>
      </c>
      <c r="U91" s="130">
        <f>N91-M91</f>
        <v>-253.84999999999991</v>
      </c>
      <c r="V91" s="4">
        <f>IF(M91=0,0,N91/M91-1)</f>
        <v>-0.14104031469463951</v>
      </c>
      <c r="W91" s="18">
        <v>41541.93</v>
      </c>
      <c r="X91" s="18">
        <v>38030.300000000003</v>
      </c>
      <c r="Y91" s="4">
        <f>X91/W91-1</f>
        <v>-8.4532182303518333E-2</v>
      </c>
    </row>
    <row r="92" spans="1:25">
      <c r="A92" t="s">
        <v>193</v>
      </c>
      <c r="B92" t="s">
        <v>194</v>
      </c>
      <c r="C92" s="28">
        <v>308</v>
      </c>
      <c r="E92" t="s">
        <v>194</v>
      </c>
      <c r="F92" s="28">
        <v>194</v>
      </c>
      <c r="G92" t="b">
        <f>IF(B92=E92,TRUE,FALSE)</f>
        <v>1</v>
      </c>
      <c r="J92" s="25">
        <f>F92-C92</f>
        <v>-114</v>
      </c>
      <c r="K92" s="4">
        <f>F92/C92-1</f>
        <v>-0.37012987012987009</v>
      </c>
      <c r="M92" s="5">
        <v>1567.86</v>
      </c>
      <c r="N92" s="5">
        <v>892.6</v>
      </c>
      <c r="Q92" s="143">
        <v>4932.3599999999997</v>
      </c>
      <c r="U92" s="130">
        <f>N92-M92</f>
        <v>-675.25999999999988</v>
      </c>
      <c r="V92" s="4">
        <f>IF(M92=0,0,N92/M92-1)</f>
        <v>-0.43068896457591876</v>
      </c>
      <c r="W92" s="18">
        <v>4832.12</v>
      </c>
      <c r="X92" s="18">
        <v>3129.1</v>
      </c>
      <c r="Y92" s="4">
        <f>X92/W92-1</f>
        <v>-0.3524374394675629</v>
      </c>
    </row>
    <row r="93" spans="1:25">
      <c r="A93" t="s">
        <v>195</v>
      </c>
      <c r="B93" t="s">
        <v>196</v>
      </c>
      <c r="C93" s="28">
        <v>1186</v>
      </c>
      <c r="E93" t="s">
        <v>196</v>
      </c>
      <c r="F93" s="28">
        <v>1073</v>
      </c>
      <c r="G93" t="b">
        <f>IF(B93=E93,TRUE,FALSE)</f>
        <v>1</v>
      </c>
      <c r="J93" s="25">
        <f>F93-C93</f>
        <v>-113</v>
      </c>
      <c r="K93" s="4">
        <f>F93/C93-1</f>
        <v>-9.5278246205733552E-2</v>
      </c>
      <c r="M93" s="5">
        <v>2640.18</v>
      </c>
      <c r="N93" s="5">
        <v>1966.01</v>
      </c>
      <c r="Q93" s="143">
        <v>13044.47</v>
      </c>
      <c r="U93" s="130">
        <f>N93-M93</f>
        <v>-674.16999999999985</v>
      </c>
      <c r="V93" s="4">
        <f>IF(M93=0,0,N93/M93-1)</f>
        <v>-0.25535001401419599</v>
      </c>
      <c r="W93" s="18">
        <v>17363.14</v>
      </c>
      <c r="X93" s="18">
        <v>20436.53</v>
      </c>
      <c r="Y93" s="4">
        <f>X93/W93-1</f>
        <v>0.17700657830323308</v>
      </c>
    </row>
    <row r="94" spans="1:25">
      <c r="A94" s="55" t="s">
        <v>197</v>
      </c>
      <c r="B94" s="37" t="s">
        <v>198</v>
      </c>
      <c r="C94" s="28">
        <v>1778</v>
      </c>
      <c r="E94" s="37" t="s">
        <v>198</v>
      </c>
      <c r="F94" s="28">
        <v>1669</v>
      </c>
      <c r="G94" t="b">
        <f>IF(B94=E94,TRUE,FALSE)</f>
        <v>1</v>
      </c>
      <c r="J94" s="25">
        <f>F94-C94</f>
        <v>-109</v>
      </c>
      <c r="K94" s="4">
        <f>F94/C94-1</f>
        <v>-6.1304836895388126E-2</v>
      </c>
      <c r="M94" s="5">
        <v>3102.59</v>
      </c>
      <c r="N94" s="5">
        <v>750.88</v>
      </c>
      <c r="Q94" s="142">
        <v>4756.76</v>
      </c>
      <c r="U94" s="130">
        <f>N94-M94</f>
        <v>-2351.71</v>
      </c>
      <c r="V94" s="4">
        <f>IF(M94=0,0,N94/M94-1)</f>
        <v>-0.75798284658946236</v>
      </c>
      <c r="W94" s="18">
        <v>51370.18</v>
      </c>
      <c r="X94" s="18">
        <v>49324.66</v>
      </c>
      <c r="Y94" s="4">
        <f>X94/W94-1</f>
        <v>-3.9819210288926321E-2</v>
      </c>
    </row>
    <row r="95" spans="1:25">
      <c r="A95" t="s">
        <v>199</v>
      </c>
      <c r="B95" t="s">
        <v>200</v>
      </c>
      <c r="C95" s="28">
        <v>1056</v>
      </c>
      <c r="E95" t="s">
        <v>200</v>
      </c>
      <c r="F95" s="28">
        <v>948</v>
      </c>
      <c r="G95" t="b">
        <f>IF(B95=E95,TRUE,FALSE)</f>
        <v>1</v>
      </c>
      <c r="J95" s="25">
        <f>F95-C95</f>
        <v>-108</v>
      </c>
      <c r="K95" s="4">
        <f>F95/C95-1</f>
        <v>-0.10227272727272729</v>
      </c>
      <c r="M95" s="5">
        <v>1181.1400000000001</v>
      </c>
      <c r="N95" s="5">
        <v>924.06</v>
      </c>
      <c r="Q95" s="143">
        <v>7358.47</v>
      </c>
      <c r="U95" s="130">
        <f>N95-M95</f>
        <v>-257.08000000000015</v>
      </c>
      <c r="V95" s="4">
        <f>IF(M95=0,0,N95/M95-1)</f>
        <v>-0.21765413075503337</v>
      </c>
      <c r="W95" s="18">
        <v>17899.2</v>
      </c>
      <c r="X95" s="18">
        <v>16888.03</v>
      </c>
      <c r="Y95" s="4">
        <f>X95/W95-1</f>
        <v>-5.6492468937159313E-2</v>
      </c>
    </row>
    <row r="96" spans="1:25">
      <c r="A96" s="55" t="s">
        <v>201</v>
      </c>
      <c r="B96" s="37" t="s">
        <v>202</v>
      </c>
      <c r="C96" s="28">
        <v>661</v>
      </c>
      <c r="E96" s="37" t="s">
        <v>202</v>
      </c>
      <c r="F96" s="28">
        <v>562</v>
      </c>
      <c r="G96" t="b">
        <f>IF(B96=E96,TRUE,FALSE)</f>
        <v>1</v>
      </c>
      <c r="J96" s="25">
        <f>F96-C96</f>
        <v>-99</v>
      </c>
      <c r="K96" s="4">
        <f>F96/C96-1</f>
        <v>-0.14977307110438731</v>
      </c>
      <c r="M96" s="5">
        <v>1736.54</v>
      </c>
      <c r="N96" s="5">
        <v>1648.6</v>
      </c>
      <c r="Q96" s="142">
        <v>7632.94</v>
      </c>
      <c r="U96" s="130">
        <f>N96-M96</f>
        <v>-87.940000000000055</v>
      </c>
      <c r="V96" s="4">
        <f>IF(M96=0,0,N96/M96-1)</f>
        <v>-5.0640929664735657E-2</v>
      </c>
      <c r="W96" s="18">
        <v>9247.39</v>
      </c>
      <c r="X96" s="18">
        <v>7861.96</v>
      </c>
      <c r="Y96" s="4">
        <f>X96/W96-1</f>
        <v>-0.149818489325096</v>
      </c>
    </row>
    <row r="97" spans="1:25" ht="15.75" customHeight="1">
      <c r="A97" t="s">
        <v>203</v>
      </c>
      <c r="B97" t="s">
        <v>204</v>
      </c>
      <c r="C97" s="28">
        <v>105</v>
      </c>
      <c r="E97" t="s">
        <v>204</v>
      </c>
      <c r="F97" s="28">
        <v>6</v>
      </c>
      <c r="G97" t="b">
        <f>IF(B97=E97,TRUE,FALSE)</f>
        <v>1</v>
      </c>
      <c r="J97" s="25">
        <f>F97-C97</f>
        <v>-99</v>
      </c>
      <c r="K97" s="4">
        <f>F97/C97-1</f>
        <v>-0.94285714285714284</v>
      </c>
      <c r="M97" s="5">
        <v>184.73</v>
      </c>
      <c r="N97" s="5">
        <v>4.79</v>
      </c>
      <c r="Q97" s="143">
        <v>28.95</v>
      </c>
      <c r="U97" s="130">
        <f>N97-M97</f>
        <v>-179.94</v>
      </c>
      <c r="V97" s="4">
        <f>IF(M97=0,0,N97/M97-1)</f>
        <v>-0.97407026471065883</v>
      </c>
      <c r="W97" s="18">
        <v>3039.75</v>
      </c>
      <c r="X97" s="18">
        <v>173.7</v>
      </c>
      <c r="Y97" s="4">
        <f>X97/W97-1</f>
        <v>-0.94285714285714284</v>
      </c>
    </row>
    <row r="98" spans="1:25">
      <c r="A98" t="s">
        <v>205</v>
      </c>
      <c r="B98" t="s">
        <v>206</v>
      </c>
      <c r="C98" s="28">
        <v>878</v>
      </c>
      <c r="E98" t="s">
        <v>206</v>
      </c>
      <c r="F98" s="28">
        <v>785</v>
      </c>
      <c r="G98" t="b">
        <f>IF(B98=E98,TRUE,FALSE)</f>
        <v>1</v>
      </c>
      <c r="J98" s="25">
        <f>F98-C98</f>
        <v>-93</v>
      </c>
      <c r="K98" s="4">
        <f>F98/C98-1</f>
        <v>-0.10592255125284733</v>
      </c>
      <c r="M98" s="5">
        <v>2532.21</v>
      </c>
      <c r="N98" s="5">
        <v>1872.66</v>
      </c>
      <c r="Q98" s="143">
        <v>13146.08</v>
      </c>
      <c r="U98" s="130">
        <f>N98-M98</f>
        <v>-659.55</v>
      </c>
      <c r="V98" s="4">
        <f>IF(M98=0,0,N98/M98-1)</f>
        <v>-0.26046417951117795</v>
      </c>
      <c r="W98" s="18">
        <v>26291</v>
      </c>
      <c r="X98" s="18">
        <v>23507.45</v>
      </c>
      <c r="Y98" s="4">
        <f>X98/W98-1</f>
        <v>-0.10587463390513863</v>
      </c>
    </row>
    <row r="99" spans="1:25">
      <c r="A99" t="s">
        <v>207</v>
      </c>
      <c r="B99" t="s">
        <v>208</v>
      </c>
      <c r="C99" s="28">
        <v>510</v>
      </c>
      <c r="E99" t="s">
        <v>208</v>
      </c>
      <c r="F99" s="28">
        <v>417</v>
      </c>
      <c r="G99" t="b">
        <f>IF(B99=E99,TRUE,FALSE)</f>
        <v>1</v>
      </c>
      <c r="J99" s="25">
        <f>F99-C99</f>
        <v>-93</v>
      </c>
      <c r="K99" s="4">
        <f>F99/C99-1</f>
        <v>-0.18235294117647061</v>
      </c>
      <c r="M99" s="5">
        <v>1519.88</v>
      </c>
      <c r="N99" s="5">
        <v>1029.94</v>
      </c>
      <c r="Q99" s="143">
        <v>5047.16</v>
      </c>
      <c r="U99" s="130">
        <f>N99-M99</f>
        <v>-489.94000000000005</v>
      </c>
      <c r="V99" s="4">
        <f>IF(M99=0,0,N99/M99-1)</f>
        <v>-0.32235439639971575</v>
      </c>
      <c r="W99" s="18">
        <v>11210.5</v>
      </c>
      <c r="X99" s="18">
        <v>9167.19</v>
      </c>
      <c r="Y99" s="4">
        <f>X99/W99-1</f>
        <v>-0.18226751705989919</v>
      </c>
    </row>
    <row r="100" spans="1:25">
      <c r="A100" s="57" t="s">
        <v>209</v>
      </c>
      <c r="B100" s="37" t="s">
        <v>210</v>
      </c>
      <c r="C100" s="28">
        <v>1020</v>
      </c>
      <c r="E100" s="37" t="s">
        <v>210</v>
      </c>
      <c r="F100" s="28">
        <v>936</v>
      </c>
      <c r="G100" t="b">
        <f>IF(B100=E100,TRUE,FALSE)</f>
        <v>1</v>
      </c>
      <c r="J100" s="25">
        <f>F100-C100</f>
        <v>-84</v>
      </c>
      <c r="K100" s="4">
        <f>F100/C100-1</f>
        <v>-8.2352941176470629E-2</v>
      </c>
      <c r="M100" s="5">
        <v>1961.76</v>
      </c>
      <c r="N100" s="5">
        <v>1719.08</v>
      </c>
      <c r="Q100" s="143">
        <v>12880.54</v>
      </c>
      <c r="U100" s="130">
        <f>N100-M100</f>
        <v>-242.68000000000006</v>
      </c>
      <c r="V100" s="4">
        <f>IF(M100=0,0,N100/M100-1)</f>
        <v>-0.12370524427045104</v>
      </c>
      <c r="W100" s="18">
        <v>43611.9</v>
      </c>
      <c r="X100" s="18">
        <v>40060.449999999997</v>
      </c>
      <c r="Y100" s="4">
        <f>X100/W100-1</f>
        <v>-8.1433049236561694E-2</v>
      </c>
    </row>
    <row r="101" spans="1:25">
      <c r="A101" s="55" t="s">
        <v>211</v>
      </c>
      <c r="B101" s="37" t="s">
        <v>212</v>
      </c>
      <c r="C101" s="19">
        <v>801</v>
      </c>
      <c r="E101" s="37" t="s">
        <v>212</v>
      </c>
      <c r="F101" s="19">
        <v>718</v>
      </c>
      <c r="G101" t="b">
        <f>IF(B101=E101,TRUE,FALSE)</f>
        <v>1</v>
      </c>
      <c r="J101" s="25">
        <f>F101-C101</f>
        <v>-83</v>
      </c>
      <c r="K101" s="4">
        <f>F101/C101-1</f>
        <v>-0.10362047440699129</v>
      </c>
      <c r="M101" s="5">
        <v>1612.05</v>
      </c>
      <c r="N101" s="5">
        <v>1048.97</v>
      </c>
      <c r="Q101" s="142">
        <v>6074.55</v>
      </c>
      <c r="U101" s="130">
        <f>N101-M101</f>
        <v>-563.07999999999993</v>
      </c>
      <c r="V101" s="4">
        <f>IF(M101=0,0,N101/M101-1)</f>
        <v>-0.34929437672528763</v>
      </c>
      <c r="W101">
        <v>16010.79</v>
      </c>
      <c r="X101">
        <v>14352.42</v>
      </c>
      <c r="Y101" s="4">
        <f>X101/W101-1</f>
        <v>-0.10357827440120071</v>
      </c>
    </row>
    <row r="102" spans="1:25">
      <c r="A102" t="s">
        <v>213</v>
      </c>
      <c r="B102" t="s">
        <v>214</v>
      </c>
      <c r="C102" s="28">
        <v>780</v>
      </c>
      <c r="E102" t="s">
        <v>214</v>
      </c>
      <c r="F102" s="28">
        <v>699</v>
      </c>
      <c r="G102" t="b">
        <f>IF(B102=E102,TRUE,FALSE)</f>
        <v>1</v>
      </c>
      <c r="J102" s="25">
        <f>F102-C102</f>
        <v>-81</v>
      </c>
      <c r="K102" s="4">
        <f>F102/C102-1</f>
        <v>-0.10384615384615381</v>
      </c>
      <c r="M102" s="5">
        <v>1674.92</v>
      </c>
      <c r="N102" s="5">
        <v>832.76</v>
      </c>
      <c r="Q102" s="143">
        <v>6363.46</v>
      </c>
      <c r="U102" s="130">
        <f>N102-M102</f>
        <v>-842.16000000000008</v>
      </c>
      <c r="V102" s="4">
        <f>IF(M102=0,0,N102/M102-1)</f>
        <v>-0.50280610417213967</v>
      </c>
      <c r="W102" s="18">
        <v>20381.52</v>
      </c>
      <c r="X102" s="18">
        <v>18864.66</v>
      </c>
      <c r="Y102" s="4">
        <f>X102/W102-1</f>
        <v>-7.4423301108062612E-2</v>
      </c>
    </row>
    <row r="103" spans="1:25">
      <c r="A103" t="s">
        <v>215</v>
      </c>
      <c r="B103" t="s">
        <v>216</v>
      </c>
      <c r="C103" s="28">
        <v>330</v>
      </c>
      <c r="E103" t="s">
        <v>216</v>
      </c>
      <c r="F103" s="28">
        <v>252</v>
      </c>
      <c r="G103" t="b">
        <f>IF(B103=E103,TRUE,FALSE)</f>
        <v>1</v>
      </c>
      <c r="J103" s="25">
        <f>F103-C103</f>
        <v>-78</v>
      </c>
      <c r="K103" s="4">
        <f>F103/C103-1</f>
        <v>-0.23636363636363633</v>
      </c>
      <c r="M103" s="5">
        <v>388.43</v>
      </c>
      <c r="N103" s="5">
        <v>302.75</v>
      </c>
      <c r="Q103" s="143">
        <v>1141.73</v>
      </c>
      <c r="U103" s="130">
        <f>N103-M103</f>
        <v>-85.68</v>
      </c>
      <c r="V103" s="4">
        <f>IF(M103=0,0,N103/M103-1)</f>
        <v>-0.22058028473598845</v>
      </c>
      <c r="W103" s="18">
        <v>7903.5</v>
      </c>
      <c r="X103" s="18">
        <v>6035.4</v>
      </c>
      <c r="Y103" s="4">
        <f>X103/W103-1</f>
        <v>-0.23636363636363644</v>
      </c>
    </row>
    <row r="104" spans="1:25">
      <c r="A104" t="s">
        <v>217</v>
      </c>
      <c r="B104" t="s">
        <v>218</v>
      </c>
      <c r="C104" s="28">
        <v>495</v>
      </c>
      <c r="E104" t="s">
        <v>218</v>
      </c>
      <c r="F104" s="28">
        <v>420</v>
      </c>
      <c r="G104" t="b">
        <f>IF(B104=E104,TRUE,FALSE)</f>
        <v>1</v>
      </c>
      <c r="J104" s="25">
        <f>F104-C104</f>
        <v>-75</v>
      </c>
      <c r="K104" s="4">
        <f>F104/C104-1</f>
        <v>-0.15151515151515149</v>
      </c>
      <c r="M104" s="5">
        <v>452.33</v>
      </c>
      <c r="N104" s="5">
        <v>318.07</v>
      </c>
      <c r="Q104" s="143">
        <v>1640.7</v>
      </c>
      <c r="U104" s="130">
        <f>N104-M104</f>
        <v>-134.26</v>
      </c>
      <c r="V104" s="4">
        <f>IF(M104=0,0,N104/M104-1)</f>
        <v>-0.29681869431609664</v>
      </c>
      <c r="W104" s="18">
        <v>9380.25</v>
      </c>
      <c r="X104" s="18">
        <v>7959</v>
      </c>
      <c r="Y104" s="4">
        <f>X104/W104-1</f>
        <v>-0.15151515151515149</v>
      </c>
    </row>
    <row r="105" spans="1:25">
      <c r="A105" t="s">
        <v>219</v>
      </c>
      <c r="B105" t="s">
        <v>220</v>
      </c>
      <c r="C105" s="28">
        <v>1263</v>
      </c>
      <c r="E105" t="s">
        <v>220</v>
      </c>
      <c r="F105" s="28">
        <v>1189</v>
      </c>
      <c r="G105" t="b">
        <f>IF(B105=E105,TRUE,FALSE)</f>
        <v>1</v>
      </c>
      <c r="J105" s="25">
        <f>F105-C105</f>
        <v>-74</v>
      </c>
      <c r="K105" s="4">
        <f>F105/C105-1</f>
        <v>-5.8590657165479065E-2</v>
      </c>
      <c r="L105" s="5"/>
      <c r="M105" s="5">
        <v>2299.21</v>
      </c>
      <c r="N105" s="5">
        <v>2046.93</v>
      </c>
      <c r="O105" s="5"/>
      <c r="P105" s="5"/>
      <c r="Q105" s="143">
        <v>10714.19</v>
      </c>
      <c r="R105" s="5"/>
      <c r="S105" s="5"/>
      <c r="T105" s="5"/>
      <c r="U105" s="130">
        <f>N105-M105</f>
        <v>-252.27999999999997</v>
      </c>
      <c r="V105" s="4">
        <f>IF(M105=0,0,N105/M105-1)</f>
        <v>-0.10972464455182429</v>
      </c>
      <c r="W105" s="18">
        <v>30246.45</v>
      </c>
      <c r="X105" s="18">
        <v>28448.28</v>
      </c>
      <c r="Y105" s="4">
        <f>X105/W105-1</f>
        <v>-5.9450613212459702E-2</v>
      </c>
    </row>
    <row r="106" spans="1:25">
      <c r="A106" t="s">
        <v>221</v>
      </c>
      <c r="B106" t="s">
        <v>222</v>
      </c>
      <c r="C106" s="28">
        <v>414</v>
      </c>
      <c r="E106" t="s">
        <v>222</v>
      </c>
      <c r="F106" s="28">
        <v>340</v>
      </c>
      <c r="G106" t="b">
        <f>IF(B106=E106,TRUE,FALSE)</f>
        <v>1</v>
      </c>
      <c r="J106" s="25">
        <f>F106-C106</f>
        <v>-74</v>
      </c>
      <c r="K106" s="4">
        <f>F106/C106-1</f>
        <v>-0.17874396135265702</v>
      </c>
      <c r="M106" s="5">
        <v>0</v>
      </c>
      <c r="N106" s="5">
        <v>0</v>
      </c>
      <c r="Q106" s="143">
        <v>0</v>
      </c>
      <c r="U106" s="130">
        <f>N106-M106</f>
        <v>0</v>
      </c>
      <c r="V106" s="4">
        <f>IF(M106=0,0,N106/M106-1)</f>
        <v>0</v>
      </c>
      <c r="W106" s="18">
        <v>8259.2999999999993</v>
      </c>
      <c r="X106" s="18">
        <v>6783</v>
      </c>
      <c r="Y106" s="4">
        <f>X106/W106-1</f>
        <v>-0.17874396135265691</v>
      </c>
    </row>
    <row r="107" spans="1:25">
      <c r="A107" s="55" t="s">
        <v>223</v>
      </c>
      <c r="B107" s="37" t="s">
        <v>224</v>
      </c>
      <c r="C107" s="28">
        <v>748</v>
      </c>
      <c r="E107" s="37" t="s">
        <v>224</v>
      </c>
      <c r="F107" s="28">
        <v>677</v>
      </c>
      <c r="G107" t="b">
        <f>IF(B107=E107,TRUE,FALSE)</f>
        <v>1</v>
      </c>
      <c r="J107" s="25">
        <f>F107-C107</f>
        <v>-71</v>
      </c>
      <c r="K107" s="4">
        <f>F107/C107-1</f>
        <v>-9.4919786096256731E-2</v>
      </c>
      <c r="M107" s="5">
        <v>1752.33</v>
      </c>
      <c r="N107" s="5">
        <v>1650.95</v>
      </c>
      <c r="Q107" s="142">
        <v>7404.56</v>
      </c>
      <c r="U107" s="130">
        <f>N107-M107</f>
        <v>-101.37999999999988</v>
      </c>
      <c r="V107" s="4">
        <f>IF(M107=0,0,N107/M107-1)</f>
        <v>-5.7854399570857029E-2</v>
      </c>
      <c r="W107" s="18">
        <v>11783.11</v>
      </c>
      <c r="X107" s="18">
        <v>10191.23</v>
      </c>
      <c r="Y107" s="4">
        <f>X107/W107-1</f>
        <v>-0.13509845872609194</v>
      </c>
    </row>
    <row r="108" spans="1:25">
      <c r="A108" t="s">
        <v>225</v>
      </c>
      <c r="B108" t="s">
        <v>226</v>
      </c>
      <c r="C108" s="28">
        <v>1212</v>
      </c>
      <c r="E108" t="s">
        <v>226</v>
      </c>
      <c r="F108" s="28">
        <v>1142</v>
      </c>
      <c r="G108" t="b">
        <f>IF(B108=E108,TRUE,FALSE)</f>
        <v>1</v>
      </c>
      <c r="J108" s="25">
        <f>F108-C108</f>
        <v>-70</v>
      </c>
      <c r="K108" s="4">
        <f>F108/C108-1</f>
        <v>-5.7755775577557733E-2</v>
      </c>
      <c r="M108" s="5">
        <v>1348.8</v>
      </c>
      <c r="N108" s="5">
        <v>950.52</v>
      </c>
      <c r="Q108" s="143">
        <v>5295.15</v>
      </c>
      <c r="U108" s="130">
        <f>N108-M108</f>
        <v>-398.28</v>
      </c>
      <c r="V108" s="4">
        <f>IF(M108=0,0,N108/M108-1)</f>
        <v>-0.29528469750889674</v>
      </c>
      <c r="W108" s="18">
        <v>36149.65</v>
      </c>
      <c r="X108" s="18">
        <v>34202.9</v>
      </c>
      <c r="Y108" s="4">
        <f>X108/W108-1</f>
        <v>-5.3852526926263411E-2</v>
      </c>
    </row>
    <row r="109" spans="1:25">
      <c r="A109" t="s">
        <v>227</v>
      </c>
      <c r="B109" t="s">
        <v>228</v>
      </c>
      <c r="C109" s="28">
        <v>716</v>
      </c>
      <c r="E109" t="s">
        <v>228</v>
      </c>
      <c r="F109" s="28">
        <v>647</v>
      </c>
      <c r="G109" t="b">
        <f>IF(B109=E109,TRUE,FALSE)</f>
        <v>1</v>
      </c>
      <c r="J109" s="25">
        <f>F109-C109</f>
        <v>-69</v>
      </c>
      <c r="K109" s="4">
        <f>F109/C109-1</f>
        <v>-9.636871508379885E-2</v>
      </c>
      <c r="M109" s="5">
        <v>754.86</v>
      </c>
      <c r="N109" s="5">
        <v>801.16</v>
      </c>
      <c r="Q109" s="143">
        <v>4722.5600000000004</v>
      </c>
      <c r="U109" s="130">
        <f>N109-M109</f>
        <v>46.299999999999955</v>
      </c>
      <c r="V109" s="4">
        <f>IF(M109=0,0,N109/M109-1)</f>
        <v>6.1335876851336568E-2</v>
      </c>
      <c r="W109" s="18">
        <v>17159.04</v>
      </c>
      <c r="X109" s="18">
        <v>15493.73</v>
      </c>
      <c r="Y109" s="4">
        <f>X109/W109-1</f>
        <v>-9.7051466748722559E-2</v>
      </c>
    </row>
    <row r="110" spans="1:25">
      <c r="A110" t="s">
        <v>229</v>
      </c>
      <c r="B110" t="s">
        <v>230</v>
      </c>
      <c r="C110" s="28">
        <v>350</v>
      </c>
      <c r="E110" t="s">
        <v>230</v>
      </c>
      <c r="F110" s="28">
        <v>283</v>
      </c>
      <c r="G110" t="b">
        <f>IF(B110=E110,TRUE,FALSE)</f>
        <v>1</v>
      </c>
      <c r="J110" s="25">
        <f>F110-C110</f>
        <v>-67</v>
      </c>
      <c r="K110" s="4">
        <f>F110/C110-1</f>
        <v>-0.19142857142857139</v>
      </c>
      <c r="M110" s="5">
        <v>969.98</v>
      </c>
      <c r="N110" s="5">
        <v>757.46</v>
      </c>
      <c r="Q110" s="143">
        <v>4071.96</v>
      </c>
      <c r="U110" s="130">
        <f>N110-M110</f>
        <v>-212.51999999999998</v>
      </c>
      <c r="V110" s="4">
        <f>IF(M110=0,0,N110/M110-1)</f>
        <v>-0.2190973009752778</v>
      </c>
      <c r="W110" s="18">
        <v>8388.34</v>
      </c>
      <c r="X110" s="18">
        <v>6781.73</v>
      </c>
      <c r="Y110" s="4">
        <f>X110/W110-1</f>
        <v>-0.19152895566941741</v>
      </c>
    </row>
    <row r="111" spans="1:25">
      <c r="A111" t="s">
        <v>231</v>
      </c>
      <c r="B111" t="s">
        <v>232</v>
      </c>
      <c r="C111" s="28">
        <v>724</v>
      </c>
      <c r="E111" t="s">
        <v>232</v>
      </c>
      <c r="F111" s="28">
        <v>660</v>
      </c>
      <c r="G111" t="b">
        <f>IF(B111=E111,TRUE,FALSE)</f>
        <v>1</v>
      </c>
      <c r="J111" s="25">
        <f>F111-C111</f>
        <v>-64</v>
      </c>
      <c r="K111" s="4">
        <f>F111/C111-1</f>
        <v>-8.8397790055248615E-2</v>
      </c>
      <c r="M111" s="5">
        <v>569.55999999999995</v>
      </c>
      <c r="N111" s="5">
        <v>544.73</v>
      </c>
      <c r="Q111" s="143">
        <v>4795.57</v>
      </c>
      <c r="U111" s="130">
        <f>N111-M111</f>
        <v>-24.829999999999927</v>
      </c>
      <c r="V111" s="4">
        <f>IF(M111=0,0,N111/M111-1)</f>
        <v>-4.3595055832572394E-2</v>
      </c>
      <c r="W111" s="18">
        <v>26780.76</v>
      </c>
      <c r="X111" s="18">
        <v>24413.4</v>
      </c>
      <c r="Y111" s="4">
        <f>X111/W111-1</f>
        <v>-8.8397790055248504E-2</v>
      </c>
    </row>
    <row r="112" spans="1:25">
      <c r="A112" t="s">
        <v>233</v>
      </c>
      <c r="B112" s="27" t="s">
        <v>234</v>
      </c>
      <c r="C112" s="28">
        <v>1565</v>
      </c>
      <c r="E112" s="27" t="s">
        <v>234</v>
      </c>
      <c r="F112" s="28">
        <v>1503</v>
      </c>
      <c r="G112" t="b">
        <f>IF(B112=E112,TRUE,FALSE)</f>
        <v>1</v>
      </c>
      <c r="J112" s="25">
        <f>F112-C112</f>
        <v>-62</v>
      </c>
      <c r="K112" s="4">
        <f>F112/C112-1</f>
        <v>-3.96166134185304E-2</v>
      </c>
      <c r="M112" s="5">
        <v>3737.44</v>
      </c>
      <c r="N112" s="5">
        <v>2998.86</v>
      </c>
      <c r="Q112" s="143">
        <v>17444.310000000001</v>
      </c>
      <c r="U112" s="130">
        <f>N112-M112</f>
        <v>-738.57999999999993</v>
      </c>
      <c r="V112" s="4">
        <f>IF(M112=0,0,N112/M112-1)</f>
        <v>-0.19761655036602588</v>
      </c>
      <c r="W112" s="18">
        <v>45360.65</v>
      </c>
      <c r="X112" s="18">
        <v>43566.46</v>
      </c>
      <c r="Y112" s="4">
        <f>X112/W112-1</f>
        <v>-3.9553886463267185E-2</v>
      </c>
    </row>
    <row r="113" spans="1:25">
      <c r="A113" t="s">
        <v>235</v>
      </c>
      <c r="B113" t="s">
        <v>236</v>
      </c>
      <c r="C113" s="28">
        <v>739</v>
      </c>
      <c r="E113" t="s">
        <v>236</v>
      </c>
      <c r="F113" s="28">
        <v>677</v>
      </c>
      <c r="G113" t="b">
        <f>IF(B113=E113,TRUE,FALSE)</f>
        <v>1</v>
      </c>
      <c r="J113" s="25">
        <f>F113-C113</f>
        <v>-62</v>
      </c>
      <c r="K113" s="4">
        <f>F113/C113-1</f>
        <v>-8.3897158322056797E-2</v>
      </c>
      <c r="M113" s="5">
        <v>684.82</v>
      </c>
      <c r="N113" s="5">
        <v>519.17999999999995</v>
      </c>
      <c r="Q113" s="143">
        <v>4174.01</v>
      </c>
      <c r="U113" s="130">
        <f>N113-M113</f>
        <v>-165.6400000000001</v>
      </c>
      <c r="V113" s="4">
        <f>IF(M113=0,0,N113/M113-1)</f>
        <v>-0.24187377705090407</v>
      </c>
      <c r="W113" s="18">
        <v>18440.599999999999</v>
      </c>
      <c r="X113" s="18">
        <v>16813.5</v>
      </c>
      <c r="Y113" s="4">
        <f>X113/W113-1</f>
        <v>-8.8234656139171141E-2</v>
      </c>
    </row>
    <row r="114" spans="1:25">
      <c r="A114" t="s">
        <v>237</v>
      </c>
      <c r="B114" t="s">
        <v>238</v>
      </c>
      <c r="C114" s="28">
        <v>1095</v>
      </c>
      <c r="E114" t="s">
        <v>238</v>
      </c>
      <c r="F114" s="28">
        <v>1035</v>
      </c>
      <c r="G114" t="b">
        <f>IF(B114=E114,TRUE,FALSE)</f>
        <v>1</v>
      </c>
      <c r="J114" s="25">
        <f>F114-C114</f>
        <v>-60</v>
      </c>
      <c r="K114" s="4">
        <f>F114/C114-1</f>
        <v>-5.4794520547945202E-2</v>
      </c>
      <c r="M114" s="5">
        <v>541.59</v>
      </c>
      <c r="N114" s="5">
        <v>554.17999999999995</v>
      </c>
      <c r="Q114" s="143">
        <v>3173.99</v>
      </c>
      <c r="U114" s="130">
        <f>N114-M114</f>
        <v>12.589999999999918</v>
      </c>
      <c r="V114" s="4">
        <f>IF(M114=0,0,N114/M114-1)</f>
        <v>2.3246367178123561E-2</v>
      </c>
      <c r="W114" s="18">
        <v>39409.050000000003</v>
      </c>
      <c r="X114" s="18">
        <v>37249.65</v>
      </c>
      <c r="Y114" s="4">
        <f>X114/W114-1</f>
        <v>-5.4794520547945202E-2</v>
      </c>
    </row>
    <row r="115" spans="1:25">
      <c r="A115" t="s">
        <v>239</v>
      </c>
      <c r="B115" t="s">
        <v>240</v>
      </c>
      <c r="C115" s="28">
        <v>605</v>
      </c>
      <c r="E115" t="s">
        <v>240</v>
      </c>
      <c r="F115" s="28">
        <v>548</v>
      </c>
      <c r="G115" t="b">
        <f>IF(B115=E115,TRUE,FALSE)</f>
        <v>1</v>
      </c>
      <c r="J115" s="25">
        <f>F115-C115</f>
        <v>-57</v>
      </c>
      <c r="K115" s="4">
        <f>F115/C115-1</f>
        <v>-9.4214876033057893E-2</v>
      </c>
      <c r="M115" s="5">
        <v>323.02999999999997</v>
      </c>
      <c r="N115" s="5">
        <v>296.24</v>
      </c>
      <c r="Q115" s="143">
        <v>1622.99</v>
      </c>
      <c r="U115" s="130">
        <f>N115-M115</f>
        <v>-26.789999999999964</v>
      </c>
      <c r="V115" s="4">
        <f>IF(M115=0,0,N115/M115-1)</f>
        <v>-8.2933473671175983E-2</v>
      </c>
      <c r="W115" s="18">
        <v>12069.75</v>
      </c>
      <c r="X115" s="18">
        <v>10932.6</v>
      </c>
      <c r="Y115" s="4">
        <f>X115/W115-1</f>
        <v>-9.4214876033057782E-2</v>
      </c>
    </row>
    <row r="116" spans="1:25">
      <c r="A116" t="s">
        <v>241</v>
      </c>
      <c r="B116" t="s">
        <v>242</v>
      </c>
      <c r="C116" s="28">
        <v>2745</v>
      </c>
      <c r="E116" t="s">
        <v>242</v>
      </c>
      <c r="F116" s="28">
        <v>2690</v>
      </c>
      <c r="G116" t="b">
        <f>IF(B116=E116,TRUE,FALSE)</f>
        <v>1</v>
      </c>
      <c r="J116" s="25">
        <f>F116-C116</f>
        <v>-55</v>
      </c>
      <c r="K116" s="4">
        <f>F116/C116-1</f>
        <v>-2.0036429872495432E-2</v>
      </c>
      <c r="M116" s="5">
        <v>5848.52</v>
      </c>
      <c r="N116" s="5">
        <v>5741.03</v>
      </c>
      <c r="Q116" s="143">
        <v>38244.269999999997</v>
      </c>
      <c r="U116" s="130">
        <f>N116-M116</f>
        <v>-107.49000000000069</v>
      </c>
      <c r="V116" s="4">
        <f>IF(M116=0,0,N116/M116-1)</f>
        <v>-1.8379008706476241E-2</v>
      </c>
      <c r="W116" s="18">
        <v>79569.14</v>
      </c>
      <c r="X116" s="18">
        <v>79637.600000000006</v>
      </c>
      <c r="Y116" s="4">
        <f>X116/W116-1</f>
        <v>8.6038381211617221E-4</v>
      </c>
    </row>
    <row r="117" spans="1:25">
      <c r="A117" t="s">
        <v>243</v>
      </c>
      <c r="B117" t="s">
        <v>244</v>
      </c>
      <c r="C117" s="28">
        <v>415</v>
      </c>
      <c r="E117" t="s">
        <v>244</v>
      </c>
      <c r="F117" s="28">
        <v>363</v>
      </c>
      <c r="G117" t="b">
        <f>IF(B117=E117,TRUE,FALSE)</f>
        <v>1</v>
      </c>
      <c r="J117" s="25">
        <f>F117-C117</f>
        <v>-52</v>
      </c>
      <c r="K117" s="4">
        <f>F117/C117-1</f>
        <v>-0.12530120481927709</v>
      </c>
      <c r="M117" s="5">
        <v>1382.45</v>
      </c>
      <c r="N117" s="5">
        <v>653.42999999999995</v>
      </c>
      <c r="Q117" s="143">
        <v>3774.18</v>
      </c>
      <c r="U117" s="130">
        <f>N117-M117</f>
        <v>-729.0200000000001</v>
      </c>
      <c r="V117" s="4">
        <f>IF(M117=0,0,N117/M117-1)</f>
        <v>-0.527339144272849</v>
      </c>
      <c r="W117" s="18">
        <v>8294.4500000000007</v>
      </c>
      <c r="X117" s="18">
        <v>7255.57</v>
      </c>
      <c r="Y117" s="4">
        <f>X117/W117-1</f>
        <v>-0.12525001657735002</v>
      </c>
    </row>
    <row r="118" spans="1:25">
      <c r="A118" t="s">
        <v>245</v>
      </c>
      <c r="B118" t="s">
        <v>246</v>
      </c>
      <c r="C118" s="28">
        <v>694</v>
      </c>
      <c r="E118" t="s">
        <v>246</v>
      </c>
      <c r="F118" s="28">
        <v>646</v>
      </c>
      <c r="G118" t="b">
        <f>IF(B118=E118,TRUE,FALSE)</f>
        <v>1</v>
      </c>
      <c r="J118" s="25">
        <f>F118-C118</f>
        <v>-48</v>
      </c>
      <c r="K118" s="4">
        <f>F118/C118-1</f>
        <v>-6.9164265129682989E-2</v>
      </c>
      <c r="M118" s="5">
        <v>1604.48</v>
      </c>
      <c r="N118" s="5">
        <v>1737.7</v>
      </c>
      <c r="Q118" s="143">
        <v>9805.49</v>
      </c>
      <c r="U118" s="130">
        <f>N118-M118</f>
        <v>133.22000000000003</v>
      </c>
      <c r="V118" s="4">
        <f>IF(M118=0,0,N118/M118-1)</f>
        <v>8.3030015955324998E-2</v>
      </c>
      <c r="W118" s="18">
        <v>10054.06</v>
      </c>
      <c r="X118" s="18">
        <v>9892.7999999999993</v>
      </c>
      <c r="Y118" s="4">
        <f>X118/W118-1</f>
        <v>-1.6039291589666327E-2</v>
      </c>
    </row>
    <row r="119" spans="1:25">
      <c r="A119" t="s">
        <v>247</v>
      </c>
      <c r="B119" t="s">
        <v>248</v>
      </c>
      <c r="C119" s="28">
        <v>2507</v>
      </c>
      <c r="E119" t="s">
        <v>248</v>
      </c>
      <c r="F119" s="28">
        <v>2461</v>
      </c>
      <c r="G119" t="b">
        <f>IF(B119=E119,TRUE,FALSE)</f>
        <v>1</v>
      </c>
      <c r="J119" s="25">
        <f>F119-C119</f>
        <v>-46</v>
      </c>
      <c r="K119" s="4">
        <f>F119/C119-1</f>
        <v>-1.834862385321101E-2</v>
      </c>
      <c r="M119" s="5">
        <v>4476.79</v>
      </c>
      <c r="N119" s="5">
        <v>4248.1499999999996</v>
      </c>
      <c r="Q119" s="143">
        <v>33914.22</v>
      </c>
      <c r="U119" s="130">
        <f>N119-M119</f>
        <v>-228.64000000000033</v>
      </c>
      <c r="V119" s="4">
        <f>IF(M119=0,0,N119/M119-1)</f>
        <v>-5.1072308506764919E-2</v>
      </c>
      <c r="W119" s="18">
        <v>75084.649999999994</v>
      </c>
      <c r="X119" s="18">
        <v>73739.649999999994</v>
      </c>
      <c r="Y119" s="4">
        <f>X119/W119-1</f>
        <v>-1.7913115397088508E-2</v>
      </c>
    </row>
    <row r="120" spans="1:25">
      <c r="A120" t="s">
        <v>249</v>
      </c>
      <c r="B120" t="s">
        <v>250</v>
      </c>
      <c r="C120" s="28">
        <v>1509</v>
      </c>
      <c r="E120" t="s">
        <v>250</v>
      </c>
      <c r="F120" s="28">
        <v>1468</v>
      </c>
      <c r="G120" t="b">
        <f>IF(B120=E120,TRUE,FALSE)</f>
        <v>1</v>
      </c>
      <c r="J120" s="25">
        <f>F120-C120</f>
        <v>-41</v>
      </c>
      <c r="K120" s="4">
        <f>F120/C120-1</f>
        <v>-2.7170311464546071E-2</v>
      </c>
      <c r="M120" s="5">
        <v>2287.3000000000002</v>
      </c>
      <c r="N120" s="5">
        <v>2071.61</v>
      </c>
      <c r="Q120" s="143">
        <v>17144.63</v>
      </c>
      <c r="U120" s="130">
        <f>N120-M120</f>
        <v>-215.69000000000005</v>
      </c>
      <c r="V120" s="4">
        <f>IF(M120=0,0,N120/M120-1)</f>
        <v>-9.4298955099899495E-2</v>
      </c>
      <c r="W120" s="18">
        <v>40654.589999999997</v>
      </c>
      <c r="X120" s="18">
        <v>39498.71</v>
      </c>
      <c r="Y120" s="4">
        <f>X120/W120-1</f>
        <v>-2.8431721977764335E-2</v>
      </c>
    </row>
    <row r="121" spans="1:25">
      <c r="A121" t="s">
        <v>251</v>
      </c>
      <c r="B121" t="s">
        <v>252</v>
      </c>
      <c r="C121" s="28">
        <v>1313</v>
      </c>
      <c r="E121" t="s">
        <v>252</v>
      </c>
      <c r="F121" s="28">
        <v>1273</v>
      </c>
      <c r="G121" t="b">
        <f>IF(B121=E121,TRUE,FALSE)</f>
        <v>1</v>
      </c>
      <c r="J121" s="25">
        <f>F121-C121</f>
        <v>-40</v>
      </c>
      <c r="K121" s="4">
        <f>F121/C121-1</f>
        <v>-3.0464584920030457E-2</v>
      </c>
      <c r="M121" s="5">
        <v>2409.5100000000002</v>
      </c>
      <c r="N121" s="5">
        <v>2315.13</v>
      </c>
      <c r="Q121" s="143">
        <v>18379.96</v>
      </c>
      <c r="U121" s="130">
        <f>N121-M121</f>
        <v>-94.380000000000109</v>
      </c>
      <c r="V121" s="4">
        <f>IF(M121=0,0,N121/M121-1)</f>
        <v>-3.9169789708281E-2</v>
      </c>
      <c r="W121" s="18">
        <v>35437.870000000003</v>
      </c>
      <c r="X121" s="18">
        <v>34351.25</v>
      </c>
      <c r="Y121" s="4">
        <f>X121/W121-1</f>
        <v>-3.0662678089851458E-2</v>
      </c>
    </row>
    <row r="122" spans="1:25">
      <c r="A122" t="s">
        <v>253</v>
      </c>
      <c r="B122" t="s">
        <v>254</v>
      </c>
      <c r="C122" s="28">
        <v>533</v>
      </c>
      <c r="E122" t="s">
        <v>254</v>
      </c>
      <c r="F122" s="28">
        <v>493</v>
      </c>
      <c r="G122" t="b">
        <f>IF(B122=E122,TRUE,FALSE)</f>
        <v>1</v>
      </c>
      <c r="J122" s="25">
        <f>F122-C122</f>
        <v>-40</v>
      </c>
      <c r="K122" s="4">
        <f>F122/C122-1</f>
        <v>-7.5046904315197005E-2</v>
      </c>
      <c r="M122" s="5">
        <v>618.20000000000005</v>
      </c>
      <c r="N122" s="5">
        <v>454.83</v>
      </c>
      <c r="Q122" s="143">
        <v>2657.5</v>
      </c>
      <c r="U122" s="130">
        <f>N122-M122</f>
        <v>-163.37000000000006</v>
      </c>
      <c r="V122" s="4">
        <f>IF(M122=0,0,N122/M122-1)</f>
        <v>-0.26426722743448727</v>
      </c>
      <c r="W122" s="18">
        <v>10121.67</v>
      </c>
      <c r="X122" s="18">
        <v>9362.07</v>
      </c>
      <c r="Y122" s="4">
        <f>X122/W122-1</f>
        <v>-7.5046904315197005E-2</v>
      </c>
    </row>
    <row r="123" spans="1:25">
      <c r="A123" t="s">
        <v>255</v>
      </c>
      <c r="B123" t="s">
        <v>256</v>
      </c>
      <c r="C123" s="28">
        <v>371</v>
      </c>
      <c r="E123" t="s">
        <v>256</v>
      </c>
      <c r="F123" s="28">
        <v>331</v>
      </c>
      <c r="G123" t="b">
        <f>IF(B123=E123,TRUE,FALSE)</f>
        <v>1</v>
      </c>
      <c r="J123" s="25">
        <f>F123-C123</f>
        <v>-40</v>
      </c>
      <c r="K123" s="4">
        <f>F123/C123-1</f>
        <v>-0.10781671159029649</v>
      </c>
      <c r="M123" s="5">
        <v>643.79</v>
      </c>
      <c r="N123" s="5">
        <v>379.19</v>
      </c>
      <c r="Q123" s="143">
        <v>1410.75</v>
      </c>
      <c r="U123" s="130">
        <f>N123-M123</f>
        <v>-264.59999999999997</v>
      </c>
      <c r="V123" s="4">
        <f>IF(M123=0,0,N123/M123-1)</f>
        <v>-0.41100358812656301</v>
      </c>
      <c r="W123" s="18">
        <v>6109.14</v>
      </c>
      <c r="X123" s="18">
        <v>5620.85</v>
      </c>
      <c r="Y123" s="4">
        <f>X123/W123-1</f>
        <v>-7.9927780342241239E-2</v>
      </c>
    </row>
    <row r="124" spans="1:25">
      <c r="A124" t="s">
        <v>257</v>
      </c>
      <c r="B124" t="s">
        <v>258</v>
      </c>
      <c r="C124" s="28">
        <v>300</v>
      </c>
      <c r="E124" t="s">
        <v>258</v>
      </c>
      <c r="F124" s="28">
        <v>260</v>
      </c>
      <c r="G124" t="b">
        <f>IF(B124=E124,TRUE,FALSE)</f>
        <v>1</v>
      </c>
      <c r="J124" s="25">
        <f>F124-C124</f>
        <v>-40</v>
      </c>
      <c r="K124" s="4">
        <f>F124/C124-1</f>
        <v>-0.1333333333333333</v>
      </c>
      <c r="M124" s="5">
        <v>533.17999999999995</v>
      </c>
      <c r="N124" s="5">
        <v>184.7</v>
      </c>
      <c r="Q124" s="143">
        <v>1156.74</v>
      </c>
      <c r="U124" s="130">
        <f>N124-M124</f>
        <v>-348.47999999999996</v>
      </c>
      <c r="V124" s="4">
        <f>IF(M124=0,0,N124/M124-1)</f>
        <v>-0.65358790652312537</v>
      </c>
      <c r="W124" s="18">
        <v>8686.56</v>
      </c>
      <c r="X124" s="18">
        <v>7531.02</v>
      </c>
      <c r="Y124" s="4">
        <f>X124/W124-1</f>
        <v>-0.13302619218655021</v>
      </c>
    </row>
    <row r="125" spans="1:25">
      <c r="A125" t="s">
        <v>259</v>
      </c>
      <c r="B125" t="s">
        <v>260</v>
      </c>
      <c r="C125" s="28">
        <v>1039</v>
      </c>
      <c r="E125" t="s">
        <v>260</v>
      </c>
      <c r="F125" s="28">
        <v>1002</v>
      </c>
      <c r="G125" t="b">
        <f>IF(B125=E125,TRUE,FALSE)</f>
        <v>1</v>
      </c>
      <c r="J125" s="25">
        <f>F125-C125</f>
        <v>-37</v>
      </c>
      <c r="K125" s="4">
        <f>F125/C125-1</f>
        <v>-3.5611164581328181E-2</v>
      </c>
      <c r="M125" s="5">
        <v>672.44</v>
      </c>
      <c r="N125" s="5">
        <v>635.55999999999995</v>
      </c>
      <c r="Q125" s="143">
        <v>5319.21</v>
      </c>
      <c r="U125" s="130">
        <f>N125-M125</f>
        <v>-36.880000000000109</v>
      </c>
      <c r="V125" s="4">
        <f>IF(M125=0,0,N125/M125-1)</f>
        <v>-5.4845041936827266E-2</v>
      </c>
      <c r="W125" s="18">
        <v>31010.19</v>
      </c>
      <c r="X125" s="18">
        <v>30041.34</v>
      </c>
      <c r="Y125" s="4">
        <f>X125/W125-1</f>
        <v>-3.1242955944481454E-2</v>
      </c>
    </row>
    <row r="126" spans="1:25">
      <c r="A126" t="s">
        <v>261</v>
      </c>
      <c r="B126" t="s">
        <v>262</v>
      </c>
      <c r="C126" s="28">
        <v>669</v>
      </c>
      <c r="E126" t="s">
        <v>262</v>
      </c>
      <c r="F126" s="28">
        <v>633</v>
      </c>
      <c r="G126" t="b">
        <f>IF(B126=E126,TRUE,FALSE)</f>
        <v>1</v>
      </c>
      <c r="J126" s="25">
        <f>F126-C126</f>
        <v>-36</v>
      </c>
      <c r="K126" s="4">
        <f>F126/C126-1</f>
        <v>-5.3811659192825156E-2</v>
      </c>
      <c r="M126" s="5">
        <v>1343.5</v>
      </c>
      <c r="N126" s="5">
        <v>1341.48</v>
      </c>
      <c r="Q126" s="143">
        <v>8647.91</v>
      </c>
      <c r="U126" s="130">
        <f>N126-M126</f>
        <v>-2.0199999999999818</v>
      </c>
      <c r="V126" s="4">
        <f>IF(M126=0,0,N126/M126-1)</f>
        <v>-1.5035355414960705E-3</v>
      </c>
      <c r="W126" s="18">
        <v>16713.310000000001</v>
      </c>
      <c r="X126" s="18">
        <v>15815.42</v>
      </c>
      <c r="Y126" s="4">
        <f>X126/W126-1</f>
        <v>-5.3723050670393957E-2</v>
      </c>
    </row>
    <row r="127" spans="1:25">
      <c r="A127" t="s">
        <v>263</v>
      </c>
      <c r="B127" t="s">
        <v>264</v>
      </c>
      <c r="C127" s="28">
        <v>497</v>
      </c>
      <c r="E127" t="s">
        <v>264</v>
      </c>
      <c r="F127" s="28">
        <v>465</v>
      </c>
      <c r="G127" t="b">
        <f>IF(B127=E127,TRUE,FALSE)</f>
        <v>1</v>
      </c>
      <c r="J127" s="25">
        <f>F127-C127</f>
        <v>-32</v>
      </c>
      <c r="K127" s="4">
        <f>F127/C127-1</f>
        <v>-6.4386317907444646E-2</v>
      </c>
      <c r="M127" s="5">
        <v>843.65</v>
      </c>
      <c r="N127" s="5">
        <v>604.70000000000005</v>
      </c>
      <c r="Q127" s="143">
        <v>5878.5</v>
      </c>
      <c r="U127" s="130">
        <f>N127-M127</f>
        <v>-238.94999999999993</v>
      </c>
      <c r="V127" s="4">
        <f>IF(M127=0,0,N127/M127-1)</f>
        <v>-0.28323356842292413</v>
      </c>
      <c r="W127" s="18">
        <v>17370.150000000001</v>
      </c>
      <c r="X127" s="18">
        <v>16251.75</v>
      </c>
      <c r="Y127" s="4">
        <f>X127/W127-1</f>
        <v>-6.4386317907444757E-2</v>
      </c>
    </row>
    <row r="128" spans="1:25">
      <c r="A128" t="s">
        <v>265</v>
      </c>
      <c r="B128" t="s">
        <v>266</v>
      </c>
      <c r="C128" s="28">
        <v>2224</v>
      </c>
      <c r="E128" t="s">
        <v>266</v>
      </c>
      <c r="F128" s="28">
        <v>2193</v>
      </c>
      <c r="G128" t="b">
        <f>IF(B128=E128,TRUE,FALSE)</f>
        <v>1</v>
      </c>
      <c r="J128" s="25">
        <f>F128-C128</f>
        <v>-31</v>
      </c>
      <c r="K128" s="4">
        <f>F128/C128-1</f>
        <v>-1.3938848920863278E-2</v>
      </c>
      <c r="M128" s="5">
        <v>3465.42</v>
      </c>
      <c r="N128" s="5">
        <v>3044.97</v>
      </c>
      <c r="Q128" s="143">
        <v>22902.34</v>
      </c>
      <c r="U128" s="130">
        <f>N128-M128</f>
        <v>-420.45000000000027</v>
      </c>
      <c r="V128" s="4">
        <f>IF(M128=0,0,N128/M128-1)</f>
        <v>-0.12132728500441514</v>
      </c>
      <c r="W128" s="18">
        <v>50862.17</v>
      </c>
      <c r="X128" s="18">
        <v>52460.12</v>
      </c>
      <c r="Y128" s="4">
        <f>X128/W128-1</f>
        <v>3.1417259625375893E-2</v>
      </c>
    </row>
    <row r="129" spans="1:25">
      <c r="A129" t="s">
        <v>267</v>
      </c>
      <c r="B129" t="s">
        <v>268</v>
      </c>
      <c r="C129" s="28">
        <v>556</v>
      </c>
      <c r="E129" t="s">
        <v>268</v>
      </c>
      <c r="F129" s="28">
        <v>525</v>
      </c>
      <c r="G129" t="b">
        <f>IF(B129=E129,TRUE,FALSE)</f>
        <v>1</v>
      </c>
      <c r="J129" s="25">
        <f>F129-C129</f>
        <v>-31</v>
      </c>
      <c r="K129" s="4">
        <f>F129/C129-1</f>
        <v>-5.5755395683453224E-2</v>
      </c>
      <c r="M129" s="5">
        <v>555.37</v>
      </c>
      <c r="N129" s="5">
        <v>554.1</v>
      </c>
      <c r="Q129" s="143">
        <v>3288.52</v>
      </c>
      <c r="U129" s="130">
        <f>N129-M129</f>
        <v>-1.2699999999999818</v>
      </c>
      <c r="V129" s="4">
        <f>IF(M129=0,0,N129/M129-1)</f>
        <v>-2.2867637791021966E-3</v>
      </c>
      <c r="W129" s="18">
        <v>13872.2</v>
      </c>
      <c r="X129" s="18">
        <v>13098.75</v>
      </c>
      <c r="Y129" s="4">
        <f>X129/W129-1</f>
        <v>-5.5755395683453335E-2</v>
      </c>
    </row>
    <row r="130" spans="1:25">
      <c r="A130" t="s">
        <v>269</v>
      </c>
      <c r="B130" t="s">
        <v>270</v>
      </c>
      <c r="C130" s="28">
        <v>1415</v>
      </c>
      <c r="E130" t="s">
        <v>270</v>
      </c>
      <c r="F130" s="28">
        <v>1387</v>
      </c>
      <c r="G130" t="b">
        <f>IF(B130=E130,TRUE,FALSE)</f>
        <v>1</v>
      </c>
      <c r="J130" s="25">
        <f>F130-C130</f>
        <v>-28</v>
      </c>
      <c r="K130" s="4">
        <f>F130/C130-1</f>
        <v>-1.9787985865724389E-2</v>
      </c>
      <c r="M130" s="5">
        <v>2587.8000000000002</v>
      </c>
      <c r="N130" s="5">
        <v>2196.94</v>
      </c>
      <c r="Q130" s="143">
        <v>12914.24</v>
      </c>
      <c r="U130" s="130">
        <f>N130-M130</f>
        <v>-390.86000000000013</v>
      </c>
      <c r="V130" s="4">
        <f>IF(M130=0,0,N130/M130-1)</f>
        <v>-0.1510394930056419</v>
      </c>
      <c r="W130" s="18">
        <v>40999.49</v>
      </c>
      <c r="X130" s="18">
        <v>40199.379999999997</v>
      </c>
      <c r="Y130" s="4">
        <f>X130/W130-1</f>
        <v>-1.9515120797844121E-2</v>
      </c>
    </row>
    <row r="131" spans="1:25">
      <c r="A131" t="s">
        <v>271</v>
      </c>
      <c r="B131" t="s">
        <v>272</v>
      </c>
      <c r="C131" s="28">
        <v>1114</v>
      </c>
      <c r="E131" t="s">
        <v>272</v>
      </c>
      <c r="F131" s="28">
        <v>1088</v>
      </c>
      <c r="G131" t="b">
        <f>IF(B131=E131,TRUE,FALSE)</f>
        <v>1</v>
      </c>
      <c r="J131" s="25">
        <f>F131-C131</f>
        <v>-26</v>
      </c>
      <c r="K131" s="4">
        <f>F131/C131-1</f>
        <v>-2.3339317773788171E-2</v>
      </c>
      <c r="M131" s="5">
        <v>2251.0300000000002</v>
      </c>
      <c r="N131" s="5">
        <v>1511.43</v>
      </c>
      <c r="Q131" s="143">
        <v>8180.62</v>
      </c>
      <c r="U131" s="130">
        <f>N131-M131</f>
        <v>-739.60000000000014</v>
      </c>
      <c r="V131" s="4">
        <f>IF(M131=0,0,N131/M131-1)</f>
        <v>-0.32856070332247911</v>
      </c>
      <c r="W131" s="18">
        <v>48911.6</v>
      </c>
      <c r="X131" s="18">
        <v>48407.5</v>
      </c>
      <c r="Y131" s="4">
        <f>X131/W131-1</f>
        <v>-1.030634859624302E-2</v>
      </c>
    </row>
    <row r="132" spans="1:25">
      <c r="A132" t="s">
        <v>273</v>
      </c>
      <c r="B132" t="s">
        <v>274</v>
      </c>
      <c r="C132" s="28">
        <v>1307</v>
      </c>
      <c r="E132" t="s">
        <v>274</v>
      </c>
      <c r="F132" s="28">
        <v>1284</v>
      </c>
      <c r="G132" t="b">
        <f>IF(B132=E132,TRUE,FALSE)</f>
        <v>1</v>
      </c>
      <c r="J132" s="25">
        <f>F132-C132</f>
        <v>-23</v>
      </c>
      <c r="K132" s="4">
        <f>F132/C132-1</f>
        <v>-1.7597551644988552E-2</v>
      </c>
      <c r="M132" s="5">
        <v>2963.85</v>
      </c>
      <c r="N132" s="5">
        <v>3009.98</v>
      </c>
      <c r="Q132" s="143">
        <v>20376.830000000002</v>
      </c>
      <c r="U132" s="130">
        <f>N132-M132</f>
        <v>46.130000000000109</v>
      </c>
      <c r="V132" s="4">
        <f>IF(M132=0,0,N132/M132-1)</f>
        <v>1.5564215462995801E-2</v>
      </c>
      <c r="W132" s="18">
        <v>39160.33</v>
      </c>
      <c r="X132" s="18">
        <v>38478.36</v>
      </c>
      <c r="Y132" s="4">
        <f>X132/W132-1</f>
        <v>-1.7414817495153945E-2</v>
      </c>
    </row>
    <row r="133" spans="1:25">
      <c r="A133" t="s">
        <v>275</v>
      </c>
      <c r="B133" t="s">
        <v>276</v>
      </c>
      <c r="C133" s="28">
        <v>1068</v>
      </c>
      <c r="E133" t="s">
        <v>276</v>
      </c>
      <c r="F133" s="28">
        <v>1045</v>
      </c>
      <c r="G133" t="b">
        <f>IF(B133=E133,TRUE,FALSE)</f>
        <v>1</v>
      </c>
      <c r="J133" s="25">
        <f>F133-C133</f>
        <v>-23</v>
      </c>
      <c r="K133" s="4">
        <f>F133/C133-1</f>
        <v>-2.1535580524344566E-2</v>
      </c>
      <c r="M133" s="5">
        <v>1678.91</v>
      </c>
      <c r="N133" s="5">
        <v>1359.42</v>
      </c>
      <c r="Q133" s="143">
        <v>9025.6299999999992</v>
      </c>
      <c r="U133" s="130">
        <f>N133-M133</f>
        <v>-319.49</v>
      </c>
      <c r="V133" s="4">
        <f>IF(M133=0,0,N133/M133-1)</f>
        <v>-0.1902960849598847</v>
      </c>
      <c r="W133" s="18">
        <v>23439.3</v>
      </c>
      <c r="X133" s="18">
        <v>22936.43</v>
      </c>
      <c r="Y133" s="4">
        <f>X133/W133-1</f>
        <v>-2.1454138988792337E-2</v>
      </c>
    </row>
    <row r="134" spans="1:25">
      <c r="A134" s="57" t="s">
        <v>277</v>
      </c>
      <c r="B134" s="37" t="s">
        <v>278</v>
      </c>
      <c r="C134" s="28">
        <v>588</v>
      </c>
      <c r="E134" s="37" t="s">
        <v>278</v>
      </c>
      <c r="F134" s="28">
        <v>566</v>
      </c>
      <c r="G134" t="b">
        <f>IF(B134=E134,TRUE,FALSE)</f>
        <v>1</v>
      </c>
      <c r="J134" s="25">
        <f>F134-C134</f>
        <v>-22</v>
      </c>
      <c r="K134" s="4">
        <f>F134/C134-1</f>
        <v>-3.7414965986394599E-2</v>
      </c>
      <c r="M134" s="5">
        <v>1414.67</v>
      </c>
      <c r="N134" s="5">
        <v>1161.3900000000001</v>
      </c>
      <c r="Q134" s="143">
        <v>5054.6899999999996</v>
      </c>
      <c r="U134" s="130">
        <f>N134-M134</f>
        <v>-253.27999999999997</v>
      </c>
      <c r="V134" s="4">
        <f>IF(M134=0,0,N134/M134-1)</f>
        <v>-0.17903822092784882</v>
      </c>
      <c r="W134" s="18">
        <v>9988.93</v>
      </c>
      <c r="X134" s="18">
        <v>9615.49</v>
      </c>
      <c r="Y134" s="4">
        <f>X134/W134-1</f>
        <v>-3.7385385621883427E-2</v>
      </c>
    </row>
    <row r="135" spans="1:25">
      <c r="A135" t="s">
        <v>279</v>
      </c>
      <c r="B135" t="s">
        <v>280</v>
      </c>
      <c r="C135" s="28">
        <v>1528</v>
      </c>
      <c r="E135" t="s">
        <v>280</v>
      </c>
      <c r="F135" s="28">
        <v>1507</v>
      </c>
      <c r="G135" t="b">
        <f>IF(B135=E135,TRUE,FALSE)</f>
        <v>1</v>
      </c>
      <c r="J135" s="25">
        <f>F135-C135</f>
        <v>-21</v>
      </c>
      <c r="K135" s="4">
        <f>F135/C135-1</f>
        <v>-1.3743455497382207E-2</v>
      </c>
      <c r="M135" s="5">
        <v>970.92</v>
      </c>
      <c r="N135" s="5">
        <v>773.87</v>
      </c>
      <c r="Q135" s="143">
        <v>5840.65</v>
      </c>
      <c r="U135" s="130">
        <f>N135-M135</f>
        <v>-197.04999999999995</v>
      </c>
      <c r="V135" s="4">
        <f>IF(M135=0,0,N135/M135-1)</f>
        <v>-0.20295183949244011</v>
      </c>
      <c r="W135" s="18">
        <v>45762.1</v>
      </c>
      <c r="X135" s="18">
        <v>45102.3</v>
      </c>
      <c r="Y135" s="4">
        <f>X135/W135-1</f>
        <v>-1.4418044626448467E-2</v>
      </c>
    </row>
    <row r="136" spans="1:25">
      <c r="A136" s="55" t="s">
        <v>281</v>
      </c>
      <c r="B136" s="37" t="s">
        <v>282</v>
      </c>
      <c r="C136" s="28">
        <v>1116</v>
      </c>
      <c r="E136" s="37" t="s">
        <v>282</v>
      </c>
      <c r="F136" s="28">
        <v>1096</v>
      </c>
      <c r="G136" t="b">
        <f>IF(B136=E136,TRUE,FALSE)</f>
        <v>1</v>
      </c>
      <c r="J136" s="25">
        <f>F136-C136</f>
        <v>-20</v>
      </c>
      <c r="K136" s="4">
        <f>F136/C136-1</f>
        <v>-1.7921146953404965E-2</v>
      </c>
      <c r="M136" s="5">
        <v>2223.2199999999998</v>
      </c>
      <c r="N136" s="5">
        <v>1548.01</v>
      </c>
      <c r="Q136" s="143">
        <v>5904.84</v>
      </c>
      <c r="U136" s="130">
        <f>N136-M136</f>
        <v>-675.20999999999981</v>
      </c>
      <c r="V136" s="4">
        <f>IF(M136=0,0,N136/M136-1)</f>
        <v>-0.30370813504736371</v>
      </c>
      <c r="W136" s="18">
        <v>11143.32</v>
      </c>
      <c r="X136" s="18">
        <v>10948.7</v>
      </c>
      <c r="Y136" s="4">
        <f>X136/W136-1</f>
        <v>-1.7465171959523684E-2</v>
      </c>
    </row>
    <row r="137" spans="1:25">
      <c r="A137" t="s">
        <v>283</v>
      </c>
      <c r="B137" t="s">
        <v>284</v>
      </c>
      <c r="C137" s="28">
        <v>357</v>
      </c>
      <c r="E137" t="s">
        <v>284</v>
      </c>
      <c r="F137" s="28">
        <v>340</v>
      </c>
      <c r="G137" t="b">
        <f>IF(B137=E137,TRUE,FALSE)</f>
        <v>1</v>
      </c>
      <c r="J137" s="25">
        <f>F137-C137</f>
        <v>-17</v>
      </c>
      <c r="K137" s="4">
        <f>F137/C137-1</f>
        <v>-4.7619047619047672E-2</v>
      </c>
      <c r="M137" s="5">
        <v>416.79999999999995</v>
      </c>
      <c r="N137" s="5">
        <v>458.7</v>
      </c>
      <c r="Q137" s="143">
        <v>2266.11</v>
      </c>
      <c r="U137" s="130">
        <f>N137-M137</f>
        <v>41.900000000000034</v>
      </c>
      <c r="V137" s="4">
        <f>IF(M137=0,0,N137/M137-1)</f>
        <v>0.10052783109405006</v>
      </c>
      <c r="W137" s="18">
        <v>7844.99</v>
      </c>
      <c r="X137" s="18">
        <v>7476.6</v>
      </c>
      <c r="Y137" s="4">
        <f>X137/W137-1</f>
        <v>-4.6958632197109162E-2</v>
      </c>
    </row>
    <row r="138" spans="1:25">
      <c r="A138" t="s">
        <v>285</v>
      </c>
      <c r="B138" t="s">
        <v>286</v>
      </c>
      <c r="C138" s="28">
        <v>870</v>
      </c>
      <c r="E138" t="s">
        <v>286</v>
      </c>
      <c r="F138" s="28">
        <v>854</v>
      </c>
      <c r="G138" t="b">
        <f>IF(B138=E138,TRUE,FALSE)</f>
        <v>1</v>
      </c>
      <c r="J138" s="25">
        <f>F138-C138</f>
        <v>-16</v>
      </c>
      <c r="K138" s="4">
        <f>F138/C138-1</f>
        <v>-1.8390804597701149E-2</v>
      </c>
      <c r="M138" s="5">
        <v>1773.8600000000001</v>
      </c>
      <c r="N138" s="5">
        <v>1782.21</v>
      </c>
      <c r="Q138" s="143">
        <v>10676.5</v>
      </c>
      <c r="U138" s="130">
        <f>N138-M138</f>
        <v>8.3499999999999091</v>
      </c>
      <c r="V138" s="4">
        <f>IF(M138=0,0,N138/M138-1)</f>
        <v>4.7072485991002111E-3</v>
      </c>
      <c r="W138" s="18">
        <v>21683.33</v>
      </c>
      <c r="X138" s="18">
        <v>21327.56</v>
      </c>
      <c r="Y138" s="4">
        <f>X138/W138-1</f>
        <v>-1.640753518947502E-2</v>
      </c>
    </row>
    <row r="139" spans="1:25">
      <c r="A139" t="s">
        <v>287</v>
      </c>
      <c r="B139" t="s">
        <v>288</v>
      </c>
      <c r="C139" s="28">
        <v>550</v>
      </c>
      <c r="E139" t="s">
        <v>288</v>
      </c>
      <c r="F139" s="28">
        <v>534</v>
      </c>
      <c r="G139" t="b">
        <f>IF(B139=E139,TRUE,FALSE)</f>
        <v>1</v>
      </c>
      <c r="J139" s="25">
        <f>F139-C139</f>
        <v>-16</v>
      </c>
      <c r="K139" s="4">
        <f>F139/C139-1</f>
        <v>-2.9090909090909056E-2</v>
      </c>
      <c r="M139" s="5">
        <v>410.36</v>
      </c>
      <c r="N139" s="5">
        <v>671.53</v>
      </c>
      <c r="Q139" s="143">
        <v>4403.17</v>
      </c>
      <c r="U139" s="130">
        <f>N139-M139</f>
        <v>261.16999999999996</v>
      </c>
      <c r="V139" s="4">
        <f>IF(M139=0,0,N139/M139-1)</f>
        <v>0.63644117360366503</v>
      </c>
      <c r="W139" s="18">
        <v>14294.5</v>
      </c>
      <c r="X139" s="18">
        <v>13878.66</v>
      </c>
      <c r="Y139" s="4">
        <f>X139/W139-1</f>
        <v>-2.9090909090909056E-2</v>
      </c>
    </row>
    <row r="140" spans="1:25">
      <c r="A140" t="s">
        <v>289</v>
      </c>
      <c r="B140" t="s">
        <v>290</v>
      </c>
      <c r="C140" s="28">
        <v>847</v>
      </c>
      <c r="E140" t="s">
        <v>290</v>
      </c>
      <c r="F140" s="28">
        <v>832</v>
      </c>
      <c r="G140" t="b">
        <f>IF(B140=E140,TRUE,FALSE)</f>
        <v>1</v>
      </c>
      <c r="J140" s="25">
        <f>F140-C140</f>
        <v>-15</v>
      </c>
      <c r="K140" s="4">
        <f>F140/C140-1</f>
        <v>-1.7709563164108655E-2</v>
      </c>
      <c r="M140" s="5">
        <v>1331.78</v>
      </c>
      <c r="N140" s="5">
        <v>1111.48</v>
      </c>
      <c r="Q140" s="143">
        <v>9993.1200000000008</v>
      </c>
      <c r="U140" s="130">
        <f>N140-M140</f>
        <v>-220.29999999999995</v>
      </c>
      <c r="V140" s="4">
        <f>IF(M140=0,0,N140/M140-1)</f>
        <v>-0.16541771163405361</v>
      </c>
      <c r="W140" s="18">
        <v>25367.65</v>
      </c>
      <c r="X140" s="18">
        <v>24915.4</v>
      </c>
      <c r="Y140" s="4">
        <f>X140/W140-1</f>
        <v>-1.7827824019962413E-2</v>
      </c>
    </row>
    <row r="141" spans="1:25">
      <c r="A141" t="s">
        <v>291</v>
      </c>
      <c r="B141" t="s">
        <v>292</v>
      </c>
      <c r="C141" s="28">
        <v>391</v>
      </c>
      <c r="E141" t="s">
        <v>292</v>
      </c>
      <c r="F141" s="28">
        <v>376</v>
      </c>
      <c r="G141" t="b">
        <f>IF(B141=E141,TRUE,FALSE)</f>
        <v>1</v>
      </c>
      <c r="J141" s="25">
        <f>F141-C141</f>
        <v>-15</v>
      </c>
      <c r="K141" s="4">
        <f>F141/C141-1</f>
        <v>-3.8363171355498715E-2</v>
      </c>
      <c r="M141" s="5">
        <v>380.75</v>
      </c>
      <c r="N141" s="5">
        <v>265.85000000000002</v>
      </c>
      <c r="Q141" s="143">
        <v>1862.34</v>
      </c>
      <c r="U141" s="130">
        <f>N141-M141</f>
        <v>-114.89999999999998</v>
      </c>
      <c r="V141" s="4">
        <f>IF(M141=0,0,N141/M141-1)</f>
        <v>-0.30177281680892964</v>
      </c>
      <c r="W141" s="18">
        <v>8582.4500000000007</v>
      </c>
      <c r="X141" s="18">
        <v>8253.2000000000007</v>
      </c>
      <c r="Y141" s="4">
        <f>X141/W141-1</f>
        <v>-3.8363171355498715E-2</v>
      </c>
    </row>
    <row r="142" spans="1:25">
      <c r="A142" t="s">
        <v>293</v>
      </c>
      <c r="B142" t="s">
        <v>294</v>
      </c>
      <c r="C142" s="28">
        <v>343</v>
      </c>
      <c r="E142" t="s">
        <v>294</v>
      </c>
      <c r="F142" s="28">
        <v>328</v>
      </c>
      <c r="G142" t="b">
        <f>IF(B142=E142,TRUE,FALSE)</f>
        <v>1</v>
      </c>
      <c r="J142" s="25">
        <f>F142-C142</f>
        <v>-15</v>
      </c>
      <c r="K142" s="4">
        <f>F142/C142-1</f>
        <v>-4.3731778425656009E-2</v>
      </c>
      <c r="M142" s="5">
        <v>519.26</v>
      </c>
      <c r="N142" s="5">
        <v>459.27</v>
      </c>
      <c r="Q142" s="143">
        <v>2417.9499999999998</v>
      </c>
      <c r="U142" s="130">
        <f>N142-M142</f>
        <v>-59.990000000000009</v>
      </c>
      <c r="V142" s="4">
        <f>IF(M142=0,0,N142/M142-1)</f>
        <v>-0.11552979239687244</v>
      </c>
      <c r="W142" s="18">
        <v>8214.85</v>
      </c>
      <c r="X142" s="18">
        <v>7855.6</v>
      </c>
      <c r="Y142" s="4">
        <f>X142/W142-1</f>
        <v>-4.3731778425656009E-2</v>
      </c>
    </row>
    <row r="143" spans="1:25">
      <c r="A143" t="s">
        <v>295</v>
      </c>
      <c r="B143" t="s">
        <v>296</v>
      </c>
      <c r="C143" s="28">
        <v>322</v>
      </c>
      <c r="E143" t="s">
        <v>296</v>
      </c>
      <c r="F143" s="28">
        <v>307</v>
      </c>
      <c r="G143" t="b">
        <f>IF(B143=E143,TRUE,FALSE)</f>
        <v>1</v>
      </c>
      <c r="J143" s="25">
        <f>F143-C143</f>
        <v>-15</v>
      </c>
      <c r="K143" s="4">
        <f>F143/C143-1</f>
        <v>-4.6583850931677051E-2</v>
      </c>
      <c r="M143" s="5">
        <v>462.51</v>
      </c>
      <c r="N143" s="5">
        <v>557.17999999999995</v>
      </c>
      <c r="Q143" s="143">
        <v>1822.6</v>
      </c>
      <c r="U143" s="130">
        <f>N143-M143</f>
        <v>94.669999999999959</v>
      </c>
      <c r="V143" s="4">
        <f>IF(M143=0,0,N143/M143-1)</f>
        <v>0.20468746621694667</v>
      </c>
      <c r="W143" s="18">
        <v>8677.9</v>
      </c>
      <c r="X143" s="18">
        <v>8273.65</v>
      </c>
      <c r="Y143" s="4">
        <f>X143/W143-1</f>
        <v>-4.6583850931677051E-2</v>
      </c>
    </row>
    <row r="144" spans="1:25">
      <c r="A144" t="s">
        <v>297</v>
      </c>
      <c r="B144" t="s">
        <v>298</v>
      </c>
      <c r="C144" s="28">
        <v>1471</v>
      </c>
      <c r="E144" t="s">
        <v>298</v>
      </c>
      <c r="F144" s="28">
        <v>1458</v>
      </c>
      <c r="G144" t="b">
        <f>IF(B144=E144,TRUE,FALSE)</f>
        <v>1</v>
      </c>
      <c r="J144" s="25">
        <f>F144-C144</f>
        <v>-13</v>
      </c>
      <c r="K144" s="4">
        <f>F144/C144-1</f>
        <v>-8.8375254928619862E-3</v>
      </c>
      <c r="M144" s="5">
        <v>2112.8200000000002</v>
      </c>
      <c r="N144" s="5">
        <v>1839.19</v>
      </c>
      <c r="Q144" s="143">
        <v>12246.07</v>
      </c>
      <c r="U144" s="130">
        <f>N144-M144</f>
        <v>-273.63000000000011</v>
      </c>
      <c r="V144" s="4">
        <f>IF(M144=0,0,N144/M144-1)</f>
        <v>-0.12950937609450885</v>
      </c>
      <c r="W144" s="18">
        <v>30691</v>
      </c>
      <c r="X144" s="18">
        <v>30464.04</v>
      </c>
      <c r="Y144" s="4">
        <f>X144/W144-1</f>
        <v>-7.3950017920563216E-3</v>
      </c>
    </row>
    <row r="145" spans="1:25">
      <c r="A145" t="s">
        <v>299</v>
      </c>
      <c r="B145" t="s">
        <v>300</v>
      </c>
      <c r="C145" s="28">
        <v>451</v>
      </c>
      <c r="E145" t="s">
        <v>300</v>
      </c>
      <c r="F145" s="28">
        <v>438</v>
      </c>
      <c r="G145" t="b">
        <f>IF(B145=E145,TRUE,FALSE)</f>
        <v>1</v>
      </c>
      <c r="J145" s="25">
        <f>F145-C145</f>
        <v>-13</v>
      </c>
      <c r="K145" s="4">
        <f>F145/C145-1</f>
        <v>-2.8824833702882469E-2</v>
      </c>
      <c r="M145" s="5">
        <v>776.23</v>
      </c>
      <c r="N145" s="5">
        <v>648.19000000000005</v>
      </c>
      <c r="Q145" s="143">
        <v>3939.58</v>
      </c>
      <c r="U145" s="130">
        <f>N145-M145</f>
        <v>-128.03999999999996</v>
      </c>
      <c r="V145" s="4">
        <f>IF(M145=0,0,N145/M145-1)</f>
        <v>-0.16495110985146155</v>
      </c>
      <c r="W145" s="18">
        <v>13070.43</v>
      </c>
      <c r="X145" s="18">
        <v>12692.4</v>
      </c>
      <c r="Y145" s="4">
        <f>X145/W145-1</f>
        <v>-2.8922537361050882E-2</v>
      </c>
    </row>
    <row r="146" spans="1:25">
      <c r="A146" t="s">
        <v>301</v>
      </c>
      <c r="B146" s="27" t="s">
        <v>302</v>
      </c>
      <c r="C146" s="28">
        <v>2550</v>
      </c>
      <c r="E146" s="27" t="s">
        <v>302</v>
      </c>
      <c r="F146" s="28">
        <v>2539</v>
      </c>
      <c r="G146" t="b">
        <f>IF(B146=E146,TRUE,FALSE)</f>
        <v>1</v>
      </c>
      <c r="J146" s="25">
        <f>F146-C146</f>
        <v>-11</v>
      </c>
      <c r="K146" s="4">
        <f>F146/C146-1</f>
        <v>-4.3137254901960409E-3</v>
      </c>
      <c r="M146" s="5">
        <v>4915.26</v>
      </c>
      <c r="N146" s="5">
        <v>3847.08</v>
      </c>
      <c r="Q146" s="143">
        <v>29233.03</v>
      </c>
      <c r="U146" s="130">
        <f>N146-M146</f>
        <v>-1068.1800000000003</v>
      </c>
      <c r="V146" s="4">
        <f>IF(M146=0,0,N146/M146-1)</f>
        <v>-0.21731912452240576</v>
      </c>
      <c r="W146" s="18">
        <v>82509.789999999994</v>
      </c>
      <c r="X146" s="18">
        <v>80428.92</v>
      </c>
      <c r="Y146" s="4">
        <f>X146/W146-1</f>
        <v>-2.5219673932026732E-2</v>
      </c>
    </row>
    <row r="147" spans="1:25">
      <c r="A147" t="s">
        <v>303</v>
      </c>
      <c r="B147" t="s">
        <v>304</v>
      </c>
      <c r="C147" s="28">
        <v>862</v>
      </c>
      <c r="E147" t="s">
        <v>304</v>
      </c>
      <c r="F147" s="28">
        <v>853</v>
      </c>
      <c r="G147" t="b">
        <f>IF(B147=E147,TRUE,FALSE)</f>
        <v>1</v>
      </c>
      <c r="J147" s="25">
        <f>F147-C147</f>
        <v>-9</v>
      </c>
      <c r="K147" s="4">
        <f>F147/C147-1</f>
        <v>-1.044083526682138E-2</v>
      </c>
      <c r="M147" s="5">
        <v>2443.7800000000002</v>
      </c>
      <c r="N147" s="5">
        <v>2308.0300000000002</v>
      </c>
      <c r="Q147" s="143">
        <v>11722.84</v>
      </c>
      <c r="U147" s="130">
        <f>N147-M147</f>
        <v>-135.75</v>
      </c>
      <c r="V147" s="4">
        <f>IF(M147=0,0,N147/M147-1)</f>
        <v>-5.5549190188969533E-2</v>
      </c>
      <c r="W147" s="18">
        <v>21502.09</v>
      </c>
      <c r="X147" s="18">
        <v>21275.54</v>
      </c>
      <c r="Y147" s="4">
        <f>X147/W147-1</f>
        <v>-1.0536185087124061E-2</v>
      </c>
    </row>
    <row r="148" spans="1:25">
      <c r="A148" t="s">
        <v>305</v>
      </c>
      <c r="B148" t="s">
        <v>306</v>
      </c>
      <c r="C148" s="28">
        <v>387</v>
      </c>
      <c r="E148" t="s">
        <v>306</v>
      </c>
      <c r="F148" s="28">
        <v>378</v>
      </c>
      <c r="G148" t="b">
        <f>IF(B148=E148,TRUE,FALSE)</f>
        <v>1</v>
      </c>
      <c r="J148" s="25">
        <f>F148-C148</f>
        <v>-9</v>
      </c>
      <c r="K148" s="4">
        <f>F148/C148-1</f>
        <v>-2.3255813953488413E-2</v>
      </c>
      <c r="M148" s="5">
        <v>748.34</v>
      </c>
      <c r="N148" s="5">
        <v>319.22000000000003</v>
      </c>
      <c r="Q148" s="143">
        <v>2021.35</v>
      </c>
      <c r="U148" s="130">
        <f>N148-M148</f>
        <v>-429.12</v>
      </c>
      <c r="V148" s="4">
        <f>IF(M148=0,0,N148/M148-1)</f>
        <v>-0.57342918994040137</v>
      </c>
      <c r="W148" s="18">
        <v>8509.25</v>
      </c>
      <c r="X148" s="18">
        <v>8311.34</v>
      </c>
      <c r="Y148" s="4">
        <f>X148/W148-1</f>
        <v>-2.325821899697389E-2</v>
      </c>
    </row>
    <row r="149" spans="1:25">
      <c r="A149" t="s">
        <v>307</v>
      </c>
      <c r="B149" t="s">
        <v>308</v>
      </c>
      <c r="C149" s="28">
        <v>6</v>
      </c>
      <c r="E149" t="s">
        <v>308</v>
      </c>
      <c r="F149" s="28">
        <v>0</v>
      </c>
      <c r="G149" t="b">
        <f>IF(B149=E149,TRUE,FALSE)</f>
        <v>1</v>
      </c>
      <c r="J149" s="25">
        <f>F149-C149</f>
        <v>-6</v>
      </c>
      <c r="K149" s="4">
        <f>F149/C149-1</f>
        <v>-1</v>
      </c>
      <c r="M149" s="5">
        <v>0</v>
      </c>
      <c r="N149" s="5">
        <v>0</v>
      </c>
      <c r="Q149" s="143">
        <v>0</v>
      </c>
      <c r="U149" s="130">
        <f>N149-M149</f>
        <v>0</v>
      </c>
      <c r="V149" s="4">
        <f>IF(M149=0,0,N149/M149-1)</f>
        <v>0</v>
      </c>
      <c r="W149" s="18">
        <v>179.7</v>
      </c>
      <c r="X149" s="18">
        <v>0</v>
      </c>
      <c r="Y149" s="4">
        <f>X149/W149-1</f>
        <v>-1</v>
      </c>
    </row>
    <row r="150" spans="1:25">
      <c r="A150" t="s">
        <v>309</v>
      </c>
      <c r="B150" t="s">
        <v>310</v>
      </c>
      <c r="C150" s="28">
        <v>515</v>
      </c>
      <c r="E150" t="s">
        <v>310</v>
      </c>
      <c r="F150" s="28">
        <v>510</v>
      </c>
      <c r="G150" t="b">
        <f>IF(B150=E150,TRUE,FALSE)</f>
        <v>1</v>
      </c>
      <c r="J150" s="25">
        <f>F150-C150</f>
        <v>-5</v>
      </c>
      <c r="K150" s="4">
        <f>F150/C150-1</f>
        <v>-9.7087378640776656E-3</v>
      </c>
      <c r="M150" s="5">
        <v>280.41000000000003</v>
      </c>
      <c r="N150" s="5">
        <v>374.49</v>
      </c>
      <c r="Q150" s="143">
        <v>2528.69</v>
      </c>
      <c r="U150" s="130">
        <f>N150-M150</f>
        <v>94.079999999999984</v>
      </c>
      <c r="V150" s="4">
        <f>IF(M150=0,0,N150/M150-1)</f>
        <v>0.33550871937520044</v>
      </c>
      <c r="W150" s="18">
        <v>15444.85</v>
      </c>
      <c r="X150" s="18">
        <v>15234.92</v>
      </c>
      <c r="Y150" s="4">
        <f>X150/W150-1</f>
        <v>-1.3592233009708798E-2</v>
      </c>
    </row>
    <row r="151" spans="1:25">
      <c r="A151" t="s">
        <v>311</v>
      </c>
      <c r="B151" t="s">
        <v>312</v>
      </c>
      <c r="C151" s="28">
        <v>613</v>
      </c>
      <c r="E151" t="s">
        <v>312</v>
      </c>
      <c r="F151" s="28">
        <v>609</v>
      </c>
      <c r="G151" t="b">
        <f>IF(B151=E151,TRUE,FALSE)</f>
        <v>1</v>
      </c>
      <c r="J151" s="25">
        <f>F151-C151</f>
        <v>-4</v>
      </c>
      <c r="K151" s="4">
        <f>F151/C151-1</f>
        <v>-6.525285481239762E-3</v>
      </c>
      <c r="M151" s="5">
        <v>787.29</v>
      </c>
      <c r="N151" s="5">
        <v>570.95000000000005</v>
      </c>
      <c r="Q151" s="143">
        <v>4117.66</v>
      </c>
      <c r="U151" s="130">
        <f>N151-M151</f>
        <v>-216.33999999999992</v>
      </c>
      <c r="V151" s="4">
        <f>IF(M151=0,0,N151/M151-1)</f>
        <v>-0.27479073784755292</v>
      </c>
      <c r="W151" s="18">
        <v>16497.740000000002</v>
      </c>
      <c r="X151" s="18">
        <v>16385.84</v>
      </c>
      <c r="Y151" s="4">
        <f>X151/W151-1</f>
        <v>-6.7827472126485988E-3</v>
      </c>
    </row>
    <row r="152" spans="1:25">
      <c r="A152" s="55" t="s">
        <v>313</v>
      </c>
      <c r="B152" s="37" t="s">
        <v>314</v>
      </c>
      <c r="C152" s="19">
        <v>965</v>
      </c>
      <c r="E152" s="37" t="s">
        <v>314</v>
      </c>
      <c r="F152" s="19">
        <v>962</v>
      </c>
      <c r="G152" t="b">
        <f>IF(B152=E152,TRUE,FALSE)</f>
        <v>1</v>
      </c>
      <c r="J152" s="25">
        <f>F152-C152</f>
        <v>-3</v>
      </c>
      <c r="K152" s="4">
        <f>F152/C152-1</f>
        <v>-3.1088082901554737E-3</v>
      </c>
      <c r="M152" s="5">
        <v>2680.93</v>
      </c>
      <c r="N152" s="5">
        <v>2205.4499999999998</v>
      </c>
      <c r="Q152" s="142">
        <v>15060.29</v>
      </c>
      <c r="U152" s="130">
        <f>N152-M152</f>
        <v>-475.48</v>
      </c>
      <c r="V152" s="4">
        <f>IF(M152=0,0,N152/M152-1)</f>
        <v>-0.17735636514194708</v>
      </c>
      <c r="W152">
        <v>20841.89</v>
      </c>
      <c r="X152">
        <v>21017.7</v>
      </c>
      <c r="Y152" s="4">
        <f>X152/W152-1</f>
        <v>8.4354154061845321E-3</v>
      </c>
    </row>
    <row r="153" spans="1:25">
      <c r="A153" t="s">
        <v>315</v>
      </c>
      <c r="B153" t="s">
        <v>316</v>
      </c>
      <c r="C153" s="28">
        <v>810</v>
      </c>
      <c r="E153" t="s">
        <v>316</v>
      </c>
      <c r="F153" s="28">
        <v>810</v>
      </c>
      <c r="G153" t="b">
        <f>IF(B153=E153,TRUE,FALSE)</f>
        <v>1</v>
      </c>
      <c r="J153" s="25">
        <f>F153-C153</f>
        <v>0</v>
      </c>
      <c r="K153" s="4">
        <f>F153/C153-1</f>
        <v>0</v>
      </c>
      <c r="M153" s="5">
        <v>794.84</v>
      </c>
      <c r="N153" s="5">
        <v>741.97</v>
      </c>
      <c r="Q153" s="143">
        <v>4996.53</v>
      </c>
      <c r="U153" s="130">
        <f>N153-M153</f>
        <v>-52.870000000000005</v>
      </c>
      <c r="V153" s="4">
        <f>IF(M153=0,0,N153/M153-1)</f>
        <v>-6.6516531629007059E-2</v>
      </c>
      <c r="W153" s="18">
        <v>21824.639999999999</v>
      </c>
      <c r="X153" s="18">
        <v>21825.72</v>
      </c>
      <c r="Y153" s="4">
        <f>X153/W153-1</f>
        <v>4.9485352335842947E-5</v>
      </c>
    </row>
    <row r="154" spans="1:25">
      <c r="A154" s="55" t="s">
        <v>317</v>
      </c>
      <c r="B154" s="37" t="s">
        <v>318</v>
      </c>
      <c r="C154" s="28">
        <v>0</v>
      </c>
      <c r="E154" s="37" t="s">
        <v>318</v>
      </c>
      <c r="F154" s="28">
        <v>0</v>
      </c>
      <c r="G154" t="b">
        <f>IF(B154=E154,TRUE,FALSE)</f>
        <v>1</v>
      </c>
      <c r="J154" s="25">
        <f>F154-C154</f>
        <v>0</v>
      </c>
      <c r="K154" s="4" t="e">
        <f>F154/C154-1</f>
        <v>#DIV/0!</v>
      </c>
      <c r="N154" s="5">
        <v>1.83</v>
      </c>
      <c r="Q154" s="142">
        <v>0</v>
      </c>
      <c r="U154" s="130">
        <f>N154-M154</f>
        <v>1.83</v>
      </c>
      <c r="V154" s="4">
        <f>IF(M154=0,0,N154/M154-1)</f>
        <v>0</v>
      </c>
      <c r="W154" s="18">
        <v>0</v>
      </c>
      <c r="X154" s="18">
        <v>0</v>
      </c>
      <c r="Y154" s="4" t="e">
        <f>X154/W154-1</f>
        <v>#DIV/0!</v>
      </c>
    </row>
    <row r="155" spans="1:25">
      <c r="A155" s="55" t="s">
        <v>319</v>
      </c>
      <c r="B155" s="37" t="s">
        <v>320</v>
      </c>
      <c r="C155" s="28">
        <v>0</v>
      </c>
      <c r="E155" s="37" t="s">
        <v>320</v>
      </c>
      <c r="F155" s="28">
        <v>0</v>
      </c>
      <c r="G155" t="b">
        <f>IF(B155=E155,TRUE,FALSE)</f>
        <v>1</v>
      </c>
      <c r="J155" s="25">
        <f>F155-C155</f>
        <v>0</v>
      </c>
      <c r="K155" s="4" t="e">
        <f>F155/C155-1</f>
        <v>#DIV/0!</v>
      </c>
      <c r="N155" s="5">
        <v>0</v>
      </c>
      <c r="Q155" s="142">
        <v>0</v>
      </c>
      <c r="U155" s="130">
        <f>N155-M155</f>
        <v>0</v>
      </c>
      <c r="V155" s="4">
        <f>IF(M155=0,0,N155/M155-1)</f>
        <v>0</v>
      </c>
      <c r="W155" s="18">
        <v>0</v>
      </c>
      <c r="X155" s="18">
        <v>0</v>
      </c>
      <c r="Y155" s="4" t="e">
        <f>X155/W155-1</f>
        <v>#DIV/0!</v>
      </c>
    </row>
    <row r="156" spans="1:25" ht="30.75">
      <c r="A156" s="55" t="s">
        <v>321</v>
      </c>
      <c r="B156" s="37" t="s">
        <v>322</v>
      </c>
      <c r="C156" s="28">
        <v>0</v>
      </c>
      <c r="E156" s="37" t="s">
        <v>322</v>
      </c>
      <c r="F156" s="28">
        <v>0</v>
      </c>
      <c r="G156" t="b">
        <f>IF(B156=E156,TRUE,FALSE)</f>
        <v>1</v>
      </c>
      <c r="J156" s="25">
        <f>F156-C156</f>
        <v>0</v>
      </c>
      <c r="K156" s="4" t="e">
        <f>F156/C156-1</f>
        <v>#DIV/0!</v>
      </c>
      <c r="N156" s="5">
        <v>0</v>
      </c>
      <c r="Q156" s="142">
        <v>0</v>
      </c>
      <c r="U156" s="130">
        <f>N156-M156</f>
        <v>0</v>
      </c>
      <c r="V156" s="4">
        <f>IF(M156=0,0,N156/M156-1)</f>
        <v>0</v>
      </c>
      <c r="W156" s="18">
        <v>0</v>
      </c>
      <c r="X156" s="18">
        <v>0</v>
      </c>
      <c r="Y156" s="4" t="e">
        <f>X156/W156-1</f>
        <v>#DIV/0!</v>
      </c>
    </row>
    <row r="157" spans="1:25" ht="30.75">
      <c r="A157" s="55" t="s">
        <v>323</v>
      </c>
      <c r="B157" s="37" t="s">
        <v>324</v>
      </c>
      <c r="C157" s="28">
        <v>0</v>
      </c>
      <c r="E157" s="37" t="s">
        <v>324</v>
      </c>
      <c r="F157" s="28">
        <v>0</v>
      </c>
      <c r="G157" t="b">
        <f>IF(B157=E157,TRUE,FALSE)</f>
        <v>1</v>
      </c>
      <c r="J157" s="25">
        <f>F157-C157</f>
        <v>0</v>
      </c>
      <c r="K157" s="4" t="e">
        <f>F157/C157-1</f>
        <v>#DIV/0!</v>
      </c>
      <c r="N157" s="5">
        <v>0</v>
      </c>
      <c r="Q157" s="142">
        <v>0</v>
      </c>
      <c r="U157" s="130">
        <f>N157-M157</f>
        <v>0</v>
      </c>
      <c r="V157" s="4">
        <f>IF(M157=0,0,N157/M157-1)</f>
        <v>0</v>
      </c>
      <c r="W157" s="18">
        <v>0</v>
      </c>
      <c r="X157" s="18">
        <v>0</v>
      </c>
      <c r="Y157" s="4" t="e">
        <f>X157/W157-1</f>
        <v>#DIV/0!</v>
      </c>
    </row>
    <row r="158" spans="1:25" ht="13.5" customHeight="1">
      <c r="A158" s="55" t="s">
        <v>325</v>
      </c>
      <c r="B158" s="37" t="s">
        <v>326</v>
      </c>
      <c r="C158" s="28">
        <v>0</v>
      </c>
      <c r="E158" s="37" t="s">
        <v>326</v>
      </c>
      <c r="F158" s="28">
        <v>0</v>
      </c>
      <c r="G158" t="b">
        <f>IF(B158=E158,TRUE,FALSE)</f>
        <v>1</v>
      </c>
      <c r="J158" s="25">
        <f>F158-C158</f>
        <v>0</v>
      </c>
      <c r="K158" s="4" t="e">
        <f>F158/C158-1</f>
        <v>#DIV/0!</v>
      </c>
      <c r="N158" s="5">
        <v>0</v>
      </c>
      <c r="Q158" s="142">
        <v>0</v>
      </c>
      <c r="U158" s="130">
        <f>N158-M158</f>
        <v>0</v>
      </c>
      <c r="V158" s="4">
        <f>IF(M158=0,0,N158/M158-1)</f>
        <v>0</v>
      </c>
      <c r="W158" s="18">
        <v>0</v>
      </c>
      <c r="X158" s="18">
        <v>0</v>
      </c>
      <c r="Y158" s="4" t="e">
        <f>X158/W158-1</f>
        <v>#DIV/0!</v>
      </c>
    </row>
    <row r="159" spans="1:25">
      <c r="A159" s="147" t="s">
        <v>327</v>
      </c>
      <c r="B159" s="37" t="s">
        <v>328</v>
      </c>
      <c r="C159" s="28">
        <v>0</v>
      </c>
      <c r="E159" s="37" t="s">
        <v>328</v>
      </c>
      <c r="F159" s="28">
        <v>0</v>
      </c>
      <c r="G159" t="b">
        <f>IF(B159=E159,TRUE,FALSE)</f>
        <v>1</v>
      </c>
      <c r="J159" s="25">
        <f>F159-C159</f>
        <v>0</v>
      </c>
      <c r="K159" s="4" t="e">
        <f>F159/C159-1</f>
        <v>#DIV/0!</v>
      </c>
      <c r="N159" s="5">
        <v>0</v>
      </c>
      <c r="Q159" s="142">
        <v>0</v>
      </c>
      <c r="U159" s="130">
        <f>N159-M159</f>
        <v>0</v>
      </c>
      <c r="V159" s="4">
        <f>IF(M159=0,0,N159/M159-1)</f>
        <v>0</v>
      </c>
      <c r="W159" s="18">
        <v>0</v>
      </c>
      <c r="X159" s="18">
        <v>0</v>
      </c>
      <c r="Y159" s="4" t="e">
        <f>X159/W159-1</f>
        <v>#DIV/0!</v>
      </c>
    </row>
    <row r="160" spans="1:25">
      <c r="A160" t="s">
        <v>329</v>
      </c>
      <c r="B160" t="s">
        <v>330</v>
      </c>
      <c r="C160" s="28">
        <v>722</v>
      </c>
      <c r="E160" t="s">
        <v>330</v>
      </c>
      <c r="F160" s="28">
        <v>723</v>
      </c>
      <c r="G160" t="b">
        <f>IF(B160=E160,TRUE,FALSE)</f>
        <v>1</v>
      </c>
      <c r="J160" s="25">
        <f>F160-C160</f>
        <v>1</v>
      </c>
      <c r="K160" s="4">
        <f>F160/C160-1</f>
        <v>1.3850415512466352E-3</v>
      </c>
      <c r="M160" s="5">
        <v>947.28</v>
      </c>
      <c r="N160" s="5">
        <v>842.69</v>
      </c>
      <c r="Q160" s="143">
        <v>7555.61</v>
      </c>
      <c r="U160" s="130">
        <f>N160-M160</f>
        <v>-104.58999999999992</v>
      </c>
      <c r="V160" s="4">
        <f>IF(M160=0,0,N160/M160-1)</f>
        <v>-0.11041086056920857</v>
      </c>
      <c r="W160" s="18">
        <v>21623.9</v>
      </c>
      <c r="X160" s="18">
        <v>21653.85</v>
      </c>
      <c r="Y160" s="4">
        <f>X160/W160-1</f>
        <v>1.3850415512464131E-3</v>
      </c>
    </row>
    <row r="161" spans="1:25">
      <c r="A161" s="55" t="s">
        <v>331</v>
      </c>
      <c r="B161" s="37" t="s">
        <v>332</v>
      </c>
      <c r="C161" s="28">
        <v>0</v>
      </c>
      <c r="E161" s="37" t="s">
        <v>332</v>
      </c>
      <c r="F161" s="28">
        <v>1</v>
      </c>
      <c r="G161" t="b">
        <f>IF(B161=E161,TRUE,FALSE)</f>
        <v>1</v>
      </c>
      <c r="J161" s="25">
        <f>F161-C161</f>
        <v>1</v>
      </c>
      <c r="K161" s="4" t="e">
        <f>F161/C161-1</f>
        <v>#DIV/0!</v>
      </c>
      <c r="N161" s="5">
        <v>0</v>
      </c>
      <c r="Q161" s="142">
        <v>0</v>
      </c>
      <c r="U161" s="130">
        <f>N161-M161</f>
        <v>0</v>
      </c>
      <c r="V161" s="4">
        <f>IF(M161=0,0,N161/M161-1)</f>
        <v>0</v>
      </c>
      <c r="W161" s="18">
        <v>0</v>
      </c>
      <c r="X161" s="18">
        <v>49.99</v>
      </c>
      <c r="Y161" s="4" t="e">
        <f>X161/W161-1</f>
        <v>#DIV/0!</v>
      </c>
    </row>
    <row r="162" spans="1:25" ht="15" customHeight="1">
      <c r="A162" t="s">
        <v>333</v>
      </c>
      <c r="B162" t="s">
        <v>334</v>
      </c>
      <c r="C162" s="28">
        <v>909</v>
      </c>
      <c r="E162" t="s">
        <v>334</v>
      </c>
      <c r="F162" s="28">
        <v>911</v>
      </c>
      <c r="G162" t="b">
        <f>IF(B162=E162,TRUE,FALSE)</f>
        <v>1</v>
      </c>
      <c r="J162" s="25">
        <f>F162-C162</f>
        <v>2</v>
      </c>
      <c r="K162" s="4">
        <f>F162/C162-1</f>
        <v>2.2002200220021528E-3</v>
      </c>
      <c r="M162" s="5">
        <v>1306.32</v>
      </c>
      <c r="N162" s="5">
        <v>1155.94</v>
      </c>
      <c r="Q162" s="143">
        <v>8572.5300000000007</v>
      </c>
      <c r="U162" s="130">
        <f>N162-M162</f>
        <v>-150.37999999999988</v>
      </c>
      <c r="V162" s="4">
        <f>IF(M162=0,0,N162/M162-1)</f>
        <v>-0.11511727601200306</v>
      </c>
      <c r="W162" s="18">
        <v>27221.25</v>
      </c>
      <c r="X162" s="18">
        <v>27281.15</v>
      </c>
      <c r="Y162" s="4">
        <f>X162/W162-1</f>
        <v>2.200486752077957E-3</v>
      </c>
    </row>
    <row r="163" spans="1:25" ht="15" customHeight="1">
      <c r="A163" t="s">
        <v>335</v>
      </c>
      <c r="B163" t="s">
        <v>336</v>
      </c>
      <c r="C163" s="28">
        <v>701</v>
      </c>
      <c r="E163" t="s">
        <v>336</v>
      </c>
      <c r="F163" s="28">
        <v>703</v>
      </c>
      <c r="G163" t="b">
        <f>IF(B163=E163,TRUE,FALSE)</f>
        <v>1</v>
      </c>
      <c r="J163" s="25">
        <f>F163-C163</f>
        <v>2</v>
      </c>
      <c r="K163" s="4">
        <f>F163/C163-1</f>
        <v>2.8530670470756636E-3</v>
      </c>
      <c r="M163" s="5">
        <v>657.64</v>
      </c>
      <c r="N163" s="5">
        <v>599.61</v>
      </c>
      <c r="Q163" s="143">
        <v>6025.31</v>
      </c>
      <c r="U163" s="130">
        <f>N163-M163</f>
        <v>-58.029999999999973</v>
      </c>
      <c r="V163" s="4">
        <f>IF(M163=0,0,N163/M163-1)</f>
        <v>-8.8239766437564593E-2</v>
      </c>
      <c r="W163" s="18">
        <v>17476.95</v>
      </c>
      <c r="X163" s="18">
        <v>17519.849999999999</v>
      </c>
      <c r="Y163" s="4">
        <f>X163/W163-1</f>
        <v>2.4546617115686065E-3</v>
      </c>
    </row>
    <row r="164" spans="1:25" ht="15" customHeight="1">
      <c r="A164" t="s">
        <v>337</v>
      </c>
      <c r="B164" t="s">
        <v>338</v>
      </c>
      <c r="C164" s="28">
        <v>654</v>
      </c>
      <c r="E164" t="s">
        <v>338</v>
      </c>
      <c r="F164" s="28">
        <v>656</v>
      </c>
      <c r="G164" t="b">
        <f>IF(B164=E164,TRUE,FALSE)</f>
        <v>1</v>
      </c>
      <c r="J164" s="25">
        <f>F164-C164</f>
        <v>2</v>
      </c>
      <c r="K164" s="4">
        <f>F164/C164-1</f>
        <v>3.0581039755350758E-3</v>
      </c>
      <c r="M164" s="5">
        <v>744.51</v>
      </c>
      <c r="N164" s="5">
        <v>668.23</v>
      </c>
      <c r="Q164" s="143">
        <v>2553.7199999999998</v>
      </c>
      <c r="U164" s="130">
        <f>N164-M164</f>
        <v>-76.279999999999973</v>
      </c>
      <c r="V164" s="4">
        <f>IF(M164=0,0,N164/M164-1)</f>
        <v>-0.10245664933983423</v>
      </c>
      <c r="W164" s="18">
        <v>17651.46</v>
      </c>
      <c r="X164" s="18">
        <v>17705.439999999999</v>
      </c>
      <c r="Y164" s="4">
        <f>X164/W164-1</f>
        <v>3.0581039755350758E-3</v>
      </c>
    </row>
    <row r="165" spans="1:25" ht="15" customHeight="1">
      <c r="A165" t="s">
        <v>339</v>
      </c>
      <c r="B165" t="s">
        <v>340</v>
      </c>
      <c r="C165" s="28">
        <v>1825</v>
      </c>
      <c r="E165" t="s">
        <v>340</v>
      </c>
      <c r="F165" s="28">
        <v>1828</v>
      </c>
      <c r="G165" t="b">
        <f>IF(B165=E165,TRUE,FALSE)</f>
        <v>1</v>
      </c>
      <c r="J165" s="25">
        <f>F165-C165</f>
        <v>3</v>
      </c>
      <c r="K165" s="4">
        <f>F165/C165-1</f>
        <v>1.6438356164383272E-3</v>
      </c>
      <c r="M165" s="5">
        <v>3000.73</v>
      </c>
      <c r="N165" s="5">
        <v>2926.81</v>
      </c>
      <c r="Q165" s="143">
        <v>16479.91</v>
      </c>
      <c r="U165" s="130">
        <f>N165-M165</f>
        <v>-73.920000000000073</v>
      </c>
      <c r="V165" s="4">
        <f>IF(M165=0,0,N165/M165-1)</f>
        <v>-2.4634005725273522E-2</v>
      </c>
      <c r="W165" s="18">
        <v>41880.76</v>
      </c>
      <c r="X165" s="18">
        <v>41948.69</v>
      </c>
      <c r="Y165" s="4">
        <f>X165/W165-1</f>
        <v>1.6219858474393334E-3</v>
      </c>
    </row>
    <row r="166" spans="1:25" ht="15" customHeight="1">
      <c r="A166" t="s">
        <v>341</v>
      </c>
      <c r="B166" t="s">
        <v>342</v>
      </c>
      <c r="C166" s="28">
        <v>1114</v>
      </c>
      <c r="E166" t="s">
        <v>342</v>
      </c>
      <c r="F166" s="28">
        <v>1118</v>
      </c>
      <c r="G166" t="b">
        <f>IF(B166=E166,TRUE,FALSE)</f>
        <v>1</v>
      </c>
      <c r="J166" s="25">
        <f>F166-C166</f>
        <v>4</v>
      </c>
      <c r="K166" s="4">
        <f>F166/C166-1</f>
        <v>3.5906642728904536E-3</v>
      </c>
      <c r="M166" s="5">
        <v>881.88</v>
      </c>
      <c r="N166" s="5">
        <v>929.66</v>
      </c>
      <c r="Q166" s="143">
        <v>9950.07</v>
      </c>
      <c r="U166" s="130">
        <f>N166-M166</f>
        <v>47.779999999999973</v>
      </c>
      <c r="V166" s="4">
        <f>IF(M166=0,0,N166/M166-1)</f>
        <v>5.4179706989613052E-2</v>
      </c>
      <c r="W166" s="18">
        <v>29993.95</v>
      </c>
      <c r="X166" s="18">
        <v>30103.37</v>
      </c>
      <c r="Y166" s="4">
        <f>X166/W166-1</f>
        <v>3.6480690272537863E-3</v>
      </c>
    </row>
    <row r="167" spans="1:25" ht="15" customHeight="1">
      <c r="A167" t="s">
        <v>343</v>
      </c>
      <c r="B167" t="s">
        <v>344</v>
      </c>
      <c r="C167" s="28">
        <v>552</v>
      </c>
      <c r="E167" t="s">
        <v>344</v>
      </c>
      <c r="F167" s="28">
        <v>556</v>
      </c>
      <c r="G167" t="b">
        <f>IF(B167=E167,TRUE,FALSE)</f>
        <v>1</v>
      </c>
      <c r="J167" s="25">
        <f>F167-C167</f>
        <v>4</v>
      </c>
      <c r="K167" s="4">
        <f>F167/C167-1</f>
        <v>7.2463768115942351E-3</v>
      </c>
      <c r="M167" s="5">
        <v>1044.1400000000001</v>
      </c>
      <c r="N167" s="5">
        <v>999.95</v>
      </c>
      <c r="Q167" s="143">
        <v>6668.1</v>
      </c>
      <c r="U167" s="130">
        <f>N167-M167</f>
        <v>-44.190000000000055</v>
      </c>
      <c r="V167" s="4">
        <f>IF(M167=0,0,N167/M167-1)</f>
        <v>-4.2321910854866251E-2</v>
      </c>
      <c r="W167" s="18">
        <v>13662.96</v>
      </c>
      <c r="X167" s="18">
        <v>13771.76</v>
      </c>
      <c r="Y167" s="4">
        <f>X167/W167-1</f>
        <v>7.9631353674460836E-3</v>
      </c>
    </row>
    <row r="168" spans="1:25">
      <c r="A168" s="147" t="s">
        <v>345</v>
      </c>
      <c r="B168" s="37" t="s">
        <v>346</v>
      </c>
      <c r="C168" s="28">
        <v>4</v>
      </c>
      <c r="E168" s="37" t="s">
        <v>346</v>
      </c>
      <c r="F168" s="28">
        <v>8</v>
      </c>
      <c r="G168" t="b">
        <f>IF(B168=E168,TRUE,FALSE)</f>
        <v>1</v>
      </c>
      <c r="J168" s="25">
        <f>F168-C168</f>
        <v>4</v>
      </c>
      <c r="K168" s="4">
        <f>F168/C168-1</f>
        <v>1</v>
      </c>
      <c r="M168" s="5">
        <v>174.52</v>
      </c>
      <c r="N168" s="5">
        <v>248.09</v>
      </c>
      <c r="Q168" s="142">
        <v>1927.54</v>
      </c>
      <c r="U168" s="130">
        <f>N168-M168</f>
        <v>73.569999999999993</v>
      </c>
      <c r="V168" s="4">
        <f>IF(M168=0,0,N168/M168-1)</f>
        <v>0.42155626862250739</v>
      </c>
      <c r="W168" s="18">
        <v>99.8</v>
      </c>
      <c r="X168" s="18">
        <v>199.6</v>
      </c>
      <c r="Y168" s="4"/>
    </row>
    <row r="169" spans="1:25" ht="15" customHeight="1">
      <c r="A169" t="s">
        <v>347</v>
      </c>
      <c r="B169" t="s">
        <v>348</v>
      </c>
      <c r="C169" s="28">
        <v>1254</v>
      </c>
      <c r="E169" t="s">
        <v>348</v>
      </c>
      <c r="F169" s="28">
        <v>1259</v>
      </c>
      <c r="G169" t="b">
        <f>IF(B169=E169,TRUE,FALSE)</f>
        <v>1</v>
      </c>
      <c r="J169" s="25">
        <f>F169-C169</f>
        <v>5</v>
      </c>
      <c r="K169" s="4">
        <f>F169/C169-1</f>
        <v>3.9872408293459838E-3</v>
      </c>
      <c r="M169" s="5">
        <v>1589.3</v>
      </c>
      <c r="N169" s="5">
        <v>1262.69</v>
      </c>
      <c r="Q169" s="143">
        <v>5594.46</v>
      </c>
      <c r="U169" s="130">
        <f>N169-M169</f>
        <v>-326.6099999999999</v>
      </c>
      <c r="V169" s="4">
        <f>IF(M169=0,0,N169/M169-1)</f>
        <v>-0.20550556848927193</v>
      </c>
      <c r="W169" s="18">
        <v>30033.3</v>
      </c>
      <c r="X169" s="18">
        <v>30153.05</v>
      </c>
      <c r="Y169" s="4">
        <f>X169/W169-1</f>
        <v>3.9872408293459838E-3</v>
      </c>
    </row>
    <row r="170" spans="1:25" ht="15" customHeight="1">
      <c r="A170" s="56" t="s">
        <v>349</v>
      </c>
      <c r="B170" s="37" t="s">
        <v>350</v>
      </c>
      <c r="C170" s="28">
        <v>982</v>
      </c>
      <c r="E170" s="37" t="s">
        <v>350</v>
      </c>
      <c r="F170" s="28">
        <v>988</v>
      </c>
      <c r="G170" t="b">
        <f>IF(B170=E170,TRUE,FALSE)</f>
        <v>1</v>
      </c>
      <c r="J170" s="25">
        <f>F170-C170</f>
        <v>6</v>
      </c>
      <c r="K170" s="4">
        <f>F170/C170-1</f>
        <v>6.109979633401208E-3</v>
      </c>
      <c r="M170" s="5">
        <v>2040.27</v>
      </c>
      <c r="N170" s="5">
        <v>2335.02</v>
      </c>
      <c r="Q170" s="143">
        <v>18035.14</v>
      </c>
      <c r="U170" s="130">
        <f>N170-M170</f>
        <v>294.75</v>
      </c>
      <c r="V170" s="4">
        <f>IF(M170=0,0,N170/M170-1)</f>
        <v>0.14446617359467129</v>
      </c>
      <c r="W170" s="18">
        <v>28468.18</v>
      </c>
      <c r="X170" s="18">
        <v>28640.38</v>
      </c>
      <c r="Y170" s="4">
        <f>X170/W170-1</f>
        <v>6.0488587609042188E-3</v>
      </c>
    </row>
    <row r="171" spans="1:25" ht="15" customHeight="1">
      <c r="A171" t="s">
        <v>351</v>
      </c>
      <c r="B171" t="s">
        <v>352</v>
      </c>
      <c r="C171" s="28">
        <v>636</v>
      </c>
      <c r="E171" t="s">
        <v>352</v>
      </c>
      <c r="F171" s="28">
        <v>643</v>
      </c>
      <c r="G171" t="b">
        <f>IF(B171=E171,TRUE,FALSE)</f>
        <v>1</v>
      </c>
      <c r="J171" s="25">
        <f>F171-C171</f>
        <v>7</v>
      </c>
      <c r="K171" s="4">
        <f>F171/C171-1</f>
        <v>1.1006289308176154E-2</v>
      </c>
      <c r="M171" s="5">
        <v>968.63</v>
      </c>
      <c r="N171" s="5">
        <v>1100.17</v>
      </c>
      <c r="Q171" s="143">
        <v>9460.44</v>
      </c>
      <c r="U171" s="130">
        <f>N171-M171</f>
        <v>131.54000000000008</v>
      </c>
      <c r="V171" s="4">
        <f>IF(M171=0,0,N171/M171-1)</f>
        <v>0.13580004748975361</v>
      </c>
      <c r="W171" s="18">
        <v>15257.64</v>
      </c>
      <c r="X171" s="18">
        <v>15418.85</v>
      </c>
      <c r="Y171" s="4">
        <f>X171/W171-1</f>
        <v>1.0565854221229465E-2</v>
      </c>
    </row>
    <row r="172" spans="1:25" ht="15" customHeight="1">
      <c r="A172" s="55" t="s">
        <v>353</v>
      </c>
      <c r="B172" s="37" t="s">
        <v>354</v>
      </c>
      <c r="C172" s="28">
        <v>1875</v>
      </c>
      <c r="E172" s="37" t="s">
        <v>354</v>
      </c>
      <c r="F172" s="28">
        <v>1883</v>
      </c>
      <c r="G172" t="b">
        <f>IF(B172=E172,TRUE,FALSE)</f>
        <v>1</v>
      </c>
      <c r="J172" s="25">
        <f>F172-C172</f>
        <v>8</v>
      </c>
      <c r="K172" s="4">
        <f>F172/C172-1</f>
        <v>4.2666666666666409E-3</v>
      </c>
      <c r="M172" s="5">
        <v>2180.7399999999998</v>
      </c>
      <c r="N172" s="5">
        <v>2584.02</v>
      </c>
      <c r="Q172" s="142">
        <v>17875.419999999998</v>
      </c>
      <c r="U172" s="130">
        <f>N172-M172</f>
        <v>403.2800000000002</v>
      </c>
      <c r="V172" s="4">
        <f>IF(M172=0,0,N172/M172-1)</f>
        <v>0.18492805194566997</v>
      </c>
      <c r="W172" s="18">
        <v>39063.81</v>
      </c>
      <c r="X172" s="18">
        <v>39459.29</v>
      </c>
      <c r="Y172" s="4">
        <f>X172/W172-1</f>
        <v>1.0123948483263812E-2</v>
      </c>
    </row>
    <row r="173" spans="1:25" ht="15" customHeight="1">
      <c r="A173" t="s">
        <v>355</v>
      </c>
      <c r="B173" t="s">
        <v>356</v>
      </c>
      <c r="C173" s="28">
        <v>370</v>
      </c>
      <c r="E173" t="s">
        <v>356</v>
      </c>
      <c r="F173" s="28">
        <v>379</v>
      </c>
      <c r="G173" t="b">
        <f>IF(B173=E173,TRUE,FALSE)</f>
        <v>1</v>
      </c>
      <c r="J173" s="25">
        <f>F173-C173</f>
        <v>9</v>
      </c>
      <c r="K173" s="4">
        <f>F173/C173-1</f>
        <v>2.4324324324324298E-2</v>
      </c>
      <c r="M173" s="5">
        <v>601.26</v>
      </c>
      <c r="N173" s="5">
        <v>564.14</v>
      </c>
      <c r="Q173" s="143">
        <v>2343.3200000000002</v>
      </c>
      <c r="U173" s="130">
        <f>N173-M173</f>
        <v>-37.120000000000005</v>
      </c>
      <c r="V173" s="4">
        <f>IF(M173=0,0,N173/M173-1)</f>
        <v>-6.1737018926920184E-2</v>
      </c>
      <c r="W173" s="18">
        <v>7381.5</v>
      </c>
      <c r="X173" s="18">
        <v>7561.05</v>
      </c>
      <c r="Y173" s="4">
        <f>X173/W173-1</f>
        <v>2.4324324324324298E-2</v>
      </c>
    </row>
    <row r="174" spans="1:25" ht="15" customHeight="1">
      <c r="A174" t="s">
        <v>357</v>
      </c>
      <c r="B174" t="s">
        <v>358</v>
      </c>
      <c r="C174" s="28">
        <v>1307</v>
      </c>
      <c r="E174" t="s">
        <v>358</v>
      </c>
      <c r="F174" s="28">
        <v>1317</v>
      </c>
      <c r="G174" t="b">
        <f>IF(B174=E174,TRUE,FALSE)</f>
        <v>1</v>
      </c>
      <c r="J174" s="25">
        <f>F174-C174</f>
        <v>10</v>
      </c>
      <c r="K174" s="4">
        <f>F174/C174-1</f>
        <v>7.6511094108646649E-3</v>
      </c>
      <c r="M174" s="5">
        <v>412.16</v>
      </c>
      <c r="N174" s="5">
        <v>412.78</v>
      </c>
      <c r="Q174" s="143">
        <v>1907.71</v>
      </c>
      <c r="U174" s="130">
        <f>N174-M174</f>
        <v>0.6199999999999477</v>
      </c>
      <c r="V174" s="4">
        <f>IF(M174=0,0,N174/M174-1)</f>
        <v>1.5042701863352548E-3</v>
      </c>
      <c r="W174" s="18">
        <v>26074.65</v>
      </c>
      <c r="X174" s="18">
        <v>24120.39</v>
      </c>
      <c r="Y174" s="4">
        <f>X174/W174-1</f>
        <v>-7.494865702895348E-2</v>
      </c>
    </row>
    <row r="175" spans="1:25" ht="15" customHeight="1">
      <c r="A175" t="s">
        <v>359</v>
      </c>
      <c r="B175" t="s">
        <v>360</v>
      </c>
      <c r="C175" s="28">
        <v>1388</v>
      </c>
      <c r="E175" t="s">
        <v>360</v>
      </c>
      <c r="F175" s="28">
        <v>1400</v>
      </c>
      <c r="G175" t="b">
        <f>IF(B175=E175,TRUE,FALSE)</f>
        <v>1</v>
      </c>
      <c r="J175" s="25">
        <f>F175-C175</f>
        <v>12</v>
      </c>
      <c r="K175" s="4">
        <f>F175/C175-1</f>
        <v>8.6455331412103043E-3</v>
      </c>
      <c r="M175" s="5">
        <v>1910.23</v>
      </c>
      <c r="N175" s="5">
        <v>1503.96</v>
      </c>
      <c r="Q175" s="143">
        <v>11907.13</v>
      </c>
      <c r="U175" s="130">
        <f>N175-M175</f>
        <v>-406.27</v>
      </c>
      <c r="V175" s="4">
        <f>IF(M175=0,0,N175/M175-1)</f>
        <v>-0.21268119545813857</v>
      </c>
      <c r="W175" s="18">
        <v>33298.120000000003</v>
      </c>
      <c r="X175" s="18">
        <v>32049.56</v>
      </c>
      <c r="Y175" s="4">
        <f>X175/W175-1</f>
        <v>-3.7496411208800984E-2</v>
      </c>
    </row>
    <row r="176" spans="1:25" ht="15" customHeight="1">
      <c r="A176" s="55" t="s">
        <v>361</v>
      </c>
      <c r="B176" s="37" t="s">
        <v>362</v>
      </c>
      <c r="C176" s="28">
        <v>280</v>
      </c>
      <c r="E176" s="37" t="s">
        <v>362</v>
      </c>
      <c r="F176" s="28">
        <v>296</v>
      </c>
      <c r="G176" t="b">
        <f>IF(B176=E176,TRUE,FALSE)</f>
        <v>1</v>
      </c>
      <c r="J176" s="25">
        <f>F176-C176</f>
        <v>16</v>
      </c>
      <c r="K176" s="4">
        <f>F176/C176-1</f>
        <v>5.7142857142857162E-2</v>
      </c>
      <c r="M176" s="5">
        <v>773.63</v>
      </c>
      <c r="N176" s="5">
        <v>887.26</v>
      </c>
      <c r="Q176" s="142">
        <v>4439.78</v>
      </c>
      <c r="U176" s="130">
        <f>N176-M176</f>
        <v>113.63</v>
      </c>
      <c r="V176" s="4">
        <f>IF(M176=0,0,N176/M176-1)</f>
        <v>0.14687899900469215</v>
      </c>
      <c r="W176" s="18">
        <v>2797.2</v>
      </c>
      <c r="X176" s="18">
        <v>2911.94</v>
      </c>
      <c r="Y176" s="4">
        <f>X176/W176-1</f>
        <v>4.1019591019591184E-2</v>
      </c>
    </row>
    <row r="177" spans="1:26" ht="15" customHeight="1">
      <c r="A177" s="55" t="s">
        <v>363</v>
      </c>
      <c r="B177" s="37" t="s">
        <v>364</v>
      </c>
      <c r="C177" s="28">
        <v>48</v>
      </c>
      <c r="E177" s="37" t="s">
        <v>364</v>
      </c>
      <c r="F177" s="28">
        <v>68</v>
      </c>
      <c r="G177" t="b">
        <f>IF(B177=E177,TRUE,FALSE)</f>
        <v>1</v>
      </c>
      <c r="J177" s="25">
        <f>F177-C177</f>
        <v>20</v>
      </c>
      <c r="K177" s="4">
        <f>F177/C177-1</f>
        <v>0.41666666666666674</v>
      </c>
      <c r="M177" s="5">
        <v>165.79</v>
      </c>
      <c r="N177" s="5">
        <v>598</v>
      </c>
      <c r="Q177" s="142">
        <v>3877.02</v>
      </c>
      <c r="U177" s="130">
        <f>N177-M177</f>
        <v>432.21000000000004</v>
      </c>
      <c r="V177" s="4">
        <f>IF(M177=0,0,N177/M177-1)</f>
        <v>2.6069726762772185</v>
      </c>
      <c r="W177" s="18">
        <v>1219.52</v>
      </c>
      <c r="X177" s="18">
        <v>2039.32</v>
      </c>
      <c r="Y177" s="4"/>
    </row>
    <row r="178" spans="1:26" ht="15" customHeight="1">
      <c r="A178" s="37" t="s">
        <v>365</v>
      </c>
      <c r="B178" s="37" t="s">
        <v>366</v>
      </c>
      <c r="C178" s="28">
        <v>1000</v>
      </c>
      <c r="E178" s="37" t="s">
        <v>366</v>
      </c>
      <c r="F178" s="28">
        <v>1021</v>
      </c>
      <c r="G178" t="b">
        <f>IF(B178=E178,TRUE,FALSE)</f>
        <v>1</v>
      </c>
      <c r="J178" s="25">
        <f>F178-C178</f>
        <v>21</v>
      </c>
      <c r="K178" s="4">
        <f>F178/C178-1</f>
        <v>2.0999999999999908E-2</v>
      </c>
      <c r="M178" s="5">
        <v>1633.58</v>
      </c>
      <c r="N178" s="5">
        <v>1910.29</v>
      </c>
      <c r="Q178" s="143">
        <v>13176.92</v>
      </c>
      <c r="U178" s="130">
        <f>N178-M178</f>
        <v>276.71000000000004</v>
      </c>
      <c r="V178" s="4">
        <f>IF(M178=0,0,N178/M178-1)</f>
        <v>0.16938870456298449</v>
      </c>
      <c r="W178" s="18">
        <v>16956.02</v>
      </c>
      <c r="X178" s="18">
        <v>17346.28</v>
      </c>
      <c r="Y178" s="4">
        <f>X178/W178-1</f>
        <v>2.3016014371296967E-2</v>
      </c>
    </row>
    <row r="179" spans="1:26" ht="15" customHeight="1">
      <c r="A179" t="s">
        <v>367</v>
      </c>
      <c r="B179" t="s">
        <v>368</v>
      </c>
      <c r="C179" s="28">
        <v>704</v>
      </c>
      <c r="E179" t="s">
        <v>368</v>
      </c>
      <c r="F179" s="28">
        <v>725</v>
      </c>
      <c r="G179" t="b">
        <f>IF(B179=E179,TRUE,FALSE)</f>
        <v>1</v>
      </c>
      <c r="J179" s="25">
        <f>F179-C179</f>
        <v>21</v>
      </c>
      <c r="K179" s="4">
        <f>F179/C179-1</f>
        <v>2.9829545454545414E-2</v>
      </c>
      <c r="M179" s="5">
        <v>533.71</v>
      </c>
      <c r="N179" s="5">
        <v>647.5</v>
      </c>
      <c r="Q179" s="143">
        <v>3046.73</v>
      </c>
      <c r="U179" s="130">
        <f>N179-M179</f>
        <v>113.78999999999996</v>
      </c>
      <c r="V179" s="4">
        <f>IF(M179=0,0,N179/M179-1)</f>
        <v>0.21320567349309538</v>
      </c>
      <c r="W179" s="18">
        <v>21111.96</v>
      </c>
      <c r="X179" s="18">
        <v>21742.75</v>
      </c>
      <c r="Y179" s="4">
        <f>X179/W179-1</f>
        <v>2.9878324892620212E-2</v>
      </c>
    </row>
    <row r="180" spans="1:26" ht="15" customHeight="1">
      <c r="A180" t="s">
        <v>369</v>
      </c>
      <c r="B180" t="s">
        <v>370</v>
      </c>
      <c r="C180" s="28">
        <v>1211</v>
      </c>
      <c r="E180" t="s">
        <v>370</v>
      </c>
      <c r="F180" s="28">
        <v>1234</v>
      </c>
      <c r="G180" t="b">
        <f>IF(B180=E180,TRUE,FALSE)</f>
        <v>1</v>
      </c>
      <c r="J180" s="25">
        <f>F180-C180</f>
        <v>23</v>
      </c>
      <c r="K180" s="4">
        <f>F180/C180-1</f>
        <v>1.8992568125516085E-2</v>
      </c>
      <c r="M180" s="5">
        <v>2217.34</v>
      </c>
      <c r="N180" s="5">
        <v>2346.98</v>
      </c>
      <c r="Q180" s="143">
        <v>18903.79</v>
      </c>
      <c r="U180" s="130">
        <f>N180-M180</f>
        <v>129.63999999999987</v>
      </c>
      <c r="V180" s="4">
        <f>IF(M180=0,0,N180/M180-1)</f>
        <v>5.8466450792390878E-2</v>
      </c>
      <c r="W180" s="18">
        <v>30206.2</v>
      </c>
      <c r="X180" s="18">
        <v>30777.8</v>
      </c>
      <c r="Y180" s="4">
        <f>X180/W180-1</f>
        <v>1.8923267408677669E-2</v>
      </c>
    </row>
    <row r="181" spans="1:26" ht="15" customHeight="1">
      <c r="A181" t="s">
        <v>371</v>
      </c>
      <c r="B181" t="s">
        <v>372</v>
      </c>
      <c r="C181" s="28">
        <v>574</v>
      </c>
      <c r="E181" t="s">
        <v>372</v>
      </c>
      <c r="F181" s="28">
        <v>597</v>
      </c>
      <c r="G181" t="b">
        <f>IF(B181=E181,TRUE,FALSE)</f>
        <v>1</v>
      </c>
      <c r="J181" s="25">
        <f>F181-C181</f>
        <v>23</v>
      </c>
      <c r="K181" s="4">
        <f>F181/C181-1</f>
        <v>4.006968641114983E-2</v>
      </c>
      <c r="M181" s="5">
        <v>1463.55</v>
      </c>
      <c r="N181" s="5">
        <v>1255.4100000000001</v>
      </c>
      <c r="Q181" s="143">
        <v>5622.99</v>
      </c>
      <c r="U181" s="130">
        <f>N181-M181</f>
        <v>-208.13999999999987</v>
      </c>
      <c r="V181" s="4">
        <f>IF(M181=0,0,N181/M181-1)</f>
        <v>-0.14221584503433427</v>
      </c>
      <c r="W181" s="18">
        <v>17191.3</v>
      </c>
      <c r="X181" s="18">
        <v>17880.150000000001</v>
      </c>
      <c r="Y181" s="4">
        <f>X181/W181-1</f>
        <v>4.0069686411150052E-2</v>
      </c>
    </row>
    <row r="182" spans="1:26" ht="15" customHeight="1">
      <c r="A182" s="147" t="s">
        <v>373</v>
      </c>
      <c r="B182" s="37" t="s">
        <v>374</v>
      </c>
      <c r="C182" s="28">
        <v>4</v>
      </c>
      <c r="E182" s="37" t="s">
        <v>374</v>
      </c>
      <c r="F182" s="28">
        <v>27</v>
      </c>
      <c r="G182" t="b">
        <f>IF(B182=E182,TRUE,FALSE)</f>
        <v>1</v>
      </c>
      <c r="J182" s="25">
        <f>F182-C182</f>
        <v>23</v>
      </c>
      <c r="K182" s="4">
        <f>F182/C182-1</f>
        <v>5.75</v>
      </c>
      <c r="M182" s="5">
        <v>1.08</v>
      </c>
      <c r="N182" s="5">
        <v>318.47000000000003</v>
      </c>
      <c r="Q182" s="142">
        <v>2731.16</v>
      </c>
      <c r="U182" s="130">
        <f>N182-M182</f>
        <v>317.39000000000004</v>
      </c>
      <c r="V182" s="4">
        <f>IF(M182=0,0,N182/M182-1)</f>
        <v>293.87962962962962</v>
      </c>
      <c r="W182" s="18">
        <v>199.96</v>
      </c>
      <c r="X182" s="18">
        <v>1349.73</v>
      </c>
      <c r="Y182" s="4"/>
    </row>
    <row r="183" spans="1:26" ht="15" customHeight="1">
      <c r="A183" t="s">
        <v>375</v>
      </c>
      <c r="B183" t="s">
        <v>376</v>
      </c>
      <c r="C183" s="28">
        <v>385</v>
      </c>
      <c r="E183" t="s">
        <v>376</v>
      </c>
      <c r="F183" s="28">
        <v>409</v>
      </c>
      <c r="G183" t="b">
        <f>IF(B183=E183,TRUE,FALSE)</f>
        <v>1</v>
      </c>
      <c r="J183" s="25">
        <f>F183-C183</f>
        <v>24</v>
      </c>
      <c r="K183" s="4">
        <f>F183/C183-1</f>
        <v>6.2337662337662358E-2</v>
      </c>
      <c r="M183" s="5">
        <v>0</v>
      </c>
      <c r="N183" s="5">
        <v>0</v>
      </c>
      <c r="Q183" s="143">
        <v>0</v>
      </c>
      <c r="U183" s="130">
        <f>N183-M183</f>
        <v>0</v>
      </c>
      <c r="V183" s="4">
        <f>IF(M183=0,0,N183/M183-1)</f>
        <v>0</v>
      </c>
      <c r="W183" s="18">
        <v>6926.15</v>
      </c>
      <c r="X183" s="18">
        <v>7357.91</v>
      </c>
      <c r="Y183" s="4">
        <f>X183/W183-1</f>
        <v>6.2337662337662358E-2</v>
      </c>
    </row>
    <row r="184" spans="1:26" ht="15" customHeight="1">
      <c r="A184" s="55" t="s">
        <v>377</v>
      </c>
      <c r="B184" s="37" t="s">
        <v>378</v>
      </c>
      <c r="C184" s="28">
        <v>224</v>
      </c>
      <c r="E184" s="37" t="s">
        <v>378</v>
      </c>
      <c r="F184" s="28">
        <v>250</v>
      </c>
      <c r="G184" t="b">
        <f>IF(B184=E184,TRUE,FALSE)</f>
        <v>1</v>
      </c>
      <c r="J184" s="25">
        <f>F184-C184</f>
        <v>26</v>
      </c>
      <c r="K184" s="4">
        <f>F184/C184-1</f>
        <v>0.1160714285714286</v>
      </c>
      <c r="M184" s="5">
        <v>1098.8499999999999</v>
      </c>
      <c r="N184" s="5">
        <v>1217.4100000000001</v>
      </c>
      <c r="Q184" s="142">
        <v>7961.66</v>
      </c>
      <c r="U184" s="130">
        <f>N184-M184</f>
        <v>118.56000000000017</v>
      </c>
      <c r="V184" s="4">
        <f>IF(M184=0,0,N184/M184-1)</f>
        <v>0.10789461709969528</v>
      </c>
      <c r="W184" s="18">
        <v>4476.96</v>
      </c>
      <c r="X184" s="18">
        <v>4997.1000000000004</v>
      </c>
      <c r="Y184" s="4">
        <f>X184/W184-1</f>
        <v>0.11618151602873383</v>
      </c>
    </row>
    <row r="185" spans="1:26" ht="15" customHeight="1">
      <c r="A185" t="s">
        <v>379</v>
      </c>
      <c r="B185" t="s">
        <v>380</v>
      </c>
      <c r="C185" s="28">
        <v>1390</v>
      </c>
      <c r="E185" t="s">
        <v>380</v>
      </c>
      <c r="F185" s="28">
        <v>1417</v>
      </c>
      <c r="G185" t="b">
        <f>IF(B185=E185,TRUE,FALSE)</f>
        <v>1</v>
      </c>
      <c r="J185" s="25">
        <f>F185-C185</f>
        <v>27</v>
      </c>
      <c r="K185" s="4">
        <f>F185/C185-1</f>
        <v>1.9424460431654689E-2</v>
      </c>
      <c r="M185" s="5">
        <v>1442.9</v>
      </c>
      <c r="N185" s="5">
        <v>3239.6</v>
      </c>
      <c r="Q185" s="143">
        <v>29461.26</v>
      </c>
      <c r="U185" s="130">
        <f>N185-M185</f>
        <v>1796.6999999999998</v>
      </c>
      <c r="V185" s="4">
        <f>IF(M185=0,0,N185/M185-1)</f>
        <v>1.2452006376048232</v>
      </c>
      <c r="W185" s="18">
        <v>26266.1</v>
      </c>
      <c r="X185" s="18">
        <v>32809.629999999997</v>
      </c>
      <c r="Y185" s="4">
        <f>X185/W185-1</f>
        <v>0.24912453695067027</v>
      </c>
    </row>
    <row r="186" spans="1:26" ht="15" customHeight="1">
      <c r="A186" t="s">
        <v>381</v>
      </c>
      <c r="B186" t="s">
        <v>382</v>
      </c>
      <c r="C186" s="28">
        <v>776</v>
      </c>
      <c r="E186" t="s">
        <v>382</v>
      </c>
      <c r="F186" s="28">
        <v>803</v>
      </c>
      <c r="G186" t="b">
        <f>IF(B186=E186,TRUE,FALSE)</f>
        <v>1</v>
      </c>
      <c r="J186" s="25">
        <f>F186-C186</f>
        <v>27</v>
      </c>
      <c r="K186" s="4">
        <f>F186/C186-1</f>
        <v>3.4793814432989789E-2</v>
      </c>
      <c r="M186" s="5">
        <v>1202.67</v>
      </c>
      <c r="N186" s="5">
        <v>1769.39</v>
      </c>
      <c r="Q186" s="143">
        <v>9890.2000000000007</v>
      </c>
      <c r="U186" s="130">
        <f>N186-M186</f>
        <v>566.72</v>
      </c>
      <c r="V186" s="4">
        <f>IF(M186=0,0,N186/M186-1)</f>
        <v>0.47121820615796528</v>
      </c>
      <c r="W186" s="18">
        <v>23329.52</v>
      </c>
      <c r="X186" s="18">
        <v>24081.07</v>
      </c>
      <c r="Y186" s="4">
        <f>X186/W186-1</f>
        <v>3.2214550492251748E-2</v>
      </c>
    </row>
    <row r="187" spans="1:26" ht="15" customHeight="1">
      <c r="A187" t="s">
        <v>383</v>
      </c>
      <c r="B187" t="s">
        <v>384</v>
      </c>
      <c r="C187" s="28">
        <v>728</v>
      </c>
      <c r="E187" t="s">
        <v>384</v>
      </c>
      <c r="F187" s="28">
        <v>755</v>
      </c>
      <c r="G187" t="b">
        <f>IF(B187=E187,TRUE,FALSE)</f>
        <v>1</v>
      </c>
      <c r="J187" s="25">
        <f>F187-C187</f>
        <v>27</v>
      </c>
      <c r="K187" s="4">
        <f>F187/C187-1</f>
        <v>3.7087912087912178E-2</v>
      </c>
      <c r="M187" s="5">
        <v>1139.0999999999999</v>
      </c>
      <c r="N187" s="5">
        <v>1035.2</v>
      </c>
      <c r="Q187" s="143">
        <v>8670.0300000000007</v>
      </c>
      <c r="U187" s="130">
        <f>N187-M187</f>
        <v>-103.89999999999986</v>
      </c>
      <c r="V187" s="4">
        <f>IF(M187=0,0,N187/M187-1)</f>
        <v>-9.1212360635589351E-2</v>
      </c>
      <c r="W187" s="18">
        <v>18610.349999999999</v>
      </c>
      <c r="X187" s="18">
        <v>20338.61</v>
      </c>
      <c r="Y187" s="4">
        <f>X187/W187-1</f>
        <v>9.2865529127609259E-2</v>
      </c>
    </row>
    <row r="188" spans="1:26" ht="15" customHeight="1">
      <c r="A188" t="s">
        <v>385</v>
      </c>
      <c r="B188" t="s">
        <v>386</v>
      </c>
      <c r="C188" s="28">
        <v>1929</v>
      </c>
      <c r="E188" t="s">
        <v>386</v>
      </c>
      <c r="F188" s="28">
        <v>1958</v>
      </c>
      <c r="G188" t="b">
        <f>IF(B188=E188,TRUE,FALSE)</f>
        <v>1</v>
      </c>
      <c r="J188" s="25">
        <f>F188-C188</f>
        <v>29</v>
      </c>
      <c r="K188" s="4">
        <f>F188/C188-1</f>
        <v>1.5033696215655867E-2</v>
      </c>
      <c r="M188" s="5">
        <v>2473.38</v>
      </c>
      <c r="N188" s="5">
        <v>3038.3</v>
      </c>
      <c r="Q188" s="143">
        <v>20246.52</v>
      </c>
      <c r="U188" s="130">
        <f>N188-M188</f>
        <v>564.92000000000007</v>
      </c>
      <c r="V188" s="4">
        <f>IF(M188=0,0,N188/M188-1)</f>
        <v>0.22840000323444043</v>
      </c>
      <c r="W188" s="18">
        <v>71342.98</v>
      </c>
      <c r="X188" s="18">
        <v>62743.08</v>
      </c>
      <c r="Y188" s="4">
        <f>X188/W188-1</f>
        <v>-0.12054304431914664</v>
      </c>
      <c r="Z188" t="s">
        <v>387</v>
      </c>
    </row>
    <row r="189" spans="1:26" ht="14.25" customHeight="1">
      <c r="A189" t="s">
        <v>388</v>
      </c>
      <c r="B189" t="s">
        <v>389</v>
      </c>
      <c r="C189" s="28">
        <v>379</v>
      </c>
      <c r="E189" t="s">
        <v>389</v>
      </c>
      <c r="F189" s="28">
        <v>409</v>
      </c>
      <c r="G189" t="b">
        <f>IF(B189=E189,TRUE,FALSE)</f>
        <v>1</v>
      </c>
      <c r="J189" s="25">
        <f>F189-C189</f>
        <v>30</v>
      </c>
      <c r="K189" s="4">
        <f>F189/C189-1</f>
        <v>7.9155672823219003E-2</v>
      </c>
      <c r="M189" s="5">
        <v>595.69000000000005</v>
      </c>
      <c r="N189" s="5">
        <v>484.08</v>
      </c>
      <c r="Q189" s="143">
        <v>3585.43</v>
      </c>
      <c r="U189" s="130">
        <f>N189-M189</f>
        <v>-111.61000000000007</v>
      </c>
      <c r="V189" s="4">
        <f>IF(M189=0,0,N189/M189-1)</f>
        <v>-0.1873625543487385</v>
      </c>
      <c r="W189" s="18">
        <v>7726.75</v>
      </c>
      <c r="X189" s="18">
        <v>8970.3799999999992</v>
      </c>
      <c r="Y189" s="4">
        <f>X189/W189-1</f>
        <v>0.16095124081923173</v>
      </c>
    </row>
    <row r="190" spans="1:26" ht="15" customHeight="1">
      <c r="A190" s="55" t="s">
        <v>390</v>
      </c>
      <c r="B190" s="54" t="s">
        <v>391</v>
      </c>
      <c r="C190" s="28">
        <v>0</v>
      </c>
      <c r="E190" s="54" t="s">
        <v>391</v>
      </c>
      <c r="F190" s="28">
        <v>31</v>
      </c>
      <c r="G190" t="b">
        <f>IF(B190=E190,TRUE,FALSE)</f>
        <v>1</v>
      </c>
      <c r="J190" s="25">
        <f>F190-C190</f>
        <v>31</v>
      </c>
      <c r="K190" s="4" t="e">
        <f>F190/C190-1</f>
        <v>#DIV/0!</v>
      </c>
      <c r="N190" s="5">
        <v>3.35</v>
      </c>
      <c r="Q190" s="142">
        <v>0</v>
      </c>
      <c r="U190" s="130">
        <f>N190-M190</f>
        <v>3.35</v>
      </c>
      <c r="V190" s="4">
        <f>IF(M190=0,0,N190/M190-1)</f>
        <v>0</v>
      </c>
      <c r="W190" s="18">
        <v>0</v>
      </c>
      <c r="X190" s="18">
        <v>774.69</v>
      </c>
      <c r="Y190" s="4" t="e">
        <f>X190/W190-1</f>
        <v>#DIV/0!</v>
      </c>
    </row>
    <row r="191" spans="1:26" ht="15" customHeight="1">
      <c r="A191" t="s">
        <v>392</v>
      </c>
      <c r="B191" t="s">
        <v>393</v>
      </c>
      <c r="C191" s="28">
        <v>438</v>
      </c>
      <c r="E191" t="s">
        <v>393</v>
      </c>
      <c r="F191" s="28">
        <v>470</v>
      </c>
      <c r="G191" t="b">
        <f>IF(B191=E191,TRUE,FALSE)</f>
        <v>1</v>
      </c>
      <c r="J191" s="25">
        <f>F191-C191</f>
        <v>32</v>
      </c>
      <c r="K191" s="4">
        <f>F191/C191-1</f>
        <v>7.3059360730593603E-2</v>
      </c>
      <c r="M191" s="5">
        <v>659.74</v>
      </c>
      <c r="N191" s="5">
        <v>432.98</v>
      </c>
      <c r="Q191" s="143">
        <v>2718.15</v>
      </c>
      <c r="U191" s="130">
        <f>N191-M191</f>
        <v>-226.76</v>
      </c>
      <c r="V191" s="4">
        <f>IF(M191=0,0,N191/M191-1)</f>
        <v>-0.34371115894140114</v>
      </c>
      <c r="W191" s="18">
        <v>8744.9</v>
      </c>
      <c r="X191" s="18">
        <v>9301.82</v>
      </c>
      <c r="Y191" s="4">
        <f>X191/W191-1</f>
        <v>6.3685119326693185E-2</v>
      </c>
    </row>
    <row r="192" spans="1:26" ht="15" customHeight="1">
      <c r="A192" s="57" t="s">
        <v>394</v>
      </c>
      <c r="B192" s="37" t="s">
        <v>395</v>
      </c>
      <c r="C192" s="28">
        <v>195</v>
      </c>
      <c r="E192" s="37" t="s">
        <v>395</v>
      </c>
      <c r="F192" s="28">
        <v>229</v>
      </c>
      <c r="G192" t="b">
        <f>IF(B192=E192,TRUE,FALSE)</f>
        <v>1</v>
      </c>
      <c r="J192" s="25">
        <f>F192-C192</f>
        <v>34</v>
      </c>
      <c r="K192" s="4">
        <f>F192/C192-1</f>
        <v>0.17435897435897441</v>
      </c>
      <c r="M192" s="5">
        <v>675.68</v>
      </c>
      <c r="N192" s="5">
        <v>613.62</v>
      </c>
      <c r="Q192" s="143">
        <v>3482.21</v>
      </c>
      <c r="U192" s="130">
        <f>N192-M192</f>
        <v>-62.059999999999945</v>
      </c>
      <c r="V192" s="4">
        <f>IF(M192=0,0,N192/M192-1)</f>
        <v>-9.1848212171442012E-2</v>
      </c>
      <c r="W192" s="18">
        <v>3248.84</v>
      </c>
      <c r="X192" s="18">
        <v>3742.79</v>
      </c>
      <c r="Y192" s="4">
        <f>X192/W192-1</f>
        <v>0.15203888157003731</v>
      </c>
    </row>
    <row r="193" spans="1:25" ht="15" customHeight="1">
      <c r="A193" t="s">
        <v>396</v>
      </c>
      <c r="B193" t="s">
        <v>397</v>
      </c>
      <c r="C193" s="28">
        <v>1193</v>
      </c>
      <c r="E193" t="s">
        <v>397</v>
      </c>
      <c r="F193" s="28">
        <v>1229</v>
      </c>
      <c r="G193" t="b">
        <f>IF(B193=E193,TRUE,FALSE)</f>
        <v>1</v>
      </c>
      <c r="J193" s="25">
        <f>F193-C193</f>
        <v>36</v>
      </c>
      <c r="K193" s="4">
        <f>F193/C193-1</f>
        <v>3.0176026823135027E-2</v>
      </c>
      <c r="M193" s="5">
        <v>846.16</v>
      </c>
      <c r="N193" s="5">
        <v>676.63</v>
      </c>
      <c r="Q193" s="143">
        <v>7048.44</v>
      </c>
      <c r="U193" s="130">
        <f>N193-M193</f>
        <v>-169.52999999999997</v>
      </c>
      <c r="V193" s="4">
        <f>IF(M193=0,0,N193/M193-1)</f>
        <v>-0.20035217925687809</v>
      </c>
      <c r="W193" s="18">
        <v>41907.58</v>
      </c>
      <c r="X193" s="18">
        <v>45407.85</v>
      </c>
      <c r="Y193" s="4">
        <f>X193/W193-1</f>
        <v>8.3523553495572722E-2</v>
      </c>
    </row>
    <row r="194" spans="1:25" ht="15" customHeight="1">
      <c r="A194" t="s">
        <v>398</v>
      </c>
      <c r="B194" t="s">
        <v>399</v>
      </c>
      <c r="C194" s="28">
        <v>871</v>
      </c>
      <c r="E194" t="s">
        <v>399</v>
      </c>
      <c r="F194" s="28">
        <v>907</v>
      </c>
      <c r="G194" t="b">
        <f>IF(B194=E194,TRUE,FALSE)</f>
        <v>1</v>
      </c>
      <c r="J194" s="25">
        <f>F194-C194</f>
        <v>36</v>
      </c>
      <c r="K194" s="4">
        <f>F194/C194-1</f>
        <v>4.1331802525832462E-2</v>
      </c>
      <c r="M194" s="5">
        <v>1640.21</v>
      </c>
      <c r="N194" s="5">
        <v>2293.96</v>
      </c>
      <c r="Q194" s="143">
        <v>11622.14</v>
      </c>
      <c r="U194" s="130">
        <f>N194-M194</f>
        <v>653.75</v>
      </c>
      <c r="V194" s="4">
        <f>IF(M194=0,0,N194/M194-1)</f>
        <v>0.39857701148023739</v>
      </c>
      <c r="W194" s="18">
        <v>20010.95</v>
      </c>
      <c r="X194" s="18">
        <v>20848.71</v>
      </c>
      <c r="Y194" s="4">
        <f>X194/W194-1</f>
        <v>4.1865078869318895E-2</v>
      </c>
    </row>
    <row r="195" spans="1:25" ht="15" customHeight="1">
      <c r="A195" t="s">
        <v>400</v>
      </c>
      <c r="B195" t="s">
        <v>401</v>
      </c>
      <c r="C195" s="28">
        <v>574</v>
      </c>
      <c r="E195" t="s">
        <v>401</v>
      </c>
      <c r="F195" s="28">
        <v>610</v>
      </c>
      <c r="G195" t="b">
        <f>IF(B195=E195,TRUE,FALSE)</f>
        <v>1</v>
      </c>
      <c r="J195" s="25">
        <f>F195-C195</f>
        <v>36</v>
      </c>
      <c r="K195" s="4">
        <f>F195/C195-1</f>
        <v>6.2717770034843134E-2</v>
      </c>
      <c r="M195" s="5">
        <v>982.89</v>
      </c>
      <c r="N195" s="5">
        <v>899.93</v>
      </c>
      <c r="Q195" s="143">
        <v>5448.18</v>
      </c>
      <c r="U195" s="130">
        <f>N195-M195</f>
        <v>-82.960000000000036</v>
      </c>
      <c r="V195" s="4">
        <f>IF(M195=0,0,N195/M195-1)</f>
        <v>-8.44041550936524E-2</v>
      </c>
      <c r="W195" s="18">
        <v>14321.3</v>
      </c>
      <c r="X195" s="18">
        <v>15145.33</v>
      </c>
      <c r="Y195" s="4">
        <f>X195/W195-1</f>
        <v>5.7538770921634175E-2</v>
      </c>
    </row>
    <row r="196" spans="1:25" ht="15" customHeight="1">
      <c r="A196" t="s">
        <v>402</v>
      </c>
      <c r="B196" t="s">
        <v>403</v>
      </c>
      <c r="C196" s="28">
        <v>741</v>
      </c>
      <c r="E196" t="s">
        <v>403</v>
      </c>
      <c r="F196" s="28">
        <v>778</v>
      </c>
      <c r="G196" t="b">
        <f>IF(B196=E196,TRUE,FALSE)</f>
        <v>1</v>
      </c>
      <c r="J196" s="25">
        <f>F196-C196</f>
        <v>37</v>
      </c>
      <c r="K196" s="4">
        <f>F196/C196-1</f>
        <v>4.9932523616734059E-2</v>
      </c>
      <c r="M196" s="5">
        <v>652.9</v>
      </c>
      <c r="N196" s="5">
        <v>678.49</v>
      </c>
      <c r="Q196" s="143">
        <v>6802.95</v>
      </c>
      <c r="U196" s="130">
        <f>N196-M196</f>
        <v>25.590000000000032</v>
      </c>
      <c r="V196" s="4">
        <f>IF(M196=0,0,N196/M196-1)</f>
        <v>3.9194363608515914E-2</v>
      </c>
      <c r="W196" s="18">
        <v>22185.15</v>
      </c>
      <c r="X196" s="18">
        <v>23294.799999999999</v>
      </c>
      <c r="Y196" s="4">
        <f>X196/W196-1</f>
        <v>5.0017692014703519E-2</v>
      </c>
    </row>
    <row r="197" spans="1:25" ht="15" customHeight="1">
      <c r="A197" t="s">
        <v>404</v>
      </c>
      <c r="B197" t="s">
        <v>405</v>
      </c>
      <c r="C197" s="28">
        <v>724</v>
      </c>
      <c r="E197" t="s">
        <v>405</v>
      </c>
      <c r="F197" s="28">
        <v>764</v>
      </c>
      <c r="G197" t="b">
        <f>IF(B197=E197,TRUE,FALSE)</f>
        <v>1</v>
      </c>
      <c r="J197" s="25">
        <f>F197-C197</f>
        <v>40</v>
      </c>
      <c r="K197" s="4">
        <f>F197/C197-1</f>
        <v>5.5248618784530468E-2</v>
      </c>
      <c r="M197" s="5">
        <v>1577.88</v>
      </c>
      <c r="N197" s="5">
        <v>1382.28</v>
      </c>
      <c r="Q197" s="143">
        <v>9033.5</v>
      </c>
      <c r="U197" s="130">
        <f>N197-M197</f>
        <v>-195.60000000000014</v>
      </c>
      <c r="V197" s="4">
        <f>IF(M197=0,0,N197/M197-1)</f>
        <v>-0.12396379952848136</v>
      </c>
      <c r="W197" s="18">
        <v>11576.76</v>
      </c>
      <c r="X197" s="18">
        <v>12672.81</v>
      </c>
      <c r="Y197" s="4">
        <f>X197/W197-1</f>
        <v>9.4676748934935162E-2</v>
      </c>
    </row>
    <row r="198" spans="1:25" ht="15" customHeight="1">
      <c r="A198" t="s">
        <v>406</v>
      </c>
      <c r="B198" t="s">
        <v>407</v>
      </c>
      <c r="C198" s="28">
        <v>441</v>
      </c>
      <c r="E198" t="s">
        <v>407</v>
      </c>
      <c r="F198" s="28">
        <v>481</v>
      </c>
      <c r="G198" t="b">
        <f>IF(B198=E198,TRUE,FALSE)</f>
        <v>1</v>
      </c>
      <c r="J198" s="25">
        <f>F198-C198</f>
        <v>40</v>
      </c>
      <c r="K198" s="4">
        <f>F198/C198-1</f>
        <v>9.0702947845805015E-2</v>
      </c>
      <c r="M198" s="5">
        <v>0</v>
      </c>
      <c r="N198" s="5">
        <v>0</v>
      </c>
      <c r="Q198" s="143">
        <v>0</v>
      </c>
      <c r="U198" s="130">
        <f>N198-M198</f>
        <v>0</v>
      </c>
      <c r="V198" s="4">
        <f>IF(M198=0,0,N198/M198-1)</f>
        <v>0</v>
      </c>
      <c r="W198" s="18">
        <v>10561.95</v>
      </c>
      <c r="X198" s="18">
        <v>11517.95</v>
      </c>
      <c r="Y198" s="4">
        <f>X198/W198-1</f>
        <v>9.0513588873266659E-2</v>
      </c>
    </row>
    <row r="199" spans="1:25" ht="15" customHeight="1">
      <c r="A199" t="s">
        <v>408</v>
      </c>
      <c r="B199" t="s">
        <v>409</v>
      </c>
      <c r="C199" s="28">
        <v>1962</v>
      </c>
      <c r="E199" t="s">
        <v>409</v>
      </c>
      <c r="F199" s="28">
        <v>2004</v>
      </c>
      <c r="G199" t="b">
        <f>IF(B199=E199,TRUE,FALSE)</f>
        <v>1</v>
      </c>
      <c r="J199" s="25">
        <f>F199-C199</f>
        <v>42</v>
      </c>
      <c r="K199" s="4">
        <f>F199/C199-1</f>
        <v>2.1406727828746197E-2</v>
      </c>
      <c r="M199" s="5">
        <v>2708.35</v>
      </c>
      <c r="N199" s="5">
        <v>1533.18</v>
      </c>
      <c r="Q199" s="143">
        <v>8133.78</v>
      </c>
      <c r="U199" s="130">
        <f>N199-M199</f>
        <v>-1175.1699999999998</v>
      </c>
      <c r="V199" s="4">
        <f>IF(M199=0,0,N199/M199-1)</f>
        <v>-0.43390625288459761</v>
      </c>
      <c r="W199" s="18">
        <v>50854.22</v>
      </c>
      <c r="X199" s="18">
        <v>51862.91</v>
      </c>
      <c r="Y199" s="4">
        <f>X199/W199-1</f>
        <v>1.9834932086265411E-2</v>
      </c>
    </row>
    <row r="200" spans="1:25" ht="15" customHeight="1">
      <c r="A200" t="s">
        <v>410</v>
      </c>
      <c r="B200" t="s">
        <v>411</v>
      </c>
      <c r="C200" s="28">
        <v>463</v>
      </c>
      <c r="E200" t="s">
        <v>411</v>
      </c>
      <c r="F200" s="28">
        <v>509</v>
      </c>
      <c r="G200" t="b">
        <f>IF(B200=E200,TRUE,FALSE)</f>
        <v>1</v>
      </c>
      <c r="J200" s="25">
        <f>F200-C200</f>
        <v>46</v>
      </c>
      <c r="K200" s="4">
        <f>F200/C200-1</f>
        <v>9.935205183585305E-2</v>
      </c>
      <c r="M200" s="5">
        <v>895.99</v>
      </c>
      <c r="N200" s="5">
        <v>1048.75</v>
      </c>
      <c r="Q200" s="143">
        <v>5944.79</v>
      </c>
      <c r="U200" s="130">
        <f>N200-M200</f>
        <v>152.76</v>
      </c>
      <c r="V200" s="4">
        <f>IF(M200=0,0,N200/M200-1)</f>
        <v>0.17049297425194476</v>
      </c>
      <c r="W200" s="18">
        <v>7403.37</v>
      </c>
      <c r="X200" s="18">
        <v>8138.75</v>
      </c>
      <c r="Y200" s="4">
        <f>X200/W200-1</f>
        <v>9.9330440056352831E-2</v>
      </c>
    </row>
    <row r="201" spans="1:25" ht="15" customHeight="1">
      <c r="A201" s="148" t="s">
        <v>412</v>
      </c>
      <c r="B201" s="149" t="s">
        <v>413</v>
      </c>
      <c r="C201" s="28">
        <v>0</v>
      </c>
      <c r="E201" s="149" t="s">
        <v>413</v>
      </c>
      <c r="F201" s="28">
        <v>46</v>
      </c>
      <c r="G201" t="b">
        <f>IF(B201=E201,TRUE,FALSE)</f>
        <v>1</v>
      </c>
      <c r="J201" s="25">
        <f>F201-C201</f>
        <v>46</v>
      </c>
      <c r="K201" s="4" t="e">
        <f>F201/C201-1</f>
        <v>#DIV/0!</v>
      </c>
      <c r="N201" s="5">
        <v>115.96</v>
      </c>
      <c r="Q201" s="142">
        <v>810.12</v>
      </c>
      <c r="U201" s="130">
        <f>N201-M201</f>
        <v>115.96</v>
      </c>
      <c r="V201" s="4">
        <f>IF(M201=0,0,N201/M201-1)</f>
        <v>0</v>
      </c>
      <c r="W201" s="18">
        <v>0</v>
      </c>
      <c r="X201" s="18">
        <v>1224.29</v>
      </c>
      <c r="Y201" s="4" t="e">
        <f>X201/W201-1</f>
        <v>#DIV/0!</v>
      </c>
    </row>
    <row r="202" spans="1:25" ht="15" customHeight="1">
      <c r="A202" t="s">
        <v>414</v>
      </c>
      <c r="B202" t="s">
        <v>415</v>
      </c>
      <c r="C202" s="28">
        <v>321</v>
      </c>
      <c r="E202" t="s">
        <v>415</v>
      </c>
      <c r="F202" s="28">
        <v>368</v>
      </c>
      <c r="G202" t="b">
        <f>IF(B202=E202,TRUE,FALSE)</f>
        <v>1</v>
      </c>
      <c r="J202" s="25">
        <f>F202-C202</f>
        <v>47</v>
      </c>
      <c r="K202" s="4">
        <f>F202/C202-1</f>
        <v>0.14641744548286595</v>
      </c>
      <c r="M202" s="5">
        <v>306.20999999999998</v>
      </c>
      <c r="N202" s="5">
        <v>338.91</v>
      </c>
      <c r="Q202" s="143">
        <v>2627.11</v>
      </c>
      <c r="U202" s="130">
        <f>N202-M202</f>
        <v>32.700000000000045</v>
      </c>
      <c r="V202" s="4">
        <f>IF(M202=0,0,N202/M202-1)</f>
        <v>0.10678945821495067</v>
      </c>
      <c r="W202" s="18">
        <v>7687.95</v>
      </c>
      <c r="X202" s="18">
        <v>8813.6</v>
      </c>
      <c r="Y202" s="4">
        <f>X202/W202-1</f>
        <v>0.14641744548286617</v>
      </c>
    </row>
    <row r="203" spans="1:25" ht="15" customHeight="1">
      <c r="A203" s="37" t="s">
        <v>416</v>
      </c>
      <c r="B203" s="37" t="s">
        <v>417</v>
      </c>
      <c r="C203" s="28">
        <v>1307</v>
      </c>
      <c r="E203" s="37" t="s">
        <v>417</v>
      </c>
      <c r="F203" s="28">
        <v>1356</v>
      </c>
      <c r="G203" t="b">
        <f>IF(B203=E203,TRUE,FALSE)</f>
        <v>1</v>
      </c>
      <c r="J203" s="25">
        <f>F203-C203</f>
        <v>49</v>
      </c>
      <c r="K203" s="4">
        <f>F203/C203-1</f>
        <v>3.7490436113236436E-2</v>
      </c>
      <c r="M203" s="5">
        <v>3104.91</v>
      </c>
      <c r="N203" s="5">
        <v>3098.58</v>
      </c>
      <c r="Q203" s="143">
        <v>17595.88</v>
      </c>
      <c r="U203" s="130">
        <f>N203-M203</f>
        <v>-6.3299999999999272</v>
      </c>
      <c r="V203" s="4">
        <f>IF(M203=0,0,N203/M203-1)</f>
        <v>-2.0387064359352891E-3</v>
      </c>
      <c r="W203" s="18">
        <v>24380.46</v>
      </c>
      <c r="X203" s="18">
        <v>28050.38</v>
      </c>
      <c r="Y203" s="4">
        <f>X203/W203-1</f>
        <v>0.15052710244187351</v>
      </c>
    </row>
    <row r="204" spans="1:25" ht="15" customHeight="1">
      <c r="A204" t="s">
        <v>418</v>
      </c>
      <c r="B204" t="s">
        <v>419</v>
      </c>
      <c r="C204" s="28">
        <v>1255</v>
      </c>
      <c r="E204" t="s">
        <v>419</v>
      </c>
      <c r="F204" s="28">
        <v>1306</v>
      </c>
      <c r="G204" t="b">
        <f>IF(B204=E204,TRUE,FALSE)</f>
        <v>1</v>
      </c>
      <c r="J204" s="25">
        <f>F204-C204</f>
        <v>51</v>
      </c>
      <c r="K204" s="4">
        <f>F204/C204-1</f>
        <v>4.0637450199203284E-2</v>
      </c>
      <c r="M204" s="5">
        <v>1848.64</v>
      </c>
      <c r="N204" s="5">
        <v>2052.83</v>
      </c>
      <c r="Q204" s="143">
        <v>15019.34</v>
      </c>
      <c r="U204" s="130">
        <f>N204-M204</f>
        <v>204.18999999999983</v>
      </c>
      <c r="V204" s="4">
        <f>IF(M204=0,0,N204/M204-1)</f>
        <v>0.11045417171542304</v>
      </c>
      <c r="W204" s="18">
        <v>37637.449999999997</v>
      </c>
      <c r="X204" s="18">
        <v>39166.94</v>
      </c>
      <c r="Y204" s="4">
        <f>X204/W204-1</f>
        <v>4.0637450199203284E-2</v>
      </c>
    </row>
    <row r="205" spans="1:25" ht="15" customHeight="1">
      <c r="A205" t="s">
        <v>420</v>
      </c>
      <c r="B205" t="s">
        <v>421</v>
      </c>
      <c r="C205" s="28">
        <v>1007</v>
      </c>
      <c r="E205" t="s">
        <v>421</v>
      </c>
      <c r="F205" s="28">
        <v>1058</v>
      </c>
      <c r="G205" t="b">
        <f>IF(B205=E205,TRUE,FALSE)</f>
        <v>1</v>
      </c>
      <c r="J205" s="25">
        <f>F205-C205</f>
        <v>51</v>
      </c>
      <c r="K205" s="4">
        <f>F205/C205-1</f>
        <v>5.064548162859972E-2</v>
      </c>
      <c r="M205" s="5">
        <v>1611.94</v>
      </c>
      <c r="N205" s="5">
        <v>1789.9699999999998</v>
      </c>
      <c r="Q205" s="143">
        <v>11784.89</v>
      </c>
      <c r="U205" s="130">
        <f>N205-M205</f>
        <v>178.02999999999975</v>
      </c>
      <c r="V205" s="4">
        <f>IF(M205=0,0,N205/M205-1)</f>
        <v>0.11044455748973281</v>
      </c>
      <c r="W205" s="18">
        <v>29729.99</v>
      </c>
      <c r="X205" s="18">
        <v>30700.33</v>
      </c>
      <c r="Y205" s="4">
        <f>X205/W205-1</f>
        <v>3.2638423356348145E-2</v>
      </c>
    </row>
    <row r="206" spans="1:25" ht="15" customHeight="1">
      <c r="A206" t="s">
        <v>422</v>
      </c>
      <c r="B206" t="s">
        <v>423</v>
      </c>
      <c r="C206" s="28">
        <v>0</v>
      </c>
      <c r="E206" t="s">
        <v>423</v>
      </c>
      <c r="F206" s="28">
        <v>51</v>
      </c>
      <c r="G206" t="b">
        <f>IF(B206=E206,TRUE,FALSE)</f>
        <v>1</v>
      </c>
      <c r="J206" s="25">
        <f>F206-C206</f>
        <v>51</v>
      </c>
      <c r="K206" s="4" t="e">
        <f>F206/C206-1</f>
        <v>#DIV/0!</v>
      </c>
      <c r="M206" s="5">
        <v>0</v>
      </c>
      <c r="N206" s="5">
        <v>57.46</v>
      </c>
      <c r="Q206" s="143">
        <v>213.88</v>
      </c>
      <c r="U206" s="130">
        <f>N206-M206</f>
        <v>57.46</v>
      </c>
      <c r="V206" s="4">
        <f>IF(M206=0,0,N206/M206-1)</f>
        <v>0</v>
      </c>
      <c r="W206" s="18">
        <v>0</v>
      </c>
      <c r="X206" s="18">
        <v>1358.13</v>
      </c>
      <c r="Y206" s="4" t="e">
        <f>X206/W206-1</f>
        <v>#DIV/0!</v>
      </c>
    </row>
    <row r="207" spans="1:25" ht="15" customHeight="1">
      <c r="A207" s="55" t="s">
        <v>424</v>
      </c>
      <c r="B207" s="37" t="s">
        <v>425</v>
      </c>
      <c r="C207" s="28">
        <v>882</v>
      </c>
      <c r="E207" s="37" t="s">
        <v>425</v>
      </c>
      <c r="F207" s="28">
        <v>934</v>
      </c>
      <c r="G207" t="b">
        <f>IF(B207=E207,TRUE,FALSE)</f>
        <v>1</v>
      </c>
      <c r="J207" s="25">
        <f>F207-C207</f>
        <v>52</v>
      </c>
      <c r="K207" s="4">
        <f>F207/C207-1</f>
        <v>5.895691609977316E-2</v>
      </c>
      <c r="M207" s="5">
        <v>3187.24</v>
      </c>
      <c r="N207" s="5">
        <v>2569.17</v>
      </c>
      <c r="Q207" s="143">
        <v>16566.48</v>
      </c>
      <c r="U207" s="130">
        <f>N207-M207</f>
        <v>-618.06999999999971</v>
      </c>
      <c r="V207" s="4">
        <f>IF(M207=0,0,N207/M207-1)</f>
        <v>-0.19392013152445364</v>
      </c>
      <c r="W207" s="18">
        <v>19857.419999999998</v>
      </c>
      <c r="X207" s="18">
        <v>20178.98</v>
      </c>
      <c r="Y207" s="4">
        <f>X207/W207-1</f>
        <v>1.6193443055543044E-2</v>
      </c>
    </row>
    <row r="208" spans="1:25" ht="15" customHeight="1">
      <c r="A208" t="s">
        <v>426</v>
      </c>
      <c r="B208" t="s">
        <v>427</v>
      </c>
      <c r="C208" s="28">
        <v>761</v>
      </c>
      <c r="E208" t="s">
        <v>427</v>
      </c>
      <c r="F208" s="28">
        <v>814</v>
      </c>
      <c r="G208" t="b">
        <f>IF(B208=E208,TRUE,FALSE)</f>
        <v>1</v>
      </c>
      <c r="J208" s="25">
        <f>F208-C208</f>
        <v>53</v>
      </c>
      <c r="K208" s="4">
        <f>F208/C208-1</f>
        <v>6.9645203679369327E-2</v>
      </c>
      <c r="M208" s="5">
        <v>738.6</v>
      </c>
      <c r="N208" s="5">
        <v>956.95</v>
      </c>
      <c r="Q208" s="143">
        <v>7613.45</v>
      </c>
      <c r="U208" s="130">
        <f>N208-M208</f>
        <v>218.35000000000002</v>
      </c>
      <c r="V208" s="4">
        <f>IF(M208=0,0,N208/M208-1)</f>
        <v>0.29562686163011098</v>
      </c>
      <c r="W208" s="18">
        <v>22786.25</v>
      </c>
      <c r="X208" s="18">
        <v>24375.4</v>
      </c>
      <c r="Y208" s="4">
        <f>X208/W208-1</f>
        <v>6.9741620494816026E-2</v>
      </c>
    </row>
    <row r="209" spans="1:25" ht="15" customHeight="1">
      <c r="A209" s="57" t="s">
        <v>428</v>
      </c>
      <c r="B209" s="27" t="s">
        <v>429</v>
      </c>
      <c r="C209" s="28">
        <v>2590</v>
      </c>
      <c r="E209" s="27" t="s">
        <v>429</v>
      </c>
      <c r="F209" s="28">
        <v>2645</v>
      </c>
      <c r="G209" t="b">
        <f>IF(B209=E209,TRUE,FALSE)</f>
        <v>1</v>
      </c>
      <c r="J209" s="25">
        <f>F209-C209</f>
        <v>55</v>
      </c>
      <c r="K209" s="4">
        <f>F209/C209-1</f>
        <v>2.1235521235521304E-2</v>
      </c>
      <c r="M209" s="5">
        <v>5373.83</v>
      </c>
      <c r="N209" s="5">
        <v>5329.42</v>
      </c>
      <c r="Q209" s="142">
        <v>28333.69</v>
      </c>
      <c r="U209" s="130">
        <f>N209-M209</f>
        <v>-44.409999999999854</v>
      </c>
      <c r="V209" s="4">
        <f>IF(M209=0,0,N209/M209-1)</f>
        <v>-8.2641244698845595E-3</v>
      </c>
      <c r="W209" s="18">
        <v>55376.1</v>
      </c>
      <c r="X209" s="18">
        <v>63434.91</v>
      </c>
      <c r="Y209" s="4">
        <f>X209/W209-1</f>
        <v>0.14552866669917175</v>
      </c>
    </row>
    <row r="210" spans="1:25" ht="15" customHeight="1">
      <c r="A210" t="s">
        <v>430</v>
      </c>
      <c r="B210" t="s">
        <v>431</v>
      </c>
      <c r="C210" s="28">
        <v>581</v>
      </c>
      <c r="E210" t="s">
        <v>431</v>
      </c>
      <c r="F210" s="28">
        <v>636</v>
      </c>
      <c r="G210" t="b">
        <f>IF(B210=E210,TRUE,FALSE)</f>
        <v>1</v>
      </c>
      <c r="J210" s="25">
        <f>F210-C210</f>
        <v>55</v>
      </c>
      <c r="K210" s="4">
        <f>F210/C210-1</f>
        <v>9.4664371772805511E-2</v>
      </c>
      <c r="M210" s="5">
        <v>999.3</v>
      </c>
      <c r="N210" s="5">
        <v>1043.8800000000001</v>
      </c>
      <c r="Q210" s="143">
        <v>6708.87</v>
      </c>
      <c r="U210" s="130">
        <f>N210-M210</f>
        <v>44.580000000000155</v>
      </c>
      <c r="V210" s="4">
        <f>IF(M210=0,0,N210/M210-1)</f>
        <v>4.461122785950189E-2</v>
      </c>
      <c r="W210" s="18">
        <v>16838.84</v>
      </c>
      <c r="X210" s="18">
        <v>18435.03</v>
      </c>
      <c r="Y210" s="4">
        <f>X210/W210-1</f>
        <v>9.4792159079841509E-2</v>
      </c>
    </row>
    <row r="211" spans="1:25" ht="15" customHeight="1">
      <c r="A211" t="s">
        <v>432</v>
      </c>
      <c r="B211" t="s">
        <v>433</v>
      </c>
      <c r="C211" s="28">
        <v>359</v>
      </c>
      <c r="E211" t="s">
        <v>433</v>
      </c>
      <c r="F211" s="28">
        <v>414</v>
      </c>
      <c r="G211" t="b">
        <f>IF(B211=E211,TRUE,FALSE)</f>
        <v>1</v>
      </c>
      <c r="J211" s="25">
        <f>F211-C211</f>
        <v>55</v>
      </c>
      <c r="K211" s="4">
        <f>F211/C211-1</f>
        <v>0.15320334261838431</v>
      </c>
      <c r="M211" s="5">
        <v>416.77</v>
      </c>
      <c r="N211" s="5">
        <v>377.23</v>
      </c>
      <c r="Q211" s="143">
        <v>2271.06</v>
      </c>
      <c r="U211" s="130">
        <f>N211-M211</f>
        <v>-39.539999999999964</v>
      </c>
      <c r="V211" s="4">
        <f>IF(M211=0,0,N211/M211-1)</f>
        <v>-9.4872471627036381E-2</v>
      </c>
      <c r="W211" s="18">
        <v>7880.05</v>
      </c>
      <c r="X211" s="18">
        <v>9087.2999999999993</v>
      </c>
      <c r="Y211" s="4">
        <f>X211/W211-1</f>
        <v>0.15320334261838431</v>
      </c>
    </row>
    <row r="212" spans="1:25" ht="15" customHeight="1">
      <c r="A212" t="s">
        <v>434</v>
      </c>
      <c r="B212" t="s">
        <v>435</v>
      </c>
      <c r="C212" s="28">
        <v>357</v>
      </c>
      <c r="E212" t="s">
        <v>435</v>
      </c>
      <c r="F212" s="28">
        <v>413</v>
      </c>
      <c r="G212" t="b">
        <f>IF(B212=E212,TRUE,FALSE)</f>
        <v>1</v>
      </c>
      <c r="J212" s="25">
        <f>F212-C212</f>
        <v>56</v>
      </c>
      <c r="K212" s="4">
        <f>F212/C212-1</f>
        <v>0.15686274509803932</v>
      </c>
      <c r="M212" s="5">
        <v>461.04</v>
      </c>
      <c r="N212" s="5">
        <v>500.71</v>
      </c>
      <c r="Q212" s="143">
        <v>3824.13</v>
      </c>
      <c r="U212" s="130">
        <f>N212-M212</f>
        <v>39.669999999999959</v>
      </c>
      <c r="V212" s="4">
        <f>IF(M212=0,0,N212/M212-1)</f>
        <v>8.6044594829082E-2</v>
      </c>
      <c r="W212" s="18">
        <v>17832.150000000001</v>
      </c>
      <c r="X212" s="18">
        <v>20629.349999999999</v>
      </c>
      <c r="Y212" s="4">
        <f>X212/W212-1</f>
        <v>0.1568627450980391</v>
      </c>
    </row>
    <row r="213" spans="1:25" ht="15" customHeight="1">
      <c r="A213" t="s">
        <v>436</v>
      </c>
      <c r="B213" t="s">
        <v>437</v>
      </c>
      <c r="C213" s="28">
        <v>2407</v>
      </c>
      <c r="E213" t="s">
        <v>437</v>
      </c>
      <c r="F213" s="28">
        <v>2464</v>
      </c>
      <c r="G213" t="b">
        <f>IF(B213=E213,TRUE,FALSE)</f>
        <v>1</v>
      </c>
      <c r="J213" s="25">
        <f>F213-C213</f>
        <v>57</v>
      </c>
      <c r="K213" s="4">
        <f>F213/C213-1</f>
        <v>2.3680930619027762E-2</v>
      </c>
      <c r="M213" s="5">
        <v>5139.7700000000004</v>
      </c>
      <c r="N213" s="5">
        <v>5303.9</v>
      </c>
      <c r="Q213" s="143">
        <v>36496.01</v>
      </c>
      <c r="U213" s="130">
        <f>N213-M213</f>
        <v>164.1299999999992</v>
      </c>
      <c r="V213" s="4">
        <f>IF(M213=0,0,N213/M213-1)</f>
        <v>3.1933335538360419E-2</v>
      </c>
      <c r="W213" s="18">
        <v>60040.4</v>
      </c>
      <c r="X213" s="18">
        <v>61024.43</v>
      </c>
      <c r="Y213" s="4">
        <f>X213/W213-1</f>
        <v>1.6389464427285505E-2</v>
      </c>
    </row>
    <row r="214" spans="1:25" ht="15" customHeight="1">
      <c r="A214" t="s">
        <v>438</v>
      </c>
      <c r="B214" t="s">
        <v>439</v>
      </c>
      <c r="C214" s="28">
        <v>1439</v>
      </c>
      <c r="E214" t="s">
        <v>439</v>
      </c>
      <c r="F214" s="28">
        <v>1496</v>
      </c>
      <c r="G214" t="b">
        <f>IF(B214=E214,TRUE,FALSE)</f>
        <v>1</v>
      </c>
      <c r="J214" s="25">
        <f>F214-C214</f>
        <v>57</v>
      </c>
      <c r="K214" s="4">
        <f>F214/C214-1</f>
        <v>3.9610840861709518E-2</v>
      </c>
      <c r="M214" s="5">
        <v>1855.32</v>
      </c>
      <c r="N214" s="5">
        <v>1829.63</v>
      </c>
      <c r="Q214" s="143">
        <v>14012.38</v>
      </c>
      <c r="U214" s="130">
        <f>N214-M214</f>
        <v>-25.689999999999827</v>
      </c>
      <c r="V214" s="4">
        <f>IF(M214=0,0,N214/M214-1)</f>
        <v>-1.3846667960243919E-2</v>
      </c>
      <c r="W214" s="18">
        <v>43106.720000000001</v>
      </c>
      <c r="X214" s="18">
        <v>44846.14</v>
      </c>
      <c r="Y214" s="4">
        <f>X214/W214-1</f>
        <v>4.0351481161173819E-2</v>
      </c>
    </row>
    <row r="215" spans="1:25" ht="15" customHeight="1">
      <c r="A215" t="s">
        <v>440</v>
      </c>
      <c r="B215" t="s">
        <v>441</v>
      </c>
      <c r="C215" s="28">
        <v>1977</v>
      </c>
      <c r="E215" t="s">
        <v>441</v>
      </c>
      <c r="F215" s="28">
        <v>2035</v>
      </c>
      <c r="G215" t="b">
        <f>IF(B215=E215,TRUE,FALSE)</f>
        <v>1</v>
      </c>
      <c r="J215" s="25">
        <f>F215-C215</f>
        <v>58</v>
      </c>
      <c r="K215" s="4">
        <f>F215/C215-1</f>
        <v>2.9337379868487501E-2</v>
      </c>
      <c r="M215" s="5">
        <v>2414.6799999999998</v>
      </c>
      <c r="N215" s="5">
        <v>2523.4</v>
      </c>
      <c r="Q215" s="143">
        <v>14574.02</v>
      </c>
      <c r="U215" s="130">
        <f>N215-M215</f>
        <v>108.72000000000025</v>
      </c>
      <c r="V215" s="4">
        <f>IF(M215=0,0,N215/M215-1)</f>
        <v>4.5024599532857534E-2</v>
      </c>
      <c r="W215" s="18">
        <v>39450.11</v>
      </c>
      <c r="X215" s="18">
        <v>44226.27</v>
      </c>
      <c r="Y215" s="4">
        <f>X215/W215-1</f>
        <v>0.12106835697036078</v>
      </c>
    </row>
    <row r="216" spans="1:25" ht="15" customHeight="1">
      <c r="A216" t="s">
        <v>442</v>
      </c>
      <c r="B216" t="s">
        <v>443</v>
      </c>
      <c r="C216" s="28">
        <v>784</v>
      </c>
      <c r="E216" t="s">
        <v>443</v>
      </c>
      <c r="F216" s="28">
        <v>843</v>
      </c>
      <c r="G216" t="b">
        <f>IF(B216=E216,TRUE,FALSE)</f>
        <v>1</v>
      </c>
      <c r="J216" s="25">
        <f>F216-C216</f>
        <v>59</v>
      </c>
      <c r="K216" s="4">
        <f>F216/C216-1</f>
        <v>7.5255102040816313E-2</v>
      </c>
      <c r="M216" s="5">
        <v>525.58000000000004</v>
      </c>
      <c r="N216" s="5">
        <v>459.4</v>
      </c>
      <c r="Q216" s="143">
        <v>2702.29</v>
      </c>
      <c r="U216" s="130">
        <f>N216-M216</f>
        <v>-66.180000000000064</v>
      </c>
      <c r="V216" s="4">
        <f>IF(M216=0,0,N216/M216-1)</f>
        <v>-0.12591803341070829</v>
      </c>
      <c r="W216" s="18">
        <v>15640.8</v>
      </c>
      <c r="X216" s="18">
        <v>16817.849999999999</v>
      </c>
      <c r="Y216" s="4">
        <f>X216/W216-1</f>
        <v>7.5255102040816313E-2</v>
      </c>
    </row>
    <row r="217" spans="1:25" ht="15" customHeight="1">
      <c r="A217" t="s">
        <v>444</v>
      </c>
      <c r="B217" t="s">
        <v>445</v>
      </c>
      <c r="C217" s="28">
        <v>740</v>
      </c>
      <c r="E217" t="s">
        <v>445</v>
      </c>
      <c r="F217" s="28">
        <v>799</v>
      </c>
      <c r="G217" t="b">
        <f>IF(B217=E217,TRUE,FALSE)</f>
        <v>1</v>
      </c>
      <c r="J217" s="25">
        <f>F217-C217</f>
        <v>59</v>
      </c>
      <c r="K217" s="4">
        <f>F217/C217-1</f>
        <v>7.9729729729729693E-2</v>
      </c>
      <c r="M217" s="5">
        <v>1623.29</v>
      </c>
      <c r="N217" s="5">
        <v>1631.96</v>
      </c>
      <c r="Q217" s="143">
        <v>8742.31</v>
      </c>
      <c r="U217" s="130">
        <f>N217-M217</f>
        <v>8.6700000000000728</v>
      </c>
      <c r="V217" s="4">
        <f>IF(M217=0,0,N217/M217-1)</f>
        <v>5.3410049960267436E-3</v>
      </c>
      <c r="W217" s="18">
        <v>14019.96</v>
      </c>
      <c r="X217" s="18">
        <v>15138.96</v>
      </c>
      <c r="Y217" s="4">
        <f>X217/W217-1</f>
        <v>7.9814778358854088E-2</v>
      </c>
    </row>
    <row r="218" spans="1:25" ht="15" customHeight="1">
      <c r="A218" s="55" t="s">
        <v>446</v>
      </c>
      <c r="B218" s="37" t="s">
        <v>447</v>
      </c>
      <c r="C218" s="28">
        <v>0</v>
      </c>
      <c r="E218" s="37" t="s">
        <v>447</v>
      </c>
      <c r="F218" s="28">
        <v>60</v>
      </c>
      <c r="G218" t="b">
        <f>IF(B218=E218,TRUE,FALSE)</f>
        <v>1</v>
      </c>
      <c r="J218" s="25">
        <f>F218-C218</f>
        <v>60</v>
      </c>
      <c r="K218" s="4" t="e">
        <f>F218/C218-1</f>
        <v>#DIV/0!</v>
      </c>
      <c r="M218" s="5">
        <v>0</v>
      </c>
      <c r="N218" s="5">
        <v>181</v>
      </c>
      <c r="Q218" s="142">
        <v>1235.8499999999999</v>
      </c>
      <c r="U218" s="130">
        <f>N218-M218</f>
        <v>181</v>
      </c>
      <c r="V218" s="4">
        <f>IF(M218=0,0,N218/M218-1)</f>
        <v>0</v>
      </c>
      <c r="W218" s="18">
        <v>0</v>
      </c>
      <c r="X218" s="18">
        <v>2399</v>
      </c>
      <c r="Y218" s="4"/>
    </row>
    <row r="219" spans="1:25" ht="15" customHeight="1">
      <c r="A219" t="s">
        <v>448</v>
      </c>
      <c r="B219" t="s">
        <v>449</v>
      </c>
      <c r="C219" s="28">
        <v>1712</v>
      </c>
      <c r="E219" t="s">
        <v>449</v>
      </c>
      <c r="F219" s="28">
        <v>1773</v>
      </c>
      <c r="G219" t="b">
        <f>IF(B219=E219,TRUE,FALSE)</f>
        <v>1</v>
      </c>
      <c r="J219" s="25">
        <f>F219-C219</f>
        <v>61</v>
      </c>
      <c r="K219" s="4">
        <f>F219/C219-1</f>
        <v>3.5630841121495394E-2</v>
      </c>
      <c r="M219" s="5">
        <v>3197.89</v>
      </c>
      <c r="N219" s="5">
        <v>3295.87</v>
      </c>
      <c r="Q219" s="143">
        <v>19674.060000000001</v>
      </c>
      <c r="U219" s="130">
        <f>N219-M219</f>
        <v>97.980000000000018</v>
      </c>
      <c r="V219" s="4">
        <f>IF(M219=0,0,N219/M219-1)</f>
        <v>3.0638952559343791E-2</v>
      </c>
      <c r="W219" s="18">
        <v>51124.22</v>
      </c>
      <c r="X219" s="18">
        <v>52207.69</v>
      </c>
      <c r="Y219" s="4">
        <f>X219/W219-1</f>
        <v>2.1192890571239964E-2</v>
      </c>
    </row>
    <row r="220" spans="1:25" ht="15" customHeight="1">
      <c r="A220" t="s">
        <v>450</v>
      </c>
      <c r="B220" t="s">
        <v>451</v>
      </c>
      <c r="C220" s="28">
        <v>5887</v>
      </c>
      <c r="E220" t="s">
        <v>451</v>
      </c>
      <c r="F220" s="28">
        <v>5949</v>
      </c>
      <c r="G220" t="b">
        <f>IF(B220=E220,TRUE,FALSE)</f>
        <v>1</v>
      </c>
      <c r="J220" s="25">
        <f>F220-C220</f>
        <v>62</v>
      </c>
      <c r="K220" s="4">
        <f>F220/C220-1</f>
        <v>1.0531679972821451E-2</v>
      </c>
      <c r="M220" s="5">
        <v>8361.41</v>
      </c>
      <c r="N220" s="5">
        <v>9002.74</v>
      </c>
      <c r="Q220" s="143">
        <v>67454.17</v>
      </c>
      <c r="U220" s="130">
        <f>N220-M220</f>
        <v>641.32999999999993</v>
      </c>
      <c r="V220" s="4">
        <f>IF(M220=0,0,N220/M220-1)</f>
        <v>7.6701178389769087E-2</v>
      </c>
      <c r="W220" s="18">
        <v>204194.55</v>
      </c>
      <c r="X220" s="18">
        <v>207860.6</v>
      </c>
      <c r="Y220" s="4">
        <f>X220/W220-1</f>
        <v>1.7953711301305741E-2</v>
      </c>
    </row>
    <row r="221" spans="1:25" ht="15" customHeight="1">
      <c r="A221" s="57" t="s">
        <v>452</v>
      </c>
      <c r="B221" s="37" t="s">
        <v>453</v>
      </c>
      <c r="C221" s="28">
        <v>258</v>
      </c>
      <c r="E221" s="37" t="s">
        <v>453</v>
      </c>
      <c r="F221" s="28">
        <v>322</v>
      </c>
      <c r="G221" t="b">
        <f>IF(B221=E221,TRUE,FALSE)</f>
        <v>1</v>
      </c>
      <c r="J221" s="25">
        <f>F221-C221</f>
        <v>64</v>
      </c>
      <c r="K221" s="4">
        <f>F221/C221-1</f>
        <v>0.24806201550387597</v>
      </c>
      <c r="M221" s="5">
        <v>403.57</v>
      </c>
      <c r="N221" s="5">
        <v>482.1</v>
      </c>
      <c r="Q221" s="143">
        <v>2108.39</v>
      </c>
      <c r="U221" s="130">
        <f>N221-M221</f>
        <v>78.53000000000003</v>
      </c>
      <c r="V221" s="4">
        <f>IF(M221=0,0,N221/M221-1)</f>
        <v>0.19458829942760869</v>
      </c>
      <c r="W221" s="18">
        <v>6089.92</v>
      </c>
      <c r="X221" s="18">
        <v>7046.53</v>
      </c>
      <c r="Y221" s="4">
        <f>X221/W221-1</f>
        <v>0.15708088119384156</v>
      </c>
    </row>
    <row r="222" spans="1:25" ht="15" customHeight="1">
      <c r="A222" t="s">
        <v>454</v>
      </c>
      <c r="B222" t="s">
        <v>455</v>
      </c>
      <c r="C222" s="28">
        <v>314</v>
      </c>
      <c r="E222" t="s">
        <v>455</v>
      </c>
      <c r="F222" s="28">
        <v>379</v>
      </c>
      <c r="G222" t="b">
        <f>IF(B222=E222,TRUE,FALSE)</f>
        <v>1</v>
      </c>
      <c r="J222" s="25">
        <f>F222-C222</f>
        <v>65</v>
      </c>
      <c r="K222" s="4">
        <f>F222/C222-1</f>
        <v>0.20700636942675166</v>
      </c>
      <c r="M222" s="5">
        <v>1062.33</v>
      </c>
      <c r="N222" s="5">
        <v>1111.74</v>
      </c>
      <c r="Q222" s="143">
        <v>6886.02</v>
      </c>
      <c r="U222" s="130">
        <f>N222-M222</f>
        <v>49.410000000000082</v>
      </c>
      <c r="V222" s="4">
        <f>IF(M222=0,0,N222/M222-1)</f>
        <v>4.6510971167151638E-2</v>
      </c>
      <c r="W222" s="18">
        <v>6264.3</v>
      </c>
      <c r="X222" s="18">
        <v>7560.45</v>
      </c>
      <c r="Y222" s="4">
        <f>X222/W222-1</f>
        <v>0.20691058857334421</v>
      </c>
    </row>
    <row r="223" spans="1:25" ht="15" customHeight="1">
      <c r="A223" s="55" t="s">
        <v>456</v>
      </c>
      <c r="B223" s="37" t="s">
        <v>457</v>
      </c>
      <c r="C223" s="19">
        <v>1361</v>
      </c>
      <c r="E223" s="37" t="s">
        <v>457</v>
      </c>
      <c r="F223" s="19">
        <v>1428</v>
      </c>
      <c r="G223" t="b">
        <f>IF(B223=E223,TRUE,FALSE)</f>
        <v>1</v>
      </c>
      <c r="J223" s="25">
        <f>F223-C223</f>
        <v>67</v>
      </c>
      <c r="K223" s="4">
        <f>F223/C223-1</f>
        <v>4.9228508449669306E-2</v>
      </c>
      <c r="M223" s="5">
        <v>3045.67</v>
      </c>
      <c r="N223" s="5">
        <v>2817.76</v>
      </c>
      <c r="Q223" s="142">
        <v>16680.03</v>
      </c>
      <c r="U223" s="130">
        <f>N223-M223</f>
        <v>-227.90999999999985</v>
      </c>
      <c r="V223" s="4">
        <f>IF(M223=0,0,N223/M223-1)</f>
        <v>-7.4830825401307366E-2</v>
      </c>
      <c r="W223">
        <v>26554.07</v>
      </c>
      <c r="X223">
        <v>28467.98</v>
      </c>
      <c r="Y223" s="4">
        <f>X223/W223-1</f>
        <v>7.2075956717746026E-2</v>
      </c>
    </row>
    <row r="224" spans="1:25" ht="15" customHeight="1">
      <c r="A224" t="s">
        <v>458</v>
      </c>
      <c r="B224" t="s">
        <v>459</v>
      </c>
      <c r="C224" s="28">
        <v>811</v>
      </c>
      <c r="E224" t="s">
        <v>459</v>
      </c>
      <c r="F224" s="28">
        <v>879</v>
      </c>
      <c r="G224" t="b">
        <f>IF(B224=E224,TRUE,FALSE)</f>
        <v>1</v>
      </c>
      <c r="J224" s="25">
        <f>F224-C224</f>
        <v>68</v>
      </c>
      <c r="K224" s="4">
        <f>F224/C224-1</f>
        <v>8.3847102342786695E-2</v>
      </c>
      <c r="M224" s="5">
        <v>1376.75</v>
      </c>
      <c r="N224" s="5">
        <v>1327.51</v>
      </c>
      <c r="Q224" s="143">
        <v>7874.33</v>
      </c>
      <c r="U224" s="130">
        <f>N224-M224</f>
        <v>-49.240000000000009</v>
      </c>
      <c r="V224" s="4">
        <f>IF(M224=0,0,N224/M224-1)</f>
        <v>-3.5765389504267331E-2</v>
      </c>
      <c r="W224" s="18">
        <v>16179.45</v>
      </c>
      <c r="X224" s="18">
        <v>17534.849999999999</v>
      </c>
      <c r="Y224" s="4">
        <f>X224/W224-1</f>
        <v>8.3772934185030845E-2</v>
      </c>
    </row>
    <row r="225" spans="1:25" ht="15" customHeight="1">
      <c r="A225" t="s">
        <v>460</v>
      </c>
      <c r="B225" t="s">
        <v>461</v>
      </c>
      <c r="C225" s="28">
        <v>769</v>
      </c>
      <c r="E225" t="s">
        <v>461</v>
      </c>
      <c r="F225" s="28">
        <v>841</v>
      </c>
      <c r="G225" t="b">
        <f>IF(B225=E225,TRUE,FALSE)</f>
        <v>1</v>
      </c>
      <c r="J225" s="25">
        <f>F225-C225</f>
        <v>72</v>
      </c>
      <c r="K225" s="4">
        <f>F225/C225-1</f>
        <v>9.3628088426527922E-2</v>
      </c>
      <c r="M225" s="5">
        <v>1284.54</v>
      </c>
      <c r="N225" s="5">
        <v>1239.99</v>
      </c>
      <c r="Q225" s="143">
        <v>9866.7000000000007</v>
      </c>
      <c r="U225" s="130">
        <f>N225-M225</f>
        <v>-44.549999999999955</v>
      </c>
      <c r="V225" s="4">
        <f>IF(M225=0,0,N225/M225-1)</f>
        <v>-3.4681675930683276E-2</v>
      </c>
      <c r="W225" s="18">
        <v>20724.55</v>
      </c>
      <c r="X225" s="18">
        <v>22664.95</v>
      </c>
      <c r="Y225" s="4">
        <f>X225/W225-1</f>
        <v>9.3628088426527922E-2</v>
      </c>
    </row>
    <row r="226" spans="1:25" ht="15" customHeight="1">
      <c r="A226" t="s">
        <v>462</v>
      </c>
      <c r="B226" t="s">
        <v>463</v>
      </c>
      <c r="C226" s="28">
        <v>370</v>
      </c>
      <c r="E226" t="s">
        <v>463</v>
      </c>
      <c r="F226" s="28">
        <v>442</v>
      </c>
      <c r="G226" t="b">
        <f>IF(B226=E226,TRUE,FALSE)</f>
        <v>1</v>
      </c>
      <c r="J226" s="25">
        <f>F226-C226</f>
        <v>72</v>
      </c>
      <c r="K226" s="4">
        <f>F226/C226-1</f>
        <v>0.19459459459459461</v>
      </c>
      <c r="M226" s="5">
        <v>1118.96</v>
      </c>
      <c r="N226" s="5">
        <v>847.67</v>
      </c>
      <c r="Q226" s="143">
        <v>4622.03</v>
      </c>
      <c r="U226" s="130">
        <f>N226-M226</f>
        <v>-271.29000000000008</v>
      </c>
      <c r="V226" s="4">
        <f>IF(M226=0,0,N226/M226-1)</f>
        <v>-0.24244834489168521</v>
      </c>
      <c r="W226" s="18">
        <v>4949.5</v>
      </c>
      <c r="X226" s="18">
        <v>5819.58</v>
      </c>
      <c r="Y226" s="4">
        <f>X226/W226-1</f>
        <v>0.17579149409031203</v>
      </c>
    </row>
    <row r="227" spans="1:25" ht="15" customHeight="1">
      <c r="A227" s="55" t="s">
        <v>464</v>
      </c>
      <c r="B227" s="37" t="s">
        <v>465</v>
      </c>
      <c r="C227" s="28">
        <v>1352</v>
      </c>
      <c r="E227" s="37" t="s">
        <v>465</v>
      </c>
      <c r="F227" s="28">
        <v>1425</v>
      </c>
      <c r="G227" t="b">
        <f>IF(B227=E227,TRUE,FALSE)</f>
        <v>1</v>
      </c>
      <c r="J227" s="25">
        <f>F227-C227</f>
        <v>73</v>
      </c>
      <c r="K227" s="4">
        <f>F227/C227-1</f>
        <v>5.3994082840236768E-2</v>
      </c>
      <c r="M227" s="5">
        <v>2417.2399999999998</v>
      </c>
      <c r="N227" s="5">
        <v>3280.26</v>
      </c>
      <c r="Q227" s="142">
        <v>23201.439999999999</v>
      </c>
      <c r="U227" s="130">
        <f>N227-M227</f>
        <v>863.02000000000044</v>
      </c>
      <c r="V227" s="4">
        <f>IF(M227=0,0,N227/M227-1)</f>
        <v>0.35702702255464924</v>
      </c>
      <c r="W227" s="18">
        <v>34736.480000000003</v>
      </c>
      <c r="X227" s="18">
        <v>39521.94</v>
      </c>
      <c r="Y227" s="4">
        <f>X227/W227-1</f>
        <v>0.13776467851664864</v>
      </c>
    </row>
    <row r="228" spans="1:25" ht="15" customHeight="1">
      <c r="A228" t="s">
        <v>466</v>
      </c>
      <c r="B228" t="s">
        <v>467</v>
      </c>
      <c r="C228" s="28">
        <v>851</v>
      </c>
      <c r="E228" t="s">
        <v>467</v>
      </c>
      <c r="F228" s="28">
        <v>924</v>
      </c>
      <c r="G228" t="b">
        <f>IF(B228=E228,TRUE,FALSE)</f>
        <v>1</v>
      </c>
      <c r="J228" s="25">
        <f>F228-C228</f>
        <v>73</v>
      </c>
      <c r="K228" s="4">
        <f>F228/C228-1</f>
        <v>8.5781433607520663E-2</v>
      </c>
      <c r="M228" s="5">
        <v>1777.84</v>
      </c>
      <c r="N228" s="5">
        <v>1963.78</v>
      </c>
      <c r="Q228" s="143">
        <v>13310.08</v>
      </c>
      <c r="U228" s="130">
        <f>N228-M228</f>
        <v>185.94000000000005</v>
      </c>
      <c r="V228" s="4">
        <f>IF(M228=0,0,N228/M228-1)</f>
        <v>0.10458758943436974</v>
      </c>
      <c r="W228" s="18">
        <v>20383.169999999998</v>
      </c>
      <c r="X228" s="18">
        <v>22126.12</v>
      </c>
      <c r="Y228" s="4">
        <f>X228/W228-1</f>
        <v>8.5509270638472801E-2</v>
      </c>
    </row>
    <row r="229" spans="1:25" ht="15" customHeight="1">
      <c r="A229" t="s">
        <v>468</v>
      </c>
      <c r="B229" t="s">
        <v>469</v>
      </c>
      <c r="C229" s="28">
        <v>675</v>
      </c>
      <c r="E229" t="s">
        <v>469</v>
      </c>
      <c r="F229" s="28">
        <v>754</v>
      </c>
      <c r="G229" t="b">
        <f>IF(B229=E229,TRUE,FALSE)</f>
        <v>1</v>
      </c>
      <c r="J229" s="25">
        <f>F229-C229</f>
        <v>79</v>
      </c>
      <c r="K229" s="4">
        <f>F229/C229-1</f>
        <v>0.11703703703703705</v>
      </c>
      <c r="M229" s="5">
        <v>584.61</v>
      </c>
      <c r="N229" s="5">
        <v>516.86</v>
      </c>
      <c r="Q229" s="143">
        <v>3118.9</v>
      </c>
      <c r="U229" s="130">
        <f>N229-M229</f>
        <v>-67.75</v>
      </c>
      <c r="V229" s="4">
        <f>IF(M229=0,0,N229/M229-1)</f>
        <v>-0.11588922529549617</v>
      </c>
      <c r="W229" s="18">
        <v>14816.25</v>
      </c>
      <c r="X229" s="18">
        <v>16528.349999999999</v>
      </c>
      <c r="Y229" s="4">
        <f>X229/W229-1</f>
        <v>0.11555555555555541</v>
      </c>
    </row>
    <row r="230" spans="1:25" ht="15" customHeight="1">
      <c r="A230" t="s">
        <v>470</v>
      </c>
      <c r="B230" t="s">
        <v>471</v>
      </c>
      <c r="C230" s="28">
        <v>531</v>
      </c>
      <c r="E230" t="s">
        <v>471</v>
      </c>
      <c r="F230" s="28">
        <v>612</v>
      </c>
      <c r="G230" t="b">
        <f>IF(B230=E230,TRUE,FALSE)</f>
        <v>1</v>
      </c>
      <c r="J230" s="25">
        <f>F230-C230</f>
        <v>81</v>
      </c>
      <c r="K230" s="4">
        <f>F230/C230-1</f>
        <v>0.15254237288135597</v>
      </c>
      <c r="M230" s="5">
        <v>796.56</v>
      </c>
      <c r="N230" s="5">
        <v>942.62</v>
      </c>
      <c r="Q230" s="143">
        <v>4415.59</v>
      </c>
      <c r="U230" s="130">
        <f>N230-M230</f>
        <v>146.06000000000006</v>
      </c>
      <c r="V230" s="4">
        <f>IF(M230=0,0,N230/M230-1)</f>
        <v>0.18336346289042904</v>
      </c>
      <c r="W230" s="18">
        <v>13269.69</v>
      </c>
      <c r="X230" s="18">
        <v>15763.88</v>
      </c>
      <c r="Y230" s="4">
        <f>X230/W230-1</f>
        <v>0.18796143692882028</v>
      </c>
    </row>
    <row r="231" spans="1:25" ht="15" customHeight="1">
      <c r="A231" t="s">
        <v>472</v>
      </c>
      <c r="B231" t="s">
        <v>473</v>
      </c>
      <c r="C231" s="28">
        <v>919</v>
      </c>
      <c r="E231" t="s">
        <v>473</v>
      </c>
      <c r="F231" s="28">
        <v>1003</v>
      </c>
      <c r="G231" t="b">
        <f>IF(B231=E231,TRUE,FALSE)</f>
        <v>1</v>
      </c>
      <c r="J231" s="25">
        <f>F231-C231</f>
        <v>84</v>
      </c>
      <c r="K231" s="4">
        <f>F231/C231-1</f>
        <v>9.1403699673558325E-2</v>
      </c>
      <c r="M231" s="5">
        <v>1113.0999999999999</v>
      </c>
      <c r="N231" s="5">
        <v>1144.1500000000001</v>
      </c>
      <c r="Q231" s="143">
        <v>11440.77</v>
      </c>
      <c r="U231" s="130">
        <f>N231-M231</f>
        <v>31.050000000000182</v>
      </c>
      <c r="V231" s="4">
        <f>IF(M231=0,0,N231/M231-1)</f>
        <v>2.7895067828586972E-2</v>
      </c>
      <c r="W231" s="18">
        <v>27541.01</v>
      </c>
      <c r="X231" s="18">
        <v>30058.67</v>
      </c>
      <c r="Y231" s="4">
        <f>X231/W231-1</f>
        <v>9.1414948108293759E-2</v>
      </c>
    </row>
    <row r="232" spans="1:25" ht="15" customHeight="1">
      <c r="A232" t="s">
        <v>474</v>
      </c>
      <c r="B232" t="s">
        <v>475</v>
      </c>
      <c r="C232" s="28">
        <v>1299</v>
      </c>
      <c r="E232" t="s">
        <v>475</v>
      </c>
      <c r="F232" s="28">
        <v>1404</v>
      </c>
      <c r="G232" t="b">
        <f>IF(B232=E232,TRUE,FALSE)</f>
        <v>1</v>
      </c>
      <c r="J232" s="25">
        <f>F232-C232</f>
        <v>105</v>
      </c>
      <c r="K232" s="4">
        <f>F232/C232-1</f>
        <v>8.0831408775981606E-2</v>
      </c>
      <c r="M232" s="5">
        <v>2117.8200000000002</v>
      </c>
      <c r="N232" s="5">
        <v>2233.29</v>
      </c>
      <c r="Q232" s="143">
        <v>15527</v>
      </c>
      <c r="U232" s="130">
        <f>N232-M232</f>
        <v>115.4699999999998</v>
      </c>
      <c r="V232" s="4">
        <f>IF(M232=0,0,N232/M232-1)</f>
        <v>5.4523047284471771E-2</v>
      </c>
      <c r="W232" s="18">
        <v>45400.05</v>
      </c>
      <c r="X232" s="18">
        <v>49064.2</v>
      </c>
      <c r="Y232" s="4">
        <f>X232/W232-1</f>
        <v>8.0708060894205902E-2</v>
      </c>
    </row>
    <row r="233" spans="1:25" ht="15" customHeight="1">
      <c r="A233" t="s">
        <v>476</v>
      </c>
      <c r="B233" t="s">
        <v>477</v>
      </c>
      <c r="C233" s="28">
        <v>681</v>
      </c>
      <c r="E233" t="s">
        <v>477</v>
      </c>
      <c r="F233" s="28">
        <v>790</v>
      </c>
      <c r="G233" t="b">
        <f>IF(B233=E233,TRUE,FALSE)</f>
        <v>1</v>
      </c>
      <c r="J233" s="25">
        <f>F233-C233</f>
        <v>109</v>
      </c>
      <c r="K233" s="4">
        <f>F233/C233-1</f>
        <v>0.16005873715124808</v>
      </c>
      <c r="M233" s="5">
        <v>930.38</v>
      </c>
      <c r="N233" s="5">
        <v>1265.29</v>
      </c>
      <c r="Q233" s="143">
        <v>6763.19</v>
      </c>
      <c r="U233" s="130">
        <f>N233-M233</f>
        <v>334.90999999999997</v>
      </c>
      <c r="V233" s="4">
        <f>IF(M233=0,0,N233/M233-1)</f>
        <v>0.3599711945656614</v>
      </c>
      <c r="W233" s="18">
        <v>17018.189999999999</v>
      </c>
      <c r="X233" s="18">
        <v>19742.099999999999</v>
      </c>
      <c r="Y233" s="4">
        <f>X233/W233-1</f>
        <v>0.16005873715124808</v>
      </c>
    </row>
    <row r="234" spans="1:25" ht="15" customHeight="1">
      <c r="A234" s="55" t="s">
        <v>478</v>
      </c>
      <c r="B234" s="37" t="s">
        <v>479</v>
      </c>
      <c r="C234" s="28">
        <v>696</v>
      </c>
      <c r="E234" s="37" t="s">
        <v>479</v>
      </c>
      <c r="F234" s="28">
        <v>806</v>
      </c>
      <c r="G234" t="b">
        <f>IF(B234=E234,TRUE,FALSE)</f>
        <v>1</v>
      </c>
      <c r="J234" s="25">
        <f>F234-C234</f>
        <v>110</v>
      </c>
      <c r="K234" s="4">
        <f>F234/C234-1</f>
        <v>0.15804597701149414</v>
      </c>
      <c r="M234" s="5">
        <v>1257.1099999999999</v>
      </c>
      <c r="N234" s="5">
        <v>1209.79</v>
      </c>
      <c r="Q234" s="142">
        <v>5870.01</v>
      </c>
      <c r="U234" s="130">
        <f>N234-M234</f>
        <v>-47.319999999999936</v>
      </c>
      <c r="V234" s="4">
        <f>IF(M234=0,0,N234/M234-1)</f>
        <v>-3.7641892913110153E-2</v>
      </c>
      <c r="W234" s="18">
        <v>12521.04</v>
      </c>
      <c r="X234" s="18">
        <v>14498.68</v>
      </c>
      <c r="Y234" s="4">
        <f>X234/W234-1</f>
        <v>0.15794534639295144</v>
      </c>
    </row>
    <row r="235" spans="1:25" ht="15" customHeight="1">
      <c r="A235" t="s">
        <v>480</v>
      </c>
      <c r="B235" t="s">
        <v>481</v>
      </c>
      <c r="C235" s="28">
        <v>4168</v>
      </c>
      <c r="E235" t="s">
        <v>481</v>
      </c>
      <c r="F235" s="28">
        <v>4280</v>
      </c>
      <c r="G235" t="b">
        <f>IF(B235=E235,TRUE,FALSE)</f>
        <v>1</v>
      </c>
      <c r="J235" s="25">
        <f>F235-C235</f>
        <v>112</v>
      </c>
      <c r="K235" s="4">
        <f>F235/C235-1</f>
        <v>2.6871401151631558E-2</v>
      </c>
      <c r="M235" s="5">
        <v>6548.89</v>
      </c>
      <c r="N235" s="5">
        <v>6963.16</v>
      </c>
      <c r="Q235" s="143">
        <v>37183.589999999997</v>
      </c>
      <c r="U235" s="130">
        <f>N235-M235</f>
        <v>414.26999999999953</v>
      </c>
      <c r="V235" s="4">
        <f>IF(M235=0,0,N235/M235-1)</f>
        <v>6.3258048310476989E-2</v>
      </c>
      <c r="W235" s="18">
        <v>112334.39</v>
      </c>
      <c r="X235" s="18">
        <v>115361.56</v>
      </c>
      <c r="Y235" s="4">
        <f>X235/W235-1</f>
        <v>2.6947847404521497E-2</v>
      </c>
    </row>
    <row r="236" spans="1:25" ht="15" customHeight="1">
      <c r="A236" t="s">
        <v>482</v>
      </c>
      <c r="B236" t="s">
        <v>483</v>
      </c>
      <c r="C236" s="28">
        <v>1954</v>
      </c>
      <c r="E236" t="s">
        <v>483</v>
      </c>
      <c r="F236" s="28">
        <v>2069</v>
      </c>
      <c r="G236" t="b">
        <f>IF(B236=E236,TRUE,FALSE)</f>
        <v>1</v>
      </c>
      <c r="J236" s="25">
        <f>F236-C236</f>
        <v>115</v>
      </c>
      <c r="K236" s="4">
        <f>F236/C236-1</f>
        <v>5.8853633572159669E-2</v>
      </c>
      <c r="M236" s="5">
        <v>3105.79</v>
      </c>
      <c r="N236" s="5">
        <v>3078.09</v>
      </c>
      <c r="Q236" s="143">
        <v>15467.83</v>
      </c>
      <c r="U236" s="130">
        <f>N236-M236</f>
        <v>-27.699999999999818</v>
      </c>
      <c r="V236" s="4">
        <f>IF(M236=0,0,N236/M236-1)</f>
        <v>-8.918825805994568E-3</v>
      </c>
      <c r="W236" s="18">
        <v>38977.699999999997</v>
      </c>
      <c r="X236" s="18">
        <v>41233.85</v>
      </c>
      <c r="Y236" s="4">
        <f>X236/W236-1</f>
        <v>5.7883097258175864E-2</v>
      </c>
    </row>
    <row r="237" spans="1:25" ht="15" customHeight="1">
      <c r="A237" s="147" t="s">
        <v>484</v>
      </c>
      <c r="B237" s="37" t="s">
        <v>485</v>
      </c>
      <c r="C237" s="28">
        <v>0</v>
      </c>
      <c r="E237" s="37" t="s">
        <v>485</v>
      </c>
      <c r="F237" s="28">
        <v>116</v>
      </c>
      <c r="G237" t="b">
        <f>IF(B237=E237,TRUE,FALSE)</f>
        <v>1</v>
      </c>
      <c r="J237" s="25">
        <f>F237-C237</f>
        <v>116</v>
      </c>
      <c r="K237" s="4" t="e">
        <f>F237/C237-1</f>
        <v>#DIV/0!</v>
      </c>
      <c r="M237" s="5">
        <v>0</v>
      </c>
      <c r="N237" s="5">
        <v>305.70999999999998</v>
      </c>
      <c r="Q237" s="142">
        <v>3127.69</v>
      </c>
      <c r="U237" s="130">
        <f>N237-M237</f>
        <v>305.70999999999998</v>
      </c>
      <c r="V237" s="4">
        <f>IF(M237=0,0,N237/M237-1)</f>
        <v>0</v>
      </c>
      <c r="W237" s="18">
        <v>0</v>
      </c>
      <c r="X237" s="18">
        <v>2570.59</v>
      </c>
      <c r="Y237" s="4"/>
    </row>
    <row r="238" spans="1:25" ht="15" customHeight="1">
      <c r="A238" s="57" t="s">
        <v>486</v>
      </c>
      <c r="B238" s="37" t="s">
        <v>487</v>
      </c>
      <c r="C238" s="28">
        <v>181</v>
      </c>
      <c r="E238" s="37" t="s">
        <v>487</v>
      </c>
      <c r="F238" s="28">
        <v>302</v>
      </c>
      <c r="G238" t="b">
        <f>IF(B238=E238,TRUE,FALSE)</f>
        <v>1</v>
      </c>
      <c r="J238" s="25">
        <f>F238-C238</f>
        <v>121</v>
      </c>
      <c r="K238" s="4">
        <f>F238/C238-1</f>
        <v>0.66850828729281764</v>
      </c>
      <c r="M238" s="5">
        <v>332.71</v>
      </c>
      <c r="N238" s="5">
        <v>492.04</v>
      </c>
      <c r="Q238" s="142">
        <v>1168.6099999999999</v>
      </c>
      <c r="U238" s="130">
        <f>N238-M238</f>
        <v>159.33000000000004</v>
      </c>
      <c r="V238" s="4">
        <f>IF(M238=0,0,N238/M238-1)</f>
        <v>0.4788855159147607</v>
      </c>
      <c r="W238" s="18">
        <v>2469.2199999999998</v>
      </c>
      <c r="X238" s="18">
        <v>3106.38</v>
      </c>
      <c r="Y238" s="4">
        <f>X238/W238-1</f>
        <v>0.25804100080187276</v>
      </c>
    </row>
    <row r="239" spans="1:25" ht="15" customHeight="1">
      <c r="A239" t="s">
        <v>488</v>
      </c>
      <c r="B239" t="s">
        <v>489</v>
      </c>
      <c r="C239" s="28">
        <v>566</v>
      </c>
      <c r="E239" t="s">
        <v>489</v>
      </c>
      <c r="F239" s="28">
        <v>691</v>
      </c>
      <c r="G239" t="b">
        <f>IF(B239=E239,TRUE,FALSE)</f>
        <v>1</v>
      </c>
      <c r="J239" s="25">
        <f>F239-C239</f>
        <v>125</v>
      </c>
      <c r="K239" s="4">
        <f>F239/C239-1</f>
        <v>0.22084805653710249</v>
      </c>
      <c r="M239" s="5">
        <v>1376.45</v>
      </c>
      <c r="N239" s="5">
        <v>907</v>
      </c>
      <c r="Q239" s="143">
        <v>5198.57</v>
      </c>
      <c r="U239" s="130">
        <f>N239-M239</f>
        <v>-469.45000000000005</v>
      </c>
      <c r="V239" s="4">
        <f>IF(M239=0,0,N239/M239-1)</f>
        <v>-0.34105852010606996</v>
      </c>
      <c r="W239" s="18">
        <v>26596.34</v>
      </c>
      <c r="X239" s="18">
        <v>30777.61</v>
      </c>
      <c r="Y239" s="4">
        <f>X239/W239-1</f>
        <v>0.15721223296137743</v>
      </c>
    </row>
    <row r="240" spans="1:25" ht="15" customHeight="1">
      <c r="A240" s="146" t="s">
        <v>490</v>
      </c>
      <c r="B240" s="37" t="s">
        <v>491</v>
      </c>
      <c r="C240" s="28">
        <v>33</v>
      </c>
      <c r="E240" s="37" t="s">
        <v>491</v>
      </c>
      <c r="F240" s="28">
        <v>160</v>
      </c>
      <c r="G240" t="b">
        <f>IF(B240=E240,TRUE,FALSE)</f>
        <v>1</v>
      </c>
      <c r="J240" s="25">
        <f>F240-C240</f>
        <v>127</v>
      </c>
      <c r="K240" s="4">
        <f>F240/C240-1</f>
        <v>3.8484848484848486</v>
      </c>
      <c r="M240" s="5">
        <v>85.9</v>
      </c>
      <c r="N240" s="5">
        <v>229.32</v>
      </c>
      <c r="Q240" s="142">
        <v>1366.35</v>
      </c>
      <c r="U240" s="130">
        <f>N240-M240</f>
        <v>143.41999999999999</v>
      </c>
      <c r="V240" s="4">
        <f>IF(M240=0,0,N240/M240-1)</f>
        <v>1.6696158323632129</v>
      </c>
      <c r="W240" s="18">
        <v>989.67</v>
      </c>
      <c r="X240" s="18">
        <v>3363.06</v>
      </c>
      <c r="Y240" s="4"/>
    </row>
    <row r="241" spans="1:25" ht="15" customHeight="1">
      <c r="A241" s="57" t="s">
        <v>492</v>
      </c>
      <c r="B241" s="37" t="s">
        <v>493</v>
      </c>
      <c r="C241" s="28">
        <v>1407</v>
      </c>
      <c r="E241" s="37" t="s">
        <v>493</v>
      </c>
      <c r="F241" s="28">
        <v>1538</v>
      </c>
      <c r="G241" t="b">
        <f>IF(B241=E241,TRUE,FALSE)</f>
        <v>1</v>
      </c>
      <c r="J241" s="25">
        <f>F241-C241</f>
        <v>131</v>
      </c>
      <c r="K241" s="4">
        <f>F241/C241-1</f>
        <v>9.3105899076048271E-2</v>
      </c>
      <c r="M241" s="5">
        <v>3403.57</v>
      </c>
      <c r="N241" s="5">
        <v>3151.58</v>
      </c>
      <c r="Q241" s="143">
        <v>22546.87</v>
      </c>
      <c r="U241" s="130">
        <f>N241-M241</f>
        <v>-251.99000000000024</v>
      </c>
      <c r="V241" s="4">
        <f>IF(M241=0,0,N241/M241-1)</f>
        <v>-7.4036967066932746E-2</v>
      </c>
      <c r="W241" s="18">
        <v>27263.13</v>
      </c>
      <c r="X241" s="18">
        <v>30815.5</v>
      </c>
      <c r="Y241" s="4">
        <f>X241/W241-1</f>
        <v>0.13029941903222397</v>
      </c>
    </row>
    <row r="242" spans="1:25" ht="15" customHeight="1">
      <c r="A242" s="37" t="s">
        <v>492</v>
      </c>
      <c r="B242" s="37" t="s">
        <v>493</v>
      </c>
      <c r="C242" s="28">
        <v>1407</v>
      </c>
      <c r="E242" s="37" t="s">
        <v>493</v>
      </c>
      <c r="F242" s="28">
        <v>1538</v>
      </c>
      <c r="G242" t="b">
        <f>IF(B242=E242,TRUE,FALSE)</f>
        <v>1</v>
      </c>
      <c r="J242" s="25">
        <f>F242-C242</f>
        <v>131</v>
      </c>
      <c r="K242" s="4">
        <f>F242/C242-1</f>
        <v>9.3105899076048271E-2</v>
      </c>
      <c r="M242" s="5">
        <v>3403.57</v>
      </c>
      <c r="N242" s="5">
        <v>3151.58</v>
      </c>
      <c r="Q242" s="143">
        <v>22546.87</v>
      </c>
      <c r="U242" s="130">
        <f>N242-M242</f>
        <v>-251.99000000000024</v>
      </c>
      <c r="V242" s="4">
        <f>IF(M242=0,0,N242/M242-1)</f>
        <v>-7.4036967066932746E-2</v>
      </c>
      <c r="W242" s="18">
        <v>27263.13</v>
      </c>
      <c r="X242" s="18">
        <v>30815.5</v>
      </c>
      <c r="Y242" s="4">
        <f>X242/W242-1</f>
        <v>0.13029941903222397</v>
      </c>
    </row>
    <row r="243" spans="1:25" ht="15" customHeight="1">
      <c r="A243" s="55" t="s">
        <v>494</v>
      </c>
      <c r="B243" s="27" t="s">
        <v>495</v>
      </c>
      <c r="C243" s="28">
        <v>114</v>
      </c>
      <c r="E243" s="27" t="s">
        <v>495</v>
      </c>
      <c r="F243" s="28">
        <v>249</v>
      </c>
      <c r="G243" t="b">
        <f>IF(B243=E243,TRUE,FALSE)</f>
        <v>1</v>
      </c>
      <c r="J243" s="25">
        <f>F243-C243</f>
        <v>135</v>
      </c>
      <c r="K243" s="4">
        <f>F243/C243-1</f>
        <v>1.1842105263157894</v>
      </c>
      <c r="M243" s="5">
        <v>595.46</v>
      </c>
      <c r="N243" s="5">
        <v>587.95000000000005</v>
      </c>
      <c r="Q243" s="142">
        <v>5853.61</v>
      </c>
      <c r="U243" s="130">
        <f>N243-M243</f>
        <v>-7.5099999999999909</v>
      </c>
      <c r="V243" s="4">
        <f>IF(M243=0,0,N243/M243-1)</f>
        <v>-1.261209820978737E-2</v>
      </c>
      <c r="W243" s="18">
        <v>2379.38</v>
      </c>
      <c r="X243" s="18">
        <v>4508.3500000000004</v>
      </c>
      <c r="Y243" s="4"/>
    </row>
    <row r="244" spans="1:25" ht="15" customHeight="1">
      <c r="A244" t="s">
        <v>496</v>
      </c>
      <c r="B244" t="s">
        <v>497</v>
      </c>
      <c r="C244" s="28">
        <v>1190</v>
      </c>
      <c r="E244" t="s">
        <v>497</v>
      </c>
      <c r="F244" s="28">
        <v>1327</v>
      </c>
      <c r="G244" t="b">
        <f>IF(B244=E244,TRUE,FALSE)</f>
        <v>1</v>
      </c>
      <c r="J244" s="25">
        <f>F244-C244</f>
        <v>137</v>
      </c>
      <c r="K244" s="4">
        <f>F244/C244-1</f>
        <v>0.1151260504201681</v>
      </c>
      <c r="M244" s="5">
        <v>797.65</v>
      </c>
      <c r="N244" s="5">
        <v>1196.03</v>
      </c>
      <c r="Q244" s="143">
        <v>7578.09</v>
      </c>
      <c r="U244" s="130">
        <f>N244-M244</f>
        <v>398.38</v>
      </c>
      <c r="V244" s="4">
        <f>IF(M244=0,0,N244/M244-1)</f>
        <v>0.49944211120165494</v>
      </c>
      <c r="W244" s="18">
        <v>32169.75</v>
      </c>
      <c r="X244" s="18">
        <v>35757.39</v>
      </c>
      <c r="Y244" s="4">
        <f>X244/W244-1</f>
        <v>0.1115221597929732</v>
      </c>
    </row>
    <row r="245" spans="1:25" ht="15" customHeight="1">
      <c r="A245" t="s">
        <v>498</v>
      </c>
      <c r="B245" t="s">
        <v>499</v>
      </c>
      <c r="C245" s="28">
        <v>473</v>
      </c>
      <c r="E245" t="s">
        <v>499</v>
      </c>
      <c r="F245" s="28">
        <v>610</v>
      </c>
      <c r="G245" t="b">
        <f>IF(B245=E245,TRUE,FALSE)</f>
        <v>1</v>
      </c>
      <c r="J245" s="25">
        <f>F245-C245</f>
        <v>137</v>
      </c>
      <c r="K245" s="4">
        <f>F245/C245-1</f>
        <v>0.28964059196617331</v>
      </c>
      <c r="M245" s="5">
        <v>1389.51</v>
      </c>
      <c r="N245" s="5">
        <v>1346.96</v>
      </c>
      <c r="Q245" s="143">
        <v>8825.2099999999991</v>
      </c>
      <c r="U245" s="130">
        <f>N245-M245</f>
        <v>-42.549999999999955</v>
      </c>
      <c r="V245" s="4">
        <f>IF(M245=0,0,N245/M245-1)</f>
        <v>-3.0622305704888775E-2</v>
      </c>
      <c r="W245" s="18">
        <v>11820.27</v>
      </c>
      <c r="X245" s="18">
        <v>15240.4</v>
      </c>
      <c r="Y245" s="4">
        <f>X245/W245-1</f>
        <v>0.28934449043888155</v>
      </c>
    </row>
    <row r="246" spans="1:25" ht="15" customHeight="1">
      <c r="A246" t="s">
        <v>500</v>
      </c>
      <c r="B246" t="s">
        <v>501</v>
      </c>
      <c r="C246" s="28">
        <v>2458</v>
      </c>
      <c r="E246" t="s">
        <v>501</v>
      </c>
      <c r="F246" s="28">
        <v>2598</v>
      </c>
      <c r="G246" t="b">
        <f>IF(B246=E246,TRUE,FALSE)</f>
        <v>1</v>
      </c>
      <c r="J246" s="25">
        <f>F246-C246</f>
        <v>140</v>
      </c>
      <c r="K246" s="4">
        <f>F246/C246-1</f>
        <v>5.6956875508543447E-2</v>
      </c>
      <c r="M246" s="5">
        <v>2333.2800000000002</v>
      </c>
      <c r="N246" s="5">
        <v>2390.61</v>
      </c>
      <c r="Q246" s="143">
        <v>13185.96</v>
      </c>
      <c r="U246" s="130">
        <f>N246-M246</f>
        <v>57.329999999999927</v>
      </c>
      <c r="V246" s="4">
        <f>IF(M246=0,0,N246/M246-1)</f>
        <v>2.4570561612836883E-2</v>
      </c>
      <c r="W246" s="18">
        <v>73520.479999999996</v>
      </c>
      <c r="X246" s="18">
        <v>77712.23</v>
      </c>
      <c r="Y246" s="4">
        <f>X246/W246-1</f>
        <v>5.7014725692759338E-2</v>
      </c>
    </row>
    <row r="247" spans="1:25" ht="15" customHeight="1">
      <c r="A247" s="146" t="s">
        <v>502</v>
      </c>
      <c r="B247" s="37" t="s">
        <v>503</v>
      </c>
      <c r="C247" s="28">
        <v>103</v>
      </c>
      <c r="E247" s="37" t="s">
        <v>503</v>
      </c>
      <c r="F247" s="28">
        <v>252</v>
      </c>
      <c r="G247" t="b">
        <f>IF(B247=E247,TRUE,FALSE)</f>
        <v>1</v>
      </c>
      <c r="J247" s="25">
        <f>F247-C247</f>
        <v>149</v>
      </c>
      <c r="K247" s="4">
        <f>F247/C247-1</f>
        <v>1.4466019417475726</v>
      </c>
      <c r="M247" s="5">
        <v>26.34</v>
      </c>
      <c r="N247" s="5">
        <v>288.31</v>
      </c>
      <c r="Q247" s="142">
        <v>1437.6</v>
      </c>
      <c r="U247" s="130">
        <f>N247-M247</f>
        <v>261.97000000000003</v>
      </c>
      <c r="V247" s="4">
        <f>IF(M247=0,0,N247/M247-1)</f>
        <v>9.9457099468488988</v>
      </c>
      <c r="W247" s="18">
        <v>2954.97</v>
      </c>
      <c r="X247" s="18">
        <v>4493.4799999999996</v>
      </c>
      <c r="Y247" s="4"/>
    </row>
    <row r="248" spans="1:25" ht="13.5" customHeight="1">
      <c r="A248" t="s">
        <v>504</v>
      </c>
      <c r="B248" t="s">
        <v>505</v>
      </c>
      <c r="C248" s="28">
        <v>1104</v>
      </c>
      <c r="E248" t="s">
        <v>505</v>
      </c>
      <c r="F248" s="28">
        <v>1256</v>
      </c>
      <c r="G248" t="b">
        <f>IF(B248=E248,TRUE,FALSE)</f>
        <v>1</v>
      </c>
      <c r="J248" s="25">
        <f>F248-C248</f>
        <v>152</v>
      </c>
      <c r="K248" s="4">
        <f>F248/C248-1</f>
        <v>0.1376811594202898</v>
      </c>
      <c r="M248" s="5">
        <v>1499.22</v>
      </c>
      <c r="N248" s="5">
        <v>2382.31</v>
      </c>
      <c r="Q248" s="143">
        <v>13477.61</v>
      </c>
      <c r="U248" s="130">
        <f>N248-M248</f>
        <v>883.08999999999992</v>
      </c>
      <c r="V248" s="4">
        <f>IF(M248=0,0,N248/M248-1)</f>
        <v>0.58903296380784664</v>
      </c>
      <c r="W248" s="18">
        <v>26269.17</v>
      </c>
      <c r="X248" s="18">
        <v>29420.94</v>
      </c>
      <c r="Y248" s="4">
        <f>X248/W248-1</f>
        <v>0.11997980903089056</v>
      </c>
    </row>
    <row r="249" spans="1:25" ht="17.25" customHeight="1">
      <c r="A249" t="s">
        <v>506</v>
      </c>
      <c r="B249" t="s">
        <v>507</v>
      </c>
      <c r="C249" s="28">
        <v>2055</v>
      </c>
      <c r="E249" t="s">
        <v>507</v>
      </c>
      <c r="F249" s="28">
        <v>2212</v>
      </c>
      <c r="G249" t="b">
        <f>IF(B249=E249,TRUE,FALSE)</f>
        <v>1</v>
      </c>
      <c r="J249" s="25">
        <f>F249-C249</f>
        <v>157</v>
      </c>
      <c r="K249" s="4">
        <f>F249/C249-1</f>
        <v>7.6399026763990241E-2</v>
      </c>
      <c r="M249" s="5">
        <v>2808.11</v>
      </c>
      <c r="N249" s="5">
        <v>2285.59</v>
      </c>
      <c r="Q249" s="143">
        <v>12855.55</v>
      </c>
      <c r="U249" s="130">
        <f>N249-M249</f>
        <v>-522.52</v>
      </c>
      <c r="V249" s="4">
        <f>IF(M249=0,0,N249/M249-1)</f>
        <v>-0.18607533180680247</v>
      </c>
      <c r="W249" s="18">
        <v>61534.37</v>
      </c>
      <c r="X249" s="18">
        <v>65718.36</v>
      </c>
      <c r="Y249" s="4">
        <f>X249/W249-1</f>
        <v>6.7994358274895861E-2</v>
      </c>
    </row>
    <row r="250" spans="1:25" ht="17.25" customHeight="1">
      <c r="A250" t="s">
        <v>508</v>
      </c>
      <c r="B250" t="s">
        <v>509</v>
      </c>
      <c r="C250" s="28">
        <v>470</v>
      </c>
      <c r="E250" t="s">
        <v>509</v>
      </c>
      <c r="F250" s="28">
        <v>628</v>
      </c>
      <c r="G250" t="b">
        <f>IF(B250=E250,TRUE,FALSE)</f>
        <v>1</v>
      </c>
      <c r="J250" s="25">
        <f>F250-C250</f>
        <v>158</v>
      </c>
      <c r="K250" s="4">
        <f>F250/C250-1</f>
        <v>0.33617021276595738</v>
      </c>
      <c r="M250" s="5">
        <v>339.67</v>
      </c>
      <c r="N250" s="5">
        <v>522.39</v>
      </c>
      <c r="Q250" s="143">
        <v>3687.36</v>
      </c>
      <c r="U250" s="130">
        <f>N250-M250</f>
        <v>182.71999999999997</v>
      </c>
      <c r="V250" s="4">
        <f>IF(M250=0,0,N250/M250-1)</f>
        <v>0.53793387699826289</v>
      </c>
      <c r="W250" s="18">
        <v>10805.3</v>
      </c>
      <c r="X250" s="18">
        <v>14437.72</v>
      </c>
      <c r="Y250" s="4">
        <f>X250/W250-1</f>
        <v>0.33617021276595738</v>
      </c>
    </row>
    <row r="251" spans="1:25" ht="17.25" customHeight="1">
      <c r="A251" t="s">
        <v>510</v>
      </c>
      <c r="B251" t="s">
        <v>511</v>
      </c>
      <c r="C251" s="28">
        <v>3652</v>
      </c>
      <c r="E251" t="s">
        <v>511</v>
      </c>
      <c r="F251" s="28">
        <v>3811</v>
      </c>
      <c r="G251" t="b">
        <f>IF(B251=E251,TRUE,FALSE)</f>
        <v>1</v>
      </c>
      <c r="J251" s="25">
        <f>F251-C251</f>
        <v>159</v>
      </c>
      <c r="K251" s="4">
        <f>F251/C251-1</f>
        <v>4.3537787513691084E-2</v>
      </c>
      <c r="M251" s="5">
        <v>5282.07</v>
      </c>
      <c r="N251" s="5">
        <v>7077.45</v>
      </c>
      <c r="Q251" s="143">
        <v>32075.439999999999</v>
      </c>
      <c r="U251" s="130">
        <f>N251-M251</f>
        <v>1795.38</v>
      </c>
      <c r="V251" s="4">
        <f>IF(M251=0,0,N251/M251-1)</f>
        <v>0.33990083433199492</v>
      </c>
      <c r="W251" s="18">
        <v>94871.57</v>
      </c>
      <c r="X251" s="18">
        <v>98888.82</v>
      </c>
      <c r="Y251" s="4">
        <f>X251/W251-1</f>
        <v>4.2344086853416618E-2</v>
      </c>
    </row>
    <row r="252" spans="1:25" ht="17.25" customHeight="1">
      <c r="A252" t="s">
        <v>512</v>
      </c>
      <c r="B252" t="s">
        <v>513</v>
      </c>
      <c r="C252" s="28">
        <v>1095</v>
      </c>
      <c r="E252" t="s">
        <v>513</v>
      </c>
      <c r="F252" s="28">
        <v>1255</v>
      </c>
      <c r="G252" t="b">
        <f>IF(B252=E252,TRUE,FALSE)</f>
        <v>1</v>
      </c>
      <c r="J252" s="25">
        <f>F252-C252</f>
        <v>160</v>
      </c>
      <c r="K252" s="4">
        <f>F252/C252-1</f>
        <v>0.14611872146118721</v>
      </c>
      <c r="M252" s="5">
        <v>1512.69</v>
      </c>
      <c r="N252" s="5">
        <v>1802.89</v>
      </c>
      <c r="Q252" s="143">
        <v>8077.54</v>
      </c>
      <c r="U252" s="130">
        <f>N252-M252</f>
        <v>290.20000000000005</v>
      </c>
      <c r="V252" s="4">
        <f>IF(M252=0,0,N252/M252-1)</f>
        <v>0.19184366922502294</v>
      </c>
      <c r="W252" s="18">
        <v>27310.07</v>
      </c>
      <c r="X252" s="18">
        <v>31262.45</v>
      </c>
      <c r="Y252" s="4">
        <f>X252/W252-1</f>
        <v>0.1447224412094148</v>
      </c>
    </row>
    <row r="253" spans="1:25" ht="17.25" customHeight="1">
      <c r="A253" t="s">
        <v>514</v>
      </c>
      <c r="B253" t="s">
        <v>515</v>
      </c>
      <c r="C253" s="28">
        <v>3345</v>
      </c>
      <c r="E253" t="s">
        <v>515</v>
      </c>
      <c r="F253" s="28">
        <v>3511</v>
      </c>
      <c r="G253" t="b">
        <f>IF(B253=E253,TRUE,FALSE)</f>
        <v>1</v>
      </c>
      <c r="J253" s="25">
        <f>F253-C253</f>
        <v>166</v>
      </c>
      <c r="K253" s="4">
        <f>F253/C253-1</f>
        <v>4.9626307922272073E-2</v>
      </c>
      <c r="M253" s="5">
        <v>2535.81</v>
      </c>
      <c r="N253" s="5">
        <v>2935.91</v>
      </c>
      <c r="Q253" s="143">
        <v>23853.74</v>
      </c>
      <c r="U253" s="130">
        <f>N253-M253</f>
        <v>400.09999999999991</v>
      </c>
      <c r="V253" s="4">
        <f>IF(M253=0,0,N253/M253-1)</f>
        <v>0.15777995985503646</v>
      </c>
      <c r="W253" s="18">
        <v>110191.1</v>
      </c>
      <c r="X253" s="18">
        <v>115697.31</v>
      </c>
      <c r="Y253" s="4">
        <f>X253/W253-1</f>
        <v>4.9969643646356143E-2</v>
      </c>
    </row>
    <row r="254" spans="1:25" ht="17.25" customHeight="1">
      <c r="A254" t="s">
        <v>516</v>
      </c>
      <c r="B254" t="s">
        <v>517</v>
      </c>
      <c r="C254" s="28">
        <v>1558</v>
      </c>
      <c r="E254" t="s">
        <v>517</v>
      </c>
      <c r="F254" s="28">
        <v>1725</v>
      </c>
      <c r="G254" t="b">
        <f>IF(B254=E254,TRUE,FALSE)</f>
        <v>1</v>
      </c>
      <c r="J254" s="25">
        <f>F254-C254</f>
        <v>167</v>
      </c>
      <c r="K254" s="4">
        <f>F254/C254-1</f>
        <v>0.10718870346598197</v>
      </c>
      <c r="M254" s="5">
        <v>1632.65</v>
      </c>
      <c r="N254" s="5">
        <v>1639.41</v>
      </c>
      <c r="Q254" s="143">
        <v>15304.79</v>
      </c>
      <c r="U254" s="130">
        <f>N254-M254</f>
        <v>6.7599999999999909</v>
      </c>
      <c r="V254" s="4">
        <f>IF(M254=0,0,N254/M254-1)</f>
        <v>4.1405077634519838E-3</v>
      </c>
      <c r="W254" s="18">
        <v>46660.95</v>
      </c>
      <c r="X254" s="18">
        <v>51652.99</v>
      </c>
      <c r="Y254" s="4">
        <f>X254/W254-1</f>
        <v>0.10698539142473518</v>
      </c>
    </row>
    <row r="255" spans="1:25" ht="13.5" customHeight="1">
      <c r="A255" t="s">
        <v>518</v>
      </c>
      <c r="B255" t="s">
        <v>519</v>
      </c>
      <c r="C255" s="28">
        <v>661</v>
      </c>
      <c r="E255" t="s">
        <v>519</v>
      </c>
      <c r="F255" s="28">
        <v>830</v>
      </c>
      <c r="G255" t="b">
        <f>IF(B255=E255,TRUE,FALSE)</f>
        <v>1</v>
      </c>
      <c r="J255" s="25">
        <f>F255-C255</f>
        <v>169</v>
      </c>
      <c r="K255" s="4">
        <f>F255/C255-1</f>
        <v>0.25567322239031776</v>
      </c>
      <c r="M255" s="5">
        <v>71.42</v>
      </c>
      <c r="N255" s="5">
        <v>86.69</v>
      </c>
      <c r="Q255" s="143">
        <v>1940.4</v>
      </c>
      <c r="U255" s="130">
        <f>N255-M255</f>
        <v>15.269999999999996</v>
      </c>
      <c r="V255" s="4">
        <f>IF(M255=0,0,N255/M255-1)</f>
        <v>0.21380565667880136</v>
      </c>
      <c r="W255" s="18">
        <v>17813.95</v>
      </c>
      <c r="X255" s="18">
        <v>22368.5</v>
      </c>
      <c r="Y255" s="4">
        <f>X255/W255-1</f>
        <v>0.25567322239031776</v>
      </c>
    </row>
    <row r="256" spans="1:25" ht="15" customHeight="1">
      <c r="A256" s="55" t="s">
        <v>520</v>
      </c>
      <c r="B256" s="37" t="s">
        <v>521</v>
      </c>
      <c r="C256" s="28">
        <v>1528</v>
      </c>
      <c r="E256" s="37" t="s">
        <v>521</v>
      </c>
      <c r="F256" s="28">
        <v>1700</v>
      </c>
      <c r="G256" t="b">
        <f>IF(B256=E256,TRUE,FALSE)</f>
        <v>1</v>
      </c>
      <c r="J256" s="25">
        <f>F256-C256</f>
        <v>172</v>
      </c>
      <c r="K256" s="4">
        <f>F256/C256-1</f>
        <v>0.11256544502617793</v>
      </c>
      <c r="M256" s="5">
        <v>3021.45</v>
      </c>
      <c r="N256" s="5">
        <v>2979.01</v>
      </c>
      <c r="Q256" s="142">
        <v>18170.259999999998</v>
      </c>
      <c r="U256" s="130">
        <f>N256-M256</f>
        <v>-42.4399999999996</v>
      </c>
      <c r="V256" s="4">
        <f>IF(M256=0,0,N256/M256-1)</f>
        <v>-1.4046236078703811E-2</v>
      </c>
      <c r="W256" s="18">
        <v>30298.73</v>
      </c>
      <c r="X256" s="18">
        <v>32610.3</v>
      </c>
      <c r="Y256" s="4">
        <f>X256/W256-1</f>
        <v>7.6292636688072291E-2</v>
      </c>
    </row>
    <row r="257" spans="1:25" ht="15" customHeight="1">
      <c r="A257" t="s">
        <v>522</v>
      </c>
      <c r="B257" t="s">
        <v>523</v>
      </c>
      <c r="C257" s="28">
        <v>2056</v>
      </c>
      <c r="E257" t="s">
        <v>523</v>
      </c>
      <c r="F257" s="28">
        <v>2235</v>
      </c>
      <c r="G257" t="b">
        <f>IF(B257=E257,TRUE,FALSE)</f>
        <v>1</v>
      </c>
      <c r="J257" s="25">
        <f>F257-C257</f>
        <v>179</v>
      </c>
      <c r="K257" s="4">
        <f>F257/C257-1</f>
        <v>8.7062256809338434E-2</v>
      </c>
      <c r="M257" s="5">
        <v>3952.21</v>
      </c>
      <c r="N257" s="5">
        <v>3947.67</v>
      </c>
      <c r="Q257" s="143">
        <v>23724.080000000002</v>
      </c>
      <c r="U257" s="130">
        <f>N257-M257</f>
        <v>-4.5399999999999636</v>
      </c>
      <c r="V257" s="4">
        <f>IF(M257=0,0,N257/M257-1)</f>
        <v>-1.1487243845847983E-3</v>
      </c>
      <c r="W257" s="18">
        <v>51297.2</v>
      </c>
      <c r="X257" s="18">
        <v>55707.85</v>
      </c>
      <c r="Y257" s="4">
        <f>X257/W257-1</f>
        <v>8.5982275835718269E-2</v>
      </c>
    </row>
    <row r="258" spans="1:25" ht="15" customHeight="1">
      <c r="A258" s="54" t="s">
        <v>524</v>
      </c>
      <c r="B258" s="37" t="s">
        <v>525</v>
      </c>
      <c r="C258" s="28">
        <v>304</v>
      </c>
      <c r="E258" s="37" t="s">
        <v>525</v>
      </c>
      <c r="F258" s="28">
        <v>484</v>
      </c>
      <c r="G258" t="b">
        <f>IF(B258=E258,TRUE,FALSE)</f>
        <v>1</v>
      </c>
      <c r="J258" s="25">
        <f>F258-C258</f>
        <v>180</v>
      </c>
      <c r="K258" s="4">
        <f>F258/C258-1</f>
        <v>0.59210526315789469</v>
      </c>
      <c r="M258" s="5">
        <v>841.06</v>
      </c>
      <c r="N258" s="5">
        <v>841.31</v>
      </c>
      <c r="Q258" s="143">
        <v>2602.96</v>
      </c>
      <c r="U258" s="130">
        <f>N258-M258</f>
        <v>0.25</v>
      </c>
      <c r="V258" s="4">
        <f>IF(M258=0,0,N258/M258-1)</f>
        <v>2.9724395405805737E-4</v>
      </c>
      <c r="W258" s="18">
        <v>5164.96</v>
      </c>
      <c r="X258" s="18">
        <v>7037.32</v>
      </c>
      <c r="Y258" s="4">
        <f>X258/W258-1</f>
        <v>0.3625120039651808</v>
      </c>
    </row>
    <row r="259" spans="1:25" ht="15" customHeight="1">
      <c r="A259" s="146" t="s">
        <v>526</v>
      </c>
      <c r="B259" s="37" t="s">
        <v>527</v>
      </c>
      <c r="C259" s="28">
        <v>36</v>
      </c>
      <c r="E259" s="37" t="s">
        <v>527</v>
      </c>
      <c r="F259" s="28">
        <v>216</v>
      </c>
      <c r="G259" t="b">
        <f>IF(B259=E259,TRUE,FALSE)</f>
        <v>1</v>
      </c>
      <c r="J259" s="25">
        <f>F259-C259</f>
        <v>180</v>
      </c>
      <c r="K259" s="4">
        <f>F259/C259-1</f>
        <v>5</v>
      </c>
      <c r="M259" s="5">
        <v>9.35</v>
      </c>
      <c r="N259" s="5">
        <v>490.21</v>
      </c>
      <c r="Q259" s="142">
        <v>1944.58</v>
      </c>
      <c r="U259" s="130">
        <f>N259-M259</f>
        <v>480.85999999999996</v>
      </c>
      <c r="V259" s="4">
        <f>IF(M259=0,0,N259/M259-1)</f>
        <v>51.428877005347594</v>
      </c>
      <c r="W259" s="18">
        <v>719.64</v>
      </c>
      <c r="X259" s="18">
        <v>3225.4</v>
      </c>
      <c r="Y259" s="4"/>
    </row>
    <row r="260" spans="1:25" ht="15" customHeight="1">
      <c r="A260" s="55" t="s">
        <v>528</v>
      </c>
      <c r="B260" s="37" t="s">
        <v>529</v>
      </c>
      <c r="C260" s="28">
        <v>1807</v>
      </c>
      <c r="E260" s="37" t="s">
        <v>529</v>
      </c>
      <c r="F260" s="28">
        <v>1988</v>
      </c>
      <c r="G260" t="b">
        <f>IF(B260=E260,TRUE,FALSE)</f>
        <v>1</v>
      </c>
      <c r="J260" s="25">
        <f>F260-C260</f>
        <v>181</v>
      </c>
      <c r="K260" s="4">
        <f>F260/C260-1</f>
        <v>0.10016602102933048</v>
      </c>
      <c r="M260" s="5">
        <v>2668.01</v>
      </c>
      <c r="N260" s="5">
        <v>2138.9700000000003</v>
      </c>
      <c r="Q260" s="143">
        <v>9063.880000000001</v>
      </c>
      <c r="U260" s="130">
        <f>N260-M260</f>
        <v>-529.04</v>
      </c>
      <c r="V260" s="4">
        <f>IF(M260=0,0,N260/M260-1)</f>
        <v>-0.19829011135640418</v>
      </c>
      <c r="W260" s="18">
        <v>27155.1</v>
      </c>
      <c r="X260" s="18">
        <v>31466.27</v>
      </c>
      <c r="Y260" s="4">
        <f>X260/W260-1</f>
        <v>0.15876096939433126</v>
      </c>
    </row>
    <row r="261" spans="1:25" ht="15" customHeight="1">
      <c r="A261" t="s">
        <v>530</v>
      </c>
      <c r="B261" t="s">
        <v>531</v>
      </c>
      <c r="C261" s="28">
        <v>999</v>
      </c>
      <c r="E261" t="s">
        <v>531</v>
      </c>
      <c r="F261" s="28">
        <v>1183</v>
      </c>
      <c r="G261" t="b">
        <f>IF(B261=E261,TRUE,FALSE)</f>
        <v>1</v>
      </c>
      <c r="J261" s="25">
        <f>F261-C261</f>
        <v>184</v>
      </c>
      <c r="K261" s="4">
        <f>F261/C261-1</f>
        <v>0.18418418418418425</v>
      </c>
      <c r="M261" s="5">
        <v>2958.46</v>
      </c>
      <c r="N261" s="5">
        <v>2522.1799999999998</v>
      </c>
      <c r="Q261" s="143">
        <v>16876.439999999999</v>
      </c>
      <c r="U261" s="130">
        <f>N261-M261</f>
        <v>-436.2800000000002</v>
      </c>
      <c r="V261" s="4">
        <f>IF(M261=0,0,N261/M261-1)</f>
        <v>-0.14746861542829726</v>
      </c>
      <c r="W261" s="18">
        <v>17464.009999999998</v>
      </c>
      <c r="X261" s="18">
        <v>23638.69</v>
      </c>
      <c r="Y261" s="4">
        <f>X261/W261-1</f>
        <v>0.35356599085776974</v>
      </c>
    </row>
    <row r="262" spans="1:25" ht="15" customHeight="1">
      <c r="A262" t="s">
        <v>532</v>
      </c>
      <c r="B262" t="s">
        <v>533</v>
      </c>
      <c r="C262" s="28">
        <v>640</v>
      </c>
      <c r="E262" t="s">
        <v>533</v>
      </c>
      <c r="F262" s="28">
        <v>826</v>
      </c>
      <c r="G262" t="b">
        <f>IF(B262=E262,TRUE,FALSE)</f>
        <v>1</v>
      </c>
      <c r="J262" s="25">
        <f>F262-C262</f>
        <v>186</v>
      </c>
      <c r="K262" s="4">
        <f>F262/C262-1</f>
        <v>0.29062499999999991</v>
      </c>
      <c r="M262" s="5">
        <v>1181</v>
      </c>
      <c r="N262" s="5">
        <v>1454.97</v>
      </c>
      <c r="Q262" s="143">
        <v>8406.94</v>
      </c>
      <c r="U262" s="130">
        <f>N262-M262</f>
        <v>273.97000000000003</v>
      </c>
      <c r="V262" s="4">
        <f>IF(M262=0,0,N262/M262-1)</f>
        <v>0.23198137171888233</v>
      </c>
      <c r="W262" s="18">
        <v>15940.41</v>
      </c>
      <c r="X262" s="18">
        <v>18478.349999999999</v>
      </c>
      <c r="Y262" s="4">
        <f>X262/W262-1</f>
        <v>0.15921422347354919</v>
      </c>
    </row>
    <row r="263" spans="1:25" ht="15" customHeight="1">
      <c r="A263" s="146" t="s">
        <v>534</v>
      </c>
      <c r="B263" s="146" t="s">
        <v>535</v>
      </c>
      <c r="C263" s="28">
        <v>0</v>
      </c>
      <c r="E263" s="146" t="s">
        <v>535</v>
      </c>
      <c r="F263" s="28">
        <v>196</v>
      </c>
      <c r="G263" t="b">
        <f>IF(B263=E263,TRUE,FALSE)</f>
        <v>1</v>
      </c>
      <c r="J263" s="25">
        <f>F263-C263</f>
        <v>196</v>
      </c>
      <c r="K263" s="4" t="e">
        <f>F263/C263-1</f>
        <v>#DIV/0!</v>
      </c>
      <c r="M263" s="5">
        <v>0</v>
      </c>
      <c r="N263" s="5">
        <v>674.16</v>
      </c>
      <c r="Q263" s="142">
        <v>4175.03</v>
      </c>
      <c r="U263" s="130">
        <f>N263-M263</f>
        <v>674.16</v>
      </c>
      <c r="V263" s="4">
        <f>IF(M263=0,0,N263/M263-1)</f>
        <v>0</v>
      </c>
      <c r="W263" s="18">
        <v>0</v>
      </c>
      <c r="X263" s="18">
        <v>7837.24</v>
      </c>
      <c r="Y263" s="4"/>
    </row>
    <row r="264" spans="1:25" ht="15" customHeight="1">
      <c r="A264" t="s">
        <v>536</v>
      </c>
      <c r="B264" t="s">
        <v>537</v>
      </c>
      <c r="C264" s="28">
        <v>359</v>
      </c>
      <c r="E264" t="s">
        <v>537</v>
      </c>
      <c r="F264" s="28">
        <v>556</v>
      </c>
      <c r="G264" t="b">
        <f>IF(B264=E264,TRUE,FALSE)</f>
        <v>1</v>
      </c>
      <c r="J264" s="25">
        <f>F264-C264</f>
        <v>197</v>
      </c>
      <c r="K264" s="4">
        <f>F264/C264-1</f>
        <v>0.54874651810584951</v>
      </c>
      <c r="M264" s="5">
        <v>1000.06</v>
      </c>
      <c r="N264" s="5">
        <v>1537.17</v>
      </c>
      <c r="Q264" s="143">
        <v>9557.31</v>
      </c>
      <c r="U264" s="130">
        <f>N264-M264</f>
        <v>537.11000000000013</v>
      </c>
      <c r="V264" s="4">
        <f>IF(M264=0,0,N264/M264-1)</f>
        <v>0.53707777533348011</v>
      </c>
      <c r="W264" s="18">
        <v>6283.07</v>
      </c>
      <c r="X264" s="18">
        <v>10329.040000000001</v>
      </c>
      <c r="Y264" s="4">
        <f>X264/W264-1</f>
        <v>0.6439479426458723</v>
      </c>
    </row>
    <row r="265" spans="1:25" ht="15" customHeight="1">
      <c r="A265" t="s">
        <v>538</v>
      </c>
      <c r="B265" t="s">
        <v>539</v>
      </c>
      <c r="C265" s="28">
        <v>484</v>
      </c>
      <c r="E265" t="s">
        <v>539</v>
      </c>
      <c r="F265" s="28">
        <v>694</v>
      </c>
      <c r="G265" t="b">
        <f>IF(B265=E265,TRUE,FALSE)</f>
        <v>1</v>
      </c>
      <c r="J265" s="25">
        <f>F265-C265</f>
        <v>210</v>
      </c>
      <c r="K265" s="4">
        <f>F265/C265-1</f>
        <v>0.43388429752066116</v>
      </c>
      <c r="M265" s="5">
        <v>1214.33</v>
      </c>
      <c r="N265" s="5">
        <v>1567.23</v>
      </c>
      <c r="Q265" s="143">
        <v>10153.450000000001</v>
      </c>
      <c r="U265" s="130">
        <f>N265-M265</f>
        <v>352.90000000000009</v>
      </c>
      <c r="V265" s="4">
        <f>IF(M265=0,0,N265/M265-1)</f>
        <v>0.29061293058723758</v>
      </c>
      <c r="W265" s="18">
        <v>14286.36</v>
      </c>
      <c r="X265" s="18">
        <v>22195.62</v>
      </c>
      <c r="Y265" s="4">
        <f>X265/W265-1</f>
        <v>0.55362317623243418</v>
      </c>
    </row>
    <row r="266" spans="1:25" ht="15" customHeight="1">
      <c r="A266" s="55" t="s">
        <v>540</v>
      </c>
      <c r="B266" s="37" t="s">
        <v>541</v>
      </c>
      <c r="C266" s="19">
        <v>2730</v>
      </c>
      <c r="E266" s="37" t="s">
        <v>541</v>
      </c>
      <c r="F266" s="19">
        <v>2941</v>
      </c>
      <c r="G266" t="b">
        <f>IF(B266=E266,TRUE,FALSE)</f>
        <v>1</v>
      </c>
      <c r="J266" s="25">
        <f>F266-C266</f>
        <v>211</v>
      </c>
      <c r="K266" s="4">
        <f>F266/C266-1</f>
        <v>7.7289377289377237E-2</v>
      </c>
      <c r="M266" s="5">
        <v>1562.66</v>
      </c>
      <c r="N266" s="5">
        <v>3700.84</v>
      </c>
      <c r="Q266" s="142">
        <v>31538.799999999999</v>
      </c>
      <c r="U266" s="130">
        <f>N266-M266</f>
        <v>2138.1800000000003</v>
      </c>
      <c r="V266" s="4">
        <f>IF(M266=0,0,N266/M266-1)</f>
        <v>1.3682950865831338</v>
      </c>
      <c r="W266">
        <v>101596.3</v>
      </c>
      <c r="X266">
        <v>111541.8</v>
      </c>
      <c r="Y266" s="4">
        <f>X266/W266-1</f>
        <v>9.7892344504671991E-2</v>
      </c>
    </row>
    <row r="267" spans="1:25" ht="15" customHeight="1">
      <c r="A267" s="57" t="s">
        <v>542</v>
      </c>
      <c r="B267" s="37" t="s">
        <v>543</v>
      </c>
      <c r="C267" s="28">
        <v>2048</v>
      </c>
      <c r="E267" s="37" t="s">
        <v>543</v>
      </c>
      <c r="F267" s="28">
        <v>2265</v>
      </c>
      <c r="G267" t="b">
        <f>IF(B267=E267,TRUE,FALSE)</f>
        <v>1</v>
      </c>
      <c r="J267" s="25">
        <f>F267-C267</f>
        <v>217</v>
      </c>
      <c r="K267" s="4">
        <f>F267/C267-1</f>
        <v>0.10595703125</v>
      </c>
      <c r="M267" s="5">
        <v>5184.2299999999996</v>
      </c>
      <c r="N267" s="5">
        <v>4607.96</v>
      </c>
      <c r="Q267" s="143">
        <v>29973.87</v>
      </c>
      <c r="U267" s="130">
        <f>N267-M267</f>
        <v>-576.26999999999953</v>
      </c>
      <c r="V267" s="4">
        <f>IF(M267=0,0,N267/M267-1)</f>
        <v>-0.11115826265424178</v>
      </c>
      <c r="W267" s="18">
        <v>49035.53</v>
      </c>
      <c r="X267" s="18">
        <v>54026.720000000001</v>
      </c>
      <c r="Y267" s="4">
        <f>X267/W267-1</f>
        <v>0.10178721429135162</v>
      </c>
    </row>
    <row r="268" spans="1:25" ht="15" customHeight="1">
      <c r="A268" t="s">
        <v>544</v>
      </c>
      <c r="B268" t="s">
        <v>545</v>
      </c>
      <c r="C268" s="28">
        <v>2123</v>
      </c>
      <c r="E268" t="s">
        <v>545</v>
      </c>
      <c r="F268" s="28">
        <v>2347</v>
      </c>
      <c r="G268" t="b">
        <f>IF(B268=E268,TRUE,FALSE)</f>
        <v>1</v>
      </c>
      <c r="J268" s="25">
        <f>F268-C268</f>
        <v>224</v>
      </c>
      <c r="K268" s="4">
        <f>F268/C268-1</f>
        <v>0.10551106924163922</v>
      </c>
      <c r="M268" s="5">
        <v>2416.31</v>
      </c>
      <c r="N268" s="5">
        <v>1803.12</v>
      </c>
      <c r="Q268" s="143">
        <v>14308.12</v>
      </c>
      <c r="U268" s="130">
        <f>N268-M268</f>
        <v>-613.19000000000005</v>
      </c>
      <c r="V268" s="4">
        <f>IF(M268=0,0,N268/M268-1)</f>
        <v>-0.25377124623910019</v>
      </c>
      <c r="W268" s="18">
        <v>59296.97</v>
      </c>
      <c r="X268" s="18">
        <v>65534.86</v>
      </c>
      <c r="Y268" s="4">
        <f>X268/W268-1</f>
        <v>0.10519744938063447</v>
      </c>
    </row>
    <row r="269" spans="1:25" ht="15" customHeight="1">
      <c r="A269" s="56" t="s">
        <v>546</v>
      </c>
      <c r="B269" s="37" t="s">
        <v>547</v>
      </c>
      <c r="C269" s="28">
        <v>1291</v>
      </c>
      <c r="E269" s="37" t="s">
        <v>547</v>
      </c>
      <c r="F269" s="28">
        <v>1516</v>
      </c>
      <c r="G269" t="b">
        <f>IF(B269=E269,TRUE,FALSE)</f>
        <v>1</v>
      </c>
      <c r="J269" s="25">
        <f>F269-C269</f>
        <v>225</v>
      </c>
      <c r="K269" s="4">
        <f>F269/C269-1</f>
        <v>0.17428350116188995</v>
      </c>
      <c r="M269" s="5">
        <v>3185.32</v>
      </c>
      <c r="N269" s="5">
        <v>2565.14</v>
      </c>
      <c r="Q269" s="143">
        <v>23556.2</v>
      </c>
      <c r="U269" s="130">
        <f>N269-M269</f>
        <v>-620.18000000000029</v>
      </c>
      <c r="V269" s="4">
        <f>IF(M269=0,0,N269/M269-1)</f>
        <v>-0.19469943365187803</v>
      </c>
      <c r="W269" s="18">
        <v>25784.7</v>
      </c>
      <c r="X269" s="18">
        <v>30302.639999999999</v>
      </c>
      <c r="Y269" s="4">
        <f>X269/W269-1</f>
        <v>0.17521786175522691</v>
      </c>
    </row>
    <row r="270" spans="1:25" ht="15" customHeight="1">
      <c r="A270" s="55" t="s">
        <v>548</v>
      </c>
      <c r="B270" s="37" t="s">
        <v>549</v>
      </c>
      <c r="C270" s="28">
        <v>3017</v>
      </c>
      <c r="E270" s="37" t="s">
        <v>549</v>
      </c>
      <c r="F270" s="28">
        <v>3247</v>
      </c>
      <c r="G270" t="b">
        <f>IF(B270=E270,TRUE,FALSE)</f>
        <v>1</v>
      </c>
      <c r="J270" s="25">
        <f>F270-C270</f>
        <v>230</v>
      </c>
      <c r="K270" s="4">
        <f>F270/C270-1</f>
        <v>7.623467020218766E-2</v>
      </c>
      <c r="M270" s="5">
        <v>6796.08</v>
      </c>
      <c r="N270" s="5">
        <v>5959.58</v>
      </c>
      <c r="Q270" s="143">
        <v>40943.49</v>
      </c>
      <c r="U270" s="130">
        <f>N270-M270</f>
        <v>-836.5</v>
      </c>
      <c r="V270" s="4">
        <f>IF(M270=0,0,N270/M270-1)</f>
        <v>-0.12308566114583697</v>
      </c>
      <c r="W270" s="18">
        <v>73968.42</v>
      </c>
      <c r="X270" s="18">
        <v>81446.009999999995</v>
      </c>
      <c r="Y270" s="4">
        <f>X270/W270-1</f>
        <v>0.10109165506036222</v>
      </c>
    </row>
    <row r="271" spans="1:25" ht="15" customHeight="1">
      <c r="A271" s="55" t="s">
        <v>550</v>
      </c>
      <c r="B271" s="37" t="s">
        <v>551</v>
      </c>
      <c r="C271" s="28">
        <v>2525</v>
      </c>
      <c r="E271" s="37" t="s">
        <v>551</v>
      </c>
      <c r="F271" s="28">
        <v>2757</v>
      </c>
      <c r="G271" t="b">
        <f>IF(B271=E271,TRUE,FALSE)</f>
        <v>1</v>
      </c>
      <c r="J271" s="25">
        <f>F271-C271</f>
        <v>232</v>
      </c>
      <c r="K271" s="4">
        <f>F271/C271-1</f>
        <v>9.1881188118811963E-2</v>
      </c>
      <c r="M271" s="5">
        <v>5054.4799999999996</v>
      </c>
      <c r="N271" s="5">
        <v>4755.7700000000004</v>
      </c>
      <c r="Q271" s="143">
        <v>33636.83</v>
      </c>
      <c r="U271" s="130">
        <f>N271-M271</f>
        <v>-298.70999999999913</v>
      </c>
      <c r="V271" s="4">
        <f>IF(M271=0,0,N271/M271-1)</f>
        <v>-5.9098067456988534E-2</v>
      </c>
      <c r="W271" s="18">
        <v>62635.839999999997</v>
      </c>
      <c r="X271" s="18">
        <v>68681.56</v>
      </c>
      <c r="Y271" s="4">
        <f>X271/W271-1</f>
        <v>9.6521735798545949E-2</v>
      </c>
    </row>
    <row r="272" spans="1:25" ht="15" customHeight="1">
      <c r="A272" t="s">
        <v>552</v>
      </c>
      <c r="B272" t="s">
        <v>553</v>
      </c>
      <c r="C272" s="28">
        <v>2109</v>
      </c>
      <c r="E272" t="s">
        <v>553</v>
      </c>
      <c r="F272" s="28">
        <v>2347</v>
      </c>
      <c r="G272" t="b">
        <f>IF(B272=E272,TRUE,FALSE)</f>
        <v>1</v>
      </c>
      <c r="J272" s="25">
        <f>F272-C272</f>
        <v>238</v>
      </c>
      <c r="K272" s="4">
        <f>F272/C272-1</f>
        <v>0.11284969179706028</v>
      </c>
      <c r="M272" s="5">
        <v>3914.14</v>
      </c>
      <c r="N272" s="5">
        <v>3638.7</v>
      </c>
      <c r="Q272" s="143">
        <v>29106.36</v>
      </c>
      <c r="U272" s="130">
        <f>N272-M272</f>
        <v>-275.44000000000005</v>
      </c>
      <c r="V272" s="4">
        <f>IF(M272=0,0,N272/M272-1)</f>
        <v>-7.037050284353652E-2</v>
      </c>
      <c r="W272" s="18">
        <v>56921.91</v>
      </c>
      <c r="X272" s="18">
        <v>63334.46</v>
      </c>
      <c r="Y272" s="4">
        <f>X272/W272-1</f>
        <v>0.11265521483730945</v>
      </c>
    </row>
    <row r="273" spans="1:25" ht="15" customHeight="1">
      <c r="A273" t="s">
        <v>554</v>
      </c>
      <c r="B273" t="s">
        <v>555</v>
      </c>
      <c r="C273" s="28">
        <v>942</v>
      </c>
      <c r="E273" t="s">
        <v>555</v>
      </c>
      <c r="F273" s="28">
        <v>1188</v>
      </c>
      <c r="G273" t="b">
        <f>IF(B273=E273,TRUE,FALSE)</f>
        <v>1</v>
      </c>
      <c r="J273" s="25">
        <f>F273-C273</f>
        <v>246</v>
      </c>
      <c r="K273" s="4">
        <f>F273/C273-1</f>
        <v>0.26114649681528657</v>
      </c>
      <c r="M273" s="5">
        <v>1248.93</v>
      </c>
      <c r="N273" s="5">
        <v>1566.12</v>
      </c>
      <c r="Q273" s="143">
        <v>5997.44</v>
      </c>
      <c r="U273" s="130">
        <f>N273-M273</f>
        <v>317.18999999999983</v>
      </c>
      <c r="V273" s="4">
        <f>IF(M273=0,0,N273/M273-1)</f>
        <v>0.25396939780452055</v>
      </c>
      <c r="W273" s="18">
        <v>14816.94</v>
      </c>
      <c r="X273" s="18">
        <v>18257.830000000002</v>
      </c>
      <c r="Y273" s="4">
        <f>X273/W273-1</f>
        <v>0.23222676207098103</v>
      </c>
    </row>
    <row r="274" spans="1:25" ht="15" customHeight="1">
      <c r="A274" t="s">
        <v>556</v>
      </c>
      <c r="B274" t="s">
        <v>557</v>
      </c>
      <c r="C274" s="28">
        <v>2314</v>
      </c>
      <c r="E274" t="s">
        <v>557</v>
      </c>
      <c r="F274" s="28">
        <v>2561</v>
      </c>
      <c r="G274" t="b">
        <f>IF(B274=E274,TRUE,FALSE)</f>
        <v>1</v>
      </c>
      <c r="J274" s="25">
        <f>F274-C274</f>
        <v>247</v>
      </c>
      <c r="K274" s="4">
        <f>F274/C274-1</f>
        <v>0.10674157303370779</v>
      </c>
      <c r="M274" s="5">
        <v>4591.3</v>
      </c>
      <c r="N274" s="5">
        <v>4541.2700000000004</v>
      </c>
      <c r="Q274" s="143">
        <v>22285.78</v>
      </c>
      <c r="U274" s="130">
        <f>N274-M274</f>
        <v>-50.029999999999745</v>
      </c>
      <c r="V274" s="4">
        <f>IF(M274=0,0,N274/M274-1)</f>
        <v>-1.0896695924901389E-2</v>
      </c>
      <c r="W274" s="18">
        <v>69295.3</v>
      </c>
      <c r="X274" s="18">
        <v>76695.350000000006</v>
      </c>
      <c r="Y274" s="4">
        <f>X274/W274-1</f>
        <v>0.10679007089946935</v>
      </c>
    </row>
    <row r="275" spans="1:25" ht="15" customHeight="1">
      <c r="A275" t="s">
        <v>558</v>
      </c>
      <c r="B275" t="s">
        <v>559</v>
      </c>
      <c r="C275" s="28">
        <v>3156</v>
      </c>
      <c r="E275" t="s">
        <v>559</v>
      </c>
      <c r="F275" s="28">
        <v>3404</v>
      </c>
      <c r="G275" t="b">
        <f>IF(B275=E275,TRUE,FALSE)</f>
        <v>1</v>
      </c>
      <c r="J275" s="25">
        <f>F275-C275</f>
        <v>248</v>
      </c>
      <c r="K275" s="4">
        <f>F275/C275-1</f>
        <v>7.8580481622306797E-2</v>
      </c>
      <c r="M275" s="5">
        <v>3868.94</v>
      </c>
      <c r="N275" s="5">
        <v>3658.32</v>
      </c>
      <c r="Q275" s="143">
        <v>23796.5</v>
      </c>
      <c r="U275" s="130">
        <f>N275-M275</f>
        <v>-210.61999999999989</v>
      </c>
      <c r="V275" s="4">
        <f>IF(M275=0,0,N275/M275-1)</f>
        <v>-5.4438683463687743E-2</v>
      </c>
      <c r="W275" s="18">
        <v>94509.9</v>
      </c>
      <c r="X275" s="18">
        <v>101120.65</v>
      </c>
      <c r="Y275" s="4">
        <f>X275/W275-1</f>
        <v>6.9947698600887342E-2</v>
      </c>
    </row>
    <row r="276" spans="1:25" ht="15" customHeight="1">
      <c r="A276" s="147" t="s">
        <v>560</v>
      </c>
      <c r="B276" s="37" t="s">
        <v>561</v>
      </c>
      <c r="C276" s="28">
        <v>122</v>
      </c>
      <c r="E276" s="37" t="s">
        <v>561</v>
      </c>
      <c r="F276" s="28">
        <v>370</v>
      </c>
      <c r="G276" t="b">
        <f>IF(B276=E276,TRUE,FALSE)</f>
        <v>1</v>
      </c>
      <c r="J276" s="25">
        <f>F276-C276</f>
        <v>248</v>
      </c>
      <c r="K276" s="4">
        <f>F276/C276-1</f>
        <v>2.0327868852459017</v>
      </c>
      <c r="M276" s="5">
        <v>184.1</v>
      </c>
      <c r="N276" s="5">
        <v>245.65</v>
      </c>
      <c r="Q276" s="142">
        <v>2098.6999999999998</v>
      </c>
      <c r="U276" s="130">
        <f>N276-M276</f>
        <v>61.550000000000011</v>
      </c>
      <c r="V276" s="4">
        <f>IF(M276=0,0,N276/M276-1)</f>
        <v>0.33432916892992948</v>
      </c>
      <c r="W276" s="18">
        <v>2411.42</v>
      </c>
      <c r="X276" s="18">
        <v>6626.62</v>
      </c>
      <c r="Y276" s="4"/>
    </row>
    <row r="277" spans="1:25" ht="15" customHeight="1">
      <c r="A277" s="55" t="s">
        <v>562</v>
      </c>
      <c r="B277" s="37" t="s">
        <v>563</v>
      </c>
      <c r="C277" s="28">
        <v>232</v>
      </c>
      <c r="E277" s="37" t="s">
        <v>563</v>
      </c>
      <c r="F277" s="28">
        <v>494</v>
      </c>
      <c r="G277" t="b">
        <f>IF(B277=E277,TRUE,FALSE)</f>
        <v>1</v>
      </c>
      <c r="J277" s="25">
        <f>F277-C277</f>
        <v>262</v>
      </c>
      <c r="K277" s="4">
        <f>F277/C277-1</f>
        <v>1.1293103448275863</v>
      </c>
      <c r="M277" s="5">
        <v>246.09</v>
      </c>
      <c r="N277" s="5">
        <v>598.75</v>
      </c>
      <c r="Q277" s="142">
        <v>2696.8</v>
      </c>
      <c r="U277" s="130">
        <f>N277-M277</f>
        <v>352.65999999999997</v>
      </c>
      <c r="V277" s="4">
        <f>IF(M277=0,0,N277/M277-1)</f>
        <v>1.4330529481084158</v>
      </c>
      <c r="W277" s="18">
        <v>10530.84</v>
      </c>
      <c r="X277" s="18">
        <v>19753.86</v>
      </c>
      <c r="Y277" s="4">
        <f>X277/W277-1</f>
        <v>0.87581047665713285</v>
      </c>
    </row>
    <row r="278" spans="1:25" ht="15" customHeight="1">
      <c r="A278" t="s">
        <v>564</v>
      </c>
      <c r="B278" t="s">
        <v>565</v>
      </c>
      <c r="C278" s="28">
        <v>1484</v>
      </c>
      <c r="E278" t="s">
        <v>565</v>
      </c>
      <c r="F278" s="28">
        <v>1747</v>
      </c>
      <c r="G278" t="b">
        <f>IF(B278=E278,TRUE,FALSE)</f>
        <v>1</v>
      </c>
      <c r="J278" s="25">
        <f>F278-C278</f>
        <v>263</v>
      </c>
      <c r="K278" s="4">
        <f>F278/C278-1</f>
        <v>0.17722371967654982</v>
      </c>
      <c r="L278" s="5"/>
      <c r="M278" s="5">
        <v>2509.4899999999998</v>
      </c>
      <c r="N278" s="5">
        <v>3161.04</v>
      </c>
      <c r="O278" s="5"/>
      <c r="P278" s="5"/>
      <c r="Q278" s="143">
        <v>20523.28</v>
      </c>
      <c r="R278" s="5"/>
      <c r="S278" s="5"/>
      <c r="T278" s="5"/>
      <c r="U278" s="130">
        <f>N278-M278</f>
        <v>651.55000000000018</v>
      </c>
      <c r="V278" s="4">
        <f>IF(M278=0,0,N278/M278-1)</f>
        <v>0.25963442771240386</v>
      </c>
      <c r="W278" s="18">
        <v>39989.480000000003</v>
      </c>
      <c r="X278" s="18">
        <v>47077.599999999999</v>
      </c>
      <c r="Y278" s="4">
        <f>X278/W278-1</f>
        <v>0.1772496166491786</v>
      </c>
    </row>
    <row r="279" spans="1:25" ht="15" customHeight="1">
      <c r="A279" t="s">
        <v>566</v>
      </c>
      <c r="B279" t="s">
        <v>567</v>
      </c>
      <c r="C279" s="28">
        <v>2008</v>
      </c>
      <c r="E279" t="s">
        <v>567</v>
      </c>
      <c r="F279" s="28">
        <v>2272</v>
      </c>
      <c r="G279" t="b">
        <f>IF(B279=E279,TRUE,FALSE)</f>
        <v>1</v>
      </c>
      <c r="J279" s="25">
        <f>F279-C279</f>
        <v>264</v>
      </c>
      <c r="K279" s="4">
        <f>F279/C279-1</f>
        <v>0.13147410358565748</v>
      </c>
      <c r="M279" s="5">
        <v>4287.1000000000004</v>
      </c>
      <c r="N279" s="5">
        <v>4146.25</v>
      </c>
      <c r="Q279" s="143">
        <v>28359.599999999999</v>
      </c>
      <c r="U279" s="130">
        <f>N279-M279</f>
        <v>-140.85000000000036</v>
      </c>
      <c r="V279" s="4">
        <f>IF(M279=0,0,N279/M279-1)</f>
        <v>-3.2854377084742703E-2</v>
      </c>
      <c r="W279" s="18">
        <v>54134.720000000001</v>
      </c>
      <c r="X279" s="18">
        <v>61200.160000000003</v>
      </c>
      <c r="Y279" s="4">
        <f>X279/W279-1</f>
        <v>0.13051586855903197</v>
      </c>
    </row>
    <row r="280" spans="1:25" ht="15" customHeight="1">
      <c r="A280" t="s">
        <v>568</v>
      </c>
      <c r="B280" t="s">
        <v>569</v>
      </c>
      <c r="C280" s="28">
        <v>2014</v>
      </c>
      <c r="E280" t="s">
        <v>569</v>
      </c>
      <c r="F280" s="28">
        <v>2282</v>
      </c>
      <c r="G280" t="b">
        <f>IF(B280=E280,TRUE,FALSE)</f>
        <v>1</v>
      </c>
      <c r="J280" s="25">
        <f>F280-C280</f>
        <v>268</v>
      </c>
      <c r="K280" s="4">
        <f>F280/C280-1</f>
        <v>0.1330685203574975</v>
      </c>
      <c r="M280" s="5">
        <v>4983.3999999999996</v>
      </c>
      <c r="N280" s="5">
        <v>4981.26</v>
      </c>
      <c r="Q280" s="143">
        <v>28138.29</v>
      </c>
      <c r="U280" s="130">
        <f>N280-M280</f>
        <v>-2.1399999999994179</v>
      </c>
      <c r="V280" s="4">
        <f>IF(M280=0,0,N280/M280-1)</f>
        <v>-4.2942569330162161E-4</v>
      </c>
      <c r="W280" s="18">
        <v>60391.16</v>
      </c>
      <c r="X280" s="18">
        <v>68431.179999999993</v>
      </c>
      <c r="Y280" s="4">
        <f>X280/W280-1</f>
        <v>0.13313239884777817</v>
      </c>
    </row>
    <row r="281" spans="1:25" ht="15" customHeight="1">
      <c r="A281" t="s">
        <v>570</v>
      </c>
      <c r="B281" t="s">
        <v>571</v>
      </c>
      <c r="C281" s="28">
        <v>617</v>
      </c>
      <c r="E281" t="s">
        <v>571</v>
      </c>
      <c r="F281" s="28">
        <v>907</v>
      </c>
      <c r="G281" t="b">
        <f>IF(B281=E281,TRUE,FALSE)</f>
        <v>1</v>
      </c>
      <c r="J281" s="25">
        <f>F281-C281</f>
        <v>290</v>
      </c>
      <c r="K281" s="4">
        <f>F281/C281-1</f>
        <v>0.47001620745542949</v>
      </c>
      <c r="M281" s="5">
        <v>1889.57</v>
      </c>
      <c r="N281" s="5">
        <v>1565.12</v>
      </c>
      <c r="Q281" s="143">
        <v>13918.51</v>
      </c>
      <c r="U281" s="130">
        <f>N281-M281</f>
        <v>-324.45000000000005</v>
      </c>
      <c r="V281" s="4">
        <f>IF(M281=0,0,N281/M281-1)</f>
        <v>-0.17170573199193473</v>
      </c>
      <c r="W281" s="18">
        <v>13849.71</v>
      </c>
      <c r="X281" s="18">
        <v>19374.060000000001</v>
      </c>
      <c r="Y281" s="4">
        <f>X281/W281-1</f>
        <v>0.39887838806733145</v>
      </c>
    </row>
    <row r="282" spans="1:25" ht="15" customHeight="1">
      <c r="A282" s="147" t="s">
        <v>572</v>
      </c>
      <c r="B282" s="37" t="s">
        <v>573</v>
      </c>
      <c r="C282" s="28">
        <v>10</v>
      </c>
      <c r="E282" s="37" t="s">
        <v>573</v>
      </c>
      <c r="F282" s="28">
        <v>309</v>
      </c>
      <c r="G282" t="b">
        <f>IF(B282=E282,TRUE,FALSE)</f>
        <v>1</v>
      </c>
      <c r="J282" s="25">
        <f>F282-C282</f>
        <v>299</v>
      </c>
      <c r="K282" s="4">
        <f>F282/C282-1</f>
        <v>29.9</v>
      </c>
      <c r="M282" s="5">
        <v>8.5299999999999994</v>
      </c>
      <c r="N282" s="5">
        <v>394.42</v>
      </c>
      <c r="Q282" s="142">
        <v>2388.1999999999998</v>
      </c>
      <c r="U282" s="130">
        <f>N282-M282</f>
        <v>385.89000000000004</v>
      </c>
      <c r="V282" s="4">
        <f>IF(M282=0,0,N282/M282-1)</f>
        <v>45.239155920281362</v>
      </c>
      <c r="W282" s="18">
        <v>359.62</v>
      </c>
      <c r="X282" s="18">
        <v>6273.32</v>
      </c>
      <c r="Y282" s="4"/>
    </row>
    <row r="283" spans="1:25" ht="15" customHeight="1">
      <c r="A283" t="s">
        <v>574</v>
      </c>
      <c r="B283" t="s">
        <v>575</v>
      </c>
      <c r="C283" s="28">
        <v>1623</v>
      </c>
      <c r="E283" t="s">
        <v>575</v>
      </c>
      <c r="F283" s="28">
        <v>1930</v>
      </c>
      <c r="G283" t="b">
        <f>IF(B283=E283,TRUE,FALSE)</f>
        <v>1</v>
      </c>
      <c r="J283" s="25">
        <f>F283-C283</f>
        <v>307</v>
      </c>
      <c r="K283" s="4">
        <f>F283/C283-1</f>
        <v>0.18915588416512641</v>
      </c>
      <c r="M283" s="5">
        <v>2660.45</v>
      </c>
      <c r="N283" s="5">
        <v>3002.78</v>
      </c>
      <c r="Q283" s="143">
        <v>21196.84</v>
      </c>
      <c r="U283" s="130">
        <f>N283-M283</f>
        <v>342.33000000000038</v>
      </c>
      <c r="V283" s="4">
        <f>IF(M283=0,0,N283/M283-1)</f>
        <v>0.12867372061117499</v>
      </c>
      <c r="W283" s="18">
        <v>48595.35</v>
      </c>
      <c r="X283" s="18">
        <v>57791.8</v>
      </c>
      <c r="Y283" s="4">
        <f>X283/W283-1</f>
        <v>0.18924547307509876</v>
      </c>
    </row>
    <row r="284" spans="1:25" ht="15" customHeight="1">
      <c r="A284" t="s">
        <v>576</v>
      </c>
      <c r="B284" t="s">
        <v>577</v>
      </c>
      <c r="C284" s="28">
        <v>1126</v>
      </c>
      <c r="E284" t="s">
        <v>577</v>
      </c>
      <c r="F284" s="28">
        <v>1452</v>
      </c>
      <c r="G284" t="b">
        <f>IF(B284=E284,TRUE,FALSE)</f>
        <v>1</v>
      </c>
      <c r="J284" s="25">
        <f>F284-C284</f>
        <v>326</v>
      </c>
      <c r="K284" s="4">
        <f>F284/C284-1</f>
        <v>0.28952042628774421</v>
      </c>
      <c r="M284" s="5">
        <v>1943.59</v>
      </c>
      <c r="N284" s="5">
        <v>2370.4</v>
      </c>
      <c r="Q284" s="143">
        <v>15208.69</v>
      </c>
      <c r="U284" s="130">
        <f>N284-M284</f>
        <v>426.81000000000017</v>
      </c>
      <c r="V284" s="4">
        <f>IF(M284=0,0,N284/M284-1)</f>
        <v>0.21959878369409203</v>
      </c>
      <c r="W284" s="18">
        <v>33768.74</v>
      </c>
      <c r="X284" s="18">
        <v>43515.49</v>
      </c>
      <c r="Y284" s="4">
        <f>X284/W284-1</f>
        <v>0.28863232682060391</v>
      </c>
    </row>
    <row r="285" spans="1:25" ht="15" customHeight="1">
      <c r="A285" t="s">
        <v>578</v>
      </c>
      <c r="B285" t="s">
        <v>579</v>
      </c>
      <c r="C285" s="28">
        <v>469</v>
      </c>
      <c r="E285" t="s">
        <v>579</v>
      </c>
      <c r="F285" s="28">
        <v>806</v>
      </c>
      <c r="G285" t="b">
        <f>IF(B285=E285,TRUE,FALSE)</f>
        <v>1</v>
      </c>
      <c r="J285" s="25">
        <f>F285-C285</f>
        <v>337</v>
      </c>
      <c r="K285" s="4">
        <f>F285/C285-1</f>
        <v>0.71855010660980811</v>
      </c>
      <c r="M285" s="5">
        <v>2458.31</v>
      </c>
      <c r="N285" s="5">
        <v>3080.86</v>
      </c>
      <c r="Q285" s="143">
        <v>19273.919999999998</v>
      </c>
      <c r="U285" s="130">
        <f>N285-M285</f>
        <v>622.55000000000018</v>
      </c>
      <c r="V285" s="4">
        <f>IF(M285=0,0,N285/M285-1)</f>
        <v>0.25324308162924947</v>
      </c>
      <c r="W285" s="18">
        <v>11166.2</v>
      </c>
      <c r="X285" s="18">
        <v>19316.46</v>
      </c>
      <c r="Y285" s="4">
        <f>X285/W285-1</f>
        <v>0.72990453332378058</v>
      </c>
    </row>
    <row r="286" spans="1:25" ht="15" customHeight="1">
      <c r="A286" t="s">
        <v>580</v>
      </c>
      <c r="B286" t="s">
        <v>581</v>
      </c>
      <c r="C286" s="28">
        <v>1176</v>
      </c>
      <c r="E286" t="s">
        <v>581</v>
      </c>
      <c r="F286" s="28">
        <v>1524</v>
      </c>
      <c r="G286" t="b">
        <f>IF(B286=E286,TRUE,FALSE)</f>
        <v>1</v>
      </c>
      <c r="J286" s="25">
        <f>F286-C286</f>
        <v>348</v>
      </c>
      <c r="K286" s="4">
        <f>F286/C286-1</f>
        <v>0.29591836734693877</v>
      </c>
      <c r="M286" s="5">
        <v>2689.51</v>
      </c>
      <c r="N286" s="5">
        <v>2752.11</v>
      </c>
      <c r="Q286" s="143">
        <v>16967.95</v>
      </c>
      <c r="U286" s="130">
        <f>N286-M286</f>
        <v>62.599999999999909</v>
      </c>
      <c r="V286" s="4">
        <f>IF(M286=0,0,N286/M286-1)</f>
        <v>2.3275615260772264E-2</v>
      </c>
      <c r="W286" s="18">
        <v>35218.199999999997</v>
      </c>
      <c r="X286" s="18">
        <v>45289.8</v>
      </c>
      <c r="Y286" s="4">
        <f>X286/W286-1</f>
        <v>0.28597713682130288</v>
      </c>
    </row>
    <row r="287" spans="1:25" ht="15" customHeight="1">
      <c r="A287" t="s">
        <v>582</v>
      </c>
      <c r="B287" s="27" t="s">
        <v>583</v>
      </c>
      <c r="C287" s="28">
        <v>1872</v>
      </c>
      <c r="D287" s="19"/>
      <c r="E287" s="27" t="s">
        <v>583</v>
      </c>
      <c r="F287" s="28">
        <v>2237</v>
      </c>
      <c r="G287" t="b">
        <f>IF(B287=E287,TRUE,FALSE)</f>
        <v>1</v>
      </c>
      <c r="H287" s="19"/>
      <c r="I287" s="19"/>
      <c r="J287" s="25">
        <f>F287-C287</f>
        <v>365</v>
      </c>
      <c r="K287" s="4">
        <f>F287/C287-1</f>
        <v>0.19497863247863245</v>
      </c>
      <c r="M287" s="5">
        <v>3558.03</v>
      </c>
      <c r="N287" s="5">
        <v>3245.27</v>
      </c>
      <c r="Q287" s="143">
        <v>18912.259999999998</v>
      </c>
      <c r="U287" s="130">
        <f>N287-M287</f>
        <v>-312.76000000000022</v>
      </c>
      <c r="V287" s="4">
        <f>IF(M287=0,0,N287/M287-1)</f>
        <v>-8.790257530150114E-2</v>
      </c>
      <c r="W287" s="18">
        <v>44820.480000000003</v>
      </c>
      <c r="X287" s="18">
        <v>52794.91</v>
      </c>
      <c r="Y287" s="4">
        <f>X287/W287-1</f>
        <v>0.17791933508967328</v>
      </c>
    </row>
    <row r="288" spans="1:25" ht="15" customHeight="1">
      <c r="A288" t="s">
        <v>584</v>
      </c>
      <c r="B288" t="s">
        <v>585</v>
      </c>
      <c r="C288" s="28">
        <v>3886</v>
      </c>
      <c r="E288" t="s">
        <v>585</v>
      </c>
      <c r="F288" s="28">
        <v>4261</v>
      </c>
      <c r="G288" t="b">
        <f>IF(B288=E288,TRUE,FALSE)</f>
        <v>1</v>
      </c>
      <c r="J288" s="25">
        <f>F288-C288</f>
        <v>375</v>
      </c>
      <c r="K288" s="4">
        <f>F288/C288-1</f>
        <v>9.6500257334019457E-2</v>
      </c>
      <c r="M288" s="5">
        <v>5078.87</v>
      </c>
      <c r="N288" s="5">
        <v>5276.07</v>
      </c>
      <c r="Q288" s="143">
        <v>54511.56</v>
      </c>
      <c r="U288" s="130">
        <f>N288-M288</f>
        <v>197.19999999999982</v>
      </c>
      <c r="V288" s="4">
        <f>IF(M288=0,0,N288/M288-1)</f>
        <v>3.8827534471250535E-2</v>
      </c>
      <c r="W288" s="18">
        <v>116368.3</v>
      </c>
      <c r="X288" s="18">
        <v>127569.9</v>
      </c>
      <c r="Y288" s="4">
        <f>X288/W288-1</f>
        <v>9.6259892084012533E-2</v>
      </c>
    </row>
    <row r="289" spans="1:25" ht="15" customHeight="1">
      <c r="A289" t="s">
        <v>586</v>
      </c>
      <c r="B289" t="s">
        <v>587</v>
      </c>
      <c r="C289" s="28">
        <v>1509</v>
      </c>
      <c r="E289" t="s">
        <v>587</v>
      </c>
      <c r="F289" s="28">
        <v>1893</v>
      </c>
      <c r="G289" t="b">
        <f>IF(B289=E289,TRUE,FALSE)</f>
        <v>1</v>
      </c>
      <c r="J289" s="25">
        <f>F289-C289</f>
        <v>384</v>
      </c>
      <c r="K289" s="4">
        <f>F289/C289-1</f>
        <v>0.25447316103379714</v>
      </c>
      <c r="M289" s="5">
        <v>3880.73</v>
      </c>
      <c r="N289" s="5">
        <v>3970</v>
      </c>
      <c r="Q289" s="143">
        <v>22059.78</v>
      </c>
      <c r="U289" s="130">
        <f>N289-M289</f>
        <v>89.269999999999982</v>
      </c>
      <c r="V289" s="4">
        <f>IF(M289=0,0,N289/M289-1)</f>
        <v>2.300340399873213E-2</v>
      </c>
      <c r="W289" s="18">
        <v>39145.550000000003</v>
      </c>
      <c r="X289" s="18">
        <v>49110.35</v>
      </c>
      <c r="Y289" s="4">
        <f>X289/W289-1</f>
        <v>0.25455767002890473</v>
      </c>
    </row>
    <row r="290" spans="1:25" ht="15" customHeight="1">
      <c r="A290" t="s">
        <v>588</v>
      </c>
      <c r="B290" t="s">
        <v>589</v>
      </c>
      <c r="C290" s="28">
        <v>1452</v>
      </c>
      <c r="E290" t="s">
        <v>589</v>
      </c>
      <c r="F290" s="28">
        <v>1837</v>
      </c>
      <c r="G290" t="b">
        <f>IF(B290=E290,TRUE,FALSE)</f>
        <v>1</v>
      </c>
      <c r="J290" s="25">
        <f>F290-C290</f>
        <v>385</v>
      </c>
      <c r="K290" s="4">
        <f>F290/C290-1</f>
        <v>0.26515151515151514</v>
      </c>
      <c r="M290" s="5">
        <v>1157.3699999999999</v>
      </c>
      <c r="N290" s="5">
        <v>1538.53</v>
      </c>
      <c r="Q290" s="143">
        <v>15499.87</v>
      </c>
      <c r="U290" s="130">
        <f>N290-M290</f>
        <v>381.16000000000008</v>
      </c>
      <c r="V290" s="4">
        <f>IF(M290=0,0,N290/M290-1)</f>
        <v>0.32933288403881233</v>
      </c>
      <c r="W290" s="18">
        <v>43450.85</v>
      </c>
      <c r="X290" s="18">
        <v>55014.25</v>
      </c>
      <c r="Y290" s="4">
        <f>X290/W290-1</f>
        <v>0.26612597912353841</v>
      </c>
    </row>
    <row r="291" spans="1:25" ht="15" customHeight="1">
      <c r="A291" t="s">
        <v>590</v>
      </c>
      <c r="B291" t="s">
        <v>591</v>
      </c>
      <c r="C291" s="28">
        <v>1601</v>
      </c>
      <c r="E291" t="s">
        <v>591</v>
      </c>
      <c r="F291" s="28">
        <v>1987</v>
      </c>
      <c r="G291" t="b">
        <f>IF(B291=E291,TRUE,FALSE)</f>
        <v>1</v>
      </c>
      <c r="J291" s="25">
        <f>F291-C291</f>
        <v>386</v>
      </c>
      <c r="K291" s="4">
        <f>F291/C291-1</f>
        <v>0.24109931292941922</v>
      </c>
      <c r="M291" s="5">
        <v>1352.64</v>
      </c>
      <c r="N291" s="5">
        <v>1761.99</v>
      </c>
      <c r="Q291" s="143">
        <v>9500.9</v>
      </c>
      <c r="U291" s="130">
        <f>N291-M291</f>
        <v>409.34999999999991</v>
      </c>
      <c r="V291" s="4">
        <f>IF(M291=0,0,N291/M291-1)</f>
        <v>0.30263041163946047</v>
      </c>
      <c r="W291" s="18">
        <v>62212.33</v>
      </c>
      <c r="X291" s="18">
        <v>64019.82</v>
      </c>
      <c r="Y291" s="4">
        <f>X291/W291-1</f>
        <v>2.9053565426660599E-2</v>
      </c>
    </row>
    <row r="292" spans="1:25" ht="15" customHeight="1">
      <c r="A292" t="s">
        <v>592</v>
      </c>
      <c r="B292" t="s">
        <v>593</v>
      </c>
      <c r="C292" s="28">
        <v>1791</v>
      </c>
      <c r="E292" t="s">
        <v>593</v>
      </c>
      <c r="F292" s="28">
        <v>2186</v>
      </c>
      <c r="G292" t="b">
        <f>IF(B292=E292,TRUE,FALSE)</f>
        <v>1</v>
      </c>
      <c r="J292" s="25">
        <f>F292-C292</f>
        <v>395</v>
      </c>
      <c r="K292" s="4">
        <f>F292/C292-1</f>
        <v>0.22054718034617538</v>
      </c>
      <c r="M292" s="5">
        <v>2434</v>
      </c>
      <c r="N292" s="5">
        <v>2902.62</v>
      </c>
      <c r="Q292" s="143">
        <v>28811.61</v>
      </c>
      <c r="U292" s="130">
        <f>N292-M292</f>
        <v>468.61999999999989</v>
      </c>
      <c r="V292" s="4">
        <f>IF(M292=0,0,N292/M292-1)</f>
        <v>0.19253081347575995</v>
      </c>
      <c r="W292" s="18">
        <v>53712.09</v>
      </c>
      <c r="X292" s="18">
        <v>65553.64</v>
      </c>
      <c r="Y292" s="4">
        <f>X292/W292-1</f>
        <v>0.22046340032569955</v>
      </c>
    </row>
    <row r="293" spans="1:25" ht="15" customHeight="1">
      <c r="A293" t="s">
        <v>594</v>
      </c>
      <c r="B293" t="s">
        <v>595</v>
      </c>
      <c r="C293" s="28">
        <v>5332</v>
      </c>
      <c r="E293" t="s">
        <v>595</v>
      </c>
      <c r="F293" s="28">
        <v>5731</v>
      </c>
      <c r="G293" t="b">
        <f>IF(B293=E293,TRUE,FALSE)</f>
        <v>1</v>
      </c>
      <c r="J293" s="25">
        <f>F293-C293</f>
        <v>399</v>
      </c>
      <c r="K293" s="4">
        <f>F293/C293-1</f>
        <v>7.4831207801950406E-2</v>
      </c>
      <c r="M293" s="5">
        <v>5370.41</v>
      </c>
      <c r="N293" s="5">
        <v>4539.3999999999996</v>
      </c>
      <c r="Q293" s="143">
        <v>33852.269999999997</v>
      </c>
      <c r="U293" s="130">
        <f>N293-M293</f>
        <v>-831.01000000000022</v>
      </c>
      <c r="V293" s="4">
        <f>IF(M293=0,0,N293/M293-1)</f>
        <v>-0.1547386512389185</v>
      </c>
      <c r="W293" s="18">
        <v>159350.45000000001</v>
      </c>
      <c r="X293" s="18">
        <v>171354.52</v>
      </c>
      <c r="Y293" s="4">
        <f>X293/W293-1</f>
        <v>7.53312588699937E-2</v>
      </c>
    </row>
    <row r="294" spans="1:25" ht="15" customHeight="1">
      <c r="A294" t="s">
        <v>596</v>
      </c>
      <c r="B294" t="s">
        <v>597</v>
      </c>
      <c r="C294" s="28">
        <v>904</v>
      </c>
      <c r="E294" t="s">
        <v>597</v>
      </c>
      <c r="F294" s="28">
        <v>1309</v>
      </c>
      <c r="G294" t="b">
        <f>IF(B294=E294,TRUE,FALSE)</f>
        <v>1</v>
      </c>
      <c r="J294" s="25">
        <f>F294-C294</f>
        <v>405</v>
      </c>
      <c r="K294" s="4">
        <f>F294/C294-1</f>
        <v>0.44800884955752207</v>
      </c>
      <c r="M294" s="5">
        <v>366.7</v>
      </c>
      <c r="N294" s="5">
        <v>370.5</v>
      </c>
      <c r="Q294" s="143">
        <v>5711.89</v>
      </c>
      <c r="U294" s="130">
        <f>N294-M294</f>
        <v>3.8000000000000114</v>
      </c>
      <c r="V294" s="4">
        <f>IF(M294=0,0,N294/M294-1)</f>
        <v>1.0362694300518172E-2</v>
      </c>
      <c r="W294" s="18">
        <v>39671.279999999999</v>
      </c>
      <c r="X294" s="18">
        <v>57521.31</v>
      </c>
      <c r="Y294" s="4">
        <f>X294/W294-1</f>
        <v>0.44994842616623409</v>
      </c>
    </row>
    <row r="295" spans="1:25" ht="15" customHeight="1">
      <c r="A295" s="55" t="s">
        <v>598</v>
      </c>
      <c r="B295" s="37" t="s">
        <v>599</v>
      </c>
      <c r="C295" s="28">
        <v>41</v>
      </c>
      <c r="E295" s="37" t="s">
        <v>599</v>
      </c>
      <c r="F295" s="28">
        <v>446</v>
      </c>
      <c r="G295" t="b">
        <f>IF(B295=E295,TRUE,FALSE)</f>
        <v>1</v>
      </c>
      <c r="J295" s="25">
        <f>F295-C295</f>
        <v>405</v>
      </c>
      <c r="K295" s="4">
        <f>F295/C295-1</f>
        <v>9.8780487804878057</v>
      </c>
      <c r="M295" s="5">
        <v>77.48</v>
      </c>
      <c r="N295" s="5">
        <v>1163.67</v>
      </c>
      <c r="Q295" s="142">
        <v>9608.32</v>
      </c>
      <c r="U295" s="130">
        <f>N295-M295</f>
        <v>1086.19</v>
      </c>
      <c r="V295" s="4">
        <f>IF(M295=0,0,N295/M295-1)</f>
        <v>14.018972638100156</v>
      </c>
      <c r="W295" s="18">
        <v>1229.5899999999999</v>
      </c>
      <c r="X295" s="18">
        <v>13373.44</v>
      </c>
      <c r="Y295" s="4"/>
    </row>
    <row r="296" spans="1:25" ht="15" customHeight="1">
      <c r="A296" t="s">
        <v>600</v>
      </c>
      <c r="B296" t="s">
        <v>601</v>
      </c>
      <c r="C296" s="28">
        <v>668</v>
      </c>
      <c r="E296" t="s">
        <v>601</v>
      </c>
      <c r="F296" s="28">
        <v>1074</v>
      </c>
      <c r="G296" t="b">
        <f>IF(B296=E296,TRUE,FALSE)</f>
        <v>1</v>
      </c>
      <c r="J296" s="25">
        <f>F296-C296</f>
        <v>406</v>
      </c>
      <c r="K296" s="4">
        <f>F296/C296-1</f>
        <v>0.60778443113772451</v>
      </c>
      <c r="M296" s="5">
        <v>1984.67</v>
      </c>
      <c r="N296" s="5">
        <v>2583.94</v>
      </c>
      <c r="Q296" s="143">
        <v>16836.490000000002</v>
      </c>
      <c r="U296" s="130">
        <f>N296-M296</f>
        <v>599.27</v>
      </c>
      <c r="V296" s="4">
        <f>IF(M296=0,0,N296/M296-1)</f>
        <v>0.30194944247658295</v>
      </c>
      <c r="W296" s="18">
        <v>14281.4</v>
      </c>
      <c r="X296" s="18">
        <v>24471.66</v>
      </c>
      <c r="Y296" s="4">
        <f>X296/W296-1</f>
        <v>0.7135336871735265</v>
      </c>
    </row>
    <row r="297" spans="1:25" ht="15" customHeight="1">
      <c r="A297" s="55" t="s">
        <v>602</v>
      </c>
      <c r="B297" s="37" t="s">
        <v>603</v>
      </c>
      <c r="C297" s="28">
        <v>0</v>
      </c>
      <c r="E297" s="37" t="s">
        <v>603</v>
      </c>
      <c r="F297" s="28">
        <v>407</v>
      </c>
      <c r="G297" t="b">
        <f>IF(B297=E297,TRUE,FALSE)</f>
        <v>1</v>
      </c>
      <c r="J297" s="25">
        <f>F297-C297</f>
        <v>407</v>
      </c>
      <c r="K297" s="4" t="e">
        <f>F297/C297-1</f>
        <v>#DIV/0!</v>
      </c>
      <c r="M297" s="5">
        <v>5.98</v>
      </c>
      <c r="N297" s="5">
        <v>459.7</v>
      </c>
      <c r="Q297" s="142">
        <v>3079.86</v>
      </c>
      <c r="U297" s="130">
        <f>N297-M297</f>
        <v>453.71999999999997</v>
      </c>
      <c r="V297" s="4">
        <f>IF(M297=0,0,N297/M297-1)</f>
        <v>75.872909698996651</v>
      </c>
      <c r="W297" s="18">
        <v>0</v>
      </c>
      <c r="X297" s="18">
        <v>15425.98</v>
      </c>
      <c r="Y297" s="4"/>
    </row>
    <row r="298" spans="1:25" ht="15" customHeight="1">
      <c r="A298" t="s">
        <v>604</v>
      </c>
      <c r="B298" t="s">
        <v>605</v>
      </c>
      <c r="C298" s="28">
        <v>2006</v>
      </c>
      <c r="E298" t="s">
        <v>605</v>
      </c>
      <c r="F298" s="28">
        <v>2418</v>
      </c>
      <c r="G298" t="b">
        <f>IF(B298=E298,TRUE,FALSE)</f>
        <v>1</v>
      </c>
      <c r="J298" s="25">
        <f>F298-C298</f>
        <v>412</v>
      </c>
      <c r="K298" s="4">
        <f>F298/C298-1</f>
        <v>0.2053838484546362</v>
      </c>
      <c r="M298" s="5">
        <v>4628.97</v>
      </c>
      <c r="N298" s="5">
        <v>6085.08</v>
      </c>
      <c r="Q298" s="143">
        <v>45028.89</v>
      </c>
      <c r="U298" s="130">
        <f>N298-M298</f>
        <v>1456.1099999999997</v>
      </c>
      <c r="V298" s="4">
        <f>IF(M298=0,0,N298/M298-1)</f>
        <v>0.31456457916123881</v>
      </c>
      <c r="W298" s="18">
        <v>54161.36</v>
      </c>
      <c r="X298" s="18">
        <v>65270.75</v>
      </c>
      <c r="Y298" s="4">
        <f>X298/W298-1</f>
        <v>0.20511652587748896</v>
      </c>
    </row>
    <row r="299" spans="1:25" ht="15" customHeight="1">
      <c r="A299" s="57" t="s">
        <v>606</v>
      </c>
      <c r="B299" s="37" t="s">
        <v>607</v>
      </c>
      <c r="C299" s="28">
        <v>738</v>
      </c>
      <c r="E299" s="37" t="s">
        <v>607</v>
      </c>
      <c r="F299" s="28">
        <v>1158</v>
      </c>
      <c r="G299" t="b">
        <f>IF(B299=E299,TRUE,FALSE)</f>
        <v>1</v>
      </c>
      <c r="J299" s="25">
        <f>F299-C299</f>
        <v>420</v>
      </c>
      <c r="K299" s="4">
        <f>F299/C299-1</f>
        <v>0.56910569105691056</v>
      </c>
      <c r="M299" s="5">
        <v>2196.77</v>
      </c>
      <c r="N299" s="5">
        <v>2290.91</v>
      </c>
      <c r="Q299" s="143">
        <v>10573.44</v>
      </c>
      <c r="U299" s="130">
        <f>N299-M299</f>
        <v>94.139999999999873</v>
      </c>
      <c r="V299" s="4">
        <f>IF(M299=0,0,N299/M299-1)</f>
        <v>4.2853826299521502E-2</v>
      </c>
      <c r="W299" s="18">
        <v>10729.25</v>
      </c>
      <c r="X299" s="18">
        <v>13255.08</v>
      </c>
      <c r="Y299" s="4">
        <f>X299/W299-1</f>
        <v>0.23541533657991009</v>
      </c>
    </row>
    <row r="300" spans="1:25" ht="15" customHeight="1">
      <c r="A300" s="55" t="s">
        <v>608</v>
      </c>
      <c r="B300" s="37" t="s">
        <v>609</v>
      </c>
      <c r="C300" s="28">
        <v>33</v>
      </c>
      <c r="E300" s="37" t="s">
        <v>609</v>
      </c>
      <c r="F300" s="28">
        <v>454</v>
      </c>
      <c r="G300" t="b">
        <f>IF(B300=E300,TRUE,FALSE)</f>
        <v>1</v>
      </c>
      <c r="J300" s="25">
        <f>F300-C300</f>
        <v>421</v>
      </c>
      <c r="K300" s="4">
        <f>F300/C300-1</f>
        <v>12.757575757575758</v>
      </c>
      <c r="M300" s="5">
        <v>4.1500000000000004</v>
      </c>
      <c r="N300" s="5">
        <v>630.74</v>
      </c>
      <c r="Q300" s="142">
        <v>4418.72</v>
      </c>
      <c r="U300" s="130">
        <f>N300-M300</f>
        <v>626.59</v>
      </c>
      <c r="V300" s="4">
        <f>IF(M300=0,0,N300/M300-1)</f>
        <v>150.9855421686747</v>
      </c>
      <c r="W300" s="18">
        <v>849.67</v>
      </c>
      <c r="X300" s="18">
        <v>7981.18</v>
      </c>
      <c r="Y300" s="4"/>
    </row>
    <row r="301" spans="1:25" ht="15" customHeight="1">
      <c r="A301" s="56" t="s">
        <v>610</v>
      </c>
      <c r="B301" s="37" t="s">
        <v>611</v>
      </c>
      <c r="C301" s="28">
        <v>2024</v>
      </c>
      <c r="E301" s="37" t="s">
        <v>611</v>
      </c>
      <c r="F301" s="28">
        <v>2452</v>
      </c>
      <c r="G301" t="b">
        <f>IF(B301=E301,TRUE,FALSE)</f>
        <v>1</v>
      </c>
      <c r="J301" s="25">
        <f>F301-C301</f>
        <v>428</v>
      </c>
      <c r="K301" s="4">
        <f>F301/C301-1</f>
        <v>0.21146245059288526</v>
      </c>
      <c r="M301" s="5">
        <v>4865.91</v>
      </c>
      <c r="N301" s="5">
        <v>5431.34</v>
      </c>
      <c r="Q301" s="143">
        <v>34772.550000000003</v>
      </c>
      <c r="U301" s="130">
        <f>N301-M301</f>
        <v>565.43000000000029</v>
      </c>
      <c r="V301" s="4">
        <f>IF(M301=0,0,N301/M301-1)</f>
        <v>0.11620231364739597</v>
      </c>
      <c r="W301" s="18">
        <v>38610.36</v>
      </c>
      <c r="X301" s="18">
        <v>51421.84</v>
      </c>
      <c r="Y301" s="4">
        <f>X301/W301-1</f>
        <v>0.3318145699755195</v>
      </c>
    </row>
    <row r="302" spans="1:25" ht="15" customHeight="1">
      <c r="A302" t="s">
        <v>612</v>
      </c>
      <c r="B302" t="s">
        <v>613</v>
      </c>
      <c r="C302" s="28">
        <v>919</v>
      </c>
      <c r="E302" t="s">
        <v>613</v>
      </c>
      <c r="F302" s="28">
        <v>1355</v>
      </c>
      <c r="G302" t="b">
        <f>IF(B302=E302,TRUE,FALSE)</f>
        <v>1</v>
      </c>
      <c r="J302" s="25">
        <f>F302-C302</f>
        <v>436</v>
      </c>
      <c r="K302" s="4">
        <f>F302/C302-1</f>
        <v>0.47442872687704019</v>
      </c>
      <c r="M302" s="5">
        <v>1474.74</v>
      </c>
      <c r="N302" s="5">
        <v>2791.72</v>
      </c>
      <c r="Q302" s="143">
        <v>19139.259999999998</v>
      </c>
      <c r="U302" s="130">
        <f>N302-M302</f>
        <v>1316.9799999999998</v>
      </c>
      <c r="V302" s="4">
        <f>IF(M302=0,0,N302/M302-1)</f>
        <v>0.89302521122367318</v>
      </c>
      <c r="W302" s="18">
        <v>35789.980000000003</v>
      </c>
      <c r="X302" s="18">
        <v>52768.67</v>
      </c>
      <c r="Y302" s="4">
        <f>X302/W302-1</f>
        <v>0.47439786219494939</v>
      </c>
    </row>
    <row r="303" spans="1:25" ht="15" customHeight="1">
      <c r="A303" s="55" t="s">
        <v>614</v>
      </c>
      <c r="B303" s="37" t="s">
        <v>615</v>
      </c>
      <c r="C303" s="19">
        <v>783</v>
      </c>
      <c r="E303" s="37" t="s">
        <v>615</v>
      </c>
      <c r="F303" s="19">
        <v>1222</v>
      </c>
      <c r="G303" t="b">
        <f>IF(B303=E303,TRUE,FALSE)</f>
        <v>1</v>
      </c>
      <c r="J303" s="25">
        <f>F303-C303</f>
        <v>439</v>
      </c>
      <c r="K303" s="4">
        <f>F303/C303-1</f>
        <v>0.56066411238825031</v>
      </c>
      <c r="M303" s="5">
        <v>1605.37</v>
      </c>
      <c r="N303" s="5">
        <v>2035.36</v>
      </c>
      <c r="Q303" s="142">
        <v>8010.45</v>
      </c>
      <c r="U303" s="130">
        <f>N303-M303</f>
        <v>429.99</v>
      </c>
      <c r="V303" s="4">
        <f>IF(M303=0,0,N303/M303-1)</f>
        <v>0.26784479590374799</v>
      </c>
      <c r="W303">
        <v>10254.17</v>
      </c>
      <c r="X303">
        <v>12821.74</v>
      </c>
      <c r="Y303" s="4">
        <f>X303/W303-1</f>
        <v>0.25039276704014068</v>
      </c>
    </row>
    <row r="304" spans="1:25" ht="15" customHeight="1">
      <c r="A304" s="147" t="s">
        <v>616</v>
      </c>
      <c r="B304" s="37" t="s">
        <v>617</v>
      </c>
      <c r="C304" s="28">
        <v>99</v>
      </c>
      <c r="E304" s="37" t="s">
        <v>617</v>
      </c>
      <c r="F304" s="28">
        <v>545</v>
      </c>
      <c r="G304" t="b">
        <f>IF(B304=E304,TRUE,FALSE)</f>
        <v>1</v>
      </c>
      <c r="J304" s="25">
        <f>F304-C304</f>
        <v>446</v>
      </c>
      <c r="K304" s="4">
        <f>F304/C304-1</f>
        <v>4.5050505050505052</v>
      </c>
      <c r="M304" s="5">
        <v>158.30000000000001</v>
      </c>
      <c r="N304" s="5">
        <v>513.38</v>
      </c>
      <c r="Q304" s="142">
        <v>3653.84</v>
      </c>
      <c r="U304" s="130">
        <f>N304-M304</f>
        <v>355.08</v>
      </c>
      <c r="V304" s="4">
        <f>IF(M304=0,0,N304/M304-1)</f>
        <v>2.2430827542640555</v>
      </c>
      <c r="W304" s="18">
        <v>2774.01</v>
      </c>
      <c r="X304" s="18">
        <v>6830.45</v>
      </c>
      <c r="Y304" s="4"/>
    </row>
    <row r="305" spans="1:25" ht="15" customHeight="1">
      <c r="A305" t="s">
        <v>618</v>
      </c>
      <c r="B305" t="s">
        <v>619</v>
      </c>
      <c r="C305" s="28">
        <v>1709</v>
      </c>
      <c r="E305" t="s">
        <v>619</v>
      </c>
      <c r="F305" s="28">
        <v>2157</v>
      </c>
      <c r="G305" t="b">
        <f>IF(B305=E305,TRUE,FALSE)</f>
        <v>1</v>
      </c>
      <c r="J305" s="25">
        <f>F305-C305</f>
        <v>448</v>
      </c>
      <c r="K305" s="4">
        <f>F305/C305-1</f>
        <v>0.26214160327677005</v>
      </c>
      <c r="M305" s="5">
        <v>2033.23</v>
      </c>
      <c r="N305" s="5">
        <v>2147.96</v>
      </c>
      <c r="Q305" s="143">
        <v>21591.52</v>
      </c>
      <c r="U305" s="130">
        <f>N305-M305</f>
        <v>114.73000000000002</v>
      </c>
      <c r="V305" s="4">
        <f>IF(M305=0,0,N305/M305-1)</f>
        <v>5.6427457788838398E-2</v>
      </c>
      <c r="W305" s="18">
        <v>64735.42</v>
      </c>
      <c r="X305" s="18">
        <v>73566.44</v>
      </c>
      <c r="Y305" s="4">
        <f>X305/W305-1</f>
        <v>0.13641712682176155</v>
      </c>
    </row>
    <row r="306" spans="1:25" ht="15" customHeight="1">
      <c r="A306" s="57" t="s">
        <v>620</v>
      </c>
      <c r="B306" s="37" t="s">
        <v>621</v>
      </c>
      <c r="C306" s="28">
        <v>6059</v>
      </c>
      <c r="E306" s="37" t="s">
        <v>621</v>
      </c>
      <c r="F306" s="28">
        <v>6529</v>
      </c>
      <c r="G306" t="b">
        <f>IF(B306=E306,TRUE,FALSE)</f>
        <v>1</v>
      </c>
      <c r="J306" s="25">
        <f>F306-C306</f>
        <v>470</v>
      </c>
      <c r="K306" s="4">
        <f>F306/C306-1</f>
        <v>7.7570556197392282E-2</v>
      </c>
      <c r="M306" s="5">
        <v>9751.64</v>
      </c>
      <c r="N306" s="5">
        <v>8053.79</v>
      </c>
      <c r="Q306" s="143">
        <v>45995.93</v>
      </c>
      <c r="U306" s="130">
        <f>N306-M306</f>
        <v>-1697.8499999999995</v>
      </c>
      <c r="V306" s="4">
        <f>IF(M306=0,0,N306/M306-1)</f>
        <v>-0.17410917548227778</v>
      </c>
      <c r="W306" s="18">
        <v>140023.1</v>
      </c>
      <c r="X306" s="18">
        <v>146947.93</v>
      </c>
      <c r="Y306" s="4">
        <f>X306/W306-1</f>
        <v>4.9454911368195686E-2</v>
      </c>
    </row>
    <row r="307" spans="1:25" ht="15" customHeight="1">
      <c r="A307" s="55" t="s">
        <v>622</v>
      </c>
      <c r="B307" s="37" t="s">
        <v>623</v>
      </c>
      <c r="C307" s="28">
        <v>1632</v>
      </c>
      <c r="E307" s="37" t="s">
        <v>623</v>
      </c>
      <c r="F307" s="28">
        <v>2113</v>
      </c>
      <c r="G307" t="b">
        <f>IF(B307=E307,TRUE,FALSE)</f>
        <v>1</v>
      </c>
      <c r="J307" s="25">
        <f>F307-C307</f>
        <v>481</v>
      </c>
      <c r="K307" s="4">
        <f>F307/C307-1</f>
        <v>0.2947303921568627</v>
      </c>
      <c r="M307" s="5">
        <v>3119.3</v>
      </c>
      <c r="N307" s="5">
        <v>3094.34</v>
      </c>
      <c r="Q307" s="142">
        <v>20770.05</v>
      </c>
      <c r="U307" s="130">
        <f>N307-M307</f>
        <v>-24.960000000000036</v>
      </c>
      <c r="V307" s="4">
        <f>IF(M307=0,0,N307/M307-1)</f>
        <v>-8.0017952745808918E-3</v>
      </c>
      <c r="W307" s="18">
        <v>31125.48</v>
      </c>
      <c r="X307" s="18">
        <v>39813.71</v>
      </c>
      <c r="Y307" s="4">
        <f>X307/W307-1</f>
        <v>0.27913561493670147</v>
      </c>
    </row>
    <row r="308" spans="1:25" ht="15" customHeight="1">
      <c r="A308" s="55" t="s">
        <v>624</v>
      </c>
      <c r="B308" s="37" t="s">
        <v>625</v>
      </c>
      <c r="C308" s="28">
        <v>827</v>
      </c>
      <c r="E308" s="37" t="s">
        <v>625</v>
      </c>
      <c r="F308" s="28">
        <v>1308</v>
      </c>
      <c r="G308" t="b">
        <f>IF(B308=E308,TRUE,FALSE)</f>
        <v>1</v>
      </c>
      <c r="J308" s="25">
        <f>F308-C308</f>
        <v>481</v>
      </c>
      <c r="K308" s="4">
        <f>F308/C308-1</f>
        <v>0.58162031438935924</v>
      </c>
      <c r="M308" s="5">
        <v>1731.82</v>
      </c>
      <c r="N308" s="5">
        <v>2240.23</v>
      </c>
      <c r="Q308" s="143">
        <v>10551.36</v>
      </c>
      <c r="U308" s="130">
        <f>N308-M308</f>
        <v>508.41000000000008</v>
      </c>
      <c r="V308" s="4">
        <f>IF(M308=0,0,N308/M308-1)</f>
        <v>0.29356977053042477</v>
      </c>
      <c r="W308" s="18">
        <v>11569.73</v>
      </c>
      <c r="X308" s="18">
        <v>18298.5</v>
      </c>
      <c r="Y308" s="4">
        <f>X308/W308-1</f>
        <v>0.58158401276434279</v>
      </c>
    </row>
    <row r="309" spans="1:25" ht="15" customHeight="1">
      <c r="A309" s="27" t="s">
        <v>626</v>
      </c>
      <c r="B309" s="27" t="s">
        <v>627</v>
      </c>
      <c r="C309" s="28">
        <v>1569</v>
      </c>
      <c r="D309" s="19"/>
      <c r="E309" s="27" t="s">
        <v>627</v>
      </c>
      <c r="F309" s="28">
        <v>2053</v>
      </c>
      <c r="G309" t="b">
        <f>IF(B309=E309,TRUE,FALSE)</f>
        <v>1</v>
      </c>
      <c r="H309" s="19"/>
      <c r="I309" s="19"/>
      <c r="J309" s="25">
        <f>F309-C309</f>
        <v>484</v>
      </c>
      <c r="K309" s="4">
        <f>F309/C309-1</f>
        <v>0.30847673677501586</v>
      </c>
      <c r="M309" s="18">
        <v>2215.65</v>
      </c>
      <c r="N309" s="18">
        <v>2552.9499999999998</v>
      </c>
      <c r="O309" s="18"/>
      <c r="P309" s="18"/>
      <c r="Q309" s="143">
        <v>15534.65</v>
      </c>
      <c r="U309" s="130">
        <f>N309-M309</f>
        <v>337.29999999999973</v>
      </c>
      <c r="V309" s="4">
        <f>IF(M309=0,0,N309/M309-1)</f>
        <v>0.15223523570961106</v>
      </c>
      <c r="W309" s="18">
        <v>37575.83</v>
      </c>
      <c r="X309" s="18">
        <v>42577.07</v>
      </c>
      <c r="Y309" s="4">
        <f>X309/W309-1</f>
        <v>0.1330972595947979</v>
      </c>
    </row>
    <row r="310" spans="1:25" ht="15" customHeight="1">
      <c r="A310" t="s">
        <v>628</v>
      </c>
      <c r="B310" t="s">
        <v>629</v>
      </c>
      <c r="C310" s="28">
        <v>4446</v>
      </c>
      <c r="E310" t="s">
        <v>629</v>
      </c>
      <c r="F310" s="28">
        <v>4933</v>
      </c>
      <c r="G310" t="b">
        <f>IF(B310=E310,TRUE,FALSE)</f>
        <v>1</v>
      </c>
      <c r="J310" s="25">
        <f>F310-C310</f>
        <v>487</v>
      </c>
      <c r="K310" s="4">
        <f>F310/C310-1</f>
        <v>0.10953666216824121</v>
      </c>
      <c r="M310" s="5">
        <v>3810.67</v>
      </c>
      <c r="N310" s="5">
        <v>4344.1899999999996</v>
      </c>
      <c r="Q310" s="143">
        <v>38370.699999999997</v>
      </c>
      <c r="U310" s="130">
        <f>N310-M310</f>
        <v>533.51999999999953</v>
      </c>
      <c r="V310" s="4">
        <f>IF(M310=0,0,N310/M310-1)</f>
        <v>0.14000687543135437</v>
      </c>
      <c r="W310" s="18">
        <v>168071.62</v>
      </c>
      <c r="X310" s="18">
        <v>179672.35</v>
      </c>
      <c r="Y310" s="4">
        <f>X310/W310-1</f>
        <v>6.90225393198447E-2</v>
      </c>
    </row>
    <row r="311" spans="1:25" ht="15" customHeight="1">
      <c r="A311" s="54" t="s">
        <v>630</v>
      </c>
      <c r="B311" s="149" t="s">
        <v>631</v>
      </c>
      <c r="C311" s="28">
        <v>0</v>
      </c>
      <c r="E311" s="149" t="s">
        <v>631</v>
      </c>
      <c r="F311" s="28">
        <v>494</v>
      </c>
      <c r="G311" t="b">
        <f>IF(B311=E311,TRUE,FALSE)</f>
        <v>1</v>
      </c>
      <c r="J311" s="25">
        <f>F311-C311</f>
        <v>494</v>
      </c>
      <c r="K311" s="4" t="e">
        <f>F311/C311-1</f>
        <v>#DIV/0!</v>
      </c>
      <c r="N311" s="5">
        <v>1381.97</v>
      </c>
      <c r="Q311" s="142">
        <v>13498.82</v>
      </c>
      <c r="U311" s="130">
        <f>N311-M311</f>
        <v>1381.97</v>
      </c>
      <c r="V311" s="4">
        <f>IF(M311=0,0,N311/M311-1)</f>
        <v>0</v>
      </c>
      <c r="W311" s="18">
        <v>0</v>
      </c>
      <c r="X311" s="18">
        <v>17277.54</v>
      </c>
      <c r="Y311" s="4" t="e">
        <f>X311/W311-1</f>
        <v>#DIV/0!</v>
      </c>
    </row>
    <row r="312" spans="1:25" ht="15" customHeight="1">
      <c r="A312" s="55" t="s">
        <v>632</v>
      </c>
      <c r="B312" s="37" t="s">
        <v>633</v>
      </c>
      <c r="C312" s="28">
        <v>551</v>
      </c>
      <c r="E312" s="37" t="s">
        <v>633</v>
      </c>
      <c r="F312" s="28">
        <v>1047</v>
      </c>
      <c r="G312" t="b">
        <f>IF(B312=E312,TRUE,FALSE)</f>
        <v>1</v>
      </c>
      <c r="J312" s="25">
        <f>F312-C312</f>
        <v>496</v>
      </c>
      <c r="K312" s="4">
        <f>F312/C312-1</f>
        <v>0.90018148820326682</v>
      </c>
      <c r="M312" s="5">
        <v>1695</v>
      </c>
      <c r="N312" s="5">
        <v>3686.83</v>
      </c>
      <c r="Q312" s="142">
        <v>27138.61</v>
      </c>
      <c r="U312" s="130">
        <f>N312-M312</f>
        <v>1991.83</v>
      </c>
      <c r="V312" s="4">
        <f>IF(M312=0,0,N312/M312-1)</f>
        <v>1.1751209439528023</v>
      </c>
      <c r="W312" s="18">
        <v>15550.25</v>
      </c>
      <c r="X312" s="18">
        <v>31357.05</v>
      </c>
      <c r="Y312" s="4">
        <f>X312/W312-1</f>
        <v>1.0164981270397582</v>
      </c>
    </row>
    <row r="313" spans="1:25" ht="15" customHeight="1">
      <c r="A313" t="s">
        <v>634</v>
      </c>
      <c r="B313" t="s">
        <v>635</v>
      </c>
      <c r="C313" s="28">
        <v>2733</v>
      </c>
      <c r="E313" t="s">
        <v>635</v>
      </c>
      <c r="F313" s="28">
        <v>3268</v>
      </c>
      <c r="G313" t="b">
        <f>IF(B313=E313,TRUE,FALSE)</f>
        <v>1</v>
      </c>
      <c r="J313" s="25">
        <f>F313-C313</f>
        <v>535</v>
      </c>
      <c r="K313" s="4">
        <f>F313/C313-1</f>
        <v>0.19575557994877424</v>
      </c>
      <c r="M313" s="5">
        <v>4150.3100000000004</v>
      </c>
      <c r="N313" s="5">
        <v>5208.3</v>
      </c>
      <c r="Q313" s="143">
        <v>26233.9</v>
      </c>
      <c r="U313" s="130">
        <f>N313-M313</f>
        <v>1057.9899999999998</v>
      </c>
      <c r="V313" s="4">
        <f>IF(M313=0,0,N313/M313-1)</f>
        <v>0.25491830730716503</v>
      </c>
      <c r="W313" s="18">
        <v>81853.350000000006</v>
      </c>
      <c r="X313" s="18">
        <v>89513.2</v>
      </c>
      <c r="Y313" s="4">
        <f>X313/W313-1</f>
        <v>9.3580165014626626E-2</v>
      </c>
    </row>
    <row r="314" spans="1:25" ht="15" customHeight="1">
      <c r="A314" t="s">
        <v>636</v>
      </c>
      <c r="B314" t="s">
        <v>637</v>
      </c>
      <c r="C314" s="28">
        <v>1084</v>
      </c>
      <c r="E314" t="s">
        <v>637</v>
      </c>
      <c r="F314" s="28">
        <v>1636</v>
      </c>
      <c r="G314" t="b">
        <f>IF(B314=E314,TRUE,FALSE)</f>
        <v>1</v>
      </c>
      <c r="J314" s="25">
        <f>F314-C314</f>
        <v>552</v>
      </c>
      <c r="K314" s="4">
        <f>F314/C314-1</f>
        <v>0.5092250922509225</v>
      </c>
      <c r="M314" s="5">
        <v>1872.2</v>
      </c>
      <c r="N314" s="5">
        <v>2904.65</v>
      </c>
      <c r="Q314" s="143">
        <v>16910.22</v>
      </c>
      <c r="U314" s="130">
        <f>N314-M314</f>
        <v>1032.45</v>
      </c>
      <c r="V314" s="4">
        <f>IF(M314=0,0,N314/M314-1)</f>
        <v>0.55146351885482314</v>
      </c>
      <c r="W314" s="18">
        <v>32434.19</v>
      </c>
      <c r="X314" s="18">
        <v>45583.02</v>
      </c>
      <c r="Y314" s="4">
        <f>X314/W314-1</f>
        <v>0.40540028901600444</v>
      </c>
    </row>
    <row r="315" spans="1:25" ht="15" customHeight="1">
      <c r="A315" t="s">
        <v>638</v>
      </c>
      <c r="B315" t="s">
        <v>639</v>
      </c>
      <c r="C315" s="28">
        <v>1171</v>
      </c>
      <c r="E315" t="s">
        <v>639</v>
      </c>
      <c r="F315" s="28">
        <v>1750</v>
      </c>
      <c r="G315" t="b">
        <f>IF(B315=E315,TRUE,FALSE)</f>
        <v>1</v>
      </c>
      <c r="J315" s="25">
        <f>F315-C315</f>
        <v>579</v>
      </c>
      <c r="K315" s="4">
        <f>F315/C315-1</f>
        <v>0.49444918872758326</v>
      </c>
      <c r="M315" s="5">
        <v>2460.85</v>
      </c>
      <c r="N315" s="5">
        <v>2520.71</v>
      </c>
      <c r="Q315" s="143">
        <v>19173.509999999998</v>
      </c>
      <c r="U315" s="130">
        <f>N315-M315</f>
        <v>59.860000000000127</v>
      </c>
      <c r="V315" s="4">
        <f>IF(M315=0,0,N315/M315-1)</f>
        <v>2.4324928378405941E-2</v>
      </c>
      <c r="W315" s="18">
        <v>32868.74</v>
      </c>
      <c r="X315" s="18">
        <v>47152.639999999999</v>
      </c>
      <c r="Y315" s="4">
        <f>X315/W315-1</f>
        <v>0.43457400557490189</v>
      </c>
    </row>
    <row r="316" spans="1:25" ht="15" customHeight="1">
      <c r="A316" t="s">
        <v>640</v>
      </c>
      <c r="B316" t="s">
        <v>641</v>
      </c>
      <c r="C316" s="28">
        <v>1741</v>
      </c>
      <c r="E316" t="s">
        <v>641</v>
      </c>
      <c r="F316" s="28">
        <v>2322</v>
      </c>
      <c r="G316" t="b">
        <f>IF(B316=E316,TRUE,FALSE)</f>
        <v>1</v>
      </c>
      <c r="J316" s="25">
        <f>F316-C316</f>
        <v>581</v>
      </c>
      <c r="K316" s="4">
        <f>F316/C316-1</f>
        <v>0.33371625502584723</v>
      </c>
      <c r="M316" s="5">
        <v>2775.04</v>
      </c>
      <c r="N316" s="5">
        <v>3787.52</v>
      </c>
      <c r="Q316" s="143">
        <v>26694.35</v>
      </c>
      <c r="U316" s="130">
        <f>N316-M316</f>
        <v>1012.48</v>
      </c>
      <c r="V316" s="4">
        <f>IF(M316=0,0,N316/M316-1)</f>
        <v>0.36485239852398532</v>
      </c>
      <c r="W316" s="18">
        <v>52137.55</v>
      </c>
      <c r="X316" s="18">
        <v>64136.35</v>
      </c>
      <c r="Y316" s="4">
        <f>X316/W316-1</f>
        <v>0.23013739617607643</v>
      </c>
    </row>
    <row r="317" spans="1:25" ht="15" customHeight="1">
      <c r="A317" t="s">
        <v>642</v>
      </c>
      <c r="B317" t="s">
        <v>643</v>
      </c>
      <c r="C317" s="28">
        <v>388</v>
      </c>
      <c r="E317" t="s">
        <v>643</v>
      </c>
      <c r="F317" s="28">
        <v>977</v>
      </c>
      <c r="G317" t="b">
        <f>IF(B317=E317,TRUE,FALSE)</f>
        <v>1</v>
      </c>
      <c r="J317" s="25">
        <f>F317-C317</f>
        <v>589</v>
      </c>
      <c r="K317" s="4">
        <f>F317/C317-1</f>
        <v>1.518041237113402</v>
      </c>
      <c r="M317" s="5">
        <v>1128.23</v>
      </c>
      <c r="N317" s="5">
        <v>2148.5</v>
      </c>
      <c r="Q317" s="143">
        <v>14109.77</v>
      </c>
      <c r="U317" s="130">
        <f>N317-M317</f>
        <v>1020.27</v>
      </c>
      <c r="V317" s="4">
        <f>IF(M317=0,0,N317/M317-1)</f>
        <v>0.90431029134130458</v>
      </c>
      <c r="W317" s="18">
        <v>7538.68</v>
      </c>
      <c r="X317" s="18">
        <v>16742.71</v>
      </c>
      <c r="Y317" s="4">
        <f>X317/W317-1</f>
        <v>1.2209073737046801</v>
      </c>
    </row>
    <row r="318" spans="1:25" ht="15" customHeight="1">
      <c r="A318" t="s">
        <v>644</v>
      </c>
      <c r="B318" t="s">
        <v>645</v>
      </c>
      <c r="C318" s="28">
        <v>688</v>
      </c>
      <c r="E318" t="s">
        <v>645</v>
      </c>
      <c r="F318" s="28">
        <v>1280</v>
      </c>
      <c r="G318" t="b">
        <f>IF(B318=E318,TRUE,FALSE)</f>
        <v>1</v>
      </c>
      <c r="J318" s="25">
        <f>F318-C318</f>
        <v>592</v>
      </c>
      <c r="K318" s="4">
        <f>F318/C318-1</f>
        <v>0.86046511627906974</v>
      </c>
      <c r="M318" s="5">
        <v>1863.21</v>
      </c>
      <c r="N318" s="5">
        <v>2601.58</v>
      </c>
      <c r="Q318" s="143">
        <v>19448.3</v>
      </c>
      <c r="U318" s="130">
        <f>N318-M318</f>
        <v>738.36999999999989</v>
      </c>
      <c r="V318" s="4">
        <f>IF(M318=0,0,N318/M318-1)</f>
        <v>0.39628919982181277</v>
      </c>
      <c r="W318" s="18">
        <v>13910.76</v>
      </c>
      <c r="X318" s="18">
        <v>26355</v>
      </c>
      <c r="Y318" s="4">
        <f>X318/W318-1</f>
        <v>0.89457657237994193</v>
      </c>
    </row>
    <row r="319" spans="1:25" ht="15" customHeight="1">
      <c r="A319" t="s">
        <v>646</v>
      </c>
      <c r="B319" t="s">
        <v>647</v>
      </c>
      <c r="C319" s="28">
        <v>351</v>
      </c>
      <c r="E319" t="s">
        <v>647</v>
      </c>
      <c r="F319" s="28">
        <v>945</v>
      </c>
      <c r="G319" t="b">
        <f>IF(B319=E319,TRUE,FALSE)</f>
        <v>1</v>
      </c>
      <c r="J319" s="25">
        <f>F319-C319</f>
        <v>594</v>
      </c>
      <c r="K319" s="4">
        <f>F319/C319-1</f>
        <v>1.6923076923076925</v>
      </c>
      <c r="M319" s="5">
        <v>1276.57</v>
      </c>
      <c r="N319" s="5">
        <v>1571.1</v>
      </c>
      <c r="Q319" s="143">
        <v>8527.01</v>
      </c>
      <c r="U319" s="130">
        <f>N319-M319</f>
        <v>294.52999999999997</v>
      </c>
      <c r="V319" s="4">
        <f>IF(M319=0,0,N319/M319-1)</f>
        <v>0.23071981951636023</v>
      </c>
      <c r="W319" s="18">
        <v>6186.69</v>
      </c>
      <c r="X319" s="18">
        <v>15755.15</v>
      </c>
      <c r="Y319" s="4">
        <f>X319/W319-1</f>
        <v>1.5466202444279578</v>
      </c>
    </row>
    <row r="320" spans="1:25" ht="15" customHeight="1">
      <c r="A320" t="s">
        <v>648</v>
      </c>
      <c r="B320" t="s">
        <v>649</v>
      </c>
      <c r="C320" s="28">
        <v>2859</v>
      </c>
      <c r="E320" t="s">
        <v>649</v>
      </c>
      <c r="F320" s="28">
        <v>3476</v>
      </c>
      <c r="G320" t="b">
        <f>IF(B320=E320,TRUE,FALSE)</f>
        <v>1</v>
      </c>
      <c r="J320" s="25">
        <f>F320-C320</f>
        <v>617</v>
      </c>
      <c r="K320" s="4">
        <f>F320/C320-1</f>
        <v>0.21580972367960816</v>
      </c>
      <c r="M320" s="5">
        <v>3161</v>
      </c>
      <c r="N320" s="5">
        <v>4305.6099999999997</v>
      </c>
      <c r="Q320" s="143">
        <v>36697.199999999997</v>
      </c>
      <c r="U320" s="130">
        <f>N320-M320</f>
        <v>1144.6099999999997</v>
      </c>
      <c r="V320" s="4">
        <f>IF(M320=0,0,N320/M320-1)</f>
        <v>0.36210376463144556</v>
      </c>
      <c r="W320" s="18">
        <v>100930.32</v>
      </c>
      <c r="X320" s="18">
        <v>126186.7</v>
      </c>
      <c r="Y320" s="4">
        <f>X320/W320-1</f>
        <v>0.25023580624731978</v>
      </c>
    </row>
    <row r="321" spans="1:25" ht="15" customHeight="1">
      <c r="A321" s="147" t="s">
        <v>650</v>
      </c>
      <c r="B321" s="37" t="s">
        <v>651</v>
      </c>
      <c r="C321" s="28">
        <v>10</v>
      </c>
      <c r="E321" s="37" t="s">
        <v>651</v>
      </c>
      <c r="F321" s="28">
        <v>653</v>
      </c>
      <c r="G321" t="b">
        <f>IF(B321=E321,TRUE,FALSE)</f>
        <v>1</v>
      </c>
      <c r="J321" s="25">
        <f>F321-C321</f>
        <v>643</v>
      </c>
      <c r="K321" s="4">
        <f>F321/C321-1</f>
        <v>64.3</v>
      </c>
      <c r="M321" s="5">
        <v>0</v>
      </c>
      <c r="N321" s="5">
        <v>1271.27</v>
      </c>
      <c r="Q321" s="142">
        <v>11994.24</v>
      </c>
      <c r="U321" s="130">
        <f>N321-M321</f>
        <v>1271.27</v>
      </c>
      <c r="V321" s="4">
        <f>IF(M321=0,0,N321/M321-1)</f>
        <v>0</v>
      </c>
      <c r="W321" s="18">
        <v>499.9</v>
      </c>
      <c r="X321" s="18">
        <v>17687.810000000001</v>
      </c>
      <c r="Y321" s="4"/>
    </row>
    <row r="322" spans="1:25" ht="15" customHeight="1">
      <c r="A322" t="s">
        <v>652</v>
      </c>
      <c r="B322" t="s">
        <v>653</v>
      </c>
      <c r="C322" s="28">
        <v>3232</v>
      </c>
      <c r="E322" t="s">
        <v>653</v>
      </c>
      <c r="F322" s="28">
        <v>3880</v>
      </c>
      <c r="G322" t="b">
        <f>IF(B322=E322,TRUE,FALSE)</f>
        <v>1</v>
      </c>
      <c r="J322" s="25">
        <f>F322-C322</f>
        <v>648</v>
      </c>
      <c r="K322" s="4">
        <f>F322/C322-1</f>
        <v>0.20049504950495045</v>
      </c>
      <c r="M322" s="5">
        <v>2547.73</v>
      </c>
      <c r="N322" s="5">
        <v>3569.45</v>
      </c>
      <c r="Q322" s="143">
        <v>30181.84</v>
      </c>
      <c r="U322" s="130">
        <f>N322-M322</f>
        <v>1021.7199999999998</v>
      </c>
      <c r="V322" s="4">
        <f>IF(M322=0,0,N322/M322-1)</f>
        <v>0.40103150647831587</v>
      </c>
      <c r="W322" s="18">
        <v>90314.53</v>
      </c>
      <c r="X322" s="18">
        <v>106562.53</v>
      </c>
      <c r="Y322" s="4">
        <f>X322/W322-1</f>
        <v>0.17990460671167741</v>
      </c>
    </row>
    <row r="323" spans="1:25" ht="15" customHeight="1">
      <c r="A323" s="55" t="s">
        <v>654</v>
      </c>
      <c r="B323" s="37" t="s">
        <v>655</v>
      </c>
      <c r="C323" s="28">
        <v>60</v>
      </c>
      <c r="E323" s="37" t="s">
        <v>655</v>
      </c>
      <c r="F323" s="28">
        <v>714</v>
      </c>
      <c r="G323" t="b">
        <f>IF(B323=E323,TRUE,FALSE)</f>
        <v>1</v>
      </c>
      <c r="J323" s="25">
        <f>F323-C323</f>
        <v>654</v>
      </c>
      <c r="K323" s="4">
        <f>F323/C323-1</f>
        <v>10.9</v>
      </c>
      <c r="M323" s="5">
        <v>60.47</v>
      </c>
      <c r="N323" s="5">
        <v>1230.04</v>
      </c>
      <c r="Q323" s="142">
        <v>6679.69</v>
      </c>
      <c r="U323" s="130">
        <f>N323-M323</f>
        <v>1169.57</v>
      </c>
      <c r="V323" s="4">
        <f>IF(M323=0,0,N323/M323-1)</f>
        <v>19.341326277492971</v>
      </c>
      <c r="W323" s="18">
        <v>1497</v>
      </c>
      <c r="X323" s="18">
        <v>14568.1</v>
      </c>
      <c r="Y323" s="4"/>
    </row>
    <row r="324" spans="1:25" ht="15" customHeight="1">
      <c r="A324" t="s">
        <v>656</v>
      </c>
      <c r="B324" t="s">
        <v>657</v>
      </c>
      <c r="C324" s="28">
        <v>1136</v>
      </c>
      <c r="E324" t="s">
        <v>657</v>
      </c>
      <c r="F324" s="28">
        <v>1809</v>
      </c>
      <c r="G324" t="b">
        <f>IF(B324=E324,TRUE,FALSE)</f>
        <v>1</v>
      </c>
      <c r="J324" s="25">
        <f>F324-C324</f>
        <v>673</v>
      </c>
      <c r="K324" s="4">
        <f>F324/C324-1</f>
        <v>0.59242957746478875</v>
      </c>
      <c r="M324" s="5">
        <v>2536.15</v>
      </c>
      <c r="N324" s="5">
        <v>3251.16</v>
      </c>
      <c r="Q324" s="143">
        <v>27595.599999999999</v>
      </c>
      <c r="U324" s="130">
        <f>N324-M324</f>
        <v>715.00999999999976</v>
      </c>
      <c r="V324" s="4">
        <f>IF(M324=0,0,N324/M324-1)</f>
        <v>0.28192733079667986</v>
      </c>
      <c r="W324" s="18">
        <v>24019.360000000001</v>
      </c>
      <c r="X324" s="18">
        <v>45998.35</v>
      </c>
      <c r="Y324" s="4">
        <f>X324/W324-1</f>
        <v>0.91505310716022392</v>
      </c>
    </row>
    <row r="325" spans="1:25" ht="15" customHeight="1">
      <c r="A325" s="57" t="s">
        <v>658</v>
      </c>
      <c r="B325" s="37" t="s">
        <v>659</v>
      </c>
      <c r="C325" s="28">
        <v>2185</v>
      </c>
      <c r="E325" s="37" t="s">
        <v>659</v>
      </c>
      <c r="F325" s="28">
        <v>2859</v>
      </c>
      <c r="G325" t="b">
        <f>IF(B325=E325,TRUE,FALSE)</f>
        <v>1</v>
      </c>
      <c r="J325" s="25">
        <f>F325-C325</f>
        <v>674</v>
      </c>
      <c r="K325" s="4">
        <f>F325/C325-1</f>
        <v>0.30846681922196795</v>
      </c>
      <c r="M325" s="5">
        <v>5882.86</v>
      </c>
      <c r="N325" s="5">
        <v>5676.21</v>
      </c>
      <c r="Q325" s="143">
        <v>35947.22</v>
      </c>
      <c r="U325" s="130">
        <f>N325-M325</f>
        <v>-206.64999999999964</v>
      </c>
      <c r="V325" s="4">
        <f>IF(M325=0,0,N325/M325-1)</f>
        <v>-3.5127472011912464E-2</v>
      </c>
      <c r="W325" s="18">
        <v>47918.37</v>
      </c>
      <c r="X325" s="18">
        <v>67408.490000000005</v>
      </c>
      <c r="Y325" s="4">
        <f>X325/W325-1</f>
        <v>0.40673587185874638</v>
      </c>
    </row>
    <row r="326" spans="1:25" ht="15" customHeight="1">
      <c r="A326" s="55" t="s">
        <v>660</v>
      </c>
      <c r="B326" s="37" t="s">
        <v>661</v>
      </c>
      <c r="C326" s="28">
        <v>1142</v>
      </c>
      <c r="E326" s="37" t="s">
        <v>661</v>
      </c>
      <c r="F326" s="28">
        <v>1834</v>
      </c>
      <c r="G326" t="b">
        <f>IF(B326=E326,TRUE,FALSE)</f>
        <v>1</v>
      </c>
      <c r="J326" s="25">
        <f>F326-C326</f>
        <v>692</v>
      </c>
      <c r="K326" s="4">
        <f>F326/C326-1</f>
        <v>0.60595446584938695</v>
      </c>
      <c r="M326" s="5">
        <v>2361.23</v>
      </c>
      <c r="N326" s="5">
        <v>2659.03</v>
      </c>
      <c r="Q326" s="142">
        <v>11928.18</v>
      </c>
      <c r="U326" s="130">
        <f>N326-M326</f>
        <v>297.80000000000018</v>
      </c>
      <c r="V326" s="4">
        <f>IF(M326=0,0,N326/M326-1)</f>
        <v>0.1261207082749245</v>
      </c>
      <c r="W326" s="18">
        <v>16708.580000000002</v>
      </c>
      <c r="X326" s="18">
        <v>22665.73</v>
      </c>
      <c r="Y326" s="4">
        <f>X326/W326-1</f>
        <v>0.35653239233974388</v>
      </c>
    </row>
    <row r="327" spans="1:25" ht="15" customHeight="1">
      <c r="A327" t="s">
        <v>662</v>
      </c>
      <c r="B327" t="s">
        <v>663</v>
      </c>
      <c r="C327" s="28">
        <v>2488</v>
      </c>
      <c r="E327" t="s">
        <v>663</v>
      </c>
      <c r="F327" s="28">
        <v>3195</v>
      </c>
      <c r="G327" t="b">
        <f>IF(B327=E327,TRUE,FALSE)</f>
        <v>1</v>
      </c>
      <c r="J327" s="25">
        <f>F327-C327</f>
        <v>707</v>
      </c>
      <c r="K327" s="4">
        <f>F327/C327-1</f>
        <v>0.28416398713826374</v>
      </c>
      <c r="M327" s="5">
        <v>2458.29</v>
      </c>
      <c r="N327" s="5">
        <v>1276.24</v>
      </c>
      <c r="Q327" s="143">
        <v>10275.049999999999</v>
      </c>
      <c r="U327" s="130">
        <f>N327-M327</f>
        <v>-1182.05</v>
      </c>
      <c r="V327" s="4">
        <f>IF(M327=0,0,N327/M327-1)</f>
        <v>-0.48084237417066333</v>
      </c>
      <c r="W327" s="18">
        <v>58014.65</v>
      </c>
      <c r="X327" s="18">
        <v>79661.100000000006</v>
      </c>
      <c r="Y327" s="4">
        <f>X327/W327-1</f>
        <v>0.3731204101033101</v>
      </c>
    </row>
    <row r="328" spans="1:25" ht="15" customHeight="1">
      <c r="A328" s="55" t="s">
        <v>664</v>
      </c>
      <c r="B328" s="37" t="s">
        <v>665</v>
      </c>
      <c r="C328" s="28">
        <v>49</v>
      </c>
      <c r="E328" s="37" t="s">
        <v>665</v>
      </c>
      <c r="F328" s="28">
        <v>776</v>
      </c>
      <c r="G328" t="b">
        <f>IF(B328=E328,TRUE,FALSE)</f>
        <v>1</v>
      </c>
      <c r="J328" s="25">
        <f>F328-C328</f>
        <v>727</v>
      </c>
      <c r="K328" s="4">
        <f>F328/C328-1</f>
        <v>14.836734693877551</v>
      </c>
      <c r="M328" s="5">
        <v>123.22</v>
      </c>
      <c r="N328" s="5">
        <v>1369.24</v>
      </c>
      <c r="Q328" s="142">
        <v>9964.5300000000007</v>
      </c>
      <c r="U328" s="130">
        <f>N328-M328</f>
        <v>1246.02</v>
      </c>
      <c r="V328" s="4">
        <f>IF(M328=0,0,N328/M328-1)</f>
        <v>10.11215711735108</v>
      </c>
      <c r="W328" s="18">
        <v>1222.55</v>
      </c>
      <c r="X328" s="18">
        <v>15126.23</v>
      </c>
      <c r="Y328" s="4"/>
    </row>
    <row r="329" spans="1:25" ht="15" customHeight="1">
      <c r="A329" s="55" t="s">
        <v>666</v>
      </c>
      <c r="B329" s="37" t="s">
        <v>667</v>
      </c>
      <c r="C329" s="28">
        <v>0</v>
      </c>
      <c r="E329" s="37" t="s">
        <v>667</v>
      </c>
      <c r="F329" s="28">
        <v>749</v>
      </c>
      <c r="G329" t="b">
        <f>IF(B329=E329,TRUE,FALSE)</f>
        <v>1</v>
      </c>
      <c r="J329" s="25">
        <f>F329-C329</f>
        <v>749</v>
      </c>
      <c r="K329" s="4" t="e">
        <f>F329/C329-1</f>
        <v>#DIV/0!</v>
      </c>
      <c r="N329" s="5">
        <v>814.25</v>
      </c>
      <c r="Q329" s="142">
        <v>6375.32</v>
      </c>
      <c r="U329" s="130">
        <f>N329-M329</f>
        <v>814.25</v>
      </c>
      <c r="V329" s="4">
        <f>IF(M329=0,0,N329/M329-1)</f>
        <v>0</v>
      </c>
      <c r="W329" s="18">
        <v>0</v>
      </c>
      <c r="X329" s="18">
        <v>11424</v>
      </c>
      <c r="Y329" s="4" t="e">
        <f>X329/W329-1</f>
        <v>#DIV/0!</v>
      </c>
    </row>
    <row r="330" spans="1:25" ht="15" customHeight="1">
      <c r="A330" s="55" t="s">
        <v>668</v>
      </c>
      <c r="B330" s="37" t="s">
        <v>669</v>
      </c>
      <c r="C330" s="28">
        <v>757</v>
      </c>
      <c r="E330" s="37" t="s">
        <v>669</v>
      </c>
      <c r="F330" s="28">
        <v>1545</v>
      </c>
      <c r="G330" t="b">
        <f>IF(B330=E330,TRUE,FALSE)</f>
        <v>1</v>
      </c>
      <c r="J330" s="25">
        <f>F330-C330</f>
        <v>788</v>
      </c>
      <c r="K330" s="4">
        <f>F330/C330-1</f>
        <v>1.0409511228533685</v>
      </c>
      <c r="M330" s="5">
        <v>1590.59</v>
      </c>
      <c r="N330" s="5">
        <v>2127.96</v>
      </c>
      <c r="Q330" s="142">
        <v>7110.34</v>
      </c>
      <c r="U330" s="130">
        <f>N330-M330</f>
        <v>537.37000000000012</v>
      </c>
      <c r="V330" s="4">
        <f>IF(M330=0,0,N330/M330-1)</f>
        <v>0.3378431902627328</v>
      </c>
      <c r="W330" s="18">
        <v>10576.44</v>
      </c>
      <c r="X330" s="18">
        <v>16672.55</v>
      </c>
      <c r="Y330" s="4">
        <f>X330/W330-1</f>
        <v>0.57638581602126981</v>
      </c>
    </row>
    <row r="331" spans="1:25" ht="15" customHeight="1">
      <c r="A331" s="55" t="s">
        <v>670</v>
      </c>
      <c r="B331" s="37" t="s">
        <v>671</v>
      </c>
      <c r="C331" s="28">
        <v>748</v>
      </c>
      <c r="E331" s="37" t="s">
        <v>671</v>
      </c>
      <c r="F331" s="28">
        <v>1702</v>
      </c>
      <c r="G331" t="b">
        <f>IF(B331=E331,TRUE,FALSE)</f>
        <v>1</v>
      </c>
      <c r="J331" s="25">
        <f>F331-C331</f>
        <v>954</v>
      </c>
      <c r="K331" s="4">
        <f>F331/C331-1</f>
        <v>1.2754010695187166</v>
      </c>
      <c r="M331" s="5">
        <v>1629.38</v>
      </c>
      <c r="N331" s="5">
        <v>2658.89</v>
      </c>
      <c r="Q331" s="143">
        <v>12912.49</v>
      </c>
      <c r="U331" s="130">
        <f>N331-M331</f>
        <v>1029.5099999999998</v>
      </c>
      <c r="V331" s="4">
        <f>IF(M331=0,0,N331/M331-1)</f>
        <v>0.63184155936613906</v>
      </c>
      <c r="W331" s="18">
        <v>16359.24</v>
      </c>
      <c r="X331" s="18">
        <v>37749.11</v>
      </c>
      <c r="Y331" s="4">
        <f>X331/W331-1</f>
        <v>1.3075100065773229</v>
      </c>
    </row>
    <row r="332" spans="1:25" ht="15" customHeight="1">
      <c r="A332" t="s">
        <v>672</v>
      </c>
      <c r="B332" t="s">
        <v>673</v>
      </c>
      <c r="C332" s="28">
        <v>1967</v>
      </c>
      <c r="E332" t="s">
        <v>673</v>
      </c>
      <c r="F332" s="28">
        <v>2997</v>
      </c>
      <c r="G332" t="b">
        <f>IF(B332=E332,TRUE,FALSE)</f>
        <v>1</v>
      </c>
      <c r="J332" s="25">
        <f>F332-C332</f>
        <v>1030</v>
      </c>
      <c r="K332" s="4">
        <f>F332/C332-1</f>
        <v>0.52364006100660898</v>
      </c>
      <c r="M332" s="5">
        <v>1875.2900000000002</v>
      </c>
      <c r="N332" s="5">
        <v>2529.4299999999998</v>
      </c>
      <c r="Q332" s="143">
        <v>25984.86</v>
      </c>
      <c r="U332" s="130">
        <f>N332-M332</f>
        <v>654.13999999999965</v>
      </c>
      <c r="V332" s="4">
        <f>IF(M332=0,0,N332/M332-1)</f>
        <v>0.3488207157293004</v>
      </c>
      <c r="W332" s="18">
        <v>45672.13</v>
      </c>
      <c r="X332" s="18">
        <v>74661.47</v>
      </c>
      <c r="Y332" s="4">
        <f>X332/W332-1</f>
        <v>0.63472713009005721</v>
      </c>
    </row>
    <row r="333" spans="1:25" ht="15" customHeight="1">
      <c r="A333" t="s">
        <v>674</v>
      </c>
      <c r="B333" t="s">
        <v>675</v>
      </c>
      <c r="C333" s="28">
        <v>3246</v>
      </c>
      <c r="E333" t="s">
        <v>675</v>
      </c>
      <c r="F333" s="28">
        <v>4349</v>
      </c>
      <c r="G333" t="b">
        <f>IF(B333=E333,TRUE,FALSE)</f>
        <v>1</v>
      </c>
      <c r="J333" s="25">
        <f>F333-C333</f>
        <v>1103</v>
      </c>
      <c r="K333" s="4">
        <f>F333/C333-1</f>
        <v>0.33980283425754765</v>
      </c>
      <c r="M333" s="5">
        <v>4208.42</v>
      </c>
      <c r="N333" s="5">
        <v>3670.53</v>
      </c>
      <c r="Q333" s="143">
        <v>19822.7</v>
      </c>
      <c r="U333" s="130">
        <f>N333-M333</f>
        <v>-537.88999999999987</v>
      </c>
      <c r="V333" s="4">
        <f>IF(M333=0,0,N333/M333-1)</f>
        <v>-0.12781281335988326</v>
      </c>
      <c r="W333" s="18">
        <v>77727.78</v>
      </c>
      <c r="X333" s="18">
        <v>86988.63</v>
      </c>
      <c r="Y333" s="4">
        <f>X333/W333-1</f>
        <v>0.1191446610208089</v>
      </c>
    </row>
    <row r="334" spans="1:25" ht="15" customHeight="1">
      <c r="A334" t="s">
        <v>676</v>
      </c>
      <c r="B334" t="s">
        <v>677</v>
      </c>
      <c r="C334" s="28">
        <v>1115</v>
      </c>
      <c r="E334" t="s">
        <v>677</v>
      </c>
      <c r="F334" s="28">
        <v>2239</v>
      </c>
      <c r="G334" t="b">
        <f>IF(B334=E334,TRUE,FALSE)</f>
        <v>1</v>
      </c>
      <c r="J334" s="25">
        <f>F334-C334</f>
        <v>1124</v>
      </c>
      <c r="K334" s="4">
        <f>F334/C334-1</f>
        <v>1.0080717488789239</v>
      </c>
      <c r="M334" s="5">
        <v>2569.2399999999998</v>
      </c>
      <c r="N334" s="5">
        <v>3180.3</v>
      </c>
      <c r="Q334" s="143">
        <v>22382.37</v>
      </c>
      <c r="U334" s="130">
        <f>N334-M334</f>
        <v>611.0600000000004</v>
      </c>
      <c r="V334" s="4">
        <f>IF(M334=0,0,N334/M334-1)</f>
        <v>0.23783687004717358</v>
      </c>
      <c r="W334" s="18">
        <v>24931.25</v>
      </c>
      <c r="X334" s="18">
        <v>51002.81</v>
      </c>
      <c r="Y334" s="4">
        <f>X334/W334-1</f>
        <v>1.0457381799949861</v>
      </c>
    </row>
    <row r="335" spans="1:25" ht="15" customHeight="1">
      <c r="A335" s="55" t="s">
        <v>678</v>
      </c>
      <c r="B335" s="37" t="s">
        <v>679</v>
      </c>
      <c r="C335" s="28">
        <v>1956</v>
      </c>
      <c r="E335" s="37" t="s">
        <v>679</v>
      </c>
      <c r="F335" s="28">
        <v>3111</v>
      </c>
      <c r="G335" t="b">
        <f>IF(B335=E335,TRUE,FALSE)</f>
        <v>1</v>
      </c>
      <c r="J335" s="25">
        <f>F335-C335</f>
        <v>1155</v>
      </c>
      <c r="K335" s="4">
        <f>F335/C335-1</f>
        <v>0.5904907975460123</v>
      </c>
      <c r="M335" s="5">
        <v>2476.0700000000002</v>
      </c>
      <c r="N335" s="5">
        <v>3039.42</v>
      </c>
      <c r="Q335" s="143">
        <v>14694.470000000001</v>
      </c>
      <c r="U335" s="130">
        <f>N335-M335</f>
        <v>563.34999999999991</v>
      </c>
      <c r="V335" s="4">
        <f>IF(M335=0,0,N335/M335-1)</f>
        <v>0.22751780038528802</v>
      </c>
      <c r="W335" s="18">
        <v>23330.14</v>
      </c>
      <c r="X335" s="18">
        <v>36859.53</v>
      </c>
      <c r="Y335" s="4">
        <f>X335/W335-1</f>
        <v>0.57991036487565006</v>
      </c>
    </row>
    <row r="336" spans="1:25" ht="15" customHeight="1">
      <c r="A336" t="s">
        <v>680</v>
      </c>
      <c r="B336" t="s">
        <v>681</v>
      </c>
      <c r="C336" s="28">
        <v>4299</v>
      </c>
      <c r="E336" t="s">
        <v>681</v>
      </c>
      <c r="F336" s="28">
        <v>5456</v>
      </c>
      <c r="G336" t="b">
        <f>IF(B336=E336,TRUE,FALSE)</f>
        <v>1</v>
      </c>
      <c r="J336" s="25">
        <f>F336-C336</f>
        <v>1157</v>
      </c>
      <c r="K336" s="4">
        <f>F336/C336-1</f>
        <v>0.26913235636194455</v>
      </c>
      <c r="M336" s="5">
        <v>8457.41</v>
      </c>
      <c r="N336" s="5">
        <v>8935.69</v>
      </c>
      <c r="Q336" s="143">
        <v>60105.24</v>
      </c>
      <c r="U336" s="130">
        <f>N336-M336</f>
        <v>478.28000000000065</v>
      </c>
      <c r="V336" s="4">
        <f>IF(M336=0,0,N336/M336-1)</f>
        <v>5.6551592035859688E-2</v>
      </c>
      <c r="W336" s="18">
        <v>128755.05</v>
      </c>
      <c r="X336" s="18">
        <v>150816.5</v>
      </c>
      <c r="Y336" s="4">
        <f>X336/W336-1</f>
        <v>0.17134434727026249</v>
      </c>
    </row>
    <row r="337" spans="1:25" ht="15" customHeight="1">
      <c r="A337" s="55" t="s">
        <v>682</v>
      </c>
      <c r="B337" s="37" t="s">
        <v>683</v>
      </c>
      <c r="C337" s="28">
        <v>9475</v>
      </c>
      <c r="E337" s="37" t="s">
        <v>683</v>
      </c>
      <c r="F337" s="28">
        <v>10832</v>
      </c>
      <c r="G337" t="b">
        <f>IF(B337=E337,TRUE,FALSE)</f>
        <v>1</v>
      </c>
      <c r="J337" s="25">
        <f>F337-C337</f>
        <v>1357</v>
      </c>
      <c r="K337" s="4">
        <f>F337/C337-1</f>
        <v>0.14321899736147747</v>
      </c>
      <c r="M337" s="5">
        <v>12292.46</v>
      </c>
      <c r="N337" s="5">
        <v>15486.140000000001</v>
      </c>
      <c r="Q337" s="142">
        <v>136019.97</v>
      </c>
      <c r="U337" s="130">
        <f>N337-M337</f>
        <v>3193.6800000000021</v>
      </c>
      <c r="V337" s="4">
        <f>IF(M337=0,0,N337/M337-1)</f>
        <v>0.25980804493160869</v>
      </c>
      <c r="W337" s="18">
        <v>248898.21</v>
      </c>
      <c r="X337" s="18">
        <v>284791.44</v>
      </c>
      <c r="Y337" s="4">
        <f>X337/W337-1</f>
        <v>0.14420846979976276</v>
      </c>
    </row>
    <row r="338" spans="1:25" ht="15" customHeight="1">
      <c r="A338" t="s">
        <v>684</v>
      </c>
      <c r="B338" t="s">
        <v>685</v>
      </c>
      <c r="C338" s="28">
        <v>1691</v>
      </c>
      <c r="E338" t="s">
        <v>685</v>
      </c>
      <c r="F338" s="28">
        <v>3136</v>
      </c>
      <c r="G338" t="b">
        <f>IF(B338=E338,TRUE,FALSE)</f>
        <v>1</v>
      </c>
      <c r="J338" s="25">
        <f>F338-C338</f>
        <v>1445</v>
      </c>
      <c r="K338" s="4">
        <f>F338/C338-1</f>
        <v>0.8545239503252513</v>
      </c>
      <c r="M338" s="5">
        <v>1576.2</v>
      </c>
      <c r="N338" s="5">
        <v>2774.22</v>
      </c>
      <c r="Q338" s="143">
        <v>24143.69</v>
      </c>
      <c r="U338" s="130">
        <f>N338-M338</f>
        <v>1198.0199999999998</v>
      </c>
      <c r="V338" s="4">
        <f>IF(M338=0,0,N338/M338-1)</f>
        <v>0.76006851922344865</v>
      </c>
      <c r="W338" s="18">
        <v>65713.25</v>
      </c>
      <c r="X338" s="18">
        <v>114926.57</v>
      </c>
      <c r="Y338" s="4">
        <f>X338/W338-1</f>
        <v>0.7489101513012979</v>
      </c>
    </row>
    <row r="339" spans="1:25" ht="15" customHeight="1">
      <c r="A339" t="s">
        <v>686</v>
      </c>
      <c r="B339" t="s">
        <v>687</v>
      </c>
      <c r="C339" s="28">
        <v>369</v>
      </c>
      <c r="E339" t="s">
        <v>687</v>
      </c>
      <c r="F339" s="28">
        <v>1845</v>
      </c>
      <c r="G339" t="b">
        <f>IF(B339=E339,TRUE,FALSE)</f>
        <v>1</v>
      </c>
      <c r="J339" s="25">
        <f>F339-C339</f>
        <v>1476</v>
      </c>
      <c r="K339" s="4">
        <f>F339/C339-1</f>
        <v>4</v>
      </c>
      <c r="M339" s="5">
        <v>1178.3800000000001</v>
      </c>
      <c r="N339" s="5">
        <v>1493.62</v>
      </c>
      <c r="Q339" s="143">
        <v>12074.42</v>
      </c>
      <c r="U339" s="130">
        <f>N339-M339</f>
        <v>315.23999999999978</v>
      </c>
      <c r="V339" s="4">
        <f>IF(M339=0,0,N339/M339-1)</f>
        <v>0.26751981533970337</v>
      </c>
      <c r="W339" s="18">
        <v>6361.59</v>
      </c>
      <c r="X339" s="18">
        <v>38264.67</v>
      </c>
      <c r="Y339" s="4">
        <f>X339/W339-1</f>
        <v>5.0149538087176317</v>
      </c>
    </row>
    <row r="340" spans="1:25" ht="15" customHeight="1">
      <c r="A340" s="55" t="s">
        <v>688</v>
      </c>
      <c r="B340" s="37" t="s">
        <v>689</v>
      </c>
      <c r="C340" s="19">
        <v>5557</v>
      </c>
      <c r="E340" s="37" t="s">
        <v>689</v>
      </c>
      <c r="F340" s="19">
        <v>7092</v>
      </c>
      <c r="G340" t="b">
        <f>IF(B340=E340,TRUE,FALSE)</f>
        <v>1</v>
      </c>
      <c r="J340" s="25">
        <f>F340-C340</f>
        <v>1535</v>
      </c>
      <c r="K340" s="4">
        <f>F340/C340-1</f>
        <v>0.2762281806730249</v>
      </c>
      <c r="M340" s="5">
        <v>7598.92</v>
      </c>
      <c r="N340" s="5">
        <v>9843.42</v>
      </c>
      <c r="Q340" s="142">
        <v>88291.75</v>
      </c>
      <c r="U340" s="130">
        <f>N340-M340</f>
        <v>2244.5</v>
      </c>
      <c r="V340" s="4">
        <f>IF(M340=0,0,N340/M340-1)</f>
        <v>0.29537092113089747</v>
      </c>
      <c r="W340">
        <v>132227.04999999999</v>
      </c>
      <c r="X340">
        <v>171669.44</v>
      </c>
      <c r="Y340" s="4">
        <f>X340/W340-1</f>
        <v>0.29829289846517804</v>
      </c>
    </row>
    <row r="341" spans="1:25" ht="15" customHeight="1">
      <c r="A341" t="s">
        <v>690</v>
      </c>
      <c r="B341" t="s">
        <v>691</v>
      </c>
      <c r="C341" s="28">
        <v>1590</v>
      </c>
      <c r="E341" t="s">
        <v>691</v>
      </c>
      <c r="F341" s="28">
        <v>3688</v>
      </c>
      <c r="G341" t="b">
        <f>IF(B341=E341,TRUE,FALSE)</f>
        <v>1</v>
      </c>
      <c r="J341" s="25">
        <f>F341-C341</f>
        <v>2098</v>
      </c>
      <c r="K341" s="4">
        <f>F341/C341-1</f>
        <v>1.3194968553459119</v>
      </c>
      <c r="M341" s="5">
        <v>411.44</v>
      </c>
      <c r="N341" s="5">
        <v>2857.9</v>
      </c>
      <c r="Q341" s="143">
        <v>41524.239999999998</v>
      </c>
      <c r="U341" s="130">
        <f>N341-M341</f>
        <v>2446.46</v>
      </c>
      <c r="V341" s="4">
        <f>IF(M341=0,0,N341/M341-1)</f>
        <v>5.9460917752284663</v>
      </c>
      <c r="W341" s="18">
        <v>61610.5</v>
      </c>
      <c r="X341" s="18">
        <v>138446.72</v>
      </c>
      <c r="Y341" s="4">
        <f>X341/W341-1</f>
        <v>1.2471286550182192</v>
      </c>
    </row>
    <row r="342" spans="1:25" ht="15" customHeight="1">
      <c r="A342" t="s">
        <v>692</v>
      </c>
      <c r="B342" t="s">
        <v>693</v>
      </c>
      <c r="C342" s="28">
        <v>7272</v>
      </c>
      <c r="E342" t="s">
        <v>693</v>
      </c>
      <c r="F342" s="28">
        <v>9624</v>
      </c>
      <c r="G342" t="b">
        <f>IF(B342=E342,TRUE,FALSE)</f>
        <v>1</v>
      </c>
      <c r="J342" s="25">
        <f>F342-C342</f>
        <v>2352</v>
      </c>
      <c r="K342" s="4">
        <f>F342/C342-1</f>
        <v>0.32343234323432335</v>
      </c>
      <c r="M342" s="5">
        <v>11158.54</v>
      </c>
      <c r="N342" s="5">
        <v>15170.75</v>
      </c>
      <c r="Q342" s="143">
        <v>141769.59</v>
      </c>
      <c r="U342" s="130">
        <f>N342-M342</f>
        <v>4012.2099999999991</v>
      </c>
      <c r="V342" s="4">
        <f>IF(M342=0,0,N342/M342-1)</f>
        <v>0.35956406483285441</v>
      </c>
      <c r="W342" s="18">
        <v>253602.43</v>
      </c>
      <c r="X342" s="18">
        <v>335366.46000000002</v>
      </c>
      <c r="Y342" s="4">
        <f>X342/W342-1</f>
        <v>0.32241027816649881</v>
      </c>
    </row>
    <row r="343" spans="1:25" ht="15" customHeight="1">
      <c r="A343" s="55" t="s">
        <v>694</v>
      </c>
      <c r="B343" s="37" t="s">
        <v>695</v>
      </c>
      <c r="C343" s="28">
        <v>3384</v>
      </c>
      <c r="E343" s="37" t="s">
        <v>695</v>
      </c>
      <c r="F343" s="28">
        <v>6047</v>
      </c>
      <c r="G343" t="b">
        <f>IF(B343=E343,TRUE,FALSE)</f>
        <v>1</v>
      </c>
      <c r="J343" s="25">
        <f>F343-C343</f>
        <v>2663</v>
      </c>
      <c r="K343" s="4">
        <f>F343/C343-1</f>
        <v>0.78693853427895988</v>
      </c>
      <c r="M343" s="5">
        <v>6490.69</v>
      </c>
      <c r="N343" s="5">
        <v>10583.45</v>
      </c>
      <c r="Q343" s="142">
        <v>83018.28</v>
      </c>
      <c r="U343" s="130">
        <f>N343-M343</f>
        <v>4092.7600000000011</v>
      </c>
      <c r="V343" s="4">
        <f>IF(M343=0,0,N343/M343-1)</f>
        <v>0.63055853846047216</v>
      </c>
      <c r="W343" s="18">
        <v>84566.16</v>
      </c>
      <c r="X343" s="18">
        <v>159238.9</v>
      </c>
      <c r="Y343" s="4">
        <f>X343/W343-1</f>
        <v>0.88300970506405863</v>
      </c>
    </row>
    <row r="344" spans="1:25" ht="15" customHeight="1">
      <c r="A344" t="s">
        <v>696</v>
      </c>
      <c r="B344" t="s">
        <v>697</v>
      </c>
      <c r="C344" s="28">
        <v>6784</v>
      </c>
      <c r="E344" t="s">
        <v>697</v>
      </c>
      <c r="F344" s="28">
        <v>10127</v>
      </c>
      <c r="G344" t="b">
        <f>IF(B344=E344,TRUE,FALSE)</f>
        <v>1</v>
      </c>
      <c r="J344" s="25">
        <f>F344-C344</f>
        <v>3343</v>
      </c>
      <c r="K344" s="4">
        <f>F344/C344-1</f>
        <v>0.49277712264150941</v>
      </c>
      <c r="M344" s="5">
        <v>8221.2199999999993</v>
      </c>
      <c r="N344" s="5">
        <v>11318.81</v>
      </c>
      <c r="Q344" s="143">
        <v>100377.31</v>
      </c>
      <c r="U344" s="130">
        <f>N344-M344</f>
        <v>3097.59</v>
      </c>
      <c r="V344" s="4">
        <f>IF(M344=0,0,N344/M344-1)</f>
        <v>0.37677984532709252</v>
      </c>
      <c r="W344" s="18">
        <v>203152.3</v>
      </c>
      <c r="X344" s="18">
        <v>303253.25</v>
      </c>
      <c r="Y344" s="4">
        <f>X344/W344-1</f>
        <v>0.4927384528750105</v>
      </c>
    </row>
    <row r="345" spans="1:25" ht="15" customHeight="1">
      <c r="A345" t="s">
        <v>698</v>
      </c>
      <c r="B345" t="s">
        <v>699</v>
      </c>
      <c r="C345" s="28">
        <v>57049</v>
      </c>
      <c r="E345" t="s">
        <v>699</v>
      </c>
      <c r="F345" s="28">
        <v>60580</v>
      </c>
      <c r="G345" t="b">
        <f>IF(B345=E345,TRUE,FALSE)</f>
        <v>1</v>
      </c>
      <c r="J345" s="25">
        <f>F345-C345</f>
        <v>3531</v>
      </c>
      <c r="K345" s="4">
        <f>F345/C345-1</f>
        <v>6.1894161159704808E-2</v>
      </c>
      <c r="M345" s="5">
        <v>68750.289999999994</v>
      </c>
      <c r="N345" s="5">
        <v>74934.87999999999</v>
      </c>
      <c r="Q345" s="143">
        <v>767585.31</v>
      </c>
      <c r="U345" s="130">
        <f>N345-M345</f>
        <v>6184.5899999999965</v>
      </c>
      <c r="V345" s="4">
        <f>IF(M345=0,0,N345/M345-1)</f>
        <v>8.9957293271053729E-2</v>
      </c>
      <c r="W345" s="18">
        <v>1892514.13</v>
      </c>
      <c r="X345" s="18">
        <v>2114500.42</v>
      </c>
      <c r="Y345" s="4">
        <f>X345/W345-1</f>
        <v>0.11729703175320538</v>
      </c>
    </row>
    <row r="346" spans="1:25" ht="15" customHeight="1">
      <c r="A346" t="s">
        <v>700</v>
      </c>
      <c r="B346" t="s">
        <v>701</v>
      </c>
      <c r="C346" s="28">
        <v>17768</v>
      </c>
      <c r="E346" t="s">
        <v>701</v>
      </c>
      <c r="F346" s="28">
        <v>21615</v>
      </c>
      <c r="G346" t="b">
        <f>IF(B346=E346,TRUE,FALSE)</f>
        <v>1</v>
      </c>
      <c r="J346" s="25">
        <f>F346-C346</f>
        <v>3847</v>
      </c>
      <c r="K346" s="4">
        <f>F346/C346-1</f>
        <v>0.21651283205763172</v>
      </c>
      <c r="M346" s="5">
        <v>10663.55</v>
      </c>
      <c r="N346" s="5">
        <v>19716.219999999998</v>
      </c>
      <c r="Q346" s="143">
        <v>222527.84</v>
      </c>
      <c r="U346" s="130">
        <f>N346-M346</f>
        <v>9052.6699999999983</v>
      </c>
      <c r="V346" s="4">
        <f>IF(M346=0,0,N346/M346-1)</f>
        <v>0.84893586094687024</v>
      </c>
      <c r="W346" s="18">
        <v>597429.56999999995</v>
      </c>
      <c r="X346" s="18">
        <v>735517.43</v>
      </c>
      <c r="Y346" s="4">
        <f>X346/W346-1</f>
        <v>0.23113663423121178</v>
      </c>
    </row>
    <row r="347" spans="1:25" ht="15" customHeight="1">
      <c r="A347" t="s">
        <v>702</v>
      </c>
      <c r="B347" t="s">
        <v>703</v>
      </c>
      <c r="C347" s="28">
        <v>16670</v>
      </c>
      <c r="E347" t="s">
        <v>703</v>
      </c>
      <c r="F347" s="28">
        <v>20648</v>
      </c>
      <c r="G347" t="b">
        <f>IF(B347=E347,TRUE,FALSE)</f>
        <v>1</v>
      </c>
      <c r="J347" s="25">
        <f>F347-C347</f>
        <v>3978</v>
      </c>
      <c r="K347" s="4">
        <f>F347/C347-1</f>
        <v>0.23863227354529104</v>
      </c>
      <c r="M347" s="5">
        <v>24455.15</v>
      </c>
      <c r="N347" s="5">
        <v>26293.200000000001</v>
      </c>
      <c r="Q347" s="143">
        <v>163676.93</v>
      </c>
      <c r="U347" s="130">
        <f>N347-M347</f>
        <v>1838.0499999999993</v>
      </c>
      <c r="V347" s="4">
        <f>IF(M347=0,0,N347/M347-1)</f>
        <v>7.5160037865234841E-2</v>
      </c>
      <c r="W347" s="18">
        <v>462015.85</v>
      </c>
      <c r="X347" s="18">
        <v>539784.79</v>
      </c>
      <c r="Y347" s="4">
        <f>X347/W347-1</f>
        <v>0.16832526416572091</v>
      </c>
    </row>
    <row r="348" spans="1:25" ht="15" customHeight="1">
      <c r="A348" t="s">
        <v>704</v>
      </c>
      <c r="B348" t="s">
        <v>705</v>
      </c>
      <c r="C348" s="28">
        <v>24606</v>
      </c>
      <c r="E348" t="s">
        <v>705</v>
      </c>
      <c r="F348" s="28">
        <v>36504</v>
      </c>
      <c r="G348" t="b">
        <f>IF(B348=E348,TRUE,FALSE)</f>
        <v>1</v>
      </c>
      <c r="J348" s="25">
        <f>F348-C348</f>
        <v>11898</v>
      </c>
      <c r="K348" s="4">
        <f>F348/C348-1</f>
        <v>0.48354059985369413</v>
      </c>
      <c r="M348" s="5">
        <v>37288.79</v>
      </c>
      <c r="N348" s="5">
        <v>49777.61</v>
      </c>
      <c r="Q348" s="143">
        <v>337733</v>
      </c>
      <c r="U348" s="130">
        <f>N348-M348</f>
        <v>12488.82</v>
      </c>
      <c r="V348" s="4">
        <f>IF(M348=0,0,N348/M348-1)</f>
        <v>0.33492156758103442</v>
      </c>
      <c r="W348" s="18">
        <v>799155.52</v>
      </c>
      <c r="X348" s="18">
        <v>1096719.6200000001</v>
      </c>
      <c r="Y348" s="4">
        <f>X348/W348-1</f>
        <v>0.37234817573430523</v>
      </c>
    </row>
    <row r="349" spans="1:25" ht="15" customHeight="1">
      <c r="A349" s="57"/>
      <c r="B349" s="37"/>
      <c r="C349" s="28"/>
      <c r="E349" s="37"/>
      <c r="F349" s="28"/>
      <c r="J349" s="25"/>
      <c r="K349" s="4"/>
      <c r="Q349" s="142"/>
      <c r="V349" s="4"/>
      <c r="W349" s="18"/>
      <c r="X349" s="18"/>
      <c r="Y349" s="4"/>
    </row>
    <row r="350" spans="1:25" ht="15" customHeight="1">
      <c r="A350" s="55"/>
      <c r="B350" s="37"/>
      <c r="E350" s="37"/>
    </row>
    <row r="351" spans="1:25" ht="15" customHeight="1">
      <c r="C351" s="3" t="s">
        <v>706</v>
      </c>
      <c r="D351" s="3"/>
      <c r="E351" s="3"/>
      <c r="F351" s="3" t="s">
        <v>706</v>
      </c>
      <c r="G351" s="3"/>
      <c r="H351" s="3"/>
      <c r="I351" s="3"/>
      <c r="J351" s="3" t="s">
        <v>707</v>
      </c>
      <c r="K351" s="31"/>
      <c r="L351" s="3"/>
      <c r="M351" s="33" t="s">
        <v>708</v>
      </c>
      <c r="N351" s="33" t="s">
        <v>708</v>
      </c>
      <c r="O351" s="3"/>
      <c r="Q351" s="33" t="s">
        <v>709</v>
      </c>
      <c r="R351" s="3"/>
      <c r="U351" s="131" t="s">
        <v>710</v>
      </c>
      <c r="V351" s="3"/>
      <c r="W351" s="35" t="s">
        <v>3</v>
      </c>
      <c r="X351" s="35" t="s">
        <v>3</v>
      </c>
      <c r="Y351" s="35"/>
    </row>
    <row r="352" spans="1:25" ht="15" customHeight="1">
      <c r="A352" s="20"/>
      <c r="C352" s="25">
        <f>SUM(C3:C348)</f>
        <v>689517</v>
      </c>
      <c r="F352" s="25">
        <f>SUM(F3:F348)</f>
        <v>720756</v>
      </c>
      <c r="J352" s="25">
        <f>SUM(J3:J348)</f>
        <v>31239</v>
      </c>
      <c r="M352" s="18">
        <f>SUM(M3:M348)</f>
        <v>999082.41999999981</v>
      </c>
      <c r="N352" s="18">
        <f>SUM(N3:N348)</f>
        <v>997712.62999999989</v>
      </c>
      <c r="Q352" s="18">
        <f>SUM(Q3:Q348)</f>
        <v>7148035.9199999981</v>
      </c>
      <c r="U352" s="130">
        <f>N352-M352</f>
        <v>-1369.7899999999208</v>
      </c>
      <c r="V352" s="4">
        <f>IF(M352=0,0,N352/M352-1)</f>
        <v>-1.3710480462661989E-3</v>
      </c>
      <c r="W352" s="30">
        <f>SUM(W3:W348)</f>
        <v>19163616.800000004</v>
      </c>
      <c r="X352" s="30">
        <f>SUM(X3:X348)</f>
        <v>20554929.880000006</v>
      </c>
      <c r="Y352" s="31">
        <f>X352/W352-1</f>
        <v>7.2601800303166319E-2</v>
      </c>
    </row>
    <row r="354" spans="6:24" ht="15" customHeight="1">
      <c r="F354" s="19">
        <f>F352-C352</f>
        <v>31239</v>
      </c>
      <c r="N354" s="33" t="s">
        <v>711</v>
      </c>
      <c r="Q354" s="26">
        <f>N352/Q352</f>
        <v>0.13957856971709232</v>
      </c>
      <c r="W354" s="3" t="s">
        <v>712</v>
      </c>
      <c r="X354" s="3" t="s">
        <v>712</v>
      </c>
    </row>
    <row r="355" spans="6:24" ht="15" customHeight="1">
      <c r="F355" s="4">
        <f>F352/C352-1</f>
        <v>4.5305626982365954E-2</v>
      </c>
      <c r="W355" s="32">
        <f>M352/W352</f>
        <v>5.2134335101085907E-2</v>
      </c>
      <c r="X355" s="32">
        <f>N352/X352</f>
        <v>4.8538848627782308E-2</v>
      </c>
    </row>
    <row r="358" spans="6:24" ht="15" customHeight="1">
      <c r="W358" s="35"/>
      <c r="X358" s="35"/>
    </row>
    <row r="359" spans="6:24" ht="15" customHeight="1">
      <c r="V359" s="3"/>
      <c r="W359" s="30"/>
      <c r="X359" s="30"/>
    </row>
    <row r="360" spans="6:24" ht="15" customHeight="1">
      <c r="V360" s="3"/>
    </row>
    <row r="361" spans="6:24" ht="15" customHeight="1">
      <c r="V361" s="3"/>
    </row>
    <row r="365" spans="6:24" ht="15" customHeight="1">
      <c r="W365" s="3"/>
      <c r="X365" s="3"/>
    </row>
  </sheetData>
  <autoFilter ref="A2:AA294" xr:uid="{00000000-0001-0000-0000-000000000000}">
    <sortState xmlns:xlrd2="http://schemas.microsoft.com/office/spreadsheetml/2017/richdata2" ref="A3:AA348">
      <sortCondition ref="J2:J294"/>
    </sortState>
  </autoFilter>
  <sortState xmlns:xlrd2="http://schemas.microsoft.com/office/spreadsheetml/2017/richdata2" ref="J3:K220">
    <sortCondition descending="1" ref="J3:J220"/>
  </sortState>
  <mergeCells count="6">
    <mergeCell ref="W1:X1"/>
    <mergeCell ref="U1:V1"/>
    <mergeCell ref="B1:C1"/>
    <mergeCell ref="J1:K1"/>
    <mergeCell ref="M1:N1"/>
    <mergeCell ref="E1:F1"/>
  </mergeCells>
  <phoneticPr fontId="3" type="noConversion"/>
  <conditionalFormatting sqref="D172 H172:I172 L172 O172:P172 R172:T172 J351:J355 J359:J1048576 J2:J349">
    <cfRule type="cellIs" dxfId="43" priority="23" operator="greaterThan">
      <formula>500</formula>
    </cfRule>
  </conditionalFormatting>
  <conditionalFormatting sqref="J3:J349">
    <cfRule type="cellIs" dxfId="42" priority="29" operator="lessThan">
      <formula>-100</formula>
    </cfRule>
  </conditionalFormatting>
  <conditionalFormatting sqref="J351">
    <cfRule type="cellIs" dxfId="41" priority="2" operator="lessThan">
      <formula>-100</formula>
    </cfRule>
  </conditionalFormatting>
  <conditionalFormatting sqref="K351:K1048576 K3:K349">
    <cfRule type="cellIs" dxfId="40" priority="3" operator="lessThan">
      <formula>-0.2</formula>
    </cfRule>
  </conditionalFormatting>
  <conditionalFormatting sqref="K3:K349">
    <cfRule type="cellIs" dxfId="39" priority="15" operator="lessThan">
      <formula>-10%</formula>
    </cfRule>
    <cfRule type="cellIs" dxfId="38" priority="46" operator="greaterThan">
      <formula>0.2</formula>
    </cfRule>
  </conditionalFormatting>
  <conditionalFormatting sqref="K351">
    <cfRule type="cellIs" dxfId="37" priority="5" operator="greaterThan">
      <formula>0.2</formula>
    </cfRule>
  </conditionalFormatting>
  <conditionalFormatting sqref="V352 V3:V349">
    <cfRule type="cellIs" dxfId="36" priority="14" operator="greaterThan">
      <formula>0.5</formula>
    </cfRule>
  </conditionalFormatting>
  <conditionalFormatting sqref="Y3:Y349">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52">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C214"/>
  <sheetViews>
    <sheetView zoomScaleNormal="100" workbookViewId="0">
      <pane xSplit="2" ySplit="2" topLeftCell="C17" activePane="bottomRight" state="frozen"/>
      <selection pane="bottomRight" activeCell="A39" sqref="A39"/>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42" customWidth="1"/>
    <col min="18" max="19" width="0.85546875" customWidth="1"/>
    <col min="20" max="20" width="11.85546875" style="118"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29">
      <c r="B1" s="154">
        <v>45870</v>
      </c>
      <c r="C1" s="153"/>
      <c r="E1" s="154">
        <v>45901</v>
      </c>
      <c r="F1" s="153"/>
      <c r="J1" s="155"/>
      <c r="K1" s="155"/>
      <c r="M1" s="156" t="s">
        <v>0</v>
      </c>
      <c r="N1" s="156"/>
      <c r="O1" s="1"/>
      <c r="Q1" s="141" t="s">
        <v>1</v>
      </c>
      <c r="R1" s="1"/>
      <c r="T1" s="153" t="s">
        <v>2</v>
      </c>
      <c r="U1" s="153"/>
      <c r="W1" s="155" t="s">
        <v>713</v>
      </c>
      <c r="X1" s="155"/>
      <c r="Y1" s="155"/>
      <c r="Z1" s="155"/>
      <c r="AA1" s="153" t="s">
        <v>3</v>
      </c>
      <c r="AB1" s="153"/>
    </row>
    <row r="2" spans="1:29">
      <c r="A2" t="s">
        <v>4</v>
      </c>
      <c r="B2" s="3" t="s">
        <v>5</v>
      </c>
      <c r="C2" s="3" t="s">
        <v>6</v>
      </c>
      <c r="E2" s="3" t="s">
        <v>5</v>
      </c>
      <c r="F2" s="3" t="s">
        <v>6</v>
      </c>
      <c r="G2" t="s">
        <v>7</v>
      </c>
      <c r="J2" t="s">
        <v>8</v>
      </c>
      <c r="K2" t="s">
        <v>9</v>
      </c>
      <c r="M2" t="s">
        <v>10</v>
      </c>
      <c r="N2" t="s">
        <v>11</v>
      </c>
      <c r="Q2" s="142" t="s">
        <v>12</v>
      </c>
      <c r="T2" s="118" t="s">
        <v>13</v>
      </c>
      <c r="U2" t="s">
        <v>9</v>
      </c>
      <c r="W2" t="s">
        <v>714</v>
      </c>
      <c r="X2" t="s">
        <v>715</v>
      </c>
      <c r="Y2" t="s">
        <v>716</v>
      </c>
      <c r="Z2" s="14" t="s">
        <v>717</v>
      </c>
      <c r="AA2" t="s">
        <v>10</v>
      </c>
      <c r="AB2" t="s">
        <v>11</v>
      </c>
      <c r="AC2" t="s">
        <v>9</v>
      </c>
    </row>
    <row r="3" spans="1:29" ht="13.5" customHeight="1">
      <c r="A3" t="s">
        <v>718</v>
      </c>
      <c r="B3" t="s">
        <v>719</v>
      </c>
      <c r="C3" s="19">
        <v>60107</v>
      </c>
      <c r="E3" t="s">
        <v>719</v>
      </c>
      <c r="F3" s="19">
        <v>50683</v>
      </c>
      <c r="G3" t="b">
        <f>IF(B3=E3,TRUE,FALSE)</f>
        <v>1</v>
      </c>
      <c r="J3" s="25">
        <f>F3-C3</f>
        <v>-9424</v>
      </c>
      <c r="K3" s="4">
        <f>F6/C3-1</f>
        <v>-0.91679837622905813</v>
      </c>
      <c r="M3" s="5">
        <v>58978.720000000001</v>
      </c>
      <c r="N3" s="5">
        <v>48176.539999999994</v>
      </c>
      <c r="Q3" s="143">
        <v>207064.15</v>
      </c>
      <c r="T3" s="116">
        <f>N3-M3</f>
        <v>-10802.180000000008</v>
      </c>
      <c r="U3" s="4">
        <f>IF(M3=0,0,N3/M3-1)</f>
        <v>-0.18315385617049684</v>
      </c>
      <c r="W3" t="s">
        <v>720</v>
      </c>
      <c r="AA3" s="18">
        <v>1055869.27</v>
      </c>
      <c r="AB3" s="18">
        <v>959951.11</v>
      </c>
      <c r="AC3" s="4">
        <f>AB3/AA3-1</f>
        <v>-9.0842837011441802E-2</v>
      </c>
    </row>
    <row r="4" spans="1:29" ht="13.9" customHeight="1">
      <c r="A4" t="s">
        <v>721</v>
      </c>
      <c r="B4" t="s">
        <v>722</v>
      </c>
      <c r="C4" s="19">
        <v>8582</v>
      </c>
      <c r="E4" t="s">
        <v>722</v>
      </c>
      <c r="F4" s="19">
        <v>5467</v>
      </c>
      <c r="G4" t="b">
        <f>IF(B4=E4,TRUE,FALSE)</f>
        <v>1</v>
      </c>
      <c r="J4" s="25">
        <f>F4-C4</f>
        <v>-3115</v>
      </c>
      <c r="K4" s="4">
        <f>F4/C4-1</f>
        <v>-0.36296900489396411</v>
      </c>
      <c r="M4" s="5">
        <v>11942.77</v>
      </c>
      <c r="N4" s="5">
        <v>6450.6</v>
      </c>
      <c r="Q4" s="143">
        <v>35036.44</v>
      </c>
      <c r="T4" s="116">
        <f>N4-M4</f>
        <v>-5492.17</v>
      </c>
      <c r="U4" s="4">
        <f>IF(M4=0,0,N4/M4-1)</f>
        <v>-0.45987404932021636</v>
      </c>
      <c r="AA4" s="18">
        <v>171168.91</v>
      </c>
      <c r="AB4" s="18">
        <v>123464.95</v>
      </c>
      <c r="AC4" s="4">
        <f>AB4/AA4-1</f>
        <v>-0.27869523735355917</v>
      </c>
    </row>
    <row r="5" spans="1:29" ht="14.25" customHeight="1">
      <c r="A5" s="133" t="s">
        <v>723</v>
      </c>
      <c r="B5" s="37" t="s">
        <v>724</v>
      </c>
      <c r="C5">
        <v>2783</v>
      </c>
      <c r="E5" s="37" t="s">
        <v>724</v>
      </c>
      <c r="F5">
        <v>748</v>
      </c>
      <c r="G5" t="b">
        <f>IF(B5=E5,TRUE,FALSE)</f>
        <v>1</v>
      </c>
      <c r="J5" s="25">
        <f>F5-C5</f>
        <v>-2035</v>
      </c>
      <c r="K5" s="4">
        <f>F5/C5-1</f>
        <v>-0.73122529644268774</v>
      </c>
      <c r="M5" s="135">
        <v>3593.65</v>
      </c>
      <c r="N5" s="135">
        <v>0</v>
      </c>
      <c r="Q5" s="143">
        <v>0</v>
      </c>
      <c r="T5" s="116">
        <f>N5-M5</f>
        <v>-3593.65</v>
      </c>
      <c r="U5" s="4">
        <f>IF(M5=0,0,N5/M5-1)</f>
        <v>-1</v>
      </c>
      <c r="AA5">
        <v>69954.5</v>
      </c>
      <c r="AB5">
        <v>22378.240000000002</v>
      </c>
      <c r="AC5" s="4">
        <f>AB5/AA5-1</f>
        <v>-0.68010292404348538</v>
      </c>
    </row>
    <row r="6" spans="1:29" ht="13.9" customHeight="1">
      <c r="A6" t="s">
        <v>725</v>
      </c>
      <c r="B6" t="s">
        <v>726</v>
      </c>
      <c r="C6" s="19">
        <v>6256</v>
      </c>
      <c r="E6" t="s">
        <v>726</v>
      </c>
      <c r="F6" s="19">
        <v>5001</v>
      </c>
      <c r="G6" t="b">
        <f>IF(B6=E6,TRUE,FALSE)</f>
        <v>1</v>
      </c>
      <c r="J6" s="25">
        <f>F6-C6</f>
        <v>-1255</v>
      </c>
      <c r="K6" s="4">
        <f>F6/C6-1</f>
        <v>-0.20060741687979544</v>
      </c>
      <c r="M6" s="5">
        <v>2769</v>
      </c>
      <c r="N6" s="5">
        <v>2156.4899999999998</v>
      </c>
      <c r="Q6" s="143">
        <v>14604.22</v>
      </c>
      <c r="T6" s="116">
        <f>N6-M6</f>
        <v>-612.51000000000022</v>
      </c>
      <c r="U6" s="4">
        <f>IF(M6=0,0,N6/M6-1)</f>
        <v>-0.22120260021668481</v>
      </c>
      <c r="AA6" s="18">
        <v>200900.39</v>
      </c>
      <c r="AB6" s="18">
        <v>171156.71</v>
      </c>
      <c r="AC6" s="4">
        <f>AB6/AA6-1</f>
        <v>-0.14805187784851992</v>
      </c>
    </row>
    <row r="7" spans="1:29" ht="13.9" customHeight="1">
      <c r="A7" s="24" t="s">
        <v>727</v>
      </c>
      <c r="B7" s="23" t="s">
        <v>728</v>
      </c>
      <c r="C7" s="19">
        <v>2182</v>
      </c>
      <c r="D7" s="5"/>
      <c r="E7" s="23" t="s">
        <v>728</v>
      </c>
      <c r="F7" s="19">
        <v>1116</v>
      </c>
      <c r="G7" t="b">
        <f>IF(B7=E7,TRUE,FALSE)</f>
        <v>1</v>
      </c>
      <c r="H7" s="5"/>
      <c r="I7" s="5"/>
      <c r="J7" s="25">
        <f>F7-C7</f>
        <v>-1066</v>
      </c>
      <c r="K7" s="4">
        <f>F7/C7-1</f>
        <v>-0.4885426214482127</v>
      </c>
      <c r="L7" s="5"/>
      <c r="M7" s="5">
        <v>1541.99</v>
      </c>
      <c r="N7" s="5">
        <v>971.26</v>
      </c>
      <c r="O7" s="5"/>
      <c r="P7" s="5"/>
      <c r="Q7" s="143">
        <v>5352.83</v>
      </c>
      <c r="R7" s="5"/>
      <c r="S7" s="5"/>
      <c r="T7" s="116">
        <f>N7-M7</f>
        <v>-570.73</v>
      </c>
      <c r="U7" s="4">
        <f>IF(M7=0,0,N7/M7-1)</f>
        <v>-0.37012561689764523</v>
      </c>
      <c r="V7" s="5"/>
      <c r="W7" s="5"/>
      <c r="X7" s="5"/>
      <c r="Y7" s="5"/>
      <c r="Z7" s="15"/>
      <c r="AA7" s="18">
        <v>56968.49</v>
      </c>
      <c r="AB7" s="18">
        <v>33417.78</v>
      </c>
      <c r="AC7" s="4">
        <f>AB7/AA7-1</f>
        <v>-0.41339888067947739</v>
      </c>
    </row>
    <row r="8" spans="1:29" ht="13.5" customHeight="1">
      <c r="A8" t="s">
        <v>729</v>
      </c>
      <c r="B8" t="s">
        <v>730</v>
      </c>
      <c r="C8" s="19">
        <v>3016</v>
      </c>
      <c r="E8" t="s">
        <v>730</v>
      </c>
      <c r="F8" s="19">
        <v>2017</v>
      </c>
      <c r="G8" t="b">
        <f>IF(B8=E8,TRUE,FALSE)</f>
        <v>1</v>
      </c>
      <c r="J8" s="25">
        <f>F8-C8</f>
        <v>-999</v>
      </c>
      <c r="K8" s="4">
        <f>F8/C8-1</f>
        <v>-0.33123342175066317</v>
      </c>
      <c r="M8" s="5">
        <v>5139.09</v>
      </c>
      <c r="N8" s="5">
        <v>3949.18</v>
      </c>
      <c r="Q8" s="143">
        <v>18361.59</v>
      </c>
      <c r="T8" s="116">
        <f>N8-M8</f>
        <v>-1189.9100000000003</v>
      </c>
      <c r="U8" s="4">
        <f>IF(M8=0,0,N8/M8-1)</f>
        <v>-0.2315409926660168</v>
      </c>
      <c r="W8" t="s">
        <v>731</v>
      </c>
      <c r="AA8" s="18">
        <v>75278.240000000005</v>
      </c>
      <c r="AB8" s="18">
        <v>45574.73</v>
      </c>
      <c r="AC8" s="4">
        <f>AB8/AA8-1</f>
        <v>-0.39458294986705322</v>
      </c>
    </row>
    <row r="9" spans="1:29" ht="12.75" customHeight="1">
      <c r="A9" t="s">
        <v>732</v>
      </c>
      <c r="B9" t="s">
        <v>733</v>
      </c>
      <c r="C9" s="19">
        <v>3628</v>
      </c>
      <c r="E9" t="s">
        <v>733</v>
      </c>
      <c r="F9" s="19">
        <v>2644</v>
      </c>
      <c r="G9" t="b">
        <f>IF(B9=E9,TRUE,FALSE)</f>
        <v>1</v>
      </c>
      <c r="J9" s="25">
        <f>F9-C9</f>
        <v>-984</v>
      </c>
      <c r="K9" s="4">
        <f>F9/C9-1</f>
        <v>-0.27122381477398017</v>
      </c>
      <c r="M9" s="5">
        <v>1939.97</v>
      </c>
      <c r="N9" s="5">
        <v>1529.53</v>
      </c>
      <c r="Q9" s="143">
        <v>9704.16</v>
      </c>
      <c r="T9" s="116">
        <f>N9-M9</f>
        <v>-410.44000000000005</v>
      </c>
      <c r="U9" s="4">
        <f>IF(M9=0,0,N9/M9-1)</f>
        <v>-0.21157028201467032</v>
      </c>
      <c r="AA9" s="18">
        <v>79374.789999999994</v>
      </c>
      <c r="AB9" s="18">
        <v>60727.6</v>
      </c>
      <c r="AC9" s="4">
        <f>AB9/AA9-1</f>
        <v>-0.23492584988256338</v>
      </c>
    </row>
    <row r="10" spans="1:29" ht="13.9" customHeight="1">
      <c r="A10" t="s">
        <v>734</v>
      </c>
      <c r="B10" t="s">
        <v>735</v>
      </c>
      <c r="C10" s="19">
        <v>5417</v>
      </c>
      <c r="E10" t="s">
        <v>735</v>
      </c>
      <c r="F10" s="19">
        <v>4449</v>
      </c>
      <c r="G10" t="b">
        <f>IF(B10=E10,TRUE,FALSE)</f>
        <v>1</v>
      </c>
      <c r="J10" s="25">
        <f>F10-C10</f>
        <v>-968</v>
      </c>
      <c r="K10" s="4">
        <f>F10/C10-1</f>
        <v>-0.17869669558796386</v>
      </c>
      <c r="M10" s="5">
        <v>7264.3</v>
      </c>
      <c r="N10" s="5">
        <v>6917.01</v>
      </c>
      <c r="Q10" s="143">
        <v>41605.379999999997</v>
      </c>
      <c r="T10" s="116">
        <f>N10-M10</f>
        <v>-347.28999999999996</v>
      </c>
      <c r="U10" s="4">
        <f>IF(M10=0,0,N10/M10-1)</f>
        <v>-4.7807772256101777E-2</v>
      </c>
      <c r="W10" t="s">
        <v>736</v>
      </c>
      <c r="AA10" s="18">
        <v>135265.20000000001</v>
      </c>
      <c r="AB10" s="18">
        <v>110562.41</v>
      </c>
      <c r="AC10" s="4">
        <f>AB10/AA10-1</f>
        <v>-0.18262487321203091</v>
      </c>
    </row>
    <row r="11" spans="1:29" ht="13.9" customHeight="1">
      <c r="A11" s="134" t="s">
        <v>737</v>
      </c>
      <c r="B11" s="37" t="s">
        <v>738</v>
      </c>
      <c r="C11">
        <v>1429</v>
      </c>
      <c r="E11" s="37" t="s">
        <v>738</v>
      </c>
      <c r="F11">
        <v>572</v>
      </c>
      <c r="G11" t="b">
        <f>IF(B11=E11,TRUE,FALSE)</f>
        <v>1</v>
      </c>
      <c r="J11" s="25">
        <f>F11-C11</f>
        <v>-857</v>
      </c>
      <c r="K11" s="4">
        <f>F11/C11-1</f>
        <v>-0.59972008397480758</v>
      </c>
      <c r="M11" s="135">
        <v>2141.7600000000002</v>
      </c>
      <c r="N11" s="135">
        <v>1053.94</v>
      </c>
      <c r="Q11" s="143">
        <v>4997.88</v>
      </c>
      <c r="T11" s="118">
        <f>N11-M11</f>
        <v>-1087.8200000000002</v>
      </c>
      <c r="U11" s="4">
        <f>IF(M11=0,0,N11/M11-1)</f>
        <v>-0.50790938293739729</v>
      </c>
      <c r="AA11">
        <v>18217.71</v>
      </c>
      <c r="AB11">
        <v>9139.56</v>
      </c>
      <c r="AC11" s="4">
        <f>AB11/AA11-1</f>
        <v>-0.49831455215831189</v>
      </c>
    </row>
    <row r="12" spans="1:29" ht="13.9" customHeight="1">
      <c r="A12" t="s">
        <v>739</v>
      </c>
      <c r="B12" t="s">
        <v>740</v>
      </c>
      <c r="C12" s="19">
        <v>3925</v>
      </c>
      <c r="E12" t="s">
        <v>740</v>
      </c>
      <c r="F12" s="19">
        <v>3151</v>
      </c>
      <c r="G12" t="b">
        <f>IF(B12=E12,TRUE,FALSE)</f>
        <v>1</v>
      </c>
      <c r="J12" s="25">
        <f>F12-C12</f>
        <v>-774</v>
      </c>
      <c r="K12" s="4">
        <f>F12/C12-1</f>
        <v>-0.19719745222929941</v>
      </c>
      <c r="M12" s="5">
        <v>5806.95</v>
      </c>
      <c r="N12" s="5">
        <v>3290.76</v>
      </c>
      <c r="Q12" s="143">
        <v>18649.91</v>
      </c>
      <c r="T12" s="116">
        <f>N12-M12</f>
        <v>-2516.1899999999996</v>
      </c>
      <c r="U12" s="4">
        <f>IF(M12=0,0,N12/M12-1)</f>
        <v>-0.43330664117996531</v>
      </c>
      <c r="AA12" s="18">
        <v>98705.15</v>
      </c>
      <c r="AB12" s="18">
        <v>75089.509999999995</v>
      </c>
      <c r="AC12" s="4">
        <f>AB12/AA12-1</f>
        <v>-0.23925438540947463</v>
      </c>
    </row>
    <row r="13" spans="1:29" ht="13.9" customHeight="1">
      <c r="A13" t="s">
        <v>741</v>
      </c>
      <c r="B13" t="s">
        <v>742</v>
      </c>
      <c r="C13" s="19">
        <v>4142</v>
      </c>
      <c r="E13" t="s">
        <v>742</v>
      </c>
      <c r="F13" s="19">
        <v>3538</v>
      </c>
      <c r="G13" t="b">
        <f>IF(B13=E13,TRUE,FALSE)</f>
        <v>1</v>
      </c>
      <c r="J13" s="25">
        <f>F13-C13</f>
        <v>-604</v>
      </c>
      <c r="K13" s="4">
        <f>F13/C13-1</f>
        <v>-0.14582327378078219</v>
      </c>
      <c r="M13" s="5">
        <v>5934.74</v>
      </c>
      <c r="N13" s="5">
        <v>3299.65</v>
      </c>
      <c r="Q13" s="143">
        <v>21375.27</v>
      </c>
      <c r="T13" s="116">
        <f>N13-M13</f>
        <v>-2635.0899999999997</v>
      </c>
      <c r="U13" s="4">
        <f>IF(M13=0,0,N13/M13-1)</f>
        <v>-0.4440110265993118</v>
      </c>
      <c r="AA13" s="18">
        <v>119951.32</v>
      </c>
      <c r="AB13" s="18">
        <v>96752.56</v>
      </c>
      <c r="AC13" s="4">
        <f>AB13/AA13-1</f>
        <v>-0.19340145652419671</v>
      </c>
    </row>
    <row r="14" spans="1:29" ht="13.9" customHeight="1">
      <c r="A14" t="s">
        <v>743</v>
      </c>
      <c r="B14" t="s">
        <v>744</v>
      </c>
      <c r="C14" s="19">
        <v>1809</v>
      </c>
      <c r="E14" t="s">
        <v>744</v>
      </c>
      <c r="F14" s="19">
        <v>1279</v>
      </c>
      <c r="G14" t="b">
        <f>IF(B14=E14,TRUE,FALSE)</f>
        <v>1</v>
      </c>
      <c r="J14" s="25">
        <f>F14-C14</f>
        <v>-530</v>
      </c>
      <c r="K14" s="4">
        <f>F14/C14-1</f>
        <v>-0.29297954671088999</v>
      </c>
      <c r="M14" s="5">
        <v>1821.01</v>
      </c>
      <c r="N14" s="5">
        <v>1760.49</v>
      </c>
      <c r="Q14" s="143">
        <v>11568.64</v>
      </c>
      <c r="T14" s="116">
        <f>N14-M14</f>
        <v>-60.519999999999982</v>
      </c>
      <c r="U14" s="4">
        <f>IF(M14=0,0,N14/M14-1)</f>
        <v>-3.3234304040065665E-2</v>
      </c>
      <c r="AA14" s="18">
        <v>54419.15</v>
      </c>
      <c r="AB14" s="18">
        <v>38300.35</v>
      </c>
      <c r="AC14" s="4">
        <f>AB14/AA14-1</f>
        <v>-0.29619720263914451</v>
      </c>
    </row>
    <row r="15" spans="1:29" ht="13.9" customHeight="1">
      <c r="A15" t="s">
        <v>745</v>
      </c>
      <c r="B15" t="s">
        <v>746</v>
      </c>
      <c r="C15" s="19">
        <v>3727</v>
      </c>
      <c r="E15" t="s">
        <v>746</v>
      </c>
      <c r="F15" s="19">
        <v>3242</v>
      </c>
      <c r="G15" t="b">
        <f>IF(B15=E15,TRUE,FALSE)</f>
        <v>1</v>
      </c>
      <c r="J15" s="25">
        <f>F15-C15</f>
        <v>-485</v>
      </c>
      <c r="K15" s="4">
        <f>F15/C15-1</f>
        <v>-0.13013147303461226</v>
      </c>
      <c r="M15" s="5">
        <v>4253.92</v>
      </c>
      <c r="N15" s="5">
        <v>2823.58</v>
      </c>
      <c r="Q15" s="143">
        <v>12937.19</v>
      </c>
      <c r="T15" s="116">
        <f>N15-M15</f>
        <v>-1430.3400000000001</v>
      </c>
      <c r="U15" s="4">
        <f>IF(M15=0,0,N15/M15-1)</f>
        <v>-0.33624045586188744</v>
      </c>
      <c r="AA15" s="18">
        <v>83117.929999999993</v>
      </c>
      <c r="AB15" s="18">
        <v>73255.41</v>
      </c>
      <c r="AC15" s="4">
        <f>AB15/AA15-1</f>
        <v>-0.118656949228644</v>
      </c>
    </row>
    <row r="16" spans="1:29" ht="13.9" customHeight="1">
      <c r="A16" s="55" t="s">
        <v>747</v>
      </c>
      <c r="B16" s="37" t="s">
        <v>748</v>
      </c>
      <c r="C16">
        <v>926</v>
      </c>
      <c r="E16" s="37" t="s">
        <v>748</v>
      </c>
      <c r="F16">
        <v>455</v>
      </c>
      <c r="G16" t="b">
        <f>IF(B16=E16,TRUE,FALSE)</f>
        <v>1</v>
      </c>
      <c r="J16" s="25">
        <f>F16-C16</f>
        <v>-471</v>
      </c>
      <c r="K16" s="4">
        <f>F19/C16-1</f>
        <v>-0.17494600431965446</v>
      </c>
      <c r="M16" s="5">
        <v>1781.53</v>
      </c>
      <c r="N16" s="5">
        <v>862.51</v>
      </c>
      <c r="Q16" s="143">
        <v>4701.58</v>
      </c>
      <c r="T16" s="116"/>
      <c r="U16" s="4"/>
      <c r="AA16" s="18">
        <v>9870.74</v>
      </c>
      <c r="AB16" s="18">
        <v>5979.77</v>
      </c>
      <c r="AC16" s="4">
        <f>AB16/AA16-1</f>
        <v>-0.39419233005833398</v>
      </c>
    </row>
    <row r="17" spans="1:29" ht="13.9" customHeight="1">
      <c r="A17" t="s">
        <v>749</v>
      </c>
      <c r="B17" t="s">
        <v>750</v>
      </c>
      <c r="C17" s="19">
        <v>1782</v>
      </c>
      <c r="E17" t="s">
        <v>750</v>
      </c>
      <c r="F17" s="19">
        <v>1344</v>
      </c>
      <c r="G17" t="b">
        <f>IF(B17=E17,TRUE,FALSE)</f>
        <v>1</v>
      </c>
      <c r="J17" s="25">
        <f>F17-C17</f>
        <v>-438</v>
      </c>
      <c r="K17" s="4">
        <f>F17/C17-1</f>
        <v>-0.24579124579124578</v>
      </c>
      <c r="M17" s="5">
        <v>1850.96</v>
      </c>
      <c r="N17" s="5">
        <v>1338.31</v>
      </c>
      <c r="Q17" s="143">
        <v>6853.47</v>
      </c>
      <c r="T17" s="116">
        <f>N17-M17</f>
        <v>-512.65000000000009</v>
      </c>
      <c r="U17" s="4">
        <f>IF(M17=0,0,N17/M17-1)</f>
        <v>-0.27696438604832097</v>
      </c>
      <c r="AA17" s="18">
        <v>39141.879999999997</v>
      </c>
      <c r="AB17" s="18">
        <v>29551.48</v>
      </c>
      <c r="AC17" s="4">
        <f>AB17/AA17-1</f>
        <v>-0.24501633544428625</v>
      </c>
    </row>
    <row r="18" spans="1:29" ht="13.9" customHeight="1">
      <c r="A18" t="s">
        <v>751</v>
      </c>
      <c r="B18" t="s">
        <v>752</v>
      </c>
      <c r="C18" s="19">
        <v>3400</v>
      </c>
      <c r="E18" t="s">
        <v>752</v>
      </c>
      <c r="F18" s="19">
        <v>3015</v>
      </c>
      <c r="G18" t="b">
        <f>IF(B18=E18,TRUE,FALSE)</f>
        <v>1</v>
      </c>
      <c r="J18" s="25">
        <f>F18-C18</f>
        <v>-385</v>
      </c>
      <c r="K18" s="4">
        <f>F18/C18-1</f>
        <v>-0.1132352941176471</v>
      </c>
      <c r="M18" s="5">
        <v>3815.14</v>
      </c>
      <c r="N18" s="5">
        <v>3437.74</v>
      </c>
      <c r="Q18" s="143">
        <v>17563.62</v>
      </c>
      <c r="T18" s="116">
        <f>N18-M18</f>
        <v>-377.40000000000009</v>
      </c>
      <c r="U18" s="4">
        <f>IF(M18=0,0,N18/M18-1)</f>
        <v>-9.8921664735763359E-2</v>
      </c>
      <c r="AA18" s="18">
        <v>95104.01</v>
      </c>
      <c r="AB18" s="18">
        <v>84343.3</v>
      </c>
      <c r="AC18" s="4">
        <f>AB18/AA18-1</f>
        <v>-0.11314675374886918</v>
      </c>
    </row>
    <row r="19" spans="1:29" ht="13.9" customHeight="1">
      <c r="A19" t="s">
        <v>753</v>
      </c>
      <c r="B19" t="s">
        <v>754</v>
      </c>
      <c r="C19" s="19">
        <v>1110</v>
      </c>
      <c r="D19" s="5"/>
      <c r="E19" t="s">
        <v>754</v>
      </c>
      <c r="F19" s="19">
        <v>764</v>
      </c>
      <c r="G19" t="b">
        <f>IF(B19=E19,TRUE,FALSE)</f>
        <v>1</v>
      </c>
      <c r="H19" s="5"/>
      <c r="I19" s="5"/>
      <c r="J19" s="25">
        <f>F19-C19</f>
        <v>-346</v>
      </c>
      <c r="K19" s="4">
        <f>F19/C19-1</f>
        <v>-0.31171171171171175</v>
      </c>
      <c r="L19" s="5"/>
      <c r="M19" s="5">
        <v>875.08</v>
      </c>
      <c r="N19" s="5">
        <v>547.55999999999995</v>
      </c>
      <c r="O19" s="5"/>
      <c r="P19" s="5"/>
      <c r="Q19" s="143">
        <v>2833.85</v>
      </c>
      <c r="R19" s="5"/>
      <c r="S19" s="5"/>
      <c r="T19" s="116">
        <f>N19-M19</f>
        <v>-327.5200000000001</v>
      </c>
      <c r="U19" s="4">
        <f>IF(M19=0,0,N19/M19-1)</f>
        <v>-0.37427435205924042</v>
      </c>
      <c r="V19" s="5"/>
      <c r="W19" s="5"/>
      <c r="X19" s="5"/>
      <c r="Y19" s="5"/>
      <c r="Z19" s="15"/>
      <c r="AA19" s="18">
        <v>26200.11</v>
      </c>
      <c r="AB19" s="18">
        <v>20489.560000000001</v>
      </c>
      <c r="AC19" s="4">
        <f>AB19/AA19-1</f>
        <v>-0.21795900856904793</v>
      </c>
    </row>
    <row r="20" spans="1:29" ht="13.9" customHeight="1">
      <c r="A20" s="5" t="s">
        <v>755</v>
      </c>
      <c r="B20" s="5" t="s">
        <v>756</v>
      </c>
      <c r="C20" s="19">
        <v>1618</v>
      </c>
      <c r="D20" s="5"/>
      <c r="E20" t="s">
        <v>756</v>
      </c>
      <c r="F20" s="19">
        <v>1306</v>
      </c>
      <c r="G20" t="b">
        <f>IF(B20=E20,TRUE,FALSE)</f>
        <v>1</v>
      </c>
      <c r="H20" s="5"/>
      <c r="I20" s="5"/>
      <c r="J20" s="25">
        <f>F20-C20</f>
        <v>-312</v>
      </c>
      <c r="K20" s="4">
        <f>F20/C20-1</f>
        <v>-0.19283065512978992</v>
      </c>
      <c r="L20" s="5"/>
      <c r="M20" s="5">
        <v>1263.28</v>
      </c>
      <c r="N20" s="5">
        <v>556.01</v>
      </c>
      <c r="O20" s="5"/>
      <c r="P20" s="5"/>
      <c r="Q20" s="143">
        <v>3415.71</v>
      </c>
      <c r="R20" s="5"/>
      <c r="S20" s="5"/>
      <c r="T20" s="116">
        <f>N20-M20</f>
        <v>-707.27</v>
      </c>
      <c r="U20" s="4">
        <f>IF(M20=0,0,N20/M20-1)</f>
        <v>-0.55986796276359951</v>
      </c>
      <c r="V20" s="5"/>
      <c r="W20" s="5"/>
      <c r="X20" s="5"/>
      <c r="Y20" s="5"/>
      <c r="Z20" s="15"/>
      <c r="AA20" s="18">
        <v>44329.82</v>
      </c>
      <c r="AB20" s="18">
        <v>39164.239999999998</v>
      </c>
      <c r="AC20" s="4">
        <f>AB20/AA20-1</f>
        <v>-0.11652607657779801</v>
      </c>
    </row>
    <row r="21" spans="1:29" ht="13.9" customHeight="1">
      <c r="A21" t="s">
        <v>757</v>
      </c>
      <c r="B21" s="27" t="s">
        <v>758</v>
      </c>
      <c r="C21" s="19">
        <v>751</v>
      </c>
      <c r="E21" t="s">
        <v>758</v>
      </c>
      <c r="F21" s="19">
        <v>442</v>
      </c>
      <c r="G21" t="b">
        <f>IF(B21=E21,TRUE,FALSE)</f>
        <v>1</v>
      </c>
      <c r="J21" s="25">
        <f>F21-C21</f>
        <v>-309</v>
      </c>
      <c r="K21" s="4">
        <f>F21/C21-1</f>
        <v>-0.41145139813581888</v>
      </c>
      <c r="M21" s="5">
        <v>1398</v>
      </c>
      <c r="N21" s="5">
        <v>653.13</v>
      </c>
      <c r="Q21" s="143">
        <v>2804.42</v>
      </c>
      <c r="T21" s="116">
        <f>N21-M21</f>
        <v>-744.87</v>
      </c>
      <c r="U21" s="4">
        <f>IF(M21=0,0,N21/M21-1)</f>
        <v>-0.53281115879828334</v>
      </c>
      <c r="AA21" s="18">
        <v>7929.05</v>
      </c>
      <c r="AB21" s="18">
        <v>5934.02</v>
      </c>
      <c r="AC21" s="4">
        <f>AB21/AA21-1</f>
        <v>-0.25161021812196915</v>
      </c>
    </row>
    <row r="22" spans="1:29" ht="13.9" customHeight="1">
      <c r="A22" t="s">
        <v>759</v>
      </c>
      <c r="B22" t="s">
        <v>760</v>
      </c>
      <c r="C22" s="19">
        <v>2941</v>
      </c>
      <c r="E22" t="s">
        <v>760</v>
      </c>
      <c r="F22" s="19">
        <v>2658</v>
      </c>
      <c r="G22" t="b">
        <f>IF(B22=E22,TRUE,FALSE)</f>
        <v>1</v>
      </c>
      <c r="J22" s="25">
        <f>F22-C22</f>
        <v>-283</v>
      </c>
      <c r="K22" s="4">
        <f>F22/C22-1</f>
        <v>-9.6225773546412818E-2</v>
      </c>
      <c r="M22" s="5">
        <v>3387.76</v>
      </c>
      <c r="N22" s="5">
        <v>2048.86</v>
      </c>
      <c r="Q22" s="143">
        <v>10605.86</v>
      </c>
      <c r="T22" s="116">
        <f>N22-M22</f>
        <v>-1338.9</v>
      </c>
      <c r="U22" s="4">
        <f>IF(M22=0,0,N22/M22-1)</f>
        <v>-0.39521689848159258</v>
      </c>
      <c r="W22" t="s">
        <v>761</v>
      </c>
      <c r="AA22" s="18">
        <v>49678.39</v>
      </c>
      <c r="AB22" s="18">
        <v>45948.480000000003</v>
      </c>
      <c r="AC22" s="4">
        <f>AB22/AA22-1</f>
        <v>-7.5081136888695443E-2</v>
      </c>
    </row>
    <row r="23" spans="1:29" ht="13.9" customHeight="1">
      <c r="A23" s="27" t="s">
        <v>762</v>
      </c>
      <c r="B23" s="27" t="s">
        <v>763</v>
      </c>
      <c r="C23" s="19">
        <v>1006</v>
      </c>
      <c r="E23" s="27" t="s">
        <v>763</v>
      </c>
      <c r="F23" s="19">
        <v>750</v>
      </c>
      <c r="G23" t="b">
        <f>IF(B23=E23,TRUE,FALSE)</f>
        <v>1</v>
      </c>
      <c r="J23" s="25">
        <f>F23-C23</f>
        <v>-256</v>
      </c>
      <c r="K23" s="4">
        <f>F23/C23-1</f>
        <v>-0.25447316103379725</v>
      </c>
      <c r="M23" s="5">
        <v>1481.99</v>
      </c>
      <c r="N23" s="5">
        <v>910.55</v>
      </c>
      <c r="Q23" s="143">
        <v>3498.83</v>
      </c>
      <c r="T23" s="116">
        <f>N23-M23</f>
        <v>-571.44000000000005</v>
      </c>
      <c r="U23" s="4">
        <f>IF(M23=0,0,N23/M23-1)</f>
        <v>-0.38558964635388904</v>
      </c>
      <c r="AA23" s="18">
        <v>14001.12</v>
      </c>
      <c r="AB23" s="18">
        <v>13803.69</v>
      </c>
      <c r="AC23" s="4">
        <f>AB23/AA23-1</f>
        <v>-1.4101014775960818E-2</v>
      </c>
    </row>
    <row r="24" spans="1:29" ht="13.9" customHeight="1">
      <c r="A24" t="s">
        <v>764</v>
      </c>
      <c r="B24" t="s">
        <v>765</v>
      </c>
      <c r="C24" s="19">
        <v>3532</v>
      </c>
      <c r="D24" s="5"/>
      <c r="E24" t="s">
        <v>765</v>
      </c>
      <c r="F24" s="19">
        <v>3294</v>
      </c>
      <c r="G24" t="b">
        <f>IF(B24=E24,TRUE,FALSE)</f>
        <v>1</v>
      </c>
      <c r="H24" s="5"/>
      <c r="I24" s="5"/>
      <c r="J24" s="25">
        <f>F24-C24</f>
        <v>-238</v>
      </c>
      <c r="K24" s="4">
        <f>F24/C24-1</f>
        <v>-6.7383918459796188E-2</v>
      </c>
      <c r="L24" s="5"/>
      <c r="M24" s="5">
        <v>3761.54</v>
      </c>
      <c r="N24" s="5">
        <v>1529.61</v>
      </c>
      <c r="O24" s="5"/>
      <c r="P24" s="5"/>
      <c r="Q24" s="143">
        <v>13674.78</v>
      </c>
      <c r="R24" s="5"/>
      <c r="S24" s="5"/>
      <c r="T24" s="116">
        <f>N24-M24</f>
        <v>-2231.9300000000003</v>
      </c>
      <c r="U24" s="4">
        <f>IF(M24=0,0,N24/M24-1)</f>
        <v>-0.59335538104074392</v>
      </c>
      <c r="V24" s="5"/>
      <c r="W24" s="5"/>
      <c r="X24" s="5"/>
      <c r="Y24" s="5"/>
      <c r="Z24" s="15"/>
      <c r="AA24" s="18">
        <v>78443.78</v>
      </c>
      <c r="AB24" s="18">
        <v>78603.06</v>
      </c>
      <c r="AC24" s="4">
        <f>AB24/AA24-1</f>
        <v>2.0304987852446388E-3</v>
      </c>
    </row>
    <row r="25" spans="1:29" ht="13.9" customHeight="1">
      <c r="A25" s="140" t="s">
        <v>766</v>
      </c>
      <c r="B25" s="37" t="s">
        <v>767</v>
      </c>
      <c r="C25" s="19">
        <v>902</v>
      </c>
      <c r="E25" s="37" t="s">
        <v>767</v>
      </c>
      <c r="F25" s="19">
        <v>667</v>
      </c>
      <c r="G25" t="b">
        <f>IF(B25=E25,TRUE,FALSE)</f>
        <v>1</v>
      </c>
      <c r="J25" s="25">
        <f>F25-C25</f>
        <v>-235</v>
      </c>
      <c r="K25" s="4">
        <f>F27/C25-1</f>
        <v>-0.39135254988913526</v>
      </c>
      <c r="M25" s="135">
        <v>1379.85</v>
      </c>
      <c r="N25" s="135">
        <v>1125.3399999999999</v>
      </c>
      <c r="Q25" s="142">
        <v>5181.1099999999997</v>
      </c>
      <c r="AA25">
        <v>10990.98</v>
      </c>
      <c r="AB25">
        <v>9609.17</v>
      </c>
      <c r="AC25" s="4">
        <f>AB25/AA25-1</f>
        <v>-0.12572218309923222</v>
      </c>
    </row>
    <row r="26" spans="1:29" ht="13.9" customHeight="1">
      <c r="A26" t="s">
        <v>768</v>
      </c>
      <c r="B26" s="27" t="s">
        <v>769</v>
      </c>
      <c r="C26" s="19">
        <v>852</v>
      </c>
      <c r="D26" s="19"/>
      <c r="E26" s="27" t="s">
        <v>769</v>
      </c>
      <c r="F26" s="19">
        <v>631</v>
      </c>
      <c r="G26" t="b">
        <f>IF(B26=E26,TRUE,FALSE)</f>
        <v>1</v>
      </c>
      <c r="J26" s="25">
        <f>F26-C26</f>
        <v>-221</v>
      </c>
      <c r="K26" s="4">
        <f>F26/C26-1</f>
        <v>-0.25938967136150237</v>
      </c>
      <c r="M26" s="19">
        <v>1096.4100000000001</v>
      </c>
      <c r="N26" s="19">
        <v>876.82</v>
      </c>
      <c r="Q26" s="143">
        <v>3565.9</v>
      </c>
      <c r="T26" s="118">
        <f>N26-M26</f>
        <v>-219.59000000000003</v>
      </c>
      <c r="U26" s="4">
        <f>IF(M26=0,0,N26/M26-1)</f>
        <v>-0.20028091681031734</v>
      </c>
      <c r="AA26" s="18">
        <v>18735.48</v>
      </c>
      <c r="AB26" s="18">
        <v>13874.15</v>
      </c>
      <c r="AC26" s="4">
        <f>AB26/AA26-1</f>
        <v>-0.25947186834818214</v>
      </c>
    </row>
    <row r="27" spans="1:29" ht="13.9" customHeight="1">
      <c r="A27" t="s">
        <v>770</v>
      </c>
      <c r="B27" t="s">
        <v>771</v>
      </c>
      <c r="C27" s="19">
        <v>764</v>
      </c>
      <c r="E27" t="s">
        <v>771</v>
      </c>
      <c r="F27" s="19">
        <v>549</v>
      </c>
      <c r="G27" t="b">
        <f>IF(B27=E27,TRUE,FALSE)</f>
        <v>1</v>
      </c>
      <c r="J27" s="25">
        <f>F27-C27</f>
        <v>-215</v>
      </c>
      <c r="K27" s="4">
        <f>F27/C27-1</f>
        <v>-0.28141361256544506</v>
      </c>
      <c r="M27" s="5">
        <v>880.58</v>
      </c>
      <c r="N27" s="5">
        <v>539.20000000000005</v>
      </c>
      <c r="Q27" s="143">
        <v>3876.3199999999997</v>
      </c>
      <c r="T27" s="116">
        <f>N27-M27</f>
        <v>-341.38</v>
      </c>
      <c r="U27" s="4">
        <f>IF(M27=0,0,N27/M27-1)</f>
        <v>-0.38767630425401434</v>
      </c>
      <c r="AA27" s="18">
        <v>22903.919999999998</v>
      </c>
      <c r="AB27" s="18">
        <v>16173.94</v>
      </c>
      <c r="AC27" s="4">
        <f>AB27/AA27-1</f>
        <v>-0.29383529107681128</v>
      </c>
    </row>
    <row r="28" spans="1:29" ht="13.9" customHeight="1">
      <c r="A28" t="s">
        <v>772</v>
      </c>
      <c r="B28" s="27" t="s">
        <v>773</v>
      </c>
      <c r="C28" s="19">
        <v>1051</v>
      </c>
      <c r="E28" s="27" t="s">
        <v>773</v>
      </c>
      <c r="F28" s="19">
        <v>849</v>
      </c>
      <c r="G28" t="b">
        <f>IF(B28=E28,TRUE,FALSE)</f>
        <v>1</v>
      </c>
      <c r="J28" s="25">
        <f>F28-C28</f>
        <v>-202</v>
      </c>
      <c r="K28" s="4">
        <f>F28/C28-1</f>
        <v>-0.19219790675547099</v>
      </c>
      <c r="M28" s="5">
        <v>883.98</v>
      </c>
      <c r="N28" s="5">
        <v>335.87</v>
      </c>
      <c r="Q28" s="143">
        <v>1723.06</v>
      </c>
      <c r="T28" s="116">
        <f>N28-M28</f>
        <v>-548.11</v>
      </c>
      <c r="U28" s="4">
        <f>IF(M28=0,0,N28/M28-1)</f>
        <v>-0.62004796488608338</v>
      </c>
      <c r="AA28" s="18">
        <v>23040.14</v>
      </c>
      <c r="AB28" s="18">
        <v>18559.07</v>
      </c>
      <c r="AC28" s="4">
        <f>AB28/AA28-1</f>
        <v>-0.19448970362159257</v>
      </c>
    </row>
    <row r="29" spans="1:29" ht="13.9" customHeight="1">
      <c r="A29" s="27" t="s">
        <v>774</v>
      </c>
      <c r="B29" s="27" t="s">
        <v>775</v>
      </c>
      <c r="C29" s="19">
        <v>1002</v>
      </c>
      <c r="E29" s="27" t="s">
        <v>775</v>
      </c>
      <c r="F29" s="19">
        <v>816</v>
      </c>
      <c r="G29" t="b">
        <f>IF(B29=E29,TRUE,FALSE)</f>
        <v>1</v>
      </c>
      <c r="J29" s="25">
        <f>F29-C29</f>
        <v>-186</v>
      </c>
      <c r="K29" s="4">
        <f>F29/C29-1</f>
        <v>-0.18562874251497008</v>
      </c>
      <c r="M29" s="5">
        <v>2243.92</v>
      </c>
      <c r="N29" s="5">
        <v>1840.56</v>
      </c>
      <c r="Q29" s="143">
        <v>8653.81</v>
      </c>
      <c r="T29" s="116">
        <f>N29-M29</f>
        <v>-403.36000000000013</v>
      </c>
      <c r="U29" s="4">
        <f>IF(M29=0,0,N29/M29-1)</f>
        <v>-0.1797568540767942</v>
      </c>
      <c r="AA29" s="18">
        <v>16021.98</v>
      </c>
      <c r="AB29" s="18">
        <v>13047.68</v>
      </c>
      <c r="AC29" s="4">
        <f>AB29/AA29-1</f>
        <v>-0.18563872879631604</v>
      </c>
    </row>
    <row r="30" spans="1:29" ht="13.9" customHeight="1">
      <c r="A30" t="s">
        <v>776</v>
      </c>
      <c r="B30" t="s">
        <v>777</v>
      </c>
      <c r="C30" s="19">
        <v>782</v>
      </c>
      <c r="E30" t="s">
        <v>777</v>
      </c>
      <c r="F30" s="19">
        <v>601</v>
      </c>
      <c r="G30" t="b">
        <f>IF(B30=E30,TRUE,FALSE)</f>
        <v>1</v>
      </c>
      <c r="J30" s="25">
        <f>F30-C30</f>
        <v>-181</v>
      </c>
      <c r="K30" s="4">
        <f>F30/C30-1</f>
        <v>-0.23145780051150899</v>
      </c>
      <c r="M30" s="5">
        <v>487.94</v>
      </c>
      <c r="N30" s="5">
        <v>325.12</v>
      </c>
      <c r="Q30" s="143">
        <v>1843.26</v>
      </c>
      <c r="T30" s="116">
        <f>N30-M30</f>
        <v>-162.82</v>
      </c>
      <c r="U30" s="4">
        <f>IF(M30=0,0,N30/M30-1)</f>
        <v>-0.3336885682665901</v>
      </c>
      <c r="W30" t="s">
        <v>778</v>
      </c>
      <c r="Y30" s="4" t="s">
        <v>779</v>
      </c>
      <c r="AA30" s="18">
        <v>13109.78</v>
      </c>
      <c r="AB30" s="18">
        <v>11412.61</v>
      </c>
      <c r="AC30" s="4">
        <f>AB30/AA30-1</f>
        <v>-0.12945831280158782</v>
      </c>
    </row>
    <row r="31" spans="1:29" ht="13.9" customHeight="1">
      <c r="A31" t="s">
        <v>780</v>
      </c>
      <c r="B31" s="5" t="s">
        <v>781</v>
      </c>
      <c r="C31" s="19">
        <v>1357</v>
      </c>
      <c r="D31" s="5"/>
      <c r="E31" t="s">
        <v>781</v>
      </c>
      <c r="F31" s="19">
        <v>1177</v>
      </c>
      <c r="G31" t="b">
        <f>IF(B31=E31,TRUE,FALSE)</f>
        <v>1</v>
      </c>
      <c r="H31" s="5"/>
      <c r="I31" s="5"/>
      <c r="J31" s="25">
        <f>F31-C31</f>
        <v>-180</v>
      </c>
      <c r="K31" s="4">
        <f>F31/C31-1</f>
        <v>-0.13264554163596165</v>
      </c>
      <c r="L31" s="5"/>
      <c r="M31" s="5">
        <v>1295.43</v>
      </c>
      <c r="N31" s="5">
        <v>1288.8699999999999</v>
      </c>
      <c r="O31" s="5"/>
      <c r="P31" s="5"/>
      <c r="Q31" s="143">
        <v>8020.3</v>
      </c>
      <c r="R31" s="5"/>
      <c r="S31" s="5"/>
      <c r="T31" s="116">
        <f>N31-M31</f>
        <v>-6.5600000000001728</v>
      </c>
      <c r="U31" s="4">
        <f>IF(M31=0,0,N31/M31-1)</f>
        <v>-5.0639555977552986E-3</v>
      </c>
      <c r="V31" s="5"/>
      <c r="W31" s="5"/>
      <c r="X31" s="5"/>
      <c r="Y31" s="5"/>
      <c r="Z31" s="15"/>
      <c r="AA31" s="18">
        <v>26109.45</v>
      </c>
      <c r="AB31" s="18">
        <v>22322.43</v>
      </c>
      <c r="AC31" s="4">
        <f>AB31/AA31-1</f>
        <v>-0.14504403578014857</v>
      </c>
    </row>
    <row r="32" spans="1:29" ht="13.9" customHeight="1">
      <c r="A32" t="s">
        <v>782</v>
      </c>
      <c r="B32" t="s">
        <v>783</v>
      </c>
      <c r="C32" s="19">
        <v>1154</v>
      </c>
      <c r="E32" t="s">
        <v>783</v>
      </c>
      <c r="F32" s="19">
        <v>978</v>
      </c>
      <c r="G32" t="b">
        <f>IF(B32=E32,TRUE,FALSE)</f>
        <v>1</v>
      </c>
      <c r="J32" s="25">
        <f>F32-C32</f>
        <v>-176</v>
      </c>
      <c r="K32" s="4">
        <f>F32/C32-1</f>
        <v>-0.15251299826689779</v>
      </c>
      <c r="M32" s="5">
        <v>1345.8</v>
      </c>
      <c r="N32" s="5">
        <v>1464.9</v>
      </c>
      <c r="Q32" s="143">
        <v>5639.95</v>
      </c>
      <c r="T32" s="116">
        <f>N32-M32</f>
        <v>119.10000000000014</v>
      </c>
      <c r="U32" s="4">
        <f>IF(M32=0,0,N32/M32-1)</f>
        <v>8.8497547926883691E-2</v>
      </c>
      <c r="AA32" s="18">
        <v>23068.46</v>
      </c>
      <c r="AB32" s="18">
        <v>19550.22</v>
      </c>
      <c r="AC32" s="4">
        <f>AB32/AA32-1</f>
        <v>-0.15251299826689768</v>
      </c>
    </row>
    <row r="33" spans="1:29" ht="16.5">
      <c r="A33" s="24" t="s">
        <v>784</v>
      </c>
      <c r="B33" s="23" t="s">
        <v>785</v>
      </c>
      <c r="C33" s="19">
        <v>906</v>
      </c>
      <c r="D33" s="5"/>
      <c r="E33" s="23" t="s">
        <v>785</v>
      </c>
      <c r="F33" s="19">
        <v>735</v>
      </c>
      <c r="G33" t="b">
        <f>IF(B33=E33,TRUE,FALSE)</f>
        <v>1</v>
      </c>
      <c r="H33" s="5"/>
      <c r="I33" s="5"/>
      <c r="J33" s="25">
        <f>F33-C33</f>
        <v>-171</v>
      </c>
      <c r="K33" s="4">
        <f>F33/C33-1</f>
        <v>-0.1887417218543046</v>
      </c>
      <c r="L33" s="5"/>
      <c r="M33" s="5">
        <v>1494.58</v>
      </c>
      <c r="N33" s="5">
        <v>963.5</v>
      </c>
      <c r="O33" s="5"/>
      <c r="P33" s="5"/>
      <c r="Q33" s="143">
        <v>5128.2</v>
      </c>
      <c r="R33" s="5"/>
      <c r="S33" s="5"/>
      <c r="T33" s="116">
        <f>N33-M33</f>
        <v>-531.07999999999993</v>
      </c>
      <c r="U33" s="4">
        <f>IF(M33=0,0,N33/M33-1)</f>
        <v>-0.35533728539121356</v>
      </c>
      <c r="V33" s="5"/>
      <c r="W33" s="5"/>
      <c r="X33" s="5"/>
      <c r="Y33" s="5"/>
      <c r="Z33" s="15"/>
      <c r="AA33" s="18">
        <v>13580.94</v>
      </c>
      <c r="AB33" s="18">
        <v>11016.3</v>
      </c>
      <c r="AC33" s="4">
        <f>AB33/AA33-1</f>
        <v>-0.1888411258719942</v>
      </c>
    </row>
    <row r="34" spans="1:29">
      <c r="A34" t="s">
        <v>786</v>
      </c>
      <c r="B34" t="s">
        <v>787</v>
      </c>
      <c r="C34" s="19">
        <v>545</v>
      </c>
      <c r="E34" t="s">
        <v>787</v>
      </c>
      <c r="F34" s="19">
        <v>385</v>
      </c>
      <c r="G34" t="b">
        <f>IF(B34=E34,TRUE,FALSE)</f>
        <v>1</v>
      </c>
      <c r="J34" s="25">
        <f>F34-C34</f>
        <v>-160</v>
      </c>
      <c r="K34" s="4">
        <f>F34/C34-1</f>
        <v>-0.29357798165137616</v>
      </c>
      <c r="M34" s="5">
        <v>0</v>
      </c>
      <c r="N34" s="5">
        <v>0</v>
      </c>
      <c r="Q34" s="143">
        <v>0</v>
      </c>
      <c r="T34" s="116">
        <f>N34-M34</f>
        <v>0</v>
      </c>
      <c r="U34" s="4">
        <f>IF(M34=0,0,N34/M34-1)</f>
        <v>0</v>
      </c>
      <c r="AA34" s="18">
        <v>17412.75</v>
      </c>
      <c r="AB34" s="18">
        <v>12300.75</v>
      </c>
      <c r="AC34" s="4">
        <f>AB34/AA34-1</f>
        <v>-0.29357798165137616</v>
      </c>
    </row>
    <row r="35" spans="1:29">
      <c r="A35" t="s">
        <v>788</v>
      </c>
      <c r="B35" t="s">
        <v>789</v>
      </c>
      <c r="C35" s="19">
        <v>1469</v>
      </c>
      <c r="E35" t="s">
        <v>789</v>
      </c>
      <c r="F35" s="19">
        <v>1325</v>
      </c>
      <c r="G35" t="b">
        <f>IF(B35=E35,TRUE,FALSE)</f>
        <v>1</v>
      </c>
      <c r="J35" s="25">
        <f>F35-C35</f>
        <v>-144</v>
      </c>
      <c r="K35" s="4">
        <f>F35/C35-1</f>
        <v>-9.8025867937372335E-2</v>
      </c>
      <c r="M35" s="5">
        <v>1249.32</v>
      </c>
      <c r="N35" s="5">
        <v>1066.4000000000001</v>
      </c>
      <c r="Q35" s="143">
        <v>6120.58</v>
      </c>
      <c r="T35" s="116">
        <f>N35-M35</f>
        <v>-182.91999999999985</v>
      </c>
      <c r="U35" s="4">
        <f>IF(M35=0,0,N35/M35-1)</f>
        <v>-0.14641565011366175</v>
      </c>
      <c r="AA35" s="18">
        <v>26288.71</v>
      </c>
      <c r="AB35" s="18">
        <v>25269.95</v>
      </c>
      <c r="AC35" s="4">
        <f>AB35/AA35-1</f>
        <v>-3.875275736238093E-2</v>
      </c>
    </row>
    <row r="36" spans="1:29">
      <c r="A36" t="s">
        <v>790</v>
      </c>
      <c r="B36" t="s">
        <v>791</v>
      </c>
      <c r="C36" s="19">
        <v>1166</v>
      </c>
      <c r="E36" t="s">
        <v>791</v>
      </c>
      <c r="F36" s="19">
        <v>1023</v>
      </c>
      <c r="G36" t="b">
        <f>IF(B36=E36,TRUE,FALSE)</f>
        <v>1</v>
      </c>
      <c r="J36" s="25">
        <f>F36-C36</f>
        <v>-143</v>
      </c>
      <c r="K36" s="4">
        <f>F36/C36-1</f>
        <v>-0.12264150943396224</v>
      </c>
      <c r="M36" s="5">
        <v>1363.33</v>
      </c>
      <c r="N36" s="5">
        <v>1112.25</v>
      </c>
      <c r="Q36" s="143">
        <v>9891.07</v>
      </c>
      <c r="T36" s="116">
        <f>N36-M36</f>
        <v>-251.07999999999993</v>
      </c>
      <c r="U36" s="4">
        <f>IF(M36=0,0,N36/M36-1)</f>
        <v>-0.18416670945405733</v>
      </c>
      <c r="AA36" s="18">
        <v>33802.339999999997</v>
      </c>
      <c r="AB36" s="18">
        <v>29651.26</v>
      </c>
      <c r="AC36" s="4">
        <f>AB36/AA36-1</f>
        <v>-0.12280451590037844</v>
      </c>
    </row>
    <row r="37" spans="1:29">
      <c r="A37" t="s">
        <v>792</v>
      </c>
      <c r="B37" t="s">
        <v>793</v>
      </c>
      <c r="C37" s="19">
        <v>1030</v>
      </c>
      <c r="E37" t="s">
        <v>793</v>
      </c>
      <c r="F37" s="19">
        <v>889</v>
      </c>
      <c r="G37" t="b">
        <f>IF(B37=E37,TRUE,FALSE)</f>
        <v>1</v>
      </c>
      <c r="J37" s="25">
        <f>F37-C37</f>
        <v>-141</v>
      </c>
      <c r="K37" s="4">
        <f>F37/C37-1</f>
        <v>-0.13689320388349513</v>
      </c>
      <c r="M37" s="5">
        <v>1686.7</v>
      </c>
      <c r="N37" s="5">
        <v>1163.06</v>
      </c>
      <c r="Q37" s="143">
        <v>5951.96</v>
      </c>
      <c r="T37" s="116">
        <f>N37-M37</f>
        <v>-523.6400000000001</v>
      </c>
      <c r="U37" s="4">
        <f>IF(M37=0,0,N37/M37-1)</f>
        <v>-0.31045236260152964</v>
      </c>
      <c r="AA37" s="18">
        <v>17499.7</v>
      </c>
      <c r="AB37" s="18">
        <v>15103.26</v>
      </c>
      <c r="AC37" s="4">
        <f>AB37/AA37-1</f>
        <v>-0.13694177614473391</v>
      </c>
    </row>
    <row r="38" spans="1:29">
      <c r="A38" s="5" t="s">
        <v>794</v>
      </c>
      <c r="B38" s="27" t="s">
        <v>795</v>
      </c>
      <c r="C38" s="19">
        <v>692</v>
      </c>
      <c r="D38" s="5"/>
      <c r="E38" s="27" t="s">
        <v>795</v>
      </c>
      <c r="F38" s="19">
        <v>565</v>
      </c>
      <c r="G38" t="b">
        <f>IF(B38=E38,TRUE,FALSE)</f>
        <v>1</v>
      </c>
      <c r="H38" s="5"/>
      <c r="I38" s="5"/>
      <c r="J38" s="25">
        <f>F38-C38</f>
        <v>-127</v>
      </c>
      <c r="K38" s="4">
        <f>F38/C38-1</f>
        <v>-0.18352601156069359</v>
      </c>
      <c r="L38" s="5"/>
      <c r="M38" s="5">
        <v>764.17</v>
      </c>
      <c r="N38" s="5">
        <v>573.41</v>
      </c>
      <c r="O38" s="5"/>
      <c r="P38" s="5"/>
      <c r="Q38" s="143">
        <v>2677.32</v>
      </c>
      <c r="R38" s="5"/>
      <c r="S38" s="5"/>
      <c r="T38" s="116">
        <f>N38-M38</f>
        <v>-190.76</v>
      </c>
      <c r="U38" s="5">
        <f>IF(M38=0,0,N38/M38-1)</f>
        <v>-0.24963031786120893</v>
      </c>
      <c r="V38" s="5"/>
      <c r="W38" s="5"/>
      <c r="X38" s="5"/>
      <c r="Y38" s="5"/>
      <c r="Z38" s="15"/>
      <c r="AA38" s="18">
        <v>9681.08</v>
      </c>
      <c r="AB38" s="18">
        <v>7904.07</v>
      </c>
      <c r="AC38" s="4">
        <f>AB38/AA38-1</f>
        <v>-0.18355493395364986</v>
      </c>
    </row>
    <row r="39" spans="1:29">
      <c r="A39" s="54" t="s">
        <v>796</v>
      </c>
      <c r="B39" s="37" t="s">
        <v>797</v>
      </c>
      <c r="C39" s="19">
        <v>872</v>
      </c>
      <c r="E39" s="37" t="s">
        <v>797</v>
      </c>
      <c r="F39" s="19">
        <v>745</v>
      </c>
      <c r="G39" t="b">
        <f>IF(B39=E39,TRUE,FALSE)</f>
        <v>1</v>
      </c>
      <c r="J39" s="25">
        <f>F39-C39</f>
        <v>-127</v>
      </c>
      <c r="K39" s="4">
        <f>F39/C40-1</f>
        <v>-0.61775269368907137</v>
      </c>
      <c r="M39" s="5">
        <v>1163.69</v>
      </c>
      <c r="N39" s="5">
        <v>848.93</v>
      </c>
      <c r="Q39" s="143">
        <v>2712.38</v>
      </c>
      <c r="T39" s="116">
        <f>N39-M39</f>
        <v>-314.7600000000001</v>
      </c>
      <c r="U39" s="4">
        <f>IF(M39=0,0,N39/M39-1)</f>
        <v>-0.27048440735934831</v>
      </c>
      <c r="AA39" s="18">
        <v>11184.25</v>
      </c>
      <c r="AB39" s="18">
        <v>10179.34</v>
      </c>
      <c r="AC39" s="4">
        <f>AB39/AA39-1</f>
        <v>-8.9850459351319967E-2</v>
      </c>
    </row>
    <row r="40" spans="1:29">
      <c r="A40" t="s">
        <v>798</v>
      </c>
      <c r="B40" t="s">
        <v>799</v>
      </c>
      <c r="C40" s="19">
        <v>1949</v>
      </c>
      <c r="E40" t="s">
        <v>799</v>
      </c>
      <c r="F40" s="19">
        <v>1826</v>
      </c>
      <c r="G40" t="b">
        <f>IF(B40=E40,TRUE,FALSE)</f>
        <v>1</v>
      </c>
      <c r="J40" s="25">
        <f>F40-C40</f>
        <v>-123</v>
      </c>
      <c r="K40" s="4">
        <f>F40/C40-1</f>
        <v>-6.3109286813750609E-2</v>
      </c>
      <c r="M40" s="5">
        <v>2463.4699999999998</v>
      </c>
      <c r="N40" s="5">
        <v>1944.61</v>
      </c>
      <c r="Q40" s="143">
        <v>8914.41</v>
      </c>
      <c r="T40" s="116">
        <f>N40-M40</f>
        <v>-518.8599999999999</v>
      </c>
      <c r="U40" s="4">
        <f>IF(M40=0,0,N40/M40-1)</f>
        <v>-0.21062160286100495</v>
      </c>
      <c r="AA40" s="18">
        <v>34762.04</v>
      </c>
      <c r="AB40" s="18">
        <v>32467.82</v>
      </c>
      <c r="AC40" s="4">
        <f>AB40/AA40-1</f>
        <v>-6.5997852830271264E-2</v>
      </c>
    </row>
    <row r="41" spans="1:29">
      <c r="A41" t="s">
        <v>800</v>
      </c>
      <c r="B41" t="s">
        <v>801</v>
      </c>
      <c r="C41" s="19">
        <v>947</v>
      </c>
      <c r="E41" t="s">
        <v>801</v>
      </c>
      <c r="F41" s="19">
        <v>824</v>
      </c>
      <c r="G41" t="b">
        <f>IF(B41=E41,TRUE,FALSE)</f>
        <v>1</v>
      </c>
      <c r="J41" s="25">
        <f>F41-C41</f>
        <v>-123</v>
      </c>
      <c r="K41" s="4">
        <f>F41/C41-1</f>
        <v>-0.12988384371700101</v>
      </c>
      <c r="M41" s="5">
        <v>2211.0500000000002</v>
      </c>
      <c r="N41" s="5">
        <v>1481.91</v>
      </c>
      <c r="Q41" s="143">
        <v>8374.51</v>
      </c>
      <c r="T41" s="116">
        <f>N41-M41</f>
        <v>-729.1400000000001</v>
      </c>
      <c r="U41" s="4">
        <f>IF(M41=0,0,N41/M41-1)</f>
        <v>-0.32977092331697611</v>
      </c>
      <c r="AA41" s="18">
        <v>13923.53</v>
      </c>
      <c r="AB41" s="18">
        <v>12268.37</v>
      </c>
      <c r="AC41" s="4">
        <f>AB41/AA41-1</f>
        <v>-0.11887502666349692</v>
      </c>
    </row>
    <row r="42" spans="1:29">
      <c r="A42" t="s">
        <v>802</v>
      </c>
      <c r="B42" t="s">
        <v>803</v>
      </c>
      <c r="C42" s="19">
        <v>1027</v>
      </c>
      <c r="E42" t="s">
        <v>803</v>
      </c>
      <c r="F42" s="19">
        <v>907</v>
      </c>
      <c r="G42" t="b">
        <f>IF(B42=E42,TRUE,FALSE)</f>
        <v>1</v>
      </c>
      <c r="J42" s="25">
        <f>F42-C42</f>
        <v>-120</v>
      </c>
      <c r="K42" s="4">
        <f>F42/C42-1</f>
        <v>-0.11684518013631939</v>
      </c>
      <c r="M42" s="5">
        <v>859.84</v>
      </c>
      <c r="N42" s="5">
        <v>708.32</v>
      </c>
      <c r="Q42" s="143">
        <v>3783.74</v>
      </c>
      <c r="T42" s="116">
        <f>N42-M42</f>
        <v>-151.51999999999998</v>
      </c>
      <c r="U42" s="4">
        <f>IF(M42=0,0,N42/M42-1)</f>
        <v>-0.17621883141049499</v>
      </c>
      <c r="AA42" s="18">
        <v>17448.73</v>
      </c>
      <c r="AB42" s="18">
        <v>15409.93</v>
      </c>
      <c r="AC42" s="4">
        <f>AB42/AA42-1</f>
        <v>-0.11684518013631939</v>
      </c>
    </row>
    <row r="43" spans="1:29">
      <c r="A43" t="s">
        <v>804</v>
      </c>
      <c r="B43" t="s">
        <v>805</v>
      </c>
      <c r="C43" s="19">
        <v>594</v>
      </c>
      <c r="E43" t="s">
        <v>805</v>
      </c>
      <c r="F43" s="19">
        <v>474</v>
      </c>
      <c r="G43" t="b">
        <f>IF(B43=E43,TRUE,FALSE)</f>
        <v>1</v>
      </c>
      <c r="J43" s="25">
        <f>F43-C43</f>
        <v>-120</v>
      </c>
      <c r="K43" s="4">
        <f>F43/C43-1</f>
        <v>-0.20202020202020199</v>
      </c>
      <c r="M43" s="5">
        <v>555.82000000000005</v>
      </c>
      <c r="N43" s="5">
        <v>337.45</v>
      </c>
      <c r="Q43" s="143">
        <v>2349.1</v>
      </c>
      <c r="T43" s="116">
        <f>N43-M43</f>
        <v>-218.37000000000006</v>
      </c>
      <c r="U43" s="4">
        <f>IF(M43=0,0,N43/M43-1)</f>
        <v>-0.39287898960095002</v>
      </c>
      <c r="AA43" s="18">
        <v>11850.3</v>
      </c>
      <c r="AB43" s="18">
        <v>9454.2999999999993</v>
      </c>
      <c r="AC43" s="4">
        <f>AB43/AA43-1</f>
        <v>-0.20218897411879866</v>
      </c>
    </row>
    <row r="44" spans="1:29">
      <c r="A44" s="55" t="s">
        <v>806</v>
      </c>
      <c r="B44" s="37" t="s">
        <v>807</v>
      </c>
      <c r="C44" s="19">
        <v>734</v>
      </c>
      <c r="E44" s="37" t="s">
        <v>807</v>
      </c>
      <c r="F44" s="19">
        <v>626</v>
      </c>
      <c r="G44" t="b">
        <f>IF(B44=E44,TRUE,FALSE)</f>
        <v>1</v>
      </c>
      <c r="J44" s="25">
        <f>F44-C44</f>
        <v>-108</v>
      </c>
      <c r="K44" s="4">
        <f>F44/C45-1</f>
        <v>-0.25829383886255919</v>
      </c>
      <c r="M44" s="5">
        <v>1798.78</v>
      </c>
      <c r="N44" s="5">
        <v>1311.18</v>
      </c>
      <c r="Q44" s="143">
        <v>6198.09</v>
      </c>
      <c r="T44" s="116">
        <f>N44-M44</f>
        <v>-487.59999999999991</v>
      </c>
      <c r="U44" s="4">
        <f>IF(M44=0,0,N44/M44-1)</f>
        <v>-0.27107261588409914</v>
      </c>
      <c r="AA44" s="18">
        <v>10268.66</v>
      </c>
      <c r="AB44" s="18">
        <v>8756.76</v>
      </c>
      <c r="AC44" s="4">
        <f>AB44/AA44-1</f>
        <v>-0.14723440059365089</v>
      </c>
    </row>
    <row r="45" spans="1:29">
      <c r="A45" t="s">
        <v>808</v>
      </c>
      <c r="B45" t="s">
        <v>809</v>
      </c>
      <c r="C45" s="19">
        <v>844</v>
      </c>
      <c r="E45" t="s">
        <v>809</v>
      </c>
      <c r="F45" s="19">
        <v>744</v>
      </c>
      <c r="G45" t="b">
        <f>IF(B45=E45,TRUE,FALSE)</f>
        <v>1</v>
      </c>
      <c r="J45" s="25">
        <f>F45-C45</f>
        <v>-100</v>
      </c>
      <c r="K45" s="4">
        <f>F45/C45-1</f>
        <v>-0.11848341232227488</v>
      </c>
      <c r="M45" s="5">
        <v>731.04</v>
      </c>
      <c r="N45" s="5">
        <v>512.51</v>
      </c>
      <c r="Q45" s="143">
        <v>4151.25</v>
      </c>
      <c r="T45" s="116">
        <f>N45-M45</f>
        <v>-218.52999999999997</v>
      </c>
      <c r="U45" s="4">
        <f>IF(M45=0,0,N45/M45-1)</f>
        <v>-0.29893029109214264</v>
      </c>
      <c r="AA45" s="18">
        <v>31195.23</v>
      </c>
      <c r="AB45" s="18">
        <v>28716.82</v>
      </c>
      <c r="AC45" s="4">
        <f>AB45/AA45-1</f>
        <v>-7.9448364381349279E-2</v>
      </c>
    </row>
    <row r="46" spans="1:29">
      <c r="A46" t="s">
        <v>810</v>
      </c>
      <c r="B46" t="s">
        <v>811</v>
      </c>
      <c r="C46" s="19">
        <v>593</v>
      </c>
      <c r="E46" t="s">
        <v>811</v>
      </c>
      <c r="F46" s="19">
        <v>494</v>
      </c>
      <c r="G46" t="b">
        <f>IF(B46=E46,TRUE,FALSE)</f>
        <v>1</v>
      </c>
      <c r="J46" s="25">
        <f>F46-C46</f>
        <v>-99</v>
      </c>
      <c r="K46" s="4">
        <f>F46/C46-1</f>
        <v>-0.16694772344013487</v>
      </c>
      <c r="M46" s="5">
        <v>75.39</v>
      </c>
      <c r="N46" s="5">
        <v>151.87</v>
      </c>
      <c r="Q46" s="143">
        <v>601.69000000000005</v>
      </c>
      <c r="T46" s="116">
        <v>0</v>
      </c>
      <c r="U46" s="4">
        <f>IF(M46=0,0,N46/M46-1)</f>
        <v>1.0144581509484016</v>
      </c>
      <c r="W46" t="s">
        <v>812</v>
      </c>
      <c r="Y46" t="s">
        <v>813</v>
      </c>
      <c r="Z46" s="14" t="s">
        <v>814</v>
      </c>
      <c r="AA46" s="18">
        <v>12170.51</v>
      </c>
      <c r="AB46" s="18">
        <v>10842.64</v>
      </c>
      <c r="AC46" s="4">
        <f>AB46/AA46-1</f>
        <v>-0.1091055346078349</v>
      </c>
    </row>
    <row r="47" spans="1:29">
      <c r="A47" t="s">
        <v>815</v>
      </c>
      <c r="B47" t="s">
        <v>816</v>
      </c>
      <c r="C47" s="19">
        <v>2627</v>
      </c>
      <c r="E47" t="s">
        <v>816</v>
      </c>
      <c r="F47" s="19">
        <v>2531</v>
      </c>
      <c r="G47" t="b">
        <f>IF(B47=E47,TRUE,FALSE)</f>
        <v>1</v>
      </c>
      <c r="J47" s="25">
        <f>F47-C47</f>
        <v>-96</v>
      </c>
      <c r="K47" s="4">
        <f>F47/C47-1</f>
        <v>-3.654358583936046E-2</v>
      </c>
      <c r="M47" s="5">
        <v>3471.99</v>
      </c>
      <c r="N47" s="5">
        <v>2641.16</v>
      </c>
      <c r="Q47" s="143">
        <v>13125.24</v>
      </c>
      <c r="T47" s="116">
        <f>N47-M47</f>
        <v>-830.82999999999993</v>
      </c>
      <c r="U47" s="4">
        <f>IF(M47=0,0,N47/M47-1)</f>
        <v>-0.2392950440525462</v>
      </c>
      <c r="AA47" s="18">
        <v>78528.899999999994</v>
      </c>
      <c r="AB47" s="18">
        <v>75810.45</v>
      </c>
      <c r="AC47" s="4">
        <f>AB47/AA47-1</f>
        <v>-3.4617191887317933E-2</v>
      </c>
    </row>
    <row r="48" spans="1:29">
      <c r="A48" t="s">
        <v>817</v>
      </c>
      <c r="B48" t="s">
        <v>818</v>
      </c>
      <c r="C48" s="19">
        <v>1159</v>
      </c>
      <c r="E48" t="s">
        <v>818</v>
      </c>
      <c r="F48" s="19">
        <v>1063</v>
      </c>
      <c r="G48" t="b">
        <f>IF(B48=E48,TRUE,FALSE)</f>
        <v>1</v>
      </c>
      <c r="J48" s="25">
        <f>F48-C48</f>
        <v>-96</v>
      </c>
      <c r="K48" s="4">
        <f>F48/C48-1</f>
        <v>-8.2830025884383041E-2</v>
      </c>
      <c r="M48" s="5">
        <v>1494.44</v>
      </c>
      <c r="N48" s="5">
        <v>651.21</v>
      </c>
      <c r="Q48" s="143">
        <v>4523.62</v>
      </c>
      <c r="T48" s="116">
        <f>N48-M48</f>
        <v>-843.23</v>
      </c>
      <c r="U48" s="4">
        <f>IF(M48=0,0,N48/M48-1)</f>
        <v>-0.56424480072803185</v>
      </c>
      <c r="AA48" s="18">
        <v>33570.42</v>
      </c>
      <c r="AB48" s="18">
        <v>30812.6</v>
      </c>
      <c r="AC48" s="4">
        <f>AB48/AA48-1</f>
        <v>-8.2150297791925175E-2</v>
      </c>
    </row>
    <row r="49" spans="1:29">
      <c r="A49" s="134" t="s">
        <v>819</v>
      </c>
      <c r="B49" s="37" t="s">
        <v>820</v>
      </c>
      <c r="C49">
        <v>2050</v>
      </c>
      <c r="E49" s="37" t="s">
        <v>820</v>
      </c>
      <c r="F49">
        <v>1959</v>
      </c>
      <c r="G49" t="b">
        <f>IF(B49=E49,TRUE,FALSE)</f>
        <v>1</v>
      </c>
      <c r="J49" s="25">
        <f>F49-C49</f>
        <v>-91</v>
      </c>
      <c r="K49" s="4">
        <f>F49/C49-1</f>
        <v>-4.4390243902439064E-2</v>
      </c>
      <c r="M49" s="135">
        <v>4145.09</v>
      </c>
      <c r="N49" s="135">
        <v>2868.86</v>
      </c>
      <c r="Q49" s="143">
        <v>21193.95</v>
      </c>
      <c r="T49" s="116">
        <f>N49-M49</f>
        <v>-1276.23</v>
      </c>
      <c r="U49" s="4">
        <f>IF(M49=0,0,N49/M49-1)</f>
        <v>-0.30788957537713291</v>
      </c>
      <c r="AA49">
        <v>69679.5</v>
      </c>
      <c r="AB49">
        <v>66558.19</v>
      </c>
      <c r="AC49" s="4">
        <f>AB49/AA49-1</f>
        <v>-4.4795241068032898E-2</v>
      </c>
    </row>
    <row r="50" spans="1:29">
      <c r="A50" t="s">
        <v>821</v>
      </c>
      <c r="B50" t="s">
        <v>822</v>
      </c>
      <c r="C50" s="19">
        <v>632</v>
      </c>
      <c r="E50" t="s">
        <v>822</v>
      </c>
      <c r="F50" s="19">
        <v>551</v>
      </c>
      <c r="G50" t="b">
        <f>IF(B50=E50,TRUE,FALSE)</f>
        <v>1</v>
      </c>
      <c r="J50" s="25">
        <f>F50-C50</f>
        <v>-81</v>
      </c>
      <c r="K50" s="4">
        <f>F50/C50-1</f>
        <v>-0.12816455696202533</v>
      </c>
      <c r="L50" s="5"/>
      <c r="M50" s="5">
        <v>355.5</v>
      </c>
      <c r="N50" s="5">
        <v>208.09</v>
      </c>
      <c r="O50" s="5"/>
      <c r="P50" s="5"/>
      <c r="Q50" s="143">
        <v>1889.43</v>
      </c>
      <c r="R50" s="5"/>
      <c r="S50" s="5"/>
      <c r="T50" s="116">
        <f>N50-M50</f>
        <v>-147.41</v>
      </c>
      <c r="U50" s="4">
        <f>IF(M50=0,0,N50/M50-1)</f>
        <v>-0.41465541490857949</v>
      </c>
      <c r="V50" s="5"/>
      <c r="W50" s="5"/>
      <c r="X50" s="5"/>
      <c r="Y50" s="5"/>
      <c r="Z50" s="15"/>
      <c r="AA50" s="18">
        <v>18953.64</v>
      </c>
      <c r="AB50" s="18">
        <v>16524.189999999999</v>
      </c>
      <c r="AC50" s="4">
        <f>AB50/AA50-1</f>
        <v>-0.12817854512378624</v>
      </c>
    </row>
    <row r="51" spans="1:29">
      <c r="A51" t="s">
        <v>823</v>
      </c>
      <c r="B51" t="s">
        <v>824</v>
      </c>
      <c r="C51" s="19">
        <v>680</v>
      </c>
      <c r="E51" t="s">
        <v>824</v>
      </c>
      <c r="F51" s="19">
        <v>604</v>
      </c>
      <c r="G51" t="b">
        <f>IF(B51=E51,TRUE,FALSE)</f>
        <v>1</v>
      </c>
      <c r="J51" s="25">
        <f>F51-C51</f>
        <v>-76</v>
      </c>
      <c r="K51" s="4">
        <f>F51/C51-1</f>
        <v>-0.11176470588235299</v>
      </c>
      <c r="M51" s="5">
        <v>951.64</v>
      </c>
      <c r="N51" s="5">
        <v>907.71</v>
      </c>
      <c r="Q51" s="143">
        <v>4216.97</v>
      </c>
      <c r="T51" s="116">
        <f>N51-M51</f>
        <v>-43.92999999999995</v>
      </c>
      <c r="U51" s="4">
        <f>IF(M51=0,0,N51/M51-1)</f>
        <v>-4.6162414358370762E-2</v>
      </c>
      <c r="AA51" s="18">
        <v>13566</v>
      </c>
      <c r="AB51" s="18">
        <v>12047.6</v>
      </c>
      <c r="AC51" s="4">
        <f>AB51/AA51-1</f>
        <v>-0.11192687601356333</v>
      </c>
    </row>
    <row r="52" spans="1:29">
      <c r="A52" t="s">
        <v>825</v>
      </c>
      <c r="B52" t="s">
        <v>826</v>
      </c>
      <c r="C52" s="19">
        <v>813</v>
      </c>
      <c r="E52" t="s">
        <v>826</v>
      </c>
      <c r="F52" s="19">
        <v>737</v>
      </c>
      <c r="G52" t="b">
        <f>IF(B52=E52,TRUE,FALSE)</f>
        <v>1</v>
      </c>
      <c r="J52" s="25">
        <f>F52-C52</f>
        <v>-76</v>
      </c>
      <c r="K52" s="4">
        <f>F52/C52-1</f>
        <v>-9.3480934809348049E-2</v>
      </c>
      <c r="M52" s="5">
        <v>871.23</v>
      </c>
      <c r="N52" s="5">
        <v>678.39</v>
      </c>
      <c r="Q52" s="143">
        <v>7039.55</v>
      </c>
      <c r="T52" s="116">
        <f>N52-M52</f>
        <v>-192.84000000000003</v>
      </c>
      <c r="U52" s="4">
        <f>IF(M52=0,0,N52/M52-1)</f>
        <v>-0.22134224028098204</v>
      </c>
      <c r="AA52" s="18">
        <v>21523.81</v>
      </c>
      <c r="AB52" s="18">
        <v>21086.14</v>
      </c>
      <c r="AC52" s="4">
        <f>AB52/AA52-1</f>
        <v>-2.0334225213844648E-2</v>
      </c>
    </row>
    <row r="53" spans="1:29">
      <c r="A53" t="s">
        <v>827</v>
      </c>
      <c r="B53" t="s">
        <v>828</v>
      </c>
      <c r="C53" s="19">
        <v>1006</v>
      </c>
      <c r="E53" t="s">
        <v>828</v>
      </c>
      <c r="F53" s="19">
        <v>933</v>
      </c>
      <c r="G53" t="b">
        <f>IF(B53=E53,TRUE,FALSE)</f>
        <v>1</v>
      </c>
      <c r="J53" s="25">
        <f>F53-C53</f>
        <v>-73</v>
      </c>
      <c r="K53" s="4">
        <f>F53/C53-1</f>
        <v>-7.256461232604372E-2</v>
      </c>
      <c r="M53" s="5">
        <v>1483.04</v>
      </c>
      <c r="N53" s="5">
        <v>1313.37</v>
      </c>
      <c r="Q53" s="143">
        <v>5121.22</v>
      </c>
      <c r="T53" s="116">
        <f>N53-M53</f>
        <v>-169.67000000000007</v>
      </c>
      <c r="U53" s="4">
        <f>IF(M53=0,0,N53/M53-1)</f>
        <v>-0.1144068939475672</v>
      </c>
      <c r="W53" t="s">
        <v>829</v>
      </c>
      <c r="Y53" t="s">
        <v>830</v>
      </c>
      <c r="AA53" s="18">
        <v>20069.7</v>
      </c>
      <c r="AB53" s="18">
        <v>18612.349999999999</v>
      </c>
      <c r="AC53" s="4">
        <f>AB53/AA53-1</f>
        <v>-7.2614438681196103E-2</v>
      </c>
    </row>
    <row r="54" spans="1:29">
      <c r="A54" t="s">
        <v>831</v>
      </c>
      <c r="B54" t="s">
        <v>832</v>
      </c>
      <c r="C54" s="19">
        <v>1620</v>
      </c>
      <c r="D54" s="5"/>
      <c r="E54" t="s">
        <v>832</v>
      </c>
      <c r="F54" s="19">
        <v>1550</v>
      </c>
      <c r="G54" t="b">
        <f>IF(B54=E54,TRUE,FALSE)</f>
        <v>1</v>
      </c>
      <c r="H54" s="5"/>
      <c r="I54" s="5"/>
      <c r="J54" s="25">
        <f>F54-C54</f>
        <v>-70</v>
      </c>
      <c r="K54" s="4">
        <f>F54/C54-1</f>
        <v>-4.3209876543209846E-2</v>
      </c>
      <c r="L54" s="5"/>
      <c r="M54" s="5">
        <v>2952.18</v>
      </c>
      <c r="N54" s="5">
        <v>1953.43</v>
      </c>
      <c r="O54" s="5"/>
      <c r="P54" s="5"/>
      <c r="Q54" s="143">
        <v>12277.69</v>
      </c>
      <c r="R54" s="5"/>
      <c r="S54" s="5"/>
      <c r="T54" s="116">
        <f>N54-M54</f>
        <v>-998.74999999999977</v>
      </c>
      <c r="U54" s="4">
        <f>IF(M54=0,0,N54/M54-1)</f>
        <v>-0.33830931718255652</v>
      </c>
      <c r="V54" s="5"/>
      <c r="W54" s="5"/>
      <c r="X54" s="5"/>
      <c r="Y54" s="5"/>
      <c r="Z54" s="15"/>
      <c r="AA54" s="18">
        <v>40483.800000000003</v>
      </c>
      <c r="AB54" s="18">
        <v>38731.5</v>
      </c>
      <c r="AC54" s="4">
        <f>AB54/AA54-1</f>
        <v>-4.3283980258770227E-2</v>
      </c>
    </row>
    <row r="55" spans="1:29">
      <c r="A55" t="s">
        <v>833</v>
      </c>
      <c r="B55" t="s">
        <v>834</v>
      </c>
      <c r="C55" s="19">
        <v>1603</v>
      </c>
      <c r="E55" t="s">
        <v>834</v>
      </c>
      <c r="F55" s="19">
        <v>1535</v>
      </c>
      <c r="G55" t="b">
        <f>IF(B55=E55,TRUE,FALSE)</f>
        <v>1</v>
      </c>
      <c r="J55" s="25">
        <f>F55-C55</f>
        <v>-68</v>
      </c>
      <c r="K55" s="4">
        <f>F55/C55-1</f>
        <v>-4.2420461634435469E-2</v>
      </c>
      <c r="M55" s="5">
        <v>2057.9</v>
      </c>
      <c r="N55" s="5">
        <v>2009.42</v>
      </c>
      <c r="Q55" s="143">
        <v>6814.02</v>
      </c>
      <c r="T55" s="116">
        <f>N55-M55</f>
        <v>-48.480000000000018</v>
      </c>
      <c r="U55" s="4">
        <f>IF(M55=0,0,N55/M55-1)</f>
        <v>-2.3557996015355465E-2</v>
      </c>
      <c r="AA55" s="18">
        <v>40058.97</v>
      </c>
      <c r="AB55" s="18">
        <v>38359.65</v>
      </c>
      <c r="AC55" s="4">
        <f>AB55/AA55-1</f>
        <v>-4.2420461634435469E-2</v>
      </c>
    </row>
    <row r="56" spans="1:29">
      <c r="A56" t="s">
        <v>835</v>
      </c>
      <c r="B56" t="s">
        <v>836</v>
      </c>
      <c r="C56" s="19">
        <v>661</v>
      </c>
      <c r="E56" t="s">
        <v>836</v>
      </c>
      <c r="F56" s="19">
        <v>593</v>
      </c>
      <c r="G56" t="b">
        <f>IF(B56=E56,TRUE,FALSE)</f>
        <v>1</v>
      </c>
      <c r="J56" s="25">
        <f>F56-C56</f>
        <v>-68</v>
      </c>
      <c r="K56" s="4">
        <f>F56/C56-1</f>
        <v>-0.10287443267776097</v>
      </c>
      <c r="M56" s="5">
        <v>403.79</v>
      </c>
      <c r="N56" s="5">
        <v>323.18</v>
      </c>
      <c r="Q56" s="143">
        <v>2674.69</v>
      </c>
      <c r="T56" s="116">
        <f>N56-M56</f>
        <v>-80.610000000000014</v>
      </c>
      <c r="U56" s="4">
        <f>IF(M56=0,0,N56/M56-1)</f>
        <v>-0.1996334728447956</v>
      </c>
      <c r="W56" t="s">
        <v>837</v>
      </c>
      <c r="AA56" s="18">
        <v>16491.95</v>
      </c>
      <c r="AB56" s="18">
        <v>14795.35</v>
      </c>
      <c r="AC56" s="4">
        <f>AB56/AA56-1</f>
        <v>-0.10287443267776097</v>
      </c>
    </row>
    <row r="57" spans="1:29">
      <c r="A57" t="s">
        <v>838</v>
      </c>
      <c r="B57" t="s">
        <v>839</v>
      </c>
      <c r="C57" s="19">
        <v>1495</v>
      </c>
      <c r="E57" t="s">
        <v>839</v>
      </c>
      <c r="F57" s="19">
        <v>1429</v>
      </c>
      <c r="G57" t="b">
        <f>IF(B57=E57,TRUE,FALSE)</f>
        <v>1</v>
      </c>
      <c r="J57" s="25">
        <f>F57-C57</f>
        <v>-66</v>
      </c>
      <c r="K57" s="4">
        <f>F57/C57-1</f>
        <v>-4.4147157190635444E-2</v>
      </c>
      <c r="M57" s="5">
        <v>2387.8200000000002</v>
      </c>
      <c r="N57" s="5">
        <v>1151.07</v>
      </c>
      <c r="Q57" s="143">
        <v>5494.93</v>
      </c>
      <c r="T57" s="116">
        <f>N57-M57</f>
        <v>-1236.7500000000002</v>
      </c>
      <c r="U57" s="4">
        <f>IF(M57=0,0,N57/M57-1)</f>
        <v>-0.51794105083297737</v>
      </c>
      <c r="AA57" s="18">
        <v>29487.05</v>
      </c>
      <c r="AB57" s="18">
        <v>26873.43</v>
      </c>
      <c r="AC57" s="4">
        <f>AB57/AA57-1</f>
        <v>-8.8636197924173432E-2</v>
      </c>
    </row>
    <row r="58" spans="1:29">
      <c r="A58" t="s">
        <v>840</v>
      </c>
      <c r="B58" t="s">
        <v>841</v>
      </c>
      <c r="C58" s="19">
        <v>940</v>
      </c>
      <c r="D58" s="5"/>
      <c r="E58" t="s">
        <v>841</v>
      </c>
      <c r="F58" s="19">
        <v>887</v>
      </c>
      <c r="G58" t="b">
        <f>IF(B58=E58,TRUE,FALSE)</f>
        <v>1</v>
      </c>
      <c r="H58" s="5"/>
      <c r="I58" s="5"/>
      <c r="J58" s="25">
        <f>F58-C58</f>
        <v>-53</v>
      </c>
      <c r="K58" s="4">
        <f>F58/C58-1</f>
        <v>-5.6382978723404253E-2</v>
      </c>
      <c r="L58" s="5"/>
      <c r="M58" s="5">
        <v>1413.9099999999999</v>
      </c>
      <c r="N58" s="5">
        <v>874.53</v>
      </c>
      <c r="O58" s="5"/>
      <c r="P58" s="5"/>
      <c r="Q58" s="143">
        <v>7663.63</v>
      </c>
      <c r="R58" s="5"/>
      <c r="S58" s="5"/>
      <c r="T58" s="116">
        <f>N58-M58</f>
        <v>-539.37999999999988</v>
      </c>
      <c r="U58" s="4">
        <f>IF(M58=0,0,N58/M58-1)</f>
        <v>-0.38148114094956531</v>
      </c>
      <c r="V58" s="5"/>
      <c r="W58" s="5"/>
      <c r="X58" s="5"/>
      <c r="Y58" s="5"/>
      <c r="Z58" s="15"/>
      <c r="AA58" s="18">
        <v>18759.48</v>
      </c>
      <c r="AB58" s="18">
        <v>17728.37</v>
      </c>
      <c r="AC58" s="4">
        <f>AB58/AA58-1</f>
        <v>-5.4964743159192087E-2</v>
      </c>
    </row>
    <row r="59" spans="1:29">
      <c r="A59" t="s">
        <v>842</v>
      </c>
      <c r="B59" t="s">
        <v>843</v>
      </c>
      <c r="C59" s="19">
        <v>423</v>
      </c>
      <c r="E59" t="s">
        <v>843</v>
      </c>
      <c r="F59" s="19">
        <v>372</v>
      </c>
      <c r="G59" t="b">
        <f>IF(B59=E59,TRUE,FALSE)</f>
        <v>1</v>
      </c>
      <c r="J59" s="25">
        <f>F59-C59</f>
        <v>-51</v>
      </c>
      <c r="K59" s="4">
        <f>F59/C59-1</f>
        <v>-0.12056737588652477</v>
      </c>
      <c r="M59" s="5">
        <v>418.48</v>
      </c>
      <c r="N59" s="5">
        <v>194.92</v>
      </c>
      <c r="Q59" s="143">
        <v>909.6</v>
      </c>
      <c r="T59" s="116">
        <f>N59-M59</f>
        <v>-223.56000000000003</v>
      </c>
      <c r="U59" s="4">
        <f>IF(M59=0,0,N59/M59-1)</f>
        <v>-0.53421907857006312</v>
      </c>
      <c r="AA59" s="18">
        <v>8015.85</v>
      </c>
      <c r="AB59" s="18">
        <v>7049.4</v>
      </c>
      <c r="AC59" s="4">
        <f>AB59/AA59-1</f>
        <v>-0.12056737588652489</v>
      </c>
    </row>
    <row r="60" spans="1:29">
      <c r="A60" s="133" t="s">
        <v>844</v>
      </c>
      <c r="B60" s="27" t="s">
        <v>845</v>
      </c>
      <c r="C60">
        <v>176</v>
      </c>
      <c r="E60" s="27" t="s">
        <v>845</v>
      </c>
      <c r="F60">
        <v>127</v>
      </c>
      <c r="G60" t="b">
        <f>IF(B60=E60,TRUE,FALSE)</f>
        <v>1</v>
      </c>
      <c r="J60" s="25">
        <f>F60-C60</f>
        <v>-49</v>
      </c>
      <c r="K60" s="4">
        <f>F60/C60-1</f>
        <v>-0.27840909090909094</v>
      </c>
      <c r="M60" s="135">
        <v>0</v>
      </c>
      <c r="N60" s="135">
        <v>0</v>
      </c>
      <c r="Q60" s="143">
        <v>0</v>
      </c>
      <c r="T60" s="116">
        <f>N60-M60</f>
        <v>0</v>
      </c>
      <c r="U60" s="4">
        <f>IF(M60=0,0,N60/M60-1)</f>
        <v>0</v>
      </c>
      <c r="AA60">
        <v>3870.24</v>
      </c>
      <c r="AB60">
        <v>2792.73</v>
      </c>
      <c r="AC60" s="4">
        <f>AB60/AA60-1</f>
        <v>-0.27840909090909083</v>
      </c>
    </row>
    <row r="61" spans="1:29">
      <c r="A61" t="s">
        <v>846</v>
      </c>
      <c r="B61" t="s">
        <v>847</v>
      </c>
      <c r="C61" s="19">
        <v>1312</v>
      </c>
      <c r="E61" t="s">
        <v>847</v>
      </c>
      <c r="F61" s="19">
        <v>1265</v>
      </c>
      <c r="G61" t="b">
        <f>IF(B61=E61,TRUE,FALSE)</f>
        <v>1</v>
      </c>
      <c r="J61" s="25">
        <f>F61-C61</f>
        <v>-47</v>
      </c>
      <c r="K61" s="4">
        <f>F61/C61-1</f>
        <v>-3.5823170731707266E-2</v>
      </c>
      <c r="M61" s="5">
        <v>1798.33</v>
      </c>
      <c r="N61" s="5">
        <v>1451.23</v>
      </c>
      <c r="Q61" s="143">
        <v>6716.04</v>
      </c>
      <c r="T61" s="116">
        <f>N61-M61</f>
        <v>-347.09999999999991</v>
      </c>
      <c r="U61" s="4">
        <f>IF(M61=0,0,N61/M61-1)</f>
        <v>-0.19301240595441327</v>
      </c>
      <c r="Y61" t="s">
        <v>848</v>
      </c>
      <c r="AA61" s="18">
        <v>23274.78</v>
      </c>
      <c r="AB61" s="18">
        <v>22823.4</v>
      </c>
      <c r="AC61" s="4">
        <f>AB61/AA61-1</f>
        <v>-1.9393523805595447E-2</v>
      </c>
    </row>
    <row r="62" spans="1:29">
      <c r="A62" t="s">
        <v>849</v>
      </c>
      <c r="B62" t="s">
        <v>850</v>
      </c>
      <c r="C62" s="19">
        <v>356</v>
      </c>
      <c r="E62" t="s">
        <v>850</v>
      </c>
      <c r="F62" s="19">
        <v>313</v>
      </c>
      <c r="G62" t="b">
        <f>IF(B62=E62,TRUE,FALSE)</f>
        <v>1</v>
      </c>
      <c r="J62" s="25">
        <f>F62-C62</f>
        <v>-43</v>
      </c>
      <c r="K62" s="4">
        <f>F62/C62-1</f>
        <v>-0.1207865168539326</v>
      </c>
      <c r="M62" s="5">
        <v>272.25</v>
      </c>
      <c r="N62" s="5">
        <v>240.43</v>
      </c>
      <c r="Q62" s="143">
        <v>1148.9000000000001</v>
      </c>
      <c r="T62" s="116">
        <f>N62-M62</f>
        <v>-31.819999999999993</v>
      </c>
      <c r="U62" s="4">
        <f>IF(M62=0,0,N62/M62-1)</f>
        <v>-0.11687786960514235</v>
      </c>
      <c r="AA62" s="18">
        <v>9954.2000000000007</v>
      </c>
      <c r="AB62" s="18">
        <v>9374.0499999999993</v>
      </c>
      <c r="AC62" s="4">
        <f>AB62/AA62-1</f>
        <v>-5.8281931245102725E-2</v>
      </c>
    </row>
    <row r="63" spans="1:29">
      <c r="A63" t="s">
        <v>851</v>
      </c>
      <c r="B63" t="s">
        <v>852</v>
      </c>
      <c r="C63" s="19">
        <v>789</v>
      </c>
      <c r="E63" t="s">
        <v>852</v>
      </c>
      <c r="F63" s="19">
        <v>746</v>
      </c>
      <c r="G63" t="b">
        <f>IF(B63=E63,TRUE,FALSE)</f>
        <v>1</v>
      </c>
      <c r="J63" s="25">
        <f>F63-C63</f>
        <v>-43</v>
      </c>
      <c r="K63" s="4">
        <f>F63/C63-1</f>
        <v>-5.4499366286438478E-2</v>
      </c>
      <c r="M63" s="5">
        <v>552.34</v>
      </c>
      <c r="N63" s="5">
        <v>461.53</v>
      </c>
      <c r="Q63" s="143">
        <v>3224.17</v>
      </c>
      <c r="T63" s="116">
        <f>N63-M63</f>
        <v>-90.810000000000059</v>
      </c>
      <c r="U63" s="4">
        <f>IF(M63=0,0,N63/M63-1)</f>
        <v>-0.16440960278089589</v>
      </c>
      <c r="AA63" s="18">
        <v>22084.11</v>
      </c>
      <c r="AB63" s="18">
        <v>20879.419999999998</v>
      </c>
      <c r="AC63" s="4">
        <f>AB63/AA63-1</f>
        <v>-5.4550081483926816E-2</v>
      </c>
    </row>
    <row r="64" spans="1:29">
      <c r="A64" t="s">
        <v>853</v>
      </c>
      <c r="B64" t="s">
        <v>854</v>
      </c>
      <c r="C64" s="19">
        <v>296</v>
      </c>
      <c r="E64" t="s">
        <v>854</v>
      </c>
      <c r="F64" s="19">
        <v>265</v>
      </c>
      <c r="G64" t="b">
        <f>IF(B64=E64,TRUE,FALSE)</f>
        <v>1</v>
      </c>
      <c r="J64" s="25">
        <f>F64-C64</f>
        <v>-31</v>
      </c>
      <c r="K64" s="4">
        <f>F64/C64-1</f>
        <v>-0.10472972972972971</v>
      </c>
      <c r="M64" s="5">
        <v>118.79</v>
      </c>
      <c r="N64" s="5">
        <v>116.27</v>
      </c>
      <c r="Q64" s="143">
        <v>1414.99</v>
      </c>
      <c r="T64" s="116">
        <f>N64-M64</f>
        <v>-2.5200000000000102</v>
      </c>
      <c r="U64" s="4">
        <f>IF(M64=0,0,N64/M64-1)</f>
        <v>-2.1213906894519852E-2</v>
      </c>
      <c r="AA64" s="18">
        <v>8877.0400000000009</v>
      </c>
      <c r="AB64" s="18">
        <v>7946.15</v>
      </c>
      <c r="AC64" s="4">
        <f>AB64/AA64-1</f>
        <v>-0.10486490992493003</v>
      </c>
    </row>
    <row r="65" spans="1:29">
      <c r="A65" t="s">
        <v>855</v>
      </c>
      <c r="B65" t="s">
        <v>856</v>
      </c>
      <c r="C65" s="19">
        <v>755</v>
      </c>
      <c r="E65" t="s">
        <v>856</v>
      </c>
      <c r="F65" s="19">
        <v>726</v>
      </c>
      <c r="G65" t="b">
        <f>IF(B65=E65,TRUE,FALSE)</f>
        <v>1</v>
      </c>
      <c r="J65" s="25">
        <f>F65-C65</f>
        <v>-29</v>
      </c>
      <c r="K65" s="4">
        <f>F65/C65-1</f>
        <v>-3.8410596026490107E-2</v>
      </c>
      <c r="M65" s="5">
        <v>229.5</v>
      </c>
      <c r="N65" s="5">
        <v>180.15</v>
      </c>
      <c r="Q65" s="143">
        <v>946.04</v>
      </c>
      <c r="T65" s="116">
        <f>N65-M65</f>
        <v>-49.349999999999994</v>
      </c>
      <c r="U65" s="4">
        <f>IF(M65=0,0,N65/M65-1)</f>
        <v>-0.2150326797385621</v>
      </c>
      <c r="AA65" s="18">
        <v>8030.45</v>
      </c>
      <c r="AB65" s="18">
        <v>7842.65</v>
      </c>
      <c r="AC65" s="4">
        <f>AB65/AA65-1</f>
        <v>-2.3385987086651405E-2</v>
      </c>
    </row>
    <row r="66" spans="1:29">
      <c r="A66" t="s">
        <v>857</v>
      </c>
      <c r="B66" t="s">
        <v>858</v>
      </c>
      <c r="C66" s="19">
        <v>771</v>
      </c>
      <c r="E66" t="s">
        <v>858</v>
      </c>
      <c r="F66" s="19">
        <v>745</v>
      </c>
      <c r="G66" t="b">
        <f>IF(B66=E66,TRUE,FALSE)</f>
        <v>1</v>
      </c>
      <c r="J66" s="25">
        <f>F66-C66</f>
        <v>-26</v>
      </c>
      <c r="K66" s="4">
        <f>F66/C66-1</f>
        <v>-3.3722438391699083E-2</v>
      </c>
      <c r="M66" s="5">
        <v>1109.6099999999999</v>
      </c>
      <c r="N66" s="5">
        <v>1128.3399999999999</v>
      </c>
      <c r="Q66" s="143">
        <v>5388.92</v>
      </c>
      <c r="T66" s="116">
        <f>N66-M66</f>
        <v>18.730000000000018</v>
      </c>
      <c r="U66" s="4">
        <f>IF(M66=0,0,N66/M66-1)</f>
        <v>1.6879804616036331E-2</v>
      </c>
      <c r="AA66" s="18">
        <v>14641.29</v>
      </c>
      <c r="AB66" s="18">
        <v>14146.41</v>
      </c>
      <c r="AC66" s="4">
        <f>AB66/AA66-1</f>
        <v>-3.3800300383367898E-2</v>
      </c>
    </row>
    <row r="67" spans="1:29">
      <c r="A67" t="s">
        <v>859</v>
      </c>
      <c r="B67" t="s">
        <v>860</v>
      </c>
      <c r="C67" s="19">
        <v>506</v>
      </c>
      <c r="E67" t="s">
        <v>860</v>
      </c>
      <c r="F67" s="19">
        <v>484</v>
      </c>
      <c r="G67" t="b">
        <f>IF(B67=E67,TRUE,FALSE)</f>
        <v>1</v>
      </c>
      <c r="J67" s="25">
        <f>F67-C67</f>
        <v>-22</v>
      </c>
      <c r="K67" s="4">
        <f>F67/C67-1</f>
        <v>-4.3478260869565188E-2</v>
      </c>
      <c r="M67" s="5">
        <v>320.52999999999997</v>
      </c>
      <c r="N67" s="5">
        <v>330.07</v>
      </c>
      <c r="Q67" s="143">
        <v>2485.64</v>
      </c>
      <c r="T67" s="116">
        <f>N67-M67</f>
        <v>9.5400000000000205</v>
      </c>
      <c r="U67" s="4">
        <f>IF(M67=0,0,N67/M67-1)</f>
        <v>2.9763204692228484E-2</v>
      </c>
      <c r="AA67" s="18">
        <v>13636.7</v>
      </c>
      <c r="AB67" s="18">
        <v>13043.26</v>
      </c>
      <c r="AC67" s="4">
        <f>AB67/AA67-1</f>
        <v>-4.3517859892789335E-2</v>
      </c>
    </row>
    <row r="68" spans="1:29" ht="13.5" customHeight="1">
      <c r="A68" t="s">
        <v>861</v>
      </c>
      <c r="B68" t="s">
        <v>862</v>
      </c>
      <c r="C68" s="19">
        <v>782</v>
      </c>
      <c r="E68" t="s">
        <v>862</v>
      </c>
      <c r="F68" s="19">
        <v>762</v>
      </c>
      <c r="G68" t="b">
        <f>IF(B68=E68,TRUE,FALSE)</f>
        <v>1</v>
      </c>
      <c r="J68" s="25">
        <f>F68-C68</f>
        <v>-20</v>
      </c>
      <c r="K68" s="4">
        <f>F68/C68-1</f>
        <v>-2.5575447570332477E-2</v>
      </c>
      <c r="M68" s="5">
        <v>979.31</v>
      </c>
      <c r="N68" s="5">
        <v>943.22</v>
      </c>
      <c r="Q68" s="143">
        <v>4137.47</v>
      </c>
      <c r="T68" s="116">
        <f>N68-M68</f>
        <v>-36.089999999999918</v>
      </c>
      <c r="U68" s="4">
        <f>IF(M68=0,0,N68/M68-1)</f>
        <v>-3.6852477764956926E-2</v>
      </c>
      <c r="AA68" s="18">
        <v>12504.18</v>
      </c>
      <c r="AB68" s="18">
        <v>12152.22</v>
      </c>
      <c r="AC68" s="4">
        <f>AB68/AA68-1</f>
        <v>-2.8147387513615563E-2</v>
      </c>
    </row>
    <row r="69" spans="1:29">
      <c r="A69" t="s">
        <v>863</v>
      </c>
      <c r="B69" t="s">
        <v>864</v>
      </c>
      <c r="C69" s="19">
        <v>581</v>
      </c>
      <c r="E69" t="s">
        <v>864</v>
      </c>
      <c r="F69" s="19">
        <v>569</v>
      </c>
      <c r="G69" t="b">
        <f>IF(B69=E69,TRUE,FALSE)</f>
        <v>1</v>
      </c>
      <c r="J69" s="25">
        <f>F69-C69</f>
        <v>-12</v>
      </c>
      <c r="K69" s="4">
        <f>F69/C69-1</f>
        <v>-2.0654044750430312E-2</v>
      </c>
      <c r="M69" s="5">
        <v>545.65</v>
      </c>
      <c r="N69" s="5">
        <v>483.11</v>
      </c>
      <c r="Q69" s="143">
        <v>3367.93</v>
      </c>
      <c r="T69" s="116">
        <f>N69-M69</f>
        <v>-62.539999999999964</v>
      </c>
      <c r="U69" s="4">
        <f>IF(M69=0,0,N69/M69-1)</f>
        <v>-0.11461559607807192</v>
      </c>
      <c r="AA69" s="18">
        <v>11614.19</v>
      </c>
      <c r="AB69" s="18">
        <v>11373.11</v>
      </c>
      <c r="AC69" s="4">
        <f>AB69/AA69-1</f>
        <v>-2.075736663512473E-2</v>
      </c>
    </row>
    <row r="70" spans="1:29">
      <c r="A70" t="s">
        <v>865</v>
      </c>
      <c r="B70" t="s">
        <v>866</v>
      </c>
      <c r="C70" s="19">
        <v>192</v>
      </c>
      <c r="E70" t="s">
        <v>866</v>
      </c>
      <c r="F70" s="19">
        <v>185</v>
      </c>
      <c r="G70" t="b">
        <f>IF(B70=E70,TRUE,FALSE)</f>
        <v>1</v>
      </c>
      <c r="J70" s="25">
        <f>F70-C70</f>
        <v>-7</v>
      </c>
      <c r="K70" s="4">
        <f>F70/C70-1</f>
        <v>-3.645833333333337E-2</v>
      </c>
      <c r="M70" s="5">
        <v>109</v>
      </c>
      <c r="N70" s="5">
        <v>159.54</v>
      </c>
      <c r="Q70" s="143">
        <v>1168.51</v>
      </c>
      <c r="T70" s="116">
        <f>N70-M70</f>
        <v>50.539999999999992</v>
      </c>
      <c r="U70" s="4">
        <f>IF(M70=0,0,N70/M70-1)</f>
        <v>0.46366972477064206</v>
      </c>
      <c r="AA70" s="18">
        <v>5750.4</v>
      </c>
      <c r="AB70" s="18">
        <v>5540.75</v>
      </c>
      <c r="AC70" s="4">
        <f>AB70/AA70-1</f>
        <v>-3.6458333333333259E-2</v>
      </c>
    </row>
    <row r="71" spans="1:29" ht="13.9" customHeight="1">
      <c r="A71" t="s">
        <v>867</v>
      </c>
      <c r="B71" t="s">
        <v>868</v>
      </c>
      <c r="C71" s="19">
        <v>0</v>
      </c>
      <c r="E71" t="s">
        <v>868</v>
      </c>
      <c r="F71" s="19">
        <v>0</v>
      </c>
      <c r="G71" t="b">
        <f>IF(B71=E71,TRUE,FALSE)</f>
        <v>1</v>
      </c>
      <c r="J71" s="25">
        <f>F71-C71</f>
        <v>0</v>
      </c>
      <c r="K71" s="4" t="e">
        <f>F71/C71-1</f>
        <v>#DIV/0!</v>
      </c>
      <c r="M71" s="5">
        <v>0</v>
      </c>
      <c r="N71" s="5">
        <v>0</v>
      </c>
      <c r="Q71" s="143">
        <v>0</v>
      </c>
      <c r="T71" s="116">
        <f>N71-M71</f>
        <v>0</v>
      </c>
      <c r="U71" s="4">
        <f>IF(M71=0,0,N71/M71-1)</f>
        <v>0</v>
      </c>
      <c r="AA71" s="18">
        <v>0</v>
      </c>
      <c r="AB71" s="18">
        <v>0</v>
      </c>
      <c r="AC71" s="4" t="e">
        <f>AB71/AA71-1</f>
        <v>#DIV/0!</v>
      </c>
    </row>
    <row r="72" spans="1:29" ht="13.9" customHeight="1">
      <c r="A72" t="s">
        <v>869</v>
      </c>
      <c r="B72" t="s">
        <v>870</v>
      </c>
      <c r="C72" s="19">
        <v>0</v>
      </c>
      <c r="E72" t="s">
        <v>870</v>
      </c>
      <c r="F72" s="19">
        <v>0</v>
      </c>
      <c r="G72" t="b">
        <f>IF(B72=E72,TRUE,FALSE)</f>
        <v>1</v>
      </c>
      <c r="J72" s="25">
        <f>F72-C72</f>
        <v>0</v>
      </c>
      <c r="K72" s="4" t="e">
        <f>F72/C72-1</f>
        <v>#DIV/0!</v>
      </c>
      <c r="M72" s="5">
        <v>0</v>
      </c>
      <c r="N72" s="5">
        <v>0</v>
      </c>
      <c r="Q72" s="143">
        <v>0</v>
      </c>
      <c r="T72" s="116">
        <f>N72-M72</f>
        <v>0</v>
      </c>
      <c r="U72" s="4">
        <f>IF(M72=0,0,N72/M72-1)</f>
        <v>0</v>
      </c>
      <c r="AA72" s="18">
        <v>0</v>
      </c>
      <c r="AB72" s="18">
        <v>0</v>
      </c>
      <c r="AC72" s="4" t="e">
        <f>AB72/AA72-1</f>
        <v>#DIV/0!</v>
      </c>
    </row>
    <row r="73" spans="1:29" ht="13.9" customHeight="1">
      <c r="A73" t="s">
        <v>871</v>
      </c>
      <c r="B73" t="s">
        <v>872</v>
      </c>
      <c r="C73" s="19">
        <v>0</v>
      </c>
      <c r="E73" t="s">
        <v>872</v>
      </c>
      <c r="F73" s="19">
        <v>0</v>
      </c>
      <c r="G73" t="b">
        <f>IF(B73=E73,TRUE,FALSE)</f>
        <v>1</v>
      </c>
      <c r="J73" s="25">
        <f>F73-C73</f>
        <v>0</v>
      </c>
      <c r="K73" s="4" t="e">
        <f>F73/C73-1</f>
        <v>#DIV/0!</v>
      </c>
      <c r="M73" s="5">
        <v>0</v>
      </c>
      <c r="N73" s="5">
        <v>0</v>
      </c>
      <c r="Q73" s="143">
        <v>0</v>
      </c>
      <c r="T73" s="116">
        <f>N73-M73</f>
        <v>0</v>
      </c>
      <c r="U73" s="4">
        <f>IF(M73=0,0,N73/M73-1)</f>
        <v>0</v>
      </c>
      <c r="AA73" s="18">
        <v>0</v>
      </c>
      <c r="AB73" s="18">
        <v>0</v>
      </c>
      <c r="AC73" s="4" t="e">
        <f>AB73/AA73-1</f>
        <v>#DIV/0!</v>
      </c>
    </row>
    <row r="74" spans="1:29" ht="13.9" customHeight="1">
      <c r="A74" s="55" t="s">
        <v>873</v>
      </c>
      <c r="B74" s="37" t="s">
        <v>874</v>
      </c>
      <c r="C74" s="19">
        <v>0</v>
      </c>
      <c r="E74" s="37" t="s">
        <v>874</v>
      </c>
      <c r="F74" s="19">
        <v>0</v>
      </c>
      <c r="G74" t="b">
        <f>IF(B74=E74,TRUE,FALSE)</f>
        <v>1</v>
      </c>
      <c r="J74" s="25">
        <f>F74-C74</f>
        <v>0</v>
      </c>
      <c r="K74" s="4" t="e">
        <f>F74/C74-1</f>
        <v>#DIV/0!</v>
      </c>
      <c r="N74" s="5">
        <v>0</v>
      </c>
      <c r="Q74" s="143">
        <v>0</v>
      </c>
      <c r="T74" s="116">
        <f>N74-M74</f>
        <v>0</v>
      </c>
      <c r="U74" s="4">
        <f>IF(M74=0,0,N74/M74-1)</f>
        <v>0</v>
      </c>
      <c r="AA74" s="18">
        <v>0</v>
      </c>
      <c r="AB74" s="18">
        <v>0</v>
      </c>
      <c r="AC74" s="4" t="e">
        <f>AB74/AA74-1</f>
        <v>#DIV/0!</v>
      </c>
    </row>
    <row r="75" spans="1:29" ht="14.45" customHeight="1">
      <c r="A75" s="55" t="s">
        <v>875</v>
      </c>
      <c r="B75" s="37" t="s">
        <v>876</v>
      </c>
      <c r="C75" s="19">
        <v>0</v>
      </c>
      <c r="E75" s="37" t="s">
        <v>876</v>
      </c>
      <c r="F75" s="19">
        <v>0</v>
      </c>
      <c r="G75" t="b">
        <f>IF(B75=E75,TRUE,FALSE)</f>
        <v>1</v>
      </c>
      <c r="J75" s="25">
        <f>F75-C75</f>
        <v>0</v>
      </c>
      <c r="K75" s="4" t="e">
        <f>F75/C75-1</f>
        <v>#DIV/0!</v>
      </c>
      <c r="N75" s="5">
        <v>0</v>
      </c>
      <c r="Q75" s="143">
        <v>0</v>
      </c>
      <c r="T75" s="116">
        <f>N75-M75</f>
        <v>0</v>
      </c>
      <c r="U75" s="4">
        <f>IF(M75=0,0,N75/M75-1)</f>
        <v>0</v>
      </c>
      <c r="AA75" s="18">
        <v>0</v>
      </c>
      <c r="AB75" s="18">
        <v>0</v>
      </c>
      <c r="AC75" s="4" t="e">
        <f>AB75/AA75-1</f>
        <v>#DIV/0!</v>
      </c>
    </row>
    <row r="76" spans="1:29" ht="13.9" customHeight="1">
      <c r="A76" t="s">
        <v>877</v>
      </c>
      <c r="B76" t="s">
        <v>878</v>
      </c>
      <c r="C76" s="19">
        <v>1051</v>
      </c>
      <c r="D76" s="5"/>
      <c r="E76" t="s">
        <v>878</v>
      </c>
      <c r="F76" s="19">
        <v>1054</v>
      </c>
      <c r="G76" t="b">
        <f>IF(B76=E76,TRUE,FALSE)</f>
        <v>1</v>
      </c>
      <c r="H76" s="5"/>
      <c r="I76" s="5"/>
      <c r="J76" s="25">
        <f>F76-C76</f>
        <v>3</v>
      </c>
      <c r="K76" s="4">
        <f>F76/C76-1</f>
        <v>2.8544243577546258E-3</v>
      </c>
      <c r="L76" s="5"/>
      <c r="M76" s="5">
        <v>2004.94</v>
      </c>
      <c r="N76" s="5">
        <v>1788.34</v>
      </c>
      <c r="O76" s="5"/>
      <c r="P76" s="5"/>
      <c r="Q76" s="143">
        <v>11434.61</v>
      </c>
      <c r="R76" s="5"/>
      <c r="S76" s="5"/>
      <c r="T76" s="116">
        <f>N76-M76</f>
        <v>-216.60000000000014</v>
      </c>
      <c r="U76" s="4">
        <f>IF(M76=0,0,N76/M76-1)</f>
        <v>-0.10803315809949432</v>
      </c>
      <c r="V76" s="5"/>
      <c r="W76" s="5"/>
      <c r="X76" s="5"/>
      <c r="Y76" s="5"/>
      <c r="Z76" s="15"/>
      <c r="AA76" s="18">
        <v>16805.490000000002</v>
      </c>
      <c r="AB76" s="18">
        <v>16852.34</v>
      </c>
      <c r="AC76" s="4">
        <f>AB76/AA76-1</f>
        <v>2.7877794696851144E-3</v>
      </c>
    </row>
    <row r="77" spans="1:29" ht="13.9" customHeight="1">
      <c r="A77" t="s">
        <v>879</v>
      </c>
      <c r="B77" t="s">
        <v>880</v>
      </c>
      <c r="C77" s="19">
        <v>759</v>
      </c>
      <c r="E77" t="s">
        <v>880</v>
      </c>
      <c r="F77" s="19">
        <v>764</v>
      </c>
      <c r="G77" t="b">
        <f>IF(B77=E77,TRUE,FALSE)</f>
        <v>1</v>
      </c>
      <c r="J77" s="25">
        <f>F77-C77</f>
        <v>5</v>
      </c>
      <c r="K77" s="4">
        <f>F77/C77-1</f>
        <v>6.5876152832675672E-3</v>
      </c>
      <c r="M77" s="5">
        <v>764.71</v>
      </c>
      <c r="N77" s="5">
        <v>731.7</v>
      </c>
      <c r="Q77" s="143">
        <v>3418.43</v>
      </c>
      <c r="T77" s="116">
        <f>N77-M77</f>
        <v>-33.009999999999991</v>
      </c>
      <c r="U77" s="4">
        <f>IF(M77=0,0,N77/M77-1)</f>
        <v>-4.316669064089651E-2</v>
      </c>
      <c r="AA77" s="18">
        <v>12136.41</v>
      </c>
      <c r="AB77" s="18">
        <v>12216.36</v>
      </c>
      <c r="AC77" s="4">
        <f>AB77/AA77-1</f>
        <v>6.5876152832675672E-3</v>
      </c>
    </row>
    <row r="78" spans="1:29" ht="13.9" customHeight="1">
      <c r="A78" t="s">
        <v>881</v>
      </c>
      <c r="B78" t="s">
        <v>882</v>
      </c>
      <c r="C78" s="19">
        <v>487</v>
      </c>
      <c r="E78" t="s">
        <v>882</v>
      </c>
      <c r="F78" s="19">
        <v>493</v>
      </c>
      <c r="G78" t="b">
        <f>IF(B78=E78,TRUE,FALSE)</f>
        <v>1</v>
      </c>
      <c r="J78" s="25">
        <f>F78-C78</f>
        <v>6</v>
      </c>
      <c r="K78" s="4">
        <f>F78/C78-1</f>
        <v>1.2320328542094527E-2</v>
      </c>
      <c r="M78" s="5">
        <v>300.45999999999998</v>
      </c>
      <c r="N78" s="5">
        <v>198.98</v>
      </c>
      <c r="Q78" s="143">
        <v>855.55</v>
      </c>
      <c r="T78" s="116">
        <f>N78-M78</f>
        <v>-101.47999999999999</v>
      </c>
      <c r="U78" s="4">
        <f>IF(M78=0,0,N78/M78-1)</f>
        <v>-0.33774878519603269</v>
      </c>
      <c r="AA78" s="18">
        <v>9248.1299999999992</v>
      </c>
      <c r="AB78" s="18">
        <v>9362.07</v>
      </c>
      <c r="AC78" s="4">
        <f>AB78/AA78-1</f>
        <v>1.2320328542094527E-2</v>
      </c>
    </row>
    <row r="79" spans="1:29">
      <c r="A79" t="s">
        <v>883</v>
      </c>
      <c r="B79" t="s">
        <v>884</v>
      </c>
      <c r="C79" s="19">
        <v>1287</v>
      </c>
      <c r="E79" t="s">
        <v>884</v>
      </c>
      <c r="F79" s="19">
        <v>1295</v>
      </c>
      <c r="G79" t="b">
        <f>IF(B79=E79,TRUE,FALSE)</f>
        <v>1</v>
      </c>
      <c r="J79" s="25">
        <f>F79-C79</f>
        <v>8</v>
      </c>
      <c r="K79" s="4">
        <f>F79/C79-1</f>
        <v>6.2160062160061536E-3</v>
      </c>
      <c r="M79" s="5">
        <v>1176.78</v>
      </c>
      <c r="N79" s="5">
        <v>1210.42</v>
      </c>
      <c r="Q79" s="143">
        <v>10007.4</v>
      </c>
      <c r="T79" s="116">
        <f>N79-M79</f>
        <v>33.6400000000001</v>
      </c>
      <c r="U79" s="4">
        <f>IF(M79=0,0,N79/M79-1)</f>
        <v>2.8586481755298543E-2</v>
      </c>
      <c r="AA79" s="18">
        <v>37258.65</v>
      </c>
      <c r="AB79" s="18">
        <v>37483.29</v>
      </c>
      <c r="AC79" s="4">
        <f>AB79/AA79-1</f>
        <v>6.0292039566651745E-3</v>
      </c>
    </row>
    <row r="80" spans="1:29">
      <c r="A80" t="s">
        <v>885</v>
      </c>
      <c r="B80" s="5" t="s">
        <v>886</v>
      </c>
      <c r="C80" s="19">
        <v>1031</v>
      </c>
      <c r="E80" t="s">
        <v>886</v>
      </c>
      <c r="F80" s="19">
        <v>1041</v>
      </c>
      <c r="G80" t="b">
        <f>IF(B80=E80,TRUE,FALSE)</f>
        <v>1</v>
      </c>
      <c r="J80" s="25">
        <f>F80-C80</f>
        <v>10</v>
      </c>
      <c r="K80" s="4">
        <f>F80/C80-1</f>
        <v>9.6993210475266878E-3</v>
      </c>
      <c r="M80" s="5">
        <v>1158.9000000000001</v>
      </c>
      <c r="N80" s="5">
        <v>1122.6400000000001</v>
      </c>
      <c r="Q80" s="143">
        <v>7081.28</v>
      </c>
      <c r="T80" s="116">
        <f>N80-M80</f>
        <v>-36.259999999999991</v>
      </c>
      <c r="U80" s="4">
        <f>IF(M80=0,0,N80/M80-1)</f>
        <v>-3.1288290620415937E-2</v>
      </c>
      <c r="AA80" s="18">
        <v>23661.45</v>
      </c>
      <c r="AB80" s="18">
        <v>23880.41</v>
      </c>
      <c r="AC80" s="4">
        <f>AB80/AA80-1</f>
        <v>9.2538707475662285E-3</v>
      </c>
    </row>
    <row r="81" spans="1:29">
      <c r="A81" s="27" t="s">
        <v>887</v>
      </c>
      <c r="B81" s="27" t="s">
        <v>888</v>
      </c>
      <c r="C81" s="19">
        <v>470</v>
      </c>
      <c r="E81" s="27" t="s">
        <v>888</v>
      </c>
      <c r="F81" s="19">
        <v>487</v>
      </c>
      <c r="G81" t="b">
        <f>IF(B81=E81,TRUE,FALSE)</f>
        <v>1</v>
      </c>
      <c r="J81" s="25">
        <f>F81-C81</f>
        <v>17</v>
      </c>
      <c r="K81" s="4">
        <f>F81/C81-1</f>
        <v>3.6170212765957555E-2</v>
      </c>
      <c r="M81" s="5">
        <v>920.91</v>
      </c>
      <c r="N81" s="5">
        <v>859.77</v>
      </c>
      <c r="Q81" s="143">
        <v>7193.51</v>
      </c>
      <c r="T81" s="116">
        <f>N81-M81</f>
        <v>-61.139999999999986</v>
      </c>
      <c r="U81" s="4">
        <f>IF(M81=0,0,N81/M81-1)</f>
        <v>-6.6390852526305499E-2</v>
      </c>
      <c r="AA81" s="18">
        <v>6339.47</v>
      </c>
      <c r="AB81" s="18">
        <v>6655.9</v>
      </c>
      <c r="AC81" s="4">
        <f>AB81/AA81-1</f>
        <v>4.9914267281018665E-2</v>
      </c>
    </row>
    <row r="82" spans="1:29" s="5" customFormat="1">
      <c r="A82" s="133" t="s">
        <v>889</v>
      </c>
      <c r="B82" s="37" t="s">
        <v>890</v>
      </c>
      <c r="C82">
        <v>806</v>
      </c>
      <c r="D82"/>
      <c r="E82" s="37" t="s">
        <v>890</v>
      </c>
      <c r="F82">
        <v>824</v>
      </c>
      <c r="G82" t="b">
        <f>IF(B82=E82,TRUE,FALSE)</f>
        <v>1</v>
      </c>
      <c r="H82"/>
      <c r="I82"/>
      <c r="J82" s="25">
        <f>F82-C82</f>
        <v>18</v>
      </c>
      <c r="K82" s="4">
        <f>F82/C82-1</f>
        <v>2.2332506203474045E-2</v>
      </c>
      <c r="L82"/>
      <c r="M82" s="135">
        <v>1032.08</v>
      </c>
      <c r="N82" s="135">
        <v>1724.05</v>
      </c>
      <c r="O82"/>
      <c r="P82"/>
      <c r="Q82" s="143">
        <v>7164.39</v>
      </c>
      <c r="R82"/>
      <c r="S82"/>
      <c r="T82" s="116">
        <f>N82-M82</f>
        <v>691.97</v>
      </c>
      <c r="U82" s="4">
        <f>IF(M82=0,0,N82/M82-1)</f>
        <v>0.67046159212464151</v>
      </c>
      <c r="V82"/>
      <c r="W82"/>
      <c r="X82"/>
      <c r="Y82"/>
      <c r="Z82" s="14"/>
      <c r="AA82">
        <v>18665.14</v>
      </c>
      <c r="AB82">
        <v>22238.41</v>
      </c>
      <c r="AC82" s="4">
        <f>AB82/AA82-1</f>
        <v>0.1914408356969195</v>
      </c>
    </row>
    <row r="83" spans="1:29" s="5" customFormat="1">
      <c r="A83" s="134" t="s">
        <v>891</v>
      </c>
      <c r="B83" s="37" t="s">
        <v>892</v>
      </c>
      <c r="C83">
        <v>262</v>
      </c>
      <c r="D83"/>
      <c r="E83" s="37" t="s">
        <v>892</v>
      </c>
      <c r="F83">
        <v>291</v>
      </c>
      <c r="G83" t="b">
        <f>IF(B83=E83,TRUE,FALSE)</f>
        <v>1</v>
      </c>
      <c r="H83"/>
      <c r="I83"/>
      <c r="J83" s="25">
        <f>F83-C83</f>
        <v>29</v>
      </c>
      <c r="K83" s="4">
        <f>F83/C83-1</f>
        <v>0.11068702290076327</v>
      </c>
      <c r="L83"/>
      <c r="M83" s="135">
        <v>211.15</v>
      </c>
      <c r="N83" s="135">
        <v>320.92</v>
      </c>
      <c r="O83"/>
      <c r="P83"/>
      <c r="Q83" s="143">
        <v>2056.89</v>
      </c>
      <c r="R83"/>
      <c r="S83"/>
      <c r="T83" s="116">
        <f>N83-M83</f>
        <v>109.77000000000001</v>
      </c>
      <c r="U83" s="4">
        <f>IF(M83=0,0,N83/M83-1)</f>
        <v>0.51986739284868588</v>
      </c>
      <c r="V83"/>
      <c r="W83"/>
      <c r="X83"/>
      <c r="Y83"/>
      <c r="Z83" s="14"/>
      <c r="AA83">
        <v>2477.94</v>
      </c>
      <c r="AB83">
        <v>2769.91</v>
      </c>
      <c r="AC83" s="4">
        <f>AB83/AA83-1</f>
        <v>0.11782771172829043</v>
      </c>
    </row>
    <row r="84" spans="1:29" s="5" customFormat="1">
      <c r="A84" t="s">
        <v>893</v>
      </c>
      <c r="B84" t="s">
        <v>894</v>
      </c>
      <c r="C84" s="19">
        <v>636</v>
      </c>
      <c r="D84"/>
      <c r="E84" t="s">
        <v>894</v>
      </c>
      <c r="F84" s="19">
        <v>667</v>
      </c>
      <c r="G84" t="b">
        <f>IF(B84=E84,TRUE,FALSE)</f>
        <v>1</v>
      </c>
      <c r="H84"/>
      <c r="I84"/>
      <c r="J84" s="25">
        <f>F84-C84</f>
        <v>31</v>
      </c>
      <c r="K84" s="4">
        <f>F84/C84-1</f>
        <v>4.8742138364779919E-2</v>
      </c>
      <c r="L84"/>
      <c r="M84" s="5">
        <v>880.95</v>
      </c>
      <c r="N84" s="5">
        <v>661.13</v>
      </c>
      <c r="O84"/>
      <c r="P84"/>
      <c r="Q84" s="143">
        <v>3816.08</v>
      </c>
      <c r="R84"/>
      <c r="S84"/>
      <c r="T84" s="116">
        <f>N84-M84</f>
        <v>-219.82000000000005</v>
      </c>
      <c r="U84" s="4">
        <f>IF(M84=0,0,N84/M84-1)</f>
        <v>-0.24952607980021568</v>
      </c>
      <c r="V84"/>
      <c r="W84"/>
      <c r="X84"/>
      <c r="Y84"/>
      <c r="Z84" s="14"/>
      <c r="AA84" s="18">
        <v>15232.2</v>
      </c>
      <c r="AB84" s="18">
        <v>15974.65</v>
      </c>
      <c r="AC84" s="4">
        <f>AB84/AA84-1</f>
        <v>4.8742138364779697E-2</v>
      </c>
    </row>
    <row r="85" spans="1:29" s="5" customFormat="1">
      <c r="A85" t="s">
        <v>895</v>
      </c>
      <c r="B85" t="s">
        <v>896</v>
      </c>
      <c r="C85" s="19">
        <v>653</v>
      </c>
      <c r="E85" t="s">
        <v>896</v>
      </c>
      <c r="F85" s="19">
        <v>685</v>
      </c>
      <c r="G85" t="b">
        <f>IF(B85=E85,TRUE,FALSE)</f>
        <v>1</v>
      </c>
      <c r="J85" s="25">
        <f>F85-C85</f>
        <v>32</v>
      </c>
      <c r="K85" s="4">
        <f>F85/C85-1</f>
        <v>4.9004594180704464E-2</v>
      </c>
      <c r="M85" s="5">
        <v>278.95999999999998</v>
      </c>
      <c r="N85" s="5">
        <v>177.74</v>
      </c>
      <c r="Q85" s="143">
        <v>2518.86</v>
      </c>
      <c r="T85" s="116">
        <f>N85-M85</f>
        <v>-101.21999999999997</v>
      </c>
      <c r="U85" s="4">
        <f>IF(M85=0,0,N85/M85-1)</f>
        <v>-0.36284772010324051</v>
      </c>
      <c r="Z85" s="15"/>
      <c r="AA85" s="18">
        <v>11398.99</v>
      </c>
      <c r="AB85" s="18">
        <v>11317.36</v>
      </c>
      <c r="AC85" s="4">
        <f>AB85/AA85-1</f>
        <v>-7.1611607695066803E-3</v>
      </c>
    </row>
    <row r="86" spans="1:29" s="5" customFormat="1">
      <c r="A86" t="s">
        <v>897</v>
      </c>
      <c r="B86" t="s">
        <v>898</v>
      </c>
      <c r="C86" s="19">
        <v>968</v>
      </c>
      <c r="D86"/>
      <c r="E86" t="s">
        <v>898</v>
      </c>
      <c r="F86" s="19">
        <v>1000</v>
      </c>
      <c r="G86" t="b">
        <f>IF(B86=E86,TRUE,FALSE)</f>
        <v>1</v>
      </c>
      <c r="H86"/>
      <c r="I86"/>
      <c r="J86" s="25">
        <f>F86-C86</f>
        <v>32</v>
      </c>
      <c r="K86" s="4">
        <f>F86/C86-1</f>
        <v>3.3057851239669311E-2</v>
      </c>
      <c r="L86"/>
      <c r="M86" s="5">
        <v>1658.58</v>
      </c>
      <c r="N86" s="5">
        <v>1152.47</v>
      </c>
      <c r="O86"/>
      <c r="P86"/>
      <c r="Q86" s="143">
        <v>6869.85</v>
      </c>
      <c r="R86"/>
      <c r="S86"/>
      <c r="T86" s="116">
        <f>N86-M86</f>
        <v>-506.1099999999999</v>
      </c>
      <c r="U86" s="4">
        <f>IF(M86=0,0,N86/M86-1)</f>
        <v>-0.30514657116328425</v>
      </c>
      <c r="V86"/>
      <c r="W86"/>
      <c r="X86"/>
      <c r="Y86"/>
      <c r="Z86" s="14"/>
      <c r="AA86" s="18">
        <v>16446.32</v>
      </c>
      <c r="AB86" s="18">
        <v>15611.46</v>
      </c>
      <c r="AC86" s="4">
        <f>AB86/AA86-1</f>
        <v>-5.0762723819067213E-2</v>
      </c>
    </row>
    <row r="87" spans="1:29" s="5" customFormat="1">
      <c r="A87" t="s">
        <v>899</v>
      </c>
      <c r="B87" t="s">
        <v>900</v>
      </c>
      <c r="C87" s="19">
        <v>540</v>
      </c>
      <c r="D87"/>
      <c r="E87" t="s">
        <v>900</v>
      </c>
      <c r="F87" s="19">
        <v>573</v>
      </c>
      <c r="G87" t="b">
        <f>IF(B87=E87,TRUE,FALSE)</f>
        <v>1</v>
      </c>
      <c r="H87"/>
      <c r="I87"/>
      <c r="J87" s="25">
        <f>F87-C87</f>
        <v>33</v>
      </c>
      <c r="K87" s="4">
        <f>F87/C87-1</f>
        <v>6.1111111111111116E-2</v>
      </c>
      <c r="L87"/>
      <c r="M87" s="5">
        <v>1049.3399999999999</v>
      </c>
      <c r="N87" s="5">
        <v>1047.6199999999999</v>
      </c>
      <c r="O87"/>
      <c r="P87"/>
      <c r="Q87" s="143">
        <v>3815.65</v>
      </c>
      <c r="R87"/>
      <c r="S87"/>
      <c r="T87" s="116">
        <f>N87-M87</f>
        <v>-1.7200000000000273</v>
      </c>
      <c r="U87" s="4">
        <f>IF(M87=0,0,N87/M87-1)</f>
        <v>-1.6391255455810994E-3</v>
      </c>
      <c r="V87"/>
      <c r="W87"/>
      <c r="X87"/>
      <c r="Y87"/>
      <c r="Z87" s="14"/>
      <c r="AA87" s="18">
        <v>10350.6</v>
      </c>
      <c r="AB87" s="18">
        <v>10881.27</v>
      </c>
      <c r="AC87" s="4">
        <f>AB87/AA87-1</f>
        <v>5.1269491623674002E-2</v>
      </c>
    </row>
    <row r="88" spans="1:29" s="5" customFormat="1">
      <c r="A88" s="56" t="s">
        <v>901</v>
      </c>
      <c r="B88" s="37" t="s">
        <v>902</v>
      </c>
      <c r="C88" s="19">
        <v>1093</v>
      </c>
      <c r="D88"/>
      <c r="E88" s="37" t="s">
        <v>902</v>
      </c>
      <c r="F88" s="19">
        <v>1131</v>
      </c>
      <c r="G88" t="b">
        <f>IF(B88=E88,TRUE,FALSE)</f>
        <v>1</v>
      </c>
      <c r="H88"/>
      <c r="I88"/>
      <c r="J88" s="25">
        <f>F88-C88</f>
        <v>38</v>
      </c>
      <c r="K88" s="4">
        <f>F88/C89-1</f>
        <v>5.7321428571428568</v>
      </c>
      <c r="L88"/>
      <c r="M88" s="5">
        <v>1948.98</v>
      </c>
      <c r="N88" s="5">
        <v>1599.73</v>
      </c>
      <c r="O88"/>
      <c r="P88"/>
      <c r="Q88" s="143">
        <v>7163.44</v>
      </c>
      <c r="R88"/>
      <c r="S88"/>
      <c r="T88" s="116">
        <f>N88-M88</f>
        <v>-349.25</v>
      </c>
      <c r="U88" s="4">
        <f>IF(M88=0,0,N88/M88-1)</f>
        <v>-0.17919629755051358</v>
      </c>
      <c r="V88"/>
      <c r="W88"/>
      <c r="X88"/>
      <c r="Y88"/>
      <c r="Z88" s="14"/>
      <c r="AA88" s="18">
        <v>27314.07</v>
      </c>
      <c r="AB88" s="18">
        <v>28262.69</v>
      </c>
      <c r="AC88" s="4">
        <f>AB88/AA88-1</f>
        <v>3.4730085995972049E-2</v>
      </c>
    </row>
    <row r="89" spans="1:29" s="5" customFormat="1">
      <c r="A89" s="55" t="s">
        <v>903</v>
      </c>
      <c r="B89" s="37" t="s">
        <v>904</v>
      </c>
      <c r="C89">
        <v>168</v>
      </c>
      <c r="D89"/>
      <c r="E89" s="37" t="s">
        <v>904</v>
      </c>
      <c r="F89">
        <v>208</v>
      </c>
      <c r="G89" t="b">
        <f>IF(B89=E89,TRUE,FALSE)</f>
        <v>1</v>
      </c>
      <c r="H89"/>
      <c r="I89"/>
      <c r="J89" s="25">
        <f>F89-C89</f>
        <v>40</v>
      </c>
      <c r="K89" s="4">
        <f>F89/C89-1</f>
        <v>0.23809523809523814</v>
      </c>
      <c r="L89"/>
      <c r="M89" s="135">
        <v>337.75</v>
      </c>
      <c r="N89" s="135">
        <v>359.62</v>
      </c>
      <c r="O89"/>
      <c r="P89"/>
      <c r="Q89" s="143">
        <v>1120.3</v>
      </c>
      <c r="R89"/>
      <c r="S89"/>
      <c r="T89" s="116">
        <f>N89-M89</f>
        <v>21.870000000000005</v>
      </c>
      <c r="U89" s="4">
        <f>IF(M89=0,0,N89/M89-1)</f>
        <v>6.4752035529237695E-2</v>
      </c>
      <c r="V89"/>
      <c r="W89"/>
      <c r="X89"/>
      <c r="Y89"/>
      <c r="Z89" s="14"/>
      <c r="AA89">
        <v>2560.3200000000002</v>
      </c>
      <c r="AB89">
        <v>3043.92</v>
      </c>
      <c r="AC89" s="4">
        <f>AB89/AA89-1</f>
        <v>0.18888263967004115</v>
      </c>
    </row>
    <row r="90" spans="1:29">
      <c r="A90" t="s">
        <v>905</v>
      </c>
      <c r="B90" t="s">
        <v>906</v>
      </c>
      <c r="C90" s="19">
        <v>435</v>
      </c>
      <c r="E90" t="s">
        <v>906</v>
      </c>
      <c r="F90" s="19">
        <v>476</v>
      </c>
      <c r="G90" t="b">
        <f>IF(B90=E90,TRUE,FALSE)</f>
        <v>1</v>
      </c>
      <c r="J90" s="25">
        <f>F90-C90</f>
        <v>41</v>
      </c>
      <c r="K90" s="4">
        <f>F90/C90-1</f>
        <v>9.4252873563218431E-2</v>
      </c>
      <c r="M90" s="5">
        <v>194.12</v>
      </c>
      <c r="N90" s="5">
        <v>247</v>
      </c>
      <c r="Q90" s="143">
        <v>1426.55</v>
      </c>
      <c r="T90" s="116">
        <f>N90-M90</f>
        <v>52.879999999999995</v>
      </c>
      <c r="U90" s="4">
        <f>IF(M90=0,0,N90/M90-1)</f>
        <v>0.27240881928703886</v>
      </c>
      <c r="AA90" s="18">
        <v>13028.25</v>
      </c>
      <c r="AB90" s="18">
        <v>14256.2</v>
      </c>
      <c r="AC90" s="4">
        <f>AB90/AA90-1</f>
        <v>9.4252873563218431E-2</v>
      </c>
    </row>
    <row r="91" spans="1:29" s="5" customFormat="1">
      <c r="A91" s="27" t="s">
        <v>907</v>
      </c>
      <c r="B91" s="37" t="s">
        <v>908</v>
      </c>
      <c r="C91" s="19">
        <v>1146</v>
      </c>
      <c r="D91"/>
      <c r="E91" s="37" t="s">
        <v>908</v>
      </c>
      <c r="F91" s="19">
        <v>1194</v>
      </c>
      <c r="G91" t="b">
        <f>IF(B91=E91,TRUE,FALSE)</f>
        <v>1</v>
      </c>
      <c r="H91"/>
      <c r="I91"/>
      <c r="J91" s="25">
        <f>F91-C91</f>
        <v>48</v>
      </c>
      <c r="K91" s="4">
        <f>F91/C91-1</f>
        <v>4.1884816753926746E-2</v>
      </c>
      <c r="L91"/>
      <c r="M91" s="5">
        <v>2491.85</v>
      </c>
      <c r="N91" s="5">
        <v>2320.14</v>
      </c>
      <c r="O91"/>
      <c r="P91"/>
      <c r="Q91" s="143">
        <v>13366</v>
      </c>
      <c r="R91"/>
      <c r="S91"/>
      <c r="T91" s="116">
        <f>N91-M91</f>
        <v>-171.71000000000004</v>
      </c>
      <c r="U91" s="4">
        <f>IF(M91=0,0,N91/M91-1)</f>
        <v>-6.8908642173485579E-2</v>
      </c>
      <c r="V91"/>
      <c r="W91"/>
      <c r="X91"/>
      <c r="Y91"/>
      <c r="Z91" s="14"/>
      <c r="AA91" s="18">
        <v>33222.54</v>
      </c>
      <c r="AB91" s="18">
        <v>34235.61</v>
      </c>
      <c r="AC91" s="4">
        <f>AB91/AA91-1</f>
        <v>3.0493454142880072E-2</v>
      </c>
    </row>
    <row r="92" spans="1:29" s="5" customFormat="1">
      <c r="A92" t="s">
        <v>909</v>
      </c>
      <c r="B92" t="s">
        <v>910</v>
      </c>
      <c r="C92" s="19">
        <v>1562</v>
      </c>
      <c r="D92"/>
      <c r="E92" t="s">
        <v>910</v>
      </c>
      <c r="F92" s="19">
        <v>1614</v>
      </c>
      <c r="G92" t="b">
        <f>IF(B92=E92,TRUE,FALSE)</f>
        <v>1</v>
      </c>
      <c r="H92"/>
      <c r="I92"/>
      <c r="J92" s="25">
        <f>F92-C92</f>
        <v>52</v>
      </c>
      <c r="K92" s="4">
        <f>F92/C92-1</f>
        <v>3.3290653008962945E-2</v>
      </c>
      <c r="L92"/>
      <c r="M92" s="5">
        <v>944.77</v>
      </c>
      <c r="N92" s="5">
        <v>1118.98</v>
      </c>
      <c r="O92"/>
      <c r="P92"/>
      <c r="Q92" s="143">
        <v>6514.54</v>
      </c>
      <c r="R92"/>
      <c r="S92"/>
      <c r="T92" s="116">
        <f>N92-M92</f>
        <v>174.21000000000004</v>
      </c>
      <c r="U92" s="4">
        <f>IF(M92=0,0,N92/M92-1)</f>
        <v>0.18439408533293822</v>
      </c>
      <c r="V92"/>
      <c r="W92"/>
      <c r="X92"/>
      <c r="Y92"/>
      <c r="Z92" s="14"/>
      <c r="AA92" s="18">
        <v>28024.39</v>
      </c>
      <c r="AB92" s="18">
        <v>29015.26</v>
      </c>
      <c r="AC92" s="4">
        <f>AB92/AA92-1</f>
        <v>3.5357415451326535E-2</v>
      </c>
    </row>
    <row r="93" spans="1:29" s="5" customFormat="1">
      <c r="A93" t="s">
        <v>911</v>
      </c>
      <c r="B93" t="s">
        <v>912</v>
      </c>
      <c r="C93" s="19">
        <v>802</v>
      </c>
      <c r="D93"/>
      <c r="E93" t="s">
        <v>912</v>
      </c>
      <c r="F93" s="19">
        <v>862</v>
      </c>
      <c r="G93" t="b">
        <f>IF(B93=E93,TRUE,FALSE)</f>
        <v>1</v>
      </c>
      <c r="H93"/>
      <c r="I93"/>
      <c r="J93" s="25">
        <f>F93-C93</f>
        <v>60</v>
      </c>
      <c r="K93" s="4">
        <f>F93/C93-1</f>
        <v>7.4812967581047385E-2</v>
      </c>
      <c r="L93"/>
      <c r="M93" s="5">
        <v>781.29</v>
      </c>
      <c r="N93" s="5">
        <v>710.17</v>
      </c>
      <c r="O93"/>
      <c r="P93"/>
      <c r="Q93" s="143">
        <v>4989.45</v>
      </c>
      <c r="R93"/>
      <c r="S93"/>
      <c r="T93" s="116">
        <f>N93-M93</f>
        <v>-71.12</v>
      </c>
      <c r="U93" s="4">
        <f>IF(M93=0,0,N93/M93-1)</f>
        <v>-9.1028939318306912E-2</v>
      </c>
      <c r="V93"/>
      <c r="W93"/>
      <c r="X93"/>
      <c r="Y93"/>
      <c r="Z93" s="14"/>
      <c r="AA93" s="18">
        <v>16031.98</v>
      </c>
      <c r="AB93" s="18">
        <v>17230.78</v>
      </c>
      <c r="AC93" s="4">
        <f>AB93/AA93-1</f>
        <v>7.4775542384658555E-2</v>
      </c>
    </row>
    <row r="94" spans="1:29" s="5" customFormat="1" ht="15.75" customHeight="1">
      <c r="A94" t="s">
        <v>913</v>
      </c>
      <c r="B94" t="s">
        <v>914</v>
      </c>
      <c r="C94" s="19">
        <v>283</v>
      </c>
      <c r="D94"/>
      <c r="E94" t="s">
        <v>914</v>
      </c>
      <c r="F94" s="19">
        <v>345</v>
      </c>
      <c r="G94" t="b">
        <f>IF(B94=E94,TRUE,FALSE)</f>
        <v>1</v>
      </c>
      <c r="H94"/>
      <c r="I94"/>
      <c r="J94" s="25">
        <f>F94-C94</f>
        <v>62</v>
      </c>
      <c r="K94" s="4">
        <f>F94/C94-1</f>
        <v>0.21908127208480566</v>
      </c>
      <c r="L94"/>
      <c r="M94" s="5">
        <v>472.55</v>
      </c>
      <c r="N94" s="5">
        <v>532.54</v>
      </c>
      <c r="O94"/>
      <c r="P94"/>
      <c r="Q94" s="143">
        <v>2031.06</v>
      </c>
      <c r="R94"/>
      <c r="S94"/>
      <c r="T94" s="116">
        <f>N94-M94</f>
        <v>59.989999999999952</v>
      </c>
      <c r="U94" s="4">
        <f>IF(M94=0,0,N94/M94-1)</f>
        <v>0.1269495291503544</v>
      </c>
      <c r="V94"/>
      <c r="W94"/>
      <c r="X94"/>
      <c r="Y94"/>
      <c r="Z94" s="14"/>
      <c r="AA94" s="18">
        <v>5645.85</v>
      </c>
      <c r="AB94" s="18">
        <v>6882.75</v>
      </c>
      <c r="AC94" s="4">
        <f>AB94/AA94-1</f>
        <v>0.21908127208480566</v>
      </c>
    </row>
    <row r="95" spans="1:29" s="5" customFormat="1">
      <c r="A95" t="s">
        <v>915</v>
      </c>
      <c r="B95" t="s">
        <v>916</v>
      </c>
      <c r="C95" s="19">
        <v>522</v>
      </c>
      <c r="D95"/>
      <c r="E95" t="s">
        <v>916</v>
      </c>
      <c r="F95" s="19">
        <v>584</v>
      </c>
      <c r="G95" t="b">
        <f>IF(B95=E95,TRUE,FALSE)</f>
        <v>1</v>
      </c>
      <c r="H95"/>
      <c r="I95"/>
      <c r="J95" s="25">
        <f>F95-C95</f>
        <v>62</v>
      </c>
      <c r="K95" s="4">
        <f>F95/C95-1</f>
        <v>0.11877394636015315</v>
      </c>
      <c r="L95"/>
      <c r="M95" s="5">
        <v>1082.8699999999999</v>
      </c>
      <c r="N95" s="5">
        <v>562.41</v>
      </c>
      <c r="O95"/>
      <c r="P95"/>
      <c r="Q95" s="143">
        <v>3308.3</v>
      </c>
      <c r="R95"/>
      <c r="S95"/>
      <c r="T95" s="116">
        <f>N95-M95</f>
        <v>-520.45999999999992</v>
      </c>
      <c r="U95" s="4">
        <f>IF(M95=0,0,N95/M95-1)</f>
        <v>-0.48063017721425472</v>
      </c>
      <c r="V95"/>
      <c r="W95" t="s">
        <v>917</v>
      </c>
      <c r="X95"/>
      <c r="Y95"/>
      <c r="Z95" s="14" t="s">
        <v>918</v>
      </c>
      <c r="AA95" s="18">
        <v>15633.9</v>
      </c>
      <c r="AB95" s="18">
        <v>17488.400000000001</v>
      </c>
      <c r="AC95" s="4">
        <f>AB95/AA95-1</f>
        <v>0.11862043380090714</v>
      </c>
    </row>
    <row r="96" spans="1:29" s="5" customFormat="1">
      <c r="A96" t="s">
        <v>919</v>
      </c>
      <c r="B96" t="s">
        <v>920</v>
      </c>
      <c r="C96" s="19">
        <v>239</v>
      </c>
      <c r="D96"/>
      <c r="E96" t="s">
        <v>920</v>
      </c>
      <c r="F96" s="19">
        <v>304</v>
      </c>
      <c r="G96" t="b">
        <f>IF(B96=E96,TRUE,FALSE)</f>
        <v>1</v>
      </c>
      <c r="H96"/>
      <c r="I96"/>
      <c r="J96" s="25">
        <f>F96-C96</f>
        <v>65</v>
      </c>
      <c r="K96" s="4">
        <f>F96/C96-1</f>
        <v>0.27196652719665271</v>
      </c>
      <c r="L96"/>
      <c r="M96" s="5">
        <v>177.8</v>
      </c>
      <c r="N96" s="5">
        <v>133.5</v>
      </c>
      <c r="O96"/>
      <c r="P96"/>
      <c r="Q96" s="143">
        <v>664.54</v>
      </c>
      <c r="R96"/>
      <c r="S96"/>
      <c r="T96" s="116">
        <f>N96-M96</f>
        <v>-44.300000000000011</v>
      </c>
      <c r="U96" s="4">
        <f>IF(M96=0,0,N96/M96-1)</f>
        <v>-0.24915635545556813</v>
      </c>
      <c r="V96"/>
      <c r="W96"/>
      <c r="X96"/>
      <c r="Y96"/>
      <c r="Z96" s="14"/>
      <c r="AA96" s="18">
        <v>5246.05</v>
      </c>
      <c r="AB96" s="18">
        <v>6628.9</v>
      </c>
      <c r="AC96" s="4">
        <f>AB96/AA96-1</f>
        <v>0.26359832635983249</v>
      </c>
    </row>
    <row r="97" spans="1:29" s="5" customFormat="1">
      <c r="A97" t="s">
        <v>921</v>
      </c>
      <c r="B97" t="s">
        <v>922</v>
      </c>
      <c r="C97" s="19">
        <v>1105</v>
      </c>
      <c r="D97"/>
      <c r="E97" t="s">
        <v>922</v>
      </c>
      <c r="F97" s="19">
        <v>1189</v>
      </c>
      <c r="G97" t="b">
        <f>IF(B97=E97,TRUE,FALSE)</f>
        <v>1</v>
      </c>
      <c r="H97"/>
      <c r="I97"/>
      <c r="J97" s="25">
        <f>F97-C97</f>
        <v>84</v>
      </c>
      <c r="K97" s="4">
        <f>F97/C97-1</f>
        <v>7.6018099547511264E-2</v>
      </c>
      <c r="L97"/>
      <c r="M97" s="5">
        <v>1245.75</v>
      </c>
      <c r="N97" s="5">
        <v>908.79</v>
      </c>
      <c r="O97"/>
      <c r="P97"/>
      <c r="Q97" s="143">
        <v>3502.2</v>
      </c>
      <c r="R97"/>
      <c r="S97"/>
      <c r="T97" s="116">
        <f>N97-M97</f>
        <v>-336.96000000000004</v>
      </c>
      <c r="U97" s="4">
        <f>IF(M97=0,0,N97/M97-1)</f>
        <v>-0.27048765803732699</v>
      </c>
      <c r="V97"/>
      <c r="W97"/>
      <c r="X97" t="s">
        <v>923</v>
      </c>
      <c r="Y97" t="s">
        <v>924</v>
      </c>
      <c r="Z97" s="14" t="s">
        <v>925</v>
      </c>
      <c r="AA97" s="18">
        <v>20983.95</v>
      </c>
      <c r="AB97" s="18">
        <v>21524.45</v>
      </c>
      <c r="AC97" s="4">
        <f>AB97/AA97-1</f>
        <v>2.575778154255981E-2</v>
      </c>
    </row>
    <row r="98" spans="1:29" s="5" customFormat="1">
      <c r="A98" t="s">
        <v>926</v>
      </c>
      <c r="B98" t="s">
        <v>927</v>
      </c>
      <c r="C98" s="19">
        <v>724</v>
      </c>
      <c r="E98" t="s">
        <v>927</v>
      </c>
      <c r="F98" s="19">
        <v>826</v>
      </c>
      <c r="G98" t="b">
        <f>IF(B98=E98,TRUE,FALSE)</f>
        <v>1</v>
      </c>
      <c r="J98" s="25">
        <f>F98-C98</f>
        <v>102</v>
      </c>
      <c r="K98" s="4">
        <f>F98/C98-1</f>
        <v>0.1408839779005524</v>
      </c>
      <c r="M98" s="5">
        <v>951.93</v>
      </c>
      <c r="N98" s="5">
        <v>1025.23</v>
      </c>
      <c r="Q98" s="143">
        <v>5502</v>
      </c>
      <c r="T98" s="116">
        <f>N98-M98</f>
        <v>73.300000000000068</v>
      </c>
      <c r="U98" s="4">
        <f>IF(M98=0,0,N98/M98-1)</f>
        <v>7.7001460191400639E-2</v>
      </c>
      <c r="Z98" s="15"/>
      <c r="AA98" s="18">
        <v>21683.8</v>
      </c>
      <c r="AB98" s="18">
        <v>24737.8</v>
      </c>
      <c r="AC98" s="4">
        <f>AB98/AA98-1</f>
        <v>0.14084247226039714</v>
      </c>
    </row>
    <row r="99" spans="1:29" s="5" customFormat="1">
      <c r="A99" t="s">
        <v>928</v>
      </c>
      <c r="B99" t="s">
        <v>929</v>
      </c>
      <c r="C99" s="19">
        <v>895</v>
      </c>
      <c r="D99"/>
      <c r="E99" t="s">
        <v>929</v>
      </c>
      <c r="F99" s="19">
        <v>1003</v>
      </c>
      <c r="G99" t="b">
        <f>IF(B99=E99,TRUE,FALSE)</f>
        <v>1</v>
      </c>
      <c r="H99"/>
      <c r="I99"/>
      <c r="J99" s="25">
        <f>F99-C99</f>
        <v>108</v>
      </c>
      <c r="K99" s="4">
        <f>F99/C99-1</f>
        <v>0.12067039106145261</v>
      </c>
      <c r="L99"/>
      <c r="M99" s="5">
        <v>652.22</v>
      </c>
      <c r="N99" s="5">
        <v>853.77</v>
      </c>
      <c r="O99"/>
      <c r="P99"/>
      <c r="Q99" s="143">
        <v>4479.59</v>
      </c>
      <c r="R99"/>
      <c r="S99"/>
      <c r="T99" s="116">
        <f>N99-M99</f>
        <v>201.54999999999995</v>
      </c>
      <c r="U99" s="4">
        <f>IF(M99=0,0,N99/M99-1)</f>
        <v>0.30902149581429561</v>
      </c>
      <c r="V99"/>
      <c r="W99"/>
      <c r="X99"/>
      <c r="Y99"/>
      <c r="Z99" s="14"/>
      <c r="AA99" s="18">
        <v>17855.25</v>
      </c>
      <c r="AB99" s="18">
        <v>18202.36</v>
      </c>
      <c r="AC99" s="4">
        <f>AB99/AA99-1</f>
        <v>1.9440220663390351E-2</v>
      </c>
    </row>
    <row r="100" spans="1:29" s="5" customFormat="1">
      <c r="A100" t="s">
        <v>930</v>
      </c>
      <c r="B100" t="s">
        <v>931</v>
      </c>
      <c r="C100" s="19">
        <v>1276</v>
      </c>
      <c r="E100" t="s">
        <v>931</v>
      </c>
      <c r="F100" s="19">
        <v>1396</v>
      </c>
      <c r="G100" t="b">
        <f>IF(B100=E100,TRUE,FALSE)</f>
        <v>1</v>
      </c>
      <c r="J100" s="25">
        <f>F100-C100</f>
        <v>120</v>
      </c>
      <c r="K100" s="4">
        <f>F100/C100-1</f>
        <v>9.404388714733547E-2</v>
      </c>
      <c r="M100" s="5">
        <v>1996.12</v>
      </c>
      <c r="N100" s="5">
        <v>1617.24</v>
      </c>
      <c r="Q100" s="143">
        <v>8504.06</v>
      </c>
      <c r="T100" s="116">
        <f>N100-M100</f>
        <v>-378.87999999999988</v>
      </c>
      <c r="U100" s="4">
        <f>IF(M100=0,0,N100/M100-1)</f>
        <v>-0.18980822796224672</v>
      </c>
      <c r="Z100" s="15"/>
      <c r="AA100" s="18">
        <v>30555.42</v>
      </c>
      <c r="AB100" s="18">
        <v>32015.64</v>
      </c>
      <c r="AC100" s="4">
        <f>AB100/AA100-1</f>
        <v>4.7789230192221366E-2</v>
      </c>
    </row>
    <row r="101" spans="1:29" s="5" customFormat="1">
      <c r="A101" s="56" t="s">
        <v>932</v>
      </c>
      <c r="B101" s="37" t="s">
        <v>933</v>
      </c>
      <c r="C101" s="19">
        <v>1032</v>
      </c>
      <c r="D101"/>
      <c r="E101" s="37" t="s">
        <v>933</v>
      </c>
      <c r="F101" s="19">
        <v>1158</v>
      </c>
      <c r="G101" t="b">
        <f>IF(B101=E101,TRUE,FALSE)</f>
        <v>1</v>
      </c>
      <c r="H101"/>
      <c r="I101"/>
      <c r="J101" s="25">
        <f>F101-C101</f>
        <v>126</v>
      </c>
      <c r="K101" s="4">
        <f>F101/C102-1</f>
        <v>0.89836065573770485</v>
      </c>
      <c r="L101"/>
      <c r="M101" s="5">
        <v>2496.02</v>
      </c>
      <c r="N101" s="5">
        <v>2670.39</v>
      </c>
      <c r="O101"/>
      <c r="P101"/>
      <c r="Q101" s="143">
        <v>13752.08</v>
      </c>
      <c r="R101"/>
      <c r="S101"/>
      <c r="T101" s="116">
        <f>N101-M101</f>
        <v>174.36999999999989</v>
      </c>
      <c r="U101" s="4">
        <f>IF(M101=0,0,N101/M101-1)</f>
        <v>6.9859215871667546E-2</v>
      </c>
      <c r="V101"/>
      <c r="W101"/>
      <c r="X101"/>
      <c r="Y101"/>
      <c r="Z101" s="14"/>
      <c r="AA101" s="18">
        <v>19597.68</v>
      </c>
      <c r="AB101" s="18">
        <v>21988.52</v>
      </c>
      <c r="AC101" s="4">
        <f>AB101/AA101-1</f>
        <v>0.12199607300455972</v>
      </c>
    </row>
    <row r="102" spans="1:29" s="5" customFormat="1">
      <c r="A102" t="s">
        <v>934</v>
      </c>
      <c r="B102" t="s">
        <v>935</v>
      </c>
      <c r="C102" s="19">
        <v>610</v>
      </c>
      <c r="D102"/>
      <c r="E102" t="s">
        <v>935</v>
      </c>
      <c r="F102" s="19">
        <v>737</v>
      </c>
      <c r="G102" t="b">
        <f>IF(B102=E102,TRUE,FALSE)</f>
        <v>1</v>
      </c>
      <c r="H102"/>
      <c r="I102"/>
      <c r="J102" s="25">
        <f>F102-C102</f>
        <v>127</v>
      </c>
      <c r="K102" s="4">
        <f>F102/C102-1</f>
        <v>0.20819672131147549</v>
      </c>
      <c r="L102"/>
      <c r="M102" s="5">
        <v>577.24</v>
      </c>
      <c r="N102" s="5">
        <v>538.70000000000005</v>
      </c>
      <c r="O102"/>
      <c r="P102"/>
      <c r="Q102" s="143">
        <v>2352.89</v>
      </c>
      <c r="R102"/>
      <c r="S102"/>
      <c r="T102" s="116">
        <f>N102-M102</f>
        <v>-38.539999999999964</v>
      </c>
      <c r="U102" s="4">
        <f>IF(M102=0,0,N102/M102-1)</f>
        <v>-6.6765989882890953E-2</v>
      </c>
      <c r="V102"/>
      <c r="W102"/>
      <c r="X102"/>
      <c r="Y102"/>
      <c r="Z102" s="14"/>
      <c r="AA102" s="18">
        <v>13413.9</v>
      </c>
      <c r="AB102" s="18">
        <v>16206.63</v>
      </c>
      <c r="AC102" s="4">
        <f>AB102/AA102-1</f>
        <v>0.20819672131147549</v>
      </c>
    </row>
    <row r="103" spans="1:29" s="5" customFormat="1">
      <c r="A103" t="s">
        <v>936</v>
      </c>
      <c r="B103" t="s">
        <v>937</v>
      </c>
      <c r="C103" s="19">
        <v>874</v>
      </c>
      <c r="D103"/>
      <c r="E103" t="s">
        <v>937</v>
      </c>
      <c r="F103" s="19">
        <v>1001</v>
      </c>
      <c r="G103" t="b">
        <f>IF(B103=E103,TRUE,FALSE)</f>
        <v>1</v>
      </c>
      <c r="H103"/>
      <c r="I103"/>
      <c r="J103" s="25">
        <f>F103-C103</f>
        <v>127</v>
      </c>
      <c r="K103" s="4">
        <f>F103/C103-1</f>
        <v>0.14530892448512578</v>
      </c>
      <c r="L103"/>
      <c r="M103" s="5">
        <v>751.85</v>
      </c>
      <c r="N103" s="5">
        <v>687.96</v>
      </c>
      <c r="O103"/>
      <c r="P103"/>
      <c r="Q103" s="143">
        <v>5294.89</v>
      </c>
      <c r="R103"/>
      <c r="S103"/>
      <c r="T103" s="116">
        <f>N103-M103</f>
        <v>-63.889999999999986</v>
      </c>
      <c r="U103" s="4">
        <f>IF(M103=0,0,N103/M103-1)</f>
        <v>-8.4977056593735445E-2</v>
      </c>
      <c r="V103"/>
      <c r="W103"/>
      <c r="X103"/>
      <c r="Y103"/>
      <c r="Z103" s="14"/>
      <c r="AA103" s="18">
        <v>17471.259999999998</v>
      </c>
      <c r="AB103" s="18">
        <v>18736.310000000001</v>
      </c>
      <c r="AC103" s="4">
        <f>AB103/AA103-1</f>
        <v>7.2407485207134581E-2</v>
      </c>
    </row>
    <row r="104" spans="1:29" s="5" customFormat="1">
      <c r="A104" t="s">
        <v>938</v>
      </c>
      <c r="B104" t="s">
        <v>939</v>
      </c>
      <c r="C104" s="19">
        <v>787</v>
      </c>
      <c r="D104"/>
      <c r="E104" t="s">
        <v>939</v>
      </c>
      <c r="F104" s="19">
        <v>916</v>
      </c>
      <c r="G104" t="b">
        <f>IF(B104=E104,TRUE,FALSE)</f>
        <v>1</v>
      </c>
      <c r="H104"/>
      <c r="I104"/>
      <c r="J104" s="25">
        <f>F104-C104</f>
        <v>129</v>
      </c>
      <c r="K104" s="4">
        <f>F104/C104-1</f>
        <v>0.1639135959339264</v>
      </c>
      <c r="L104"/>
      <c r="M104" s="5">
        <v>1681.29</v>
      </c>
      <c r="N104" s="5">
        <v>1681.32</v>
      </c>
      <c r="O104"/>
      <c r="P104"/>
      <c r="Q104" s="143">
        <v>7363.33</v>
      </c>
      <c r="R104"/>
      <c r="S104"/>
      <c r="T104" s="116">
        <f>N104-M104</f>
        <v>2.9999999999972715E-2</v>
      </c>
      <c r="U104" s="4">
        <f>IF(M104=0,0,N104/M104-1)</f>
        <v>1.7843441642906299E-5</v>
      </c>
      <c r="V104"/>
      <c r="W104" t="s">
        <v>940</v>
      </c>
      <c r="X104"/>
      <c r="Y104" t="s">
        <v>941</v>
      </c>
      <c r="Z104" s="14"/>
      <c r="AA104" s="18">
        <v>15732.13</v>
      </c>
      <c r="AB104" s="18">
        <v>17178.05</v>
      </c>
      <c r="AC104" s="4">
        <f>AB104/AA104-1</f>
        <v>9.1908724374893946E-2</v>
      </c>
    </row>
    <row r="105" spans="1:29" s="5" customFormat="1">
      <c r="A105" s="55" t="s">
        <v>942</v>
      </c>
      <c r="B105" s="37" t="s">
        <v>943</v>
      </c>
      <c r="C105" s="19">
        <v>62</v>
      </c>
      <c r="D105"/>
      <c r="E105" s="37" t="s">
        <v>943</v>
      </c>
      <c r="F105" s="19">
        <v>195</v>
      </c>
      <c r="G105" t="b">
        <f>IF(B105=E105,TRUE,FALSE)</f>
        <v>1</v>
      </c>
      <c r="H105"/>
      <c r="I105"/>
      <c r="J105" s="25">
        <f>F105-C105</f>
        <v>133</v>
      </c>
      <c r="K105" s="4">
        <f>F105/C105-1</f>
        <v>2.1451612903225805</v>
      </c>
      <c r="L105"/>
      <c r="M105" s="5">
        <v>219.09</v>
      </c>
      <c r="N105" s="5">
        <v>828.34</v>
      </c>
      <c r="O105"/>
      <c r="P105"/>
      <c r="Q105" s="143">
        <v>2094.83</v>
      </c>
      <c r="R105"/>
      <c r="S105"/>
      <c r="T105" s="116">
        <f>N105-M105</f>
        <v>609.25</v>
      </c>
      <c r="U105" s="4">
        <f>IF(M105=0,0,N105/M105-1)</f>
        <v>2.7808206673056737</v>
      </c>
      <c r="V105"/>
      <c r="W105"/>
      <c r="X105"/>
      <c r="Y105"/>
      <c r="Z105" s="14"/>
      <c r="AA105" s="18">
        <v>1419.32</v>
      </c>
      <c r="AB105" s="18">
        <v>3779.79</v>
      </c>
      <c r="AC105" s="4">
        <f>AB105/AA105-1</f>
        <v>1.6630992306174788</v>
      </c>
    </row>
    <row r="106" spans="1:29" s="5" customFormat="1">
      <c r="A106" t="s">
        <v>944</v>
      </c>
      <c r="B106" t="s">
        <v>945</v>
      </c>
      <c r="C106" s="19">
        <v>2872</v>
      </c>
      <c r="D106"/>
      <c r="E106" t="s">
        <v>945</v>
      </c>
      <c r="F106" s="19">
        <v>3005</v>
      </c>
      <c r="G106" t="b">
        <f>IF(B106=E106,TRUE,FALSE)</f>
        <v>1</v>
      </c>
      <c r="H106"/>
      <c r="I106"/>
      <c r="J106" s="25">
        <f>F106-C106</f>
        <v>133</v>
      </c>
      <c r="K106" s="4">
        <f>F106/C106-1</f>
        <v>4.6309192200557181E-2</v>
      </c>
      <c r="L106"/>
      <c r="M106" s="5">
        <v>4806.25</v>
      </c>
      <c r="N106" s="5">
        <v>3765.73</v>
      </c>
      <c r="O106"/>
      <c r="P106"/>
      <c r="Q106" s="143">
        <v>20359.11</v>
      </c>
      <c r="R106"/>
      <c r="S106"/>
      <c r="T106" s="116">
        <f>N106-M106</f>
        <v>-1040.52</v>
      </c>
      <c r="U106" s="4">
        <f>IF(M106=0,0,N106/M106-1)</f>
        <v>-0.21649310793237975</v>
      </c>
      <c r="V106"/>
      <c r="W106" t="s">
        <v>946</v>
      </c>
      <c r="X106"/>
      <c r="Y106" t="s">
        <v>947</v>
      </c>
      <c r="Z106" s="14" t="s">
        <v>948</v>
      </c>
      <c r="AA106" s="18">
        <v>77515.28</v>
      </c>
      <c r="AB106" s="18">
        <v>78749.48</v>
      </c>
      <c r="AC106" s="4">
        <f>AB106/AA106-1</f>
        <v>1.5922022083904031E-2</v>
      </c>
    </row>
    <row r="107" spans="1:29" s="5" customFormat="1">
      <c r="A107" t="s">
        <v>949</v>
      </c>
      <c r="B107" t="s">
        <v>950</v>
      </c>
      <c r="C107" s="19">
        <v>1399</v>
      </c>
      <c r="E107" t="s">
        <v>950</v>
      </c>
      <c r="F107" s="19">
        <v>1544</v>
      </c>
      <c r="G107" t="b">
        <f>IF(B107=E107,TRUE,FALSE)</f>
        <v>1</v>
      </c>
      <c r="J107" s="25">
        <f>F107-C107</f>
        <v>145</v>
      </c>
      <c r="K107" s="4">
        <f>F107/C107-1</f>
        <v>0.10364546104360262</v>
      </c>
      <c r="M107" s="5">
        <v>2370.7199999999998</v>
      </c>
      <c r="N107" s="5">
        <v>2354.84</v>
      </c>
      <c r="Q107" s="143">
        <v>11962.67</v>
      </c>
      <c r="T107" s="116">
        <f>N107-M107</f>
        <v>-15.879999999999654</v>
      </c>
      <c r="U107" s="4">
        <f>IF(M107=0,0,N107/M107-1)</f>
        <v>-6.698386987919136E-3</v>
      </c>
      <c r="Z107" s="15"/>
      <c r="AA107" s="18">
        <v>34958.51</v>
      </c>
      <c r="AB107" s="18">
        <v>36693.81</v>
      </c>
      <c r="AC107" s="4">
        <f>AB107/AA107-1</f>
        <v>4.9638843303104085E-2</v>
      </c>
    </row>
    <row r="108" spans="1:29" s="5" customFormat="1">
      <c r="A108" s="54" t="s">
        <v>951</v>
      </c>
      <c r="B108" s="37" t="s">
        <v>952</v>
      </c>
      <c r="C108" s="19">
        <v>941</v>
      </c>
      <c r="D108"/>
      <c r="E108" s="37" t="s">
        <v>952</v>
      </c>
      <c r="F108" s="19">
        <v>1088</v>
      </c>
      <c r="G108" t="b">
        <f>IF(B108=E108,TRUE,FALSE)</f>
        <v>1</v>
      </c>
      <c r="H108"/>
      <c r="I108"/>
      <c r="J108" s="25">
        <f>F108-C108</f>
        <v>147</v>
      </c>
      <c r="K108" s="4">
        <f>F108/C109-1</f>
        <v>35.266666666666666</v>
      </c>
      <c r="L108"/>
      <c r="M108" s="5">
        <v>2026.44</v>
      </c>
      <c r="N108" s="5">
        <v>1420.31</v>
      </c>
      <c r="O108"/>
      <c r="P108"/>
      <c r="Q108" s="143">
        <v>8980.7000000000007</v>
      </c>
      <c r="R108"/>
      <c r="S108"/>
      <c r="T108" s="116">
        <f>N108-M108</f>
        <v>-606.13000000000011</v>
      </c>
      <c r="U108" s="4">
        <f>IF(M108=0,0,N108/M108-1)</f>
        <v>-0.29911075580821544</v>
      </c>
      <c r="V108"/>
      <c r="W108"/>
      <c r="X108"/>
      <c r="Y108"/>
      <c r="Z108" s="14"/>
      <c r="AA108" s="18">
        <v>20692.59</v>
      </c>
      <c r="AB108" s="18">
        <v>23918.240000000002</v>
      </c>
      <c r="AC108" s="4">
        <f>AB108/AA108-1</f>
        <v>0.15588430447807644</v>
      </c>
    </row>
    <row r="109" spans="1:29" s="5" customFormat="1">
      <c r="A109" s="55" t="s">
        <v>953</v>
      </c>
      <c r="B109" s="37" t="s">
        <v>954</v>
      </c>
      <c r="C109" s="19">
        <v>30</v>
      </c>
      <c r="D109"/>
      <c r="E109" s="37" t="s">
        <v>954</v>
      </c>
      <c r="F109" s="19">
        <v>178</v>
      </c>
      <c r="G109" t="b">
        <f>IF(B109=E109,TRUE,FALSE)</f>
        <v>1</v>
      </c>
      <c r="H109"/>
      <c r="I109"/>
      <c r="J109" s="25">
        <f>F109-C109</f>
        <v>148</v>
      </c>
      <c r="K109" s="4">
        <f>F109/C109-1</f>
        <v>4.9333333333333336</v>
      </c>
      <c r="L109"/>
      <c r="M109" s="5">
        <v>5.92</v>
      </c>
      <c r="N109" s="5">
        <v>478.59</v>
      </c>
      <c r="O109"/>
      <c r="P109"/>
      <c r="Q109" s="143">
        <v>2681.81</v>
      </c>
      <c r="R109"/>
      <c r="S109"/>
      <c r="T109" s="116">
        <f>N109-M109</f>
        <v>472.66999999999996</v>
      </c>
      <c r="U109" s="4">
        <f>IF(M109=0,0,N109/M109-1)</f>
        <v>79.842905405405403</v>
      </c>
      <c r="V109"/>
      <c r="W109"/>
      <c r="X109"/>
      <c r="Y109"/>
      <c r="Z109" s="14"/>
      <c r="AA109" s="18">
        <v>949.7</v>
      </c>
      <c r="AB109" s="18">
        <v>3191.22</v>
      </c>
      <c r="AC109" s="4">
        <f>AB109/AA109-1</f>
        <v>2.3602400758134143</v>
      </c>
    </row>
    <row r="110" spans="1:29">
      <c r="A110" t="s">
        <v>955</v>
      </c>
      <c r="B110" t="s">
        <v>956</v>
      </c>
      <c r="C110" s="19">
        <v>1026</v>
      </c>
      <c r="E110" t="s">
        <v>956</v>
      </c>
      <c r="F110" s="19">
        <v>1177</v>
      </c>
      <c r="G110" t="b">
        <f>IF(B110=E110,TRUE,FALSE)</f>
        <v>1</v>
      </c>
      <c r="J110" s="25">
        <f>F110-C110</f>
        <v>151</v>
      </c>
      <c r="K110" s="4">
        <f>F110/C110-1</f>
        <v>0.1471734892787524</v>
      </c>
      <c r="M110" s="5">
        <v>1628.08</v>
      </c>
      <c r="N110" s="5">
        <v>938.91</v>
      </c>
      <c r="Q110" s="143">
        <v>4522.45</v>
      </c>
      <c r="T110" s="116">
        <f>N110-M110</f>
        <v>-689.17</v>
      </c>
      <c r="U110" s="4">
        <f>IF(M110=0,0,N110/M110-1)</f>
        <v>-0.42330229472753178</v>
      </c>
      <c r="AA110" s="18">
        <v>20468.7</v>
      </c>
      <c r="AB110" s="18">
        <v>21479.75</v>
      </c>
      <c r="AC110" s="4">
        <f>AB110/AA110-1</f>
        <v>4.9394929819675859E-2</v>
      </c>
    </row>
    <row r="111" spans="1:29">
      <c r="A111" t="s">
        <v>957</v>
      </c>
      <c r="B111" t="s">
        <v>958</v>
      </c>
      <c r="C111" s="19">
        <v>1793</v>
      </c>
      <c r="E111" t="s">
        <v>958</v>
      </c>
      <c r="F111" s="19">
        <v>1948</v>
      </c>
      <c r="G111" t="b">
        <f>IF(B111=E111,TRUE,FALSE)</f>
        <v>1</v>
      </c>
      <c r="J111" s="25">
        <f>F111-C111</f>
        <v>155</v>
      </c>
      <c r="K111" s="4">
        <f>F111/C111-1</f>
        <v>8.6447295036252036E-2</v>
      </c>
      <c r="M111" s="5">
        <v>1892.79</v>
      </c>
      <c r="N111" s="5">
        <v>1770.2</v>
      </c>
      <c r="Q111" s="143">
        <v>10897.41</v>
      </c>
      <c r="T111" s="116">
        <f>N111-M111</f>
        <v>-122.58999999999992</v>
      </c>
      <c r="U111" s="4">
        <f>IF(M111=0,0,N111/M111-1)</f>
        <v>-6.4766825691175423E-2</v>
      </c>
      <c r="AA111" s="18">
        <v>53712.09</v>
      </c>
      <c r="AB111" s="18">
        <v>58385.43</v>
      </c>
      <c r="AC111" s="4">
        <f>AB111/AA111-1</f>
        <v>8.7007226864566301E-2</v>
      </c>
    </row>
    <row r="112" spans="1:29">
      <c r="A112" t="s">
        <v>959</v>
      </c>
      <c r="B112" t="s">
        <v>960</v>
      </c>
      <c r="C112" s="19">
        <v>1118</v>
      </c>
      <c r="E112" t="s">
        <v>960</v>
      </c>
      <c r="F112" s="19">
        <v>1285</v>
      </c>
      <c r="G112" t="b">
        <f>IF(B112=E112,TRUE,FALSE)</f>
        <v>1</v>
      </c>
      <c r="J112" s="25">
        <f>F112-C112</f>
        <v>167</v>
      </c>
      <c r="K112" s="4">
        <f>F112/C112-1</f>
        <v>0.14937388193202139</v>
      </c>
      <c r="M112" s="5">
        <v>1287.54</v>
      </c>
      <c r="N112" s="5">
        <v>1159.28</v>
      </c>
      <c r="Q112" s="143">
        <v>9808.4</v>
      </c>
      <c r="T112" s="116">
        <f>N112-M112</f>
        <v>-128.26</v>
      </c>
      <c r="U112" s="4">
        <f>IF(M112=0,0,N112/M112-1)</f>
        <v>-9.9616322599686224E-2</v>
      </c>
      <c r="AA112" s="18">
        <v>27894.1</v>
      </c>
      <c r="AB112" s="18">
        <v>29684.25</v>
      </c>
      <c r="AC112" s="4">
        <f>AB112/AA112-1</f>
        <v>6.4176653844361331E-2</v>
      </c>
    </row>
    <row r="113" spans="1:29">
      <c r="A113" t="s">
        <v>961</v>
      </c>
      <c r="B113" t="s">
        <v>962</v>
      </c>
      <c r="C113" s="19">
        <v>1349</v>
      </c>
      <c r="E113" t="s">
        <v>962</v>
      </c>
      <c r="F113" s="19">
        <v>1548</v>
      </c>
      <c r="G113" t="b">
        <f>IF(B113=E113,TRUE,FALSE)</f>
        <v>1</v>
      </c>
      <c r="J113" s="25">
        <f>F113-C113</f>
        <v>199</v>
      </c>
      <c r="K113" s="4">
        <f>F113/C113-1</f>
        <v>0.14751667902149745</v>
      </c>
      <c r="M113" s="5">
        <v>579.21</v>
      </c>
      <c r="N113" s="5">
        <v>617.62</v>
      </c>
      <c r="Q113" s="143">
        <v>3097.45</v>
      </c>
      <c r="T113" s="116">
        <f>N113-M113</f>
        <v>38.409999999999968</v>
      </c>
      <c r="U113" s="4">
        <f>IF(M113=0,0,N113/M113-1)</f>
        <v>6.631446280278297E-2</v>
      </c>
      <c r="W113" t="s">
        <v>963</v>
      </c>
      <c r="Y113" t="s">
        <v>964</v>
      </c>
      <c r="AA113" s="18">
        <v>40402.550000000003</v>
      </c>
      <c r="AB113" s="18">
        <v>43121.41</v>
      </c>
      <c r="AC113" s="4">
        <f>AB113/AA113-1</f>
        <v>6.7294267317285605E-2</v>
      </c>
    </row>
    <row r="114" spans="1:29">
      <c r="A114" s="5" t="s">
        <v>965</v>
      </c>
      <c r="B114" t="s">
        <v>966</v>
      </c>
      <c r="C114" s="19">
        <v>1242</v>
      </c>
      <c r="D114" s="5"/>
      <c r="E114" t="s">
        <v>966</v>
      </c>
      <c r="F114" s="19">
        <v>1444</v>
      </c>
      <c r="G114" t="b">
        <f>IF(B114=E114,TRUE,FALSE)</f>
        <v>1</v>
      </c>
      <c r="H114" s="5"/>
      <c r="I114" s="5"/>
      <c r="J114" s="25">
        <f>F114-C114</f>
        <v>202</v>
      </c>
      <c r="K114" s="4">
        <f>F114/C114-1</f>
        <v>0.16264090177133661</v>
      </c>
      <c r="L114" s="5"/>
      <c r="M114" s="5">
        <v>1988.9</v>
      </c>
      <c r="N114" s="5">
        <v>1689.91</v>
      </c>
      <c r="O114" s="5"/>
      <c r="P114" s="5"/>
      <c r="Q114" s="143">
        <v>8741.2999999999993</v>
      </c>
      <c r="R114" s="5"/>
      <c r="S114" s="5"/>
      <c r="T114" s="116">
        <f>N114-M114</f>
        <v>-298.99</v>
      </c>
      <c r="U114" s="4">
        <f>IF(M114=0,0,N114/M114-1)</f>
        <v>-0.15032932776911856</v>
      </c>
      <c r="V114" s="5"/>
      <c r="W114" s="5"/>
      <c r="X114" s="5"/>
      <c r="Y114" s="5"/>
      <c r="Z114" s="15"/>
      <c r="AA114" s="18">
        <v>22789.18</v>
      </c>
      <c r="AB114" s="18">
        <v>25968.36</v>
      </c>
      <c r="AC114" s="4">
        <f>AB114/AA114-1</f>
        <v>0.13950392247549059</v>
      </c>
    </row>
    <row r="115" spans="1:29">
      <c r="A115" t="s">
        <v>967</v>
      </c>
      <c r="B115" t="s">
        <v>968</v>
      </c>
      <c r="C115" s="19">
        <v>2607</v>
      </c>
      <c r="E115" t="s">
        <v>968</v>
      </c>
      <c r="F115" s="19">
        <v>2815</v>
      </c>
      <c r="G115" t="b">
        <f>IF(B115=E115,TRUE,FALSE)</f>
        <v>1</v>
      </c>
      <c r="J115" s="25">
        <f>F115-C115</f>
        <v>208</v>
      </c>
      <c r="K115" s="4">
        <f>F115/C115-1</f>
        <v>7.9785193709244417E-2</v>
      </c>
      <c r="M115" s="5">
        <v>1877.32</v>
      </c>
      <c r="N115" s="5">
        <v>2067.4699999999998</v>
      </c>
      <c r="Q115" s="143">
        <v>14167.74</v>
      </c>
      <c r="T115" s="116">
        <f>N115-M115</f>
        <v>190.14999999999986</v>
      </c>
      <c r="U115" s="4">
        <f>IF(M115=0,0,N115/M115-1)</f>
        <v>0.10128800630686285</v>
      </c>
      <c r="AA115" s="18">
        <v>59257.11</v>
      </c>
      <c r="AB115" s="18">
        <v>64383.08</v>
      </c>
      <c r="AC115" s="4">
        <f>AB115/AA115-1</f>
        <v>8.6503881137639071E-2</v>
      </c>
    </row>
    <row r="116" spans="1:29">
      <c r="A116" s="55" t="s">
        <v>969</v>
      </c>
      <c r="B116" s="37" t="s">
        <v>970</v>
      </c>
      <c r="C116">
        <v>991</v>
      </c>
      <c r="E116" s="37" t="s">
        <v>970</v>
      </c>
      <c r="F116">
        <v>1207</v>
      </c>
      <c r="G116" t="b">
        <f>IF(B116=E116,TRUE,FALSE)</f>
        <v>1</v>
      </c>
      <c r="J116" s="25">
        <f>F116-C116</f>
        <v>216</v>
      </c>
      <c r="K116" s="4">
        <f>F119/C116-1</f>
        <v>0.79515640766902118</v>
      </c>
      <c r="M116" s="5">
        <v>1689.48</v>
      </c>
      <c r="N116" s="5">
        <v>1705.39</v>
      </c>
      <c r="Q116" s="143">
        <v>7951.48</v>
      </c>
      <c r="T116" s="116"/>
      <c r="U116" s="4"/>
      <c r="AA116" s="18">
        <v>19314.53</v>
      </c>
      <c r="AB116" s="18">
        <v>23792.09</v>
      </c>
      <c r="AC116" s="4">
        <f>AB116/AA116-1</f>
        <v>0.23182339927505358</v>
      </c>
    </row>
    <row r="117" spans="1:29">
      <c r="A117" t="s">
        <v>971</v>
      </c>
      <c r="B117" t="s">
        <v>972</v>
      </c>
      <c r="C117" s="19">
        <v>837</v>
      </c>
      <c r="E117" t="s">
        <v>972</v>
      </c>
      <c r="F117" s="19">
        <v>1064</v>
      </c>
      <c r="G117" t="b">
        <f>IF(B117=E117,TRUE,FALSE)</f>
        <v>1</v>
      </c>
      <c r="J117" s="25">
        <f>F117-C117</f>
        <v>227</v>
      </c>
      <c r="K117" s="4">
        <f>F117/C117-1</f>
        <v>0.27120669056152935</v>
      </c>
      <c r="M117" s="5">
        <v>644.35</v>
      </c>
      <c r="N117" s="5">
        <v>596.91999999999996</v>
      </c>
      <c r="Q117" s="143">
        <v>2161.83</v>
      </c>
      <c r="T117" s="116">
        <f>N117-M117</f>
        <v>-47.430000000000064</v>
      </c>
      <c r="U117" s="4">
        <f>IF(M117=0,0,N117/M117-1)</f>
        <v>-7.3609063397222063E-2</v>
      </c>
      <c r="AA117" s="18">
        <v>16731.63</v>
      </c>
      <c r="AB117" s="18">
        <v>21236.38</v>
      </c>
      <c r="AC117" s="4">
        <f>AB117/AA117-1</f>
        <v>0.2692355735812948</v>
      </c>
    </row>
    <row r="118" spans="1:29">
      <c r="A118" t="s">
        <v>973</v>
      </c>
      <c r="B118" t="s">
        <v>974</v>
      </c>
      <c r="C118" s="19">
        <v>356</v>
      </c>
      <c r="E118" t="s">
        <v>974</v>
      </c>
      <c r="F118" s="19">
        <v>589</v>
      </c>
      <c r="G118" t="b">
        <f>IF(B118=E118,TRUE,FALSE)</f>
        <v>1</v>
      </c>
      <c r="J118" s="25">
        <f>F118-C118</f>
        <v>233</v>
      </c>
      <c r="K118" s="4">
        <f>F118/C118-1</f>
        <v>0.65449438202247201</v>
      </c>
      <c r="M118" s="5">
        <v>447.32</v>
      </c>
      <c r="N118" s="5">
        <v>449.98</v>
      </c>
      <c r="Q118" s="143">
        <v>2025.71</v>
      </c>
      <c r="T118" s="116">
        <f>N118-M118</f>
        <v>2.660000000000025</v>
      </c>
      <c r="U118" s="4">
        <f>IF(M118=0,0,N118/M118-1)</f>
        <v>5.946525976929351E-3</v>
      </c>
      <c r="AA118" s="18">
        <v>6556.44</v>
      </c>
      <c r="AB118" s="18">
        <v>9095.11</v>
      </c>
      <c r="AC118" s="4">
        <f>AB118/AA118-1</f>
        <v>0.38720250623814167</v>
      </c>
    </row>
    <row r="119" spans="1:29">
      <c r="A119" t="s">
        <v>975</v>
      </c>
      <c r="B119" t="s">
        <v>976</v>
      </c>
      <c r="C119" s="19">
        <v>1545</v>
      </c>
      <c r="E119" t="s">
        <v>976</v>
      </c>
      <c r="F119" s="19">
        <v>1779</v>
      </c>
      <c r="G119" t="b">
        <f>IF(B119=E119,TRUE,FALSE)</f>
        <v>1</v>
      </c>
      <c r="J119" s="25">
        <f>F119-C119</f>
        <v>234</v>
      </c>
      <c r="K119" s="4">
        <f>F119/C119-1</f>
        <v>0.15145631067961163</v>
      </c>
      <c r="M119" s="5">
        <v>1436.99</v>
      </c>
      <c r="N119" s="5">
        <v>1533.17</v>
      </c>
      <c r="Q119" s="143">
        <v>8728.5499999999993</v>
      </c>
      <c r="T119" s="116">
        <f>N119-M119</f>
        <v>96.180000000000064</v>
      </c>
      <c r="U119" s="4">
        <f>IF(M119=0,0,N119/M119-1)</f>
        <v>6.693157224476165E-2</v>
      </c>
      <c r="AA119" s="18">
        <v>33965.75</v>
      </c>
      <c r="AB119" s="18">
        <v>39110.97</v>
      </c>
      <c r="AC119" s="4">
        <f>AB119/AA119-1</f>
        <v>0.15148259643906004</v>
      </c>
    </row>
    <row r="120" spans="1:29">
      <c r="A120" t="s">
        <v>977</v>
      </c>
      <c r="B120" t="s">
        <v>978</v>
      </c>
      <c r="C120" s="19">
        <v>841</v>
      </c>
      <c r="E120" t="s">
        <v>978</v>
      </c>
      <c r="F120" s="19">
        <v>1080</v>
      </c>
      <c r="G120" t="b">
        <f>IF(B120=E120,TRUE,FALSE)</f>
        <v>1</v>
      </c>
      <c r="J120" s="25">
        <f>F120-C120</f>
        <v>239</v>
      </c>
      <c r="K120" s="4">
        <f>F120/C120-1</f>
        <v>0.28418549346016642</v>
      </c>
      <c r="M120" s="5">
        <v>798.99</v>
      </c>
      <c r="N120" s="5">
        <v>1137.8699999999999</v>
      </c>
      <c r="Q120" s="143">
        <v>6157.5</v>
      </c>
      <c r="T120" s="116">
        <f>N120-M120</f>
        <v>338.87999999999988</v>
      </c>
      <c r="U120" s="4">
        <f>IF(M120=0,0,N120/M120-1)</f>
        <v>0.42413547103217808</v>
      </c>
      <c r="AA120" s="18">
        <v>16777.95</v>
      </c>
      <c r="AB120" s="18">
        <v>19606.22</v>
      </c>
      <c r="AC120" s="4">
        <f>AB120/AA120-1</f>
        <v>0.16857065374494495</v>
      </c>
    </row>
    <row r="121" spans="1:29">
      <c r="A121" t="s">
        <v>979</v>
      </c>
      <c r="B121" t="s">
        <v>980</v>
      </c>
      <c r="C121" s="19">
        <v>947</v>
      </c>
      <c r="E121" t="s">
        <v>980</v>
      </c>
      <c r="F121" s="19">
        <v>1187</v>
      </c>
      <c r="G121" t="b">
        <f>IF(B121=E121,TRUE,FALSE)</f>
        <v>1</v>
      </c>
      <c r="J121" s="25">
        <f>F121-C121</f>
        <v>240</v>
      </c>
      <c r="K121" s="4">
        <f>F121/C121-1</f>
        <v>0.25343189017951429</v>
      </c>
      <c r="M121" s="5">
        <v>746.57</v>
      </c>
      <c r="N121" s="5">
        <v>747.08</v>
      </c>
      <c r="Q121" s="143">
        <v>4436.42</v>
      </c>
      <c r="T121" s="116">
        <f>N121-M121</f>
        <v>0.50999999999999091</v>
      </c>
      <c r="U121" s="4">
        <f>IF(M121=0,0,N121/M121-1)</f>
        <v>6.8312415446647456E-4</v>
      </c>
      <c r="AA121" s="18">
        <v>18892.650000000001</v>
      </c>
      <c r="AB121" s="18">
        <v>22179.41</v>
      </c>
      <c r="AC121" s="4">
        <f>AB121/AA121-1</f>
        <v>0.17397030061955299</v>
      </c>
    </row>
    <row r="122" spans="1:29">
      <c r="A122" t="s">
        <v>981</v>
      </c>
      <c r="B122" t="s">
        <v>982</v>
      </c>
      <c r="C122" s="19">
        <v>1419</v>
      </c>
      <c r="D122" s="12"/>
      <c r="E122" t="s">
        <v>982</v>
      </c>
      <c r="F122" s="19">
        <v>1677</v>
      </c>
      <c r="G122" t="b">
        <f>IF(B122=E122,TRUE,FALSE)</f>
        <v>1</v>
      </c>
      <c r="H122" s="12"/>
      <c r="I122" s="12"/>
      <c r="J122" s="25">
        <f>F122-C122</f>
        <v>258</v>
      </c>
      <c r="K122" s="4">
        <f>F122/C122-1</f>
        <v>0.18181818181818188</v>
      </c>
      <c r="L122" s="12"/>
      <c r="M122" s="5">
        <v>1505.1</v>
      </c>
      <c r="N122" s="5">
        <v>1377.09</v>
      </c>
      <c r="O122" s="12"/>
      <c r="P122" s="12"/>
      <c r="Q122" s="143">
        <v>6750.44</v>
      </c>
      <c r="R122" s="12"/>
      <c r="S122" s="12"/>
      <c r="T122" s="116">
        <f>N122-M122</f>
        <v>-128.01</v>
      </c>
      <c r="U122" s="4">
        <f>IF(M122=0,0,N122/M122-1)</f>
        <v>-8.5050827187562295E-2</v>
      </c>
      <c r="V122" s="5"/>
      <c r="W122" s="5"/>
      <c r="X122" s="5"/>
      <c r="Y122" s="5"/>
      <c r="Z122" s="15"/>
      <c r="AA122" s="18">
        <v>35460.81</v>
      </c>
      <c r="AB122" s="18">
        <v>38139.480000000003</v>
      </c>
      <c r="AC122" s="4">
        <f>AB122/AA122-1</f>
        <v>7.5538883629561848E-2</v>
      </c>
    </row>
    <row r="123" spans="1:29">
      <c r="A123" t="s">
        <v>983</v>
      </c>
      <c r="B123" t="s">
        <v>984</v>
      </c>
      <c r="C123" s="19">
        <v>823</v>
      </c>
      <c r="E123" t="s">
        <v>984</v>
      </c>
      <c r="F123" s="19">
        <v>1086</v>
      </c>
      <c r="G123" t="b">
        <f>IF(B123=E123,TRUE,FALSE)</f>
        <v>1</v>
      </c>
      <c r="J123" s="25">
        <f>F123-C123</f>
        <v>263</v>
      </c>
      <c r="K123" s="4">
        <f>F123/C123-1</f>
        <v>0.3195625759416767</v>
      </c>
      <c r="M123" s="5">
        <v>343.05</v>
      </c>
      <c r="N123" s="5">
        <v>259.42</v>
      </c>
      <c r="Q123" s="143">
        <v>2576.5500000000002</v>
      </c>
      <c r="T123" s="116">
        <f>N123-M123</f>
        <v>-83.63</v>
      </c>
      <c r="U123" s="4">
        <f>IF(M123=0,0,N123/M123-1)</f>
        <v>-0.24378370499927127</v>
      </c>
      <c r="AA123" s="18">
        <v>28210.63</v>
      </c>
      <c r="AB123" s="18">
        <v>35495.370000000003</v>
      </c>
      <c r="AC123" s="4">
        <f>AB123/AA123-1</f>
        <v>0.25822677480084644</v>
      </c>
    </row>
    <row r="124" spans="1:29">
      <c r="A124" t="s">
        <v>985</v>
      </c>
      <c r="B124" t="s">
        <v>986</v>
      </c>
      <c r="C124" s="19">
        <v>899</v>
      </c>
      <c r="E124" t="s">
        <v>986</v>
      </c>
      <c r="F124" s="19">
        <v>1163</v>
      </c>
      <c r="G124" t="b">
        <f>IF(B124=E124,TRUE,FALSE)</f>
        <v>1</v>
      </c>
      <c r="J124" s="25">
        <f>F124-C124</f>
        <v>264</v>
      </c>
      <c r="K124" s="4">
        <f>F124/C124-1</f>
        <v>0.29365962180200222</v>
      </c>
      <c r="M124" s="5">
        <v>1853.17</v>
      </c>
      <c r="N124" s="5">
        <v>2137.4699999999998</v>
      </c>
      <c r="Q124" s="143">
        <v>15210.7</v>
      </c>
      <c r="T124" s="116">
        <f>N124-M124</f>
        <v>284.29999999999973</v>
      </c>
      <c r="U124" s="4">
        <f>IF(M124=0,0,N124/M124-1)</f>
        <v>0.15341280076841279</v>
      </c>
      <c r="Y124" t="s">
        <v>987</v>
      </c>
      <c r="AA124" s="18">
        <v>26925.05</v>
      </c>
      <c r="AB124" s="18">
        <v>34828.25</v>
      </c>
      <c r="AC124" s="4">
        <f>AB124/AA124-1</f>
        <v>0.29352591731491673</v>
      </c>
    </row>
    <row r="125" spans="1:29">
      <c r="A125" t="s">
        <v>988</v>
      </c>
      <c r="B125" t="s">
        <v>989</v>
      </c>
      <c r="C125" s="19">
        <v>1228</v>
      </c>
      <c r="E125" t="s">
        <v>989</v>
      </c>
      <c r="F125" s="19">
        <v>1492</v>
      </c>
      <c r="G125" t="b">
        <f>IF(B125=E125,TRUE,FALSE)</f>
        <v>1</v>
      </c>
      <c r="J125" s="25">
        <f>F125-C125</f>
        <v>264</v>
      </c>
      <c r="K125" s="4">
        <f>F125/C125-1</f>
        <v>0.21498371335504896</v>
      </c>
      <c r="M125" s="5">
        <v>1700.81</v>
      </c>
      <c r="N125" s="5">
        <v>1555.42</v>
      </c>
      <c r="Q125" s="143">
        <v>7930.59</v>
      </c>
      <c r="T125" s="116">
        <f>N125-M125</f>
        <v>-145.38999999999987</v>
      </c>
      <c r="U125" s="4">
        <f>IF(M125=0,0,N125/M125-1)</f>
        <v>-8.5482799372063822E-2</v>
      </c>
      <c r="W125" t="s">
        <v>990</v>
      </c>
      <c r="Y125" t="s">
        <v>991</v>
      </c>
      <c r="AA125" s="18">
        <v>29459.72</v>
      </c>
      <c r="AB125" s="18">
        <v>32403.96</v>
      </c>
      <c r="AC125" s="4">
        <f>AB125/AA125-1</f>
        <v>9.9941207859409298E-2</v>
      </c>
    </row>
    <row r="126" spans="1:29">
      <c r="A126" t="s">
        <v>992</v>
      </c>
      <c r="B126" t="s">
        <v>993</v>
      </c>
      <c r="C126" s="19">
        <v>2265</v>
      </c>
      <c r="E126" t="s">
        <v>993</v>
      </c>
      <c r="F126" s="19">
        <v>2538</v>
      </c>
      <c r="G126" t="b">
        <f>IF(B126=E126,TRUE,FALSE)</f>
        <v>1</v>
      </c>
      <c r="J126" s="25">
        <f>F126-C126</f>
        <v>273</v>
      </c>
      <c r="K126" s="4">
        <f>F126/C126-1</f>
        <v>0.12052980132450331</v>
      </c>
      <c r="M126" s="5">
        <v>2219.6799999999998</v>
      </c>
      <c r="N126" s="5">
        <v>2319.6999999999998</v>
      </c>
      <c r="Q126" s="143">
        <v>14728.91</v>
      </c>
      <c r="T126" s="116">
        <f>N126-M126</f>
        <v>100.01999999999998</v>
      </c>
      <c r="U126" s="4">
        <f>IF(M126=0,0,N126/M126-1)</f>
        <v>4.5060549268362893E-2</v>
      </c>
      <c r="AA126" s="18">
        <v>49763.37</v>
      </c>
      <c r="AB126" s="18">
        <v>55807.98</v>
      </c>
      <c r="AC126" s="4">
        <f>AB126/AA126-1</f>
        <v>0.12146705498441923</v>
      </c>
    </row>
    <row r="127" spans="1:29">
      <c r="A127" t="s">
        <v>994</v>
      </c>
      <c r="B127" t="s">
        <v>995</v>
      </c>
      <c r="C127" s="19">
        <v>919</v>
      </c>
      <c r="E127" t="s">
        <v>995</v>
      </c>
      <c r="F127" s="19">
        <v>1201</v>
      </c>
      <c r="G127" t="b">
        <f>IF(B127=E127,TRUE,FALSE)</f>
        <v>1</v>
      </c>
      <c r="J127" s="25">
        <f>F127-C127</f>
        <v>282</v>
      </c>
      <c r="K127" s="4">
        <f>F127/C127-1</f>
        <v>0.30685527747551689</v>
      </c>
      <c r="M127" s="5">
        <v>1684.38</v>
      </c>
      <c r="N127" s="5">
        <v>1654.88</v>
      </c>
      <c r="Q127" s="143">
        <v>7397.41</v>
      </c>
      <c r="T127" s="116">
        <f>N127-M127</f>
        <v>-29.5</v>
      </c>
      <c r="U127" s="4">
        <f>IF(M127=0,0,N127/M127-1)</f>
        <v>-1.7513862667569047E-2</v>
      </c>
      <c r="AA127" s="18">
        <v>18332.060000000001</v>
      </c>
      <c r="AB127" s="18">
        <v>20846.68</v>
      </c>
      <c r="AC127" s="4">
        <f>AB127/AA127-1</f>
        <v>0.13717061803201602</v>
      </c>
    </row>
    <row r="128" spans="1:29">
      <c r="A128" s="134" t="s">
        <v>996</v>
      </c>
      <c r="B128" s="37" t="s">
        <v>997</v>
      </c>
      <c r="C128">
        <v>622</v>
      </c>
      <c r="E128" s="37" t="s">
        <v>997</v>
      </c>
      <c r="F128">
        <v>929</v>
      </c>
      <c r="G128" t="b">
        <f>IF(B128=E128,TRUE,FALSE)</f>
        <v>1</v>
      </c>
      <c r="J128" s="25">
        <f>F128-C128</f>
        <v>307</v>
      </c>
      <c r="K128" s="4">
        <f>F128/C128-1</f>
        <v>0.49356913183279749</v>
      </c>
      <c r="M128" s="135">
        <v>1516.76</v>
      </c>
      <c r="N128" s="135">
        <v>1522.87</v>
      </c>
      <c r="Q128" s="143">
        <v>7621.01</v>
      </c>
      <c r="T128" s="116">
        <f>N128-M128</f>
        <v>6.1099999999999</v>
      </c>
      <c r="U128" s="4">
        <f>IF(M128=0,0,N128/M128-1)</f>
        <v>4.0283235317386534E-3</v>
      </c>
      <c r="AA128">
        <v>8701.7800000000007</v>
      </c>
      <c r="AB128">
        <v>11980.32</v>
      </c>
      <c r="AC128" s="4">
        <f>AB128/AA128-1</f>
        <v>0.37676659258220724</v>
      </c>
    </row>
    <row r="129" spans="1:29">
      <c r="A129" t="s">
        <v>998</v>
      </c>
      <c r="B129" t="s">
        <v>999</v>
      </c>
      <c r="C129" s="19">
        <v>1185</v>
      </c>
      <c r="E129" t="s">
        <v>999</v>
      </c>
      <c r="F129" s="19">
        <v>1514</v>
      </c>
      <c r="G129" t="b">
        <f>IF(B129=E129,TRUE,FALSE)</f>
        <v>1</v>
      </c>
      <c r="J129" s="25">
        <f>F129-C129</f>
        <v>329</v>
      </c>
      <c r="K129" s="4">
        <f>F129/C129-1</f>
        <v>0.27763713080168784</v>
      </c>
      <c r="M129" s="5">
        <v>732.28</v>
      </c>
      <c r="N129" s="5">
        <v>763.62</v>
      </c>
      <c r="Q129" s="143">
        <v>6891.59</v>
      </c>
      <c r="T129" s="116">
        <f>N129-M129</f>
        <v>31.340000000000032</v>
      </c>
      <c r="U129" s="4">
        <f>IF(M129=0,0,N129/M129-1)</f>
        <v>4.279783689299177E-2</v>
      </c>
      <c r="Z129" s="157"/>
      <c r="AA129" s="18">
        <v>35538.15</v>
      </c>
      <c r="AB129" s="18">
        <v>45399.46</v>
      </c>
      <c r="AC129" s="4">
        <f>AB129/AA129-1</f>
        <v>0.27748518141771572</v>
      </c>
    </row>
    <row r="130" spans="1:29">
      <c r="A130" s="57" t="s">
        <v>1000</v>
      </c>
      <c r="B130" s="37" t="s">
        <v>1001</v>
      </c>
      <c r="C130" s="19">
        <v>424</v>
      </c>
      <c r="E130" s="37" t="s">
        <v>1001</v>
      </c>
      <c r="F130" s="19">
        <v>760</v>
      </c>
      <c r="G130" t="b">
        <f>IF(B130=E130,TRUE,FALSE)</f>
        <v>1</v>
      </c>
      <c r="J130" s="25">
        <f>F130-C130</f>
        <v>336</v>
      </c>
      <c r="K130" s="4">
        <f>F130/C131-1</f>
        <v>0.29692832764505117</v>
      </c>
      <c r="M130" s="5">
        <v>355.95</v>
      </c>
      <c r="N130" s="5">
        <v>353.24</v>
      </c>
      <c r="Q130" s="143">
        <v>1410.24</v>
      </c>
      <c r="T130" s="116">
        <f>N130-M130</f>
        <v>-2.7099999999999795</v>
      </c>
      <c r="U130" s="4">
        <f>IF(M130=0,0,N130/M130-1)</f>
        <v>-7.6134288523668214E-3</v>
      </c>
      <c r="Z130" s="157"/>
      <c r="AA130" s="18">
        <v>9103.76</v>
      </c>
      <c r="AB130" s="18">
        <v>14749.8</v>
      </c>
      <c r="AC130" s="4">
        <f>AB130/AA130-1</f>
        <v>0.62018770266351475</v>
      </c>
    </row>
    <row r="131" spans="1:29">
      <c r="A131" t="s">
        <v>1002</v>
      </c>
      <c r="B131" t="s">
        <v>1003</v>
      </c>
      <c r="C131" s="19">
        <v>586</v>
      </c>
      <c r="E131" t="s">
        <v>1003</v>
      </c>
      <c r="F131" s="19">
        <v>993</v>
      </c>
      <c r="G131" t="b">
        <f>IF(B131=E131,TRUE,FALSE)</f>
        <v>1</v>
      </c>
      <c r="J131" s="25">
        <f>F131-C131</f>
        <v>407</v>
      </c>
      <c r="K131" s="4">
        <f>F131/C131-1</f>
        <v>0.69453924914675769</v>
      </c>
      <c r="M131" s="5">
        <v>989.65</v>
      </c>
      <c r="N131" s="5">
        <v>1350.4</v>
      </c>
      <c r="Q131" s="143">
        <v>5430.7</v>
      </c>
      <c r="T131" s="116">
        <f>N131-M131</f>
        <v>360.75000000000011</v>
      </c>
      <c r="U131" s="4">
        <f>IF(M131=0,0,N131/M131-1)</f>
        <v>0.36452281109483153</v>
      </c>
      <c r="Z131" s="157"/>
      <c r="AA131" s="18">
        <v>11654.17</v>
      </c>
      <c r="AB131" s="18">
        <v>19010.63</v>
      </c>
      <c r="AC131" s="4">
        <f>AB131/AA131-1</f>
        <v>0.63122985163250589</v>
      </c>
    </row>
    <row r="132" spans="1:29">
      <c r="A132" t="s">
        <v>1004</v>
      </c>
      <c r="B132" t="s">
        <v>1005</v>
      </c>
      <c r="C132" s="19">
        <v>911</v>
      </c>
      <c r="E132" t="s">
        <v>1005</v>
      </c>
      <c r="F132" s="19">
        <v>1321</v>
      </c>
      <c r="G132" t="b">
        <f>IF(B132=E132,TRUE,FALSE)</f>
        <v>1</v>
      </c>
      <c r="J132" s="25">
        <f>F132-C132</f>
        <v>410</v>
      </c>
      <c r="K132" s="4">
        <f>F132/C132-1</f>
        <v>0.45005488474204181</v>
      </c>
      <c r="M132" s="5">
        <v>1094.8800000000001</v>
      </c>
      <c r="N132" s="5">
        <v>899.67</v>
      </c>
      <c r="Q132" s="143">
        <v>6902.98</v>
      </c>
      <c r="T132" s="116">
        <f>N132-M132</f>
        <v>-195.21000000000015</v>
      </c>
      <c r="U132" s="4">
        <f>IF(M132=0,0,N132/M132-1)</f>
        <v>-0.17829351161771168</v>
      </c>
      <c r="Z132" s="157"/>
      <c r="AA132" s="18">
        <v>22729.45</v>
      </c>
      <c r="AB132" s="18">
        <v>29116.7</v>
      </c>
      <c r="AC132" s="4">
        <f>AB132/AA132-1</f>
        <v>0.28101207904282766</v>
      </c>
    </row>
    <row r="133" spans="1:29">
      <c r="A133" t="s">
        <v>1006</v>
      </c>
      <c r="B133" s="5" t="s">
        <v>1007</v>
      </c>
      <c r="C133" s="19">
        <v>1834</v>
      </c>
      <c r="D133" s="5"/>
      <c r="E133" t="s">
        <v>1007</v>
      </c>
      <c r="F133" s="19">
        <v>2288</v>
      </c>
      <c r="G133" t="b">
        <f>IF(B133=E133,TRUE,FALSE)</f>
        <v>1</v>
      </c>
      <c r="H133" s="5"/>
      <c r="I133" s="5"/>
      <c r="J133" s="25">
        <f>F133-C133</f>
        <v>454</v>
      </c>
      <c r="K133" s="4">
        <f>F133/C133-1</f>
        <v>0.24754634678298792</v>
      </c>
      <c r="L133" s="5"/>
      <c r="M133" s="5">
        <v>2128.16</v>
      </c>
      <c r="N133" s="5">
        <v>2039.93</v>
      </c>
      <c r="O133" s="5"/>
      <c r="P133" s="5"/>
      <c r="Q133" s="143">
        <v>10945.45</v>
      </c>
      <c r="R133" s="5"/>
      <c r="S133" s="5"/>
      <c r="T133" s="116">
        <f>N133-M133</f>
        <v>-88.229999999999791</v>
      </c>
      <c r="U133" s="4">
        <f>IF(M133=0,0,N133/M133-1)</f>
        <v>-4.1458348996315952E-2</v>
      </c>
      <c r="V133" s="5"/>
      <c r="W133" s="5"/>
      <c r="X133" s="5"/>
      <c r="Y133" s="5"/>
      <c r="Z133" s="152"/>
      <c r="AA133" s="18">
        <v>49426.3</v>
      </c>
      <c r="AB133" s="18">
        <v>56086.98</v>
      </c>
      <c r="AC133" s="4">
        <f>AB133/AA133-1</f>
        <v>0.13475983433920802</v>
      </c>
    </row>
    <row r="134" spans="1:29">
      <c r="A134" s="27" t="s">
        <v>1008</v>
      </c>
      <c r="B134" t="s">
        <v>1009</v>
      </c>
      <c r="C134" s="19">
        <v>869</v>
      </c>
      <c r="E134" s="27" t="s">
        <v>1009</v>
      </c>
      <c r="F134" s="19">
        <v>1344</v>
      </c>
      <c r="G134" t="b">
        <f>IF(B134=E134,TRUE,FALSE)</f>
        <v>1</v>
      </c>
      <c r="J134" s="25">
        <f>F134-C134</f>
        <v>475</v>
      </c>
      <c r="K134" s="4">
        <f>F134/C134-1</f>
        <v>0.54660529344073638</v>
      </c>
      <c r="M134" s="5">
        <v>1782.46</v>
      </c>
      <c r="N134" s="5">
        <v>1809.9900000000002</v>
      </c>
      <c r="Q134" s="143">
        <v>11040.69</v>
      </c>
      <c r="T134" s="116">
        <f>N134-M134</f>
        <v>27.5300000000002</v>
      </c>
      <c r="U134" s="4">
        <f>IF(M134=0,0,N134/M134-1)</f>
        <v>1.5444946871178145E-2</v>
      </c>
      <c r="Z134" s="157"/>
      <c r="AA134" s="18">
        <v>17072.68</v>
      </c>
      <c r="AB134" s="18">
        <v>24710.5</v>
      </c>
      <c r="AC134" s="4">
        <f>AB134/AA134-1</f>
        <v>0.44737088728893171</v>
      </c>
    </row>
    <row r="135" spans="1:29">
      <c r="A135" t="s">
        <v>1010</v>
      </c>
      <c r="B135" t="s">
        <v>1011</v>
      </c>
      <c r="C135" s="19">
        <v>1455</v>
      </c>
      <c r="E135" t="s">
        <v>1011</v>
      </c>
      <c r="F135" s="19">
        <v>2038</v>
      </c>
      <c r="G135" t="b">
        <f>IF(B135=E135,TRUE,FALSE)</f>
        <v>1</v>
      </c>
      <c r="J135" s="25">
        <f>F135-C135</f>
        <v>583</v>
      </c>
      <c r="K135" s="4">
        <f>F135/C135-1</f>
        <v>0.40068728522336761</v>
      </c>
      <c r="M135" s="5">
        <v>0</v>
      </c>
      <c r="N135" s="5">
        <v>0</v>
      </c>
      <c r="Q135" s="143">
        <v>0</v>
      </c>
      <c r="T135" s="116">
        <v>0</v>
      </c>
      <c r="U135" s="4">
        <f>IF(M135=0,0,N135/M135-1)</f>
        <v>0</v>
      </c>
      <c r="Z135" s="157"/>
      <c r="AA135" s="18">
        <v>52364.38</v>
      </c>
      <c r="AB135" s="18">
        <v>71350.55</v>
      </c>
      <c r="AC135" s="4">
        <f>AB135/AA135-1</f>
        <v>0.36257795852829733</v>
      </c>
    </row>
    <row r="136" spans="1:29">
      <c r="A136" s="27" t="s">
        <v>1012</v>
      </c>
      <c r="B136" s="27" t="s">
        <v>1013</v>
      </c>
      <c r="C136" s="19">
        <v>832</v>
      </c>
      <c r="E136" s="27" t="s">
        <v>1013</v>
      </c>
      <c r="F136" s="19">
        <v>1471</v>
      </c>
      <c r="G136" t="b">
        <f>IF(B136=E136,TRUE,FALSE)</f>
        <v>1</v>
      </c>
      <c r="J136" s="25">
        <f>F136-C136</f>
        <v>639</v>
      </c>
      <c r="K136" s="4">
        <f>F136/C136-1</f>
        <v>0.76802884615384626</v>
      </c>
      <c r="M136" s="5">
        <v>710.41</v>
      </c>
      <c r="N136" s="5">
        <v>828.93</v>
      </c>
      <c r="Q136" s="143">
        <v>3486.15</v>
      </c>
      <c r="T136" s="116">
        <f>N136-M136</f>
        <v>118.51999999999998</v>
      </c>
      <c r="U136" s="4">
        <f>IF(M136=0,0,N136/M136-1)</f>
        <v>0.1668332371447474</v>
      </c>
      <c r="Z136" s="157"/>
      <c r="AA136" s="18">
        <v>11514.12</v>
      </c>
      <c r="AB136" s="18">
        <v>17167.72</v>
      </c>
      <c r="AC136" s="4">
        <f>AB136/AA136-1</f>
        <v>0.49101451087881665</v>
      </c>
    </row>
    <row r="137" spans="1:29">
      <c r="A137" t="s">
        <v>1014</v>
      </c>
      <c r="B137" t="s">
        <v>1015</v>
      </c>
      <c r="C137" s="19">
        <v>1101</v>
      </c>
      <c r="E137" t="s">
        <v>1015</v>
      </c>
      <c r="F137" s="19">
        <v>1762</v>
      </c>
      <c r="G137" t="b">
        <f>IF(B137=E137,TRUE,FALSE)</f>
        <v>1</v>
      </c>
      <c r="J137" s="25">
        <f>F137-C137</f>
        <v>661</v>
      </c>
      <c r="K137" s="4">
        <f>F137/C137-1</f>
        <v>0.60036330608537702</v>
      </c>
      <c r="M137" s="5">
        <v>208.83</v>
      </c>
      <c r="N137" s="5">
        <v>328.98</v>
      </c>
      <c r="Q137" s="143">
        <v>2353.7399999999998</v>
      </c>
      <c r="T137" s="116">
        <f>N137-M137</f>
        <v>120.15</v>
      </c>
      <c r="U137" s="4">
        <f>IF(M137=0,0,N137/M137-1)</f>
        <v>0.57534836948714263</v>
      </c>
      <c r="Z137" s="157"/>
      <c r="AA137" s="18">
        <v>27538.98</v>
      </c>
      <c r="AB137" s="18">
        <v>37761.620000000003</v>
      </c>
      <c r="AC137" s="4">
        <f>AB137/AA137-1</f>
        <v>0.3712061957269297</v>
      </c>
    </row>
    <row r="138" spans="1:29" ht="16.5">
      <c r="A138" s="24" t="s">
        <v>1016</v>
      </c>
      <c r="B138" s="23" t="s">
        <v>1017</v>
      </c>
      <c r="C138" s="19">
        <v>2539</v>
      </c>
      <c r="D138" s="5"/>
      <c r="E138" s="23" t="s">
        <v>1017</v>
      </c>
      <c r="F138" s="19">
        <v>3239</v>
      </c>
      <c r="G138" t="b">
        <f>IF(B138=E138,TRUE,FALSE)</f>
        <v>1</v>
      </c>
      <c r="H138" s="5"/>
      <c r="I138" s="5"/>
      <c r="J138" s="25">
        <f>F138-C138</f>
        <v>700</v>
      </c>
      <c r="K138" s="4">
        <f>F138/C138-1</f>
        <v>0.27569909413154781</v>
      </c>
      <c r="L138" s="5"/>
      <c r="M138" s="5">
        <v>3144.48</v>
      </c>
      <c r="N138" s="5">
        <v>3042.22</v>
      </c>
      <c r="O138" s="5"/>
      <c r="P138" s="5"/>
      <c r="Q138" s="143">
        <v>20966.22</v>
      </c>
      <c r="R138" s="5"/>
      <c r="S138" s="5"/>
      <c r="T138" s="116">
        <f>N138-M138</f>
        <v>-102.26000000000022</v>
      </c>
      <c r="U138" s="4">
        <f>IF(M138=0,0,N138/M138-1)</f>
        <v>-3.2520480333791402E-2</v>
      </c>
      <c r="V138" s="5"/>
      <c r="W138" s="5"/>
      <c r="X138" s="5"/>
      <c r="Y138" s="5"/>
      <c r="Z138" s="152"/>
      <c r="AA138" s="18">
        <v>61297</v>
      </c>
      <c r="AB138" s="18">
        <v>75960.210000000006</v>
      </c>
      <c r="AC138" s="4">
        <f>AB138/AA138-1</f>
        <v>0.23921578543811295</v>
      </c>
    </row>
    <row r="139" spans="1:29">
      <c r="A139" s="55" t="s">
        <v>1018</v>
      </c>
      <c r="B139" s="37" t="s">
        <v>1019</v>
      </c>
      <c r="C139" s="19">
        <v>198</v>
      </c>
      <c r="E139" s="37" t="s">
        <v>1019</v>
      </c>
      <c r="F139" s="19">
        <v>1044</v>
      </c>
      <c r="G139" t="b">
        <f>IF(B139=E139,TRUE,FALSE)</f>
        <v>1</v>
      </c>
      <c r="J139" s="25">
        <f>F139-C139</f>
        <v>846</v>
      </c>
      <c r="K139" s="4">
        <f>F139/C139-1</f>
        <v>4.2727272727272725</v>
      </c>
      <c r="M139" s="5">
        <v>467.95</v>
      </c>
      <c r="N139" s="5">
        <v>1834.47</v>
      </c>
      <c r="Q139" s="143">
        <v>10648.74</v>
      </c>
      <c r="T139" s="116">
        <f>N139-M139</f>
        <v>1366.52</v>
      </c>
      <c r="U139" s="4">
        <f>IF(M139=0,0,N139/M139-1)</f>
        <v>2.9202265199273429</v>
      </c>
      <c r="Z139" s="157"/>
      <c r="AA139" s="18">
        <v>5033.0200000000004</v>
      </c>
      <c r="AB139" s="18">
        <v>22834.560000000001</v>
      </c>
      <c r="AC139" s="4">
        <f>AB139/AA139-1</f>
        <v>3.5369499823167798</v>
      </c>
    </row>
    <row r="140" spans="1:29">
      <c r="A140" s="27" t="s">
        <v>1020</v>
      </c>
      <c r="B140" s="27" t="s">
        <v>1021</v>
      </c>
      <c r="C140" s="19">
        <v>1161</v>
      </c>
      <c r="E140" s="27" t="s">
        <v>1021</v>
      </c>
      <c r="F140" s="19">
        <v>2019</v>
      </c>
      <c r="G140" t="b">
        <f>IF(B140=E140,TRUE,FALSE)</f>
        <v>1</v>
      </c>
      <c r="J140" s="25">
        <f>F140-C140</f>
        <v>858</v>
      </c>
      <c r="K140" s="4">
        <f>F140/C140-1</f>
        <v>0.73901808785529721</v>
      </c>
      <c r="M140" s="5">
        <v>1906.03</v>
      </c>
      <c r="N140" s="5">
        <v>2597.29</v>
      </c>
      <c r="Q140" s="143">
        <v>13768.46</v>
      </c>
      <c r="T140" s="116">
        <f>N140-M140</f>
        <v>691.26</v>
      </c>
      <c r="U140" s="4">
        <f>IF(M140=0,0,N140/M140-1)</f>
        <v>0.3626700524126063</v>
      </c>
      <c r="Z140" s="157"/>
      <c r="AA140" s="18">
        <v>23208.39</v>
      </c>
      <c r="AB140" s="18">
        <v>36503.230000000003</v>
      </c>
      <c r="AC140" s="4">
        <f>AB140/AA140-1</f>
        <v>0.57284628533043458</v>
      </c>
    </row>
    <row r="141" spans="1:29">
      <c r="A141" t="s">
        <v>1022</v>
      </c>
      <c r="B141" t="s">
        <v>1023</v>
      </c>
      <c r="C141" s="19">
        <v>1073</v>
      </c>
      <c r="E141" t="s">
        <v>1023</v>
      </c>
      <c r="F141" s="19">
        <v>2076</v>
      </c>
      <c r="G141" t="b">
        <f>IF(B141=E141,TRUE,FALSE)</f>
        <v>1</v>
      </c>
      <c r="J141" s="25">
        <f>F141-C141</f>
        <v>1003</v>
      </c>
      <c r="K141" s="4">
        <f>F141/C141-1</f>
        <v>0.93476234855545193</v>
      </c>
      <c r="M141" s="5">
        <v>1041.1600000000001</v>
      </c>
      <c r="N141" s="5">
        <v>1267.54</v>
      </c>
      <c r="Q141" s="143">
        <v>11102.49</v>
      </c>
      <c r="T141" s="116">
        <f>N141-M141</f>
        <v>226.37999999999988</v>
      </c>
      <c r="U141" s="4">
        <f>IF(M141=0,0,N141/M141-1)</f>
        <v>0.21743055822351987</v>
      </c>
      <c r="Z141" s="157"/>
      <c r="AA141" s="18">
        <v>36471.269999999997</v>
      </c>
      <c r="AB141" s="18">
        <v>60403.18</v>
      </c>
      <c r="AC141" s="4">
        <f>AB141/AA141-1</f>
        <v>0.65618526582704706</v>
      </c>
    </row>
    <row r="142" spans="1:29">
      <c r="A142" s="27" t="s">
        <v>1024</v>
      </c>
      <c r="B142" s="27" t="s">
        <v>1025</v>
      </c>
      <c r="C142" s="19">
        <v>3685</v>
      </c>
      <c r="E142" s="27" t="s">
        <v>1025</v>
      </c>
      <c r="F142" s="19">
        <v>4945</v>
      </c>
      <c r="G142" t="b">
        <f>IF(B142=E142,TRUE,FALSE)</f>
        <v>1</v>
      </c>
      <c r="J142" s="25">
        <f>F142-C142</f>
        <v>1260</v>
      </c>
      <c r="K142" s="4">
        <f>F142/C142-1</f>
        <v>0.34192672998643148</v>
      </c>
      <c r="M142" s="5">
        <v>4231.2</v>
      </c>
      <c r="N142" s="5">
        <v>5313.16</v>
      </c>
      <c r="Q142" s="143">
        <v>35489.14</v>
      </c>
      <c r="T142" s="116">
        <f>N142-M142</f>
        <v>1081.96</v>
      </c>
      <c r="U142" s="4">
        <f>IF(M142=0,0,N142/M142-1)</f>
        <v>0.25570996407638491</v>
      </c>
      <c r="Z142" s="157"/>
      <c r="AA142" s="18">
        <v>83968.15</v>
      </c>
      <c r="AB142" s="18">
        <v>110393.3</v>
      </c>
      <c r="AC142" s="4">
        <f>AB142/AA142-1</f>
        <v>0.31470444448281887</v>
      </c>
    </row>
    <row r="143" spans="1:29">
      <c r="A143" t="s">
        <v>1026</v>
      </c>
      <c r="B143" t="s">
        <v>1027</v>
      </c>
      <c r="C143" s="19">
        <v>8625</v>
      </c>
      <c r="E143" t="s">
        <v>1027</v>
      </c>
      <c r="F143" s="19">
        <v>9909</v>
      </c>
      <c r="G143" t="b">
        <f>IF(B143=E143,TRUE,FALSE)</f>
        <v>1</v>
      </c>
      <c r="J143" s="25">
        <f>F143-C143</f>
        <v>1284</v>
      </c>
      <c r="K143" s="4">
        <f>F143/C143-1</f>
        <v>0.14886956521739125</v>
      </c>
      <c r="M143" s="5">
        <v>6940.6</v>
      </c>
      <c r="N143" s="5">
        <v>7746.6</v>
      </c>
      <c r="Q143" s="143">
        <v>39246.160000000003</v>
      </c>
      <c r="T143" s="116">
        <f>N143-M143</f>
        <v>806</v>
      </c>
      <c r="U143" s="4">
        <f>IF(M143=0,0,N143/M143-1)</f>
        <v>0.11612828862058033</v>
      </c>
      <c r="W143" t="s">
        <v>1028</v>
      </c>
      <c r="Y143" t="s">
        <v>1029</v>
      </c>
      <c r="Z143" s="157"/>
      <c r="AA143" s="18">
        <v>165167.60999999999</v>
      </c>
      <c r="AB143" s="18">
        <v>177611.61</v>
      </c>
      <c r="AC143" s="4">
        <f>AB143/AA143-1</f>
        <v>7.5341648401886951E-2</v>
      </c>
    </row>
    <row r="144" spans="1:29">
      <c r="A144" t="s">
        <v>1030</v>
      </c>
      <c r="B144" t="s">
        <v>1031</v>
      </c>
      <c r="C144" s="19">
        <v>1646</v>
      </c>
      <c r="D144" s="5"/>
      <c r="E144" t="s">
        <v>1031</v>
      </c>
      <c r="F144" s="19">
        <v>3071</v>
      </c>
      <c r="G144" t="b">
        <f>IF(B144=E144,TRUE,FALSE)</f>
        <v>1</v>
      </c>
      <c r="H144" s="5"/>
      <c r="I144" s="5"/>
      <c r="J144" s="25">
        <f>F144-C144</f>
        <v>1425</v>
      </c>
      <c r="K144" s="4">
        <f>F144/C144-1</f>
        <v>0.86573511543134862</v>
      </c>
      <c r="L144" s="5"/>
      <c r="M144" s="5">
        <v>2691.01</v>
      </c>
      <c r="N144" s="5">
        <v>2982.73</v>
      </c>
      <c r="O144" s="5"/>
      <c r="P144" s="5"/>
      <c r="Q144" s="143">
        <v>18363.52</v>
      </c>
      <c r="R144" s="5"/>
      <c r="S144" s="5"/>
      <c r="T144" s="116">
        <f>N144-M144</f>
        <v>291.7199999999998</v>
      </c>
      <c r="U144" s="4">
        <f>IF(M144=0,0,N144/M144-1)</f>
        <v>0.10840539425717477</v>
      </c>
      <c r="V144" s="5"/>
      <c r="W144" s="5"/>
      <c r="X144" s="5"/>
      <c r="Y144" s="5"/>
      <c r="Z144" s="152"/>
      <c r="AA144" s="18">
        <v>32903.54</v>
      </c>
      <c r="AB144" s="18">
        <v>55357.49</v>
      </c>
      <c r="AC144" s="4">
        <f>AB144/AA144-1</f>
        <v>0.68241745417058453</v>
      </c>
    </row>
    <row r="145" spans="1:29">
      <c r="A145" t="s">
        <v>1032</v>
      </c>
      <c r="B145" t="s">
        <v>1033</v>
      </c>
      <c r="C145" s="19">
        <v>2508</v>
      </c>
      <c r="D145" s="5"/>
      <c r="E145" t="s">
        <v>1033</v>
      </c>
      <c r="F145" s="19">
        <v>4000</v>
      </c>
      <c r="G145" t="b">
        <f>IF(B145=E145,TRUE,FALSE)</f>
        <v>1</v>
      </c>
      <c r="H145" s="5"/>
      <c r="I145" s="5"/>
      <c r="J145" s="25">
        <f>F145-C145</f>
        <v>1492</v>
      </c>
      <c r="K145" s="4">
        <f>F145/C145-1</f>
        <v>0.59489633173843703</v>
      </c>
      <c r="L145" s="5"/>
      <c r="M145" s="5">
        <v>2510.1799999999998</v>
      </c>
      <c r="N145" s="5">
        <v>2643.99</v>
      </c>
      <c r="O145" s="5"/>
      <c r="P145" s="5"/>
      <c r="Q145" s="143">
        <v>18919.88</v>
      </c>
      <c r="R145" s="5"/>
      <c r="S145" s="5"/>
      <c r="T145" s="116">
        <f>N145-M145</f>
        <v>133.80999999999995</v>
      </c>
      <c r="U145" s="4">
        <f>IF(M145=0,0,N145/M145-1)</f>
        <v>5.3306934164083941E-2</v>
      </c>
      <c r="V145" s="5"/>
      <c r="W145" s="5"/>
      <c r="X145" s="5"/>
      <c r="Y145" s="5"/>
      <c r="Z145" s="152"/>
      <c r="AA145" s="18">
        <v>49585.05</v>
      </c>
      <c r="AB145" s="18">
        <v>75846.679999999993</v>
      </c>
      <c r="AC145" s="4">
        <f>AB145/AA145-1</f>
        <v>0.52962798262782806</v>
      </c>
    </row>
    <row r="146" spans="1:29">
      <c r="A146" s="55"/>
      <c r="B146" s="37"/>
      <c r="C146" s="19"/>
      <c r="E146" s="37"/>
      <c r="F146" s="19"/>
      <c r="J146" s="25"/>
      <c r="K146" s="4"/>
      <c r="Q146" s="143"/>
      <c r="T146" s="116"/>
      <c r="U146" s="4"/>
      <c r="Z146" s="125"/>
      <c r="AA146" s="18"/>
      <c r="AB146" s="18"/>
      <c r="AC146" s="4"/>
    </row>
    <row r="147" spans="1:29">
      <c r="F147" s="19"/>
      <c r="K147" s="4"/>
      <c r="N147" s="4"/>
      <c r="Z147" s="125"/>
    </row>
    <row r="148" spans="1:29">
      <c r="C148" s="3" t="s">
        <v>706</v>
      </c>
      <c r="D148" s="3"/>
      <c r="E148" s="3"/>
      <c r="F148" s="3" t="s">
        <v>706</v>
      </c>
      <c r="G148" s="3"/>
      <c r="H148" s="3"/>
      <c r="I148" s="3"/>
      <c r="J148" s="3" t="s">
        <v>707</v>
      </c>
      <c r="K148" s="31"/>
      <c r="L148" s="3"/>
      <c r="M148" s="33" t="s">
        <v>708</v>
      </c>
      <c r="N148" s="33" t="s">
        <v>708</v>
      </c>
      <c r="O148" s="3"/>
      <c r="Q148" s="144" t="s">
        <v>709</v>
      </c>
      <c r="R148" s="3"/>
      <c r="T148" s="117" t="s">
        <v>710</v>
      </c>
      <c r="U148" s="3"/>
      <c r="V148" s="3"/>
      <c r="W148" s="3"/>
      <c r="X148" s="3"/>
      <c r="Y148" s="34"/>
      <c r="Z148" s="35" t="s">
        <v>3</v>
      </c>
      <c r="AA148" s="35" t="s">
        <v>3</v>
      </c>
      <c r="AB148" s="35" t="s">
        <v>3</v>
      </c>
    </row>
    <row r="149" spans="1:29">
      <c r="C149" s="19">
        <f>SUM(C3:C145)</f>
        <v>248792</v>
      </c>
      <c r="F149" s="19">
        <f>SUM(F3:F145)</f>
        <v>237827</v>
      </c>
      <c r="J149" s="19">
        <f>SUM(J3:J145)</f>
        <v>-10965</v>
      </c>
      <c r="K149" s="4"/>
      <c r="M149" s="19">
        <f>SUM(M3:M146)</f>
        <v>283642.86</v>
      </c>
      <c r="N149" s="5">
        <f>SUM(N3:N145)</f>
        <v>233959.1100000001</v>
      </c>
      <c r="Q149" s="138">
        <f>SUM(Q3:Q145)</f>
        <v>1261035.7799999996</v>
      </c>
      <c r="T149" s="119">
        <f>SUM(T3:T145)</f>
        <v>-48602.61</v>
      </c>
      <c r="U149" s="4">
        <f>IF(M149=0,0,N149/M149-1)</f>
        <v>-0.1751630554000192</v>
      </c>
      <c r="AA149" s="30">
        <f>SUM(AA3:AA145)</f>
        <v>5390114.6099999985</v>
      </c>
      <c r="AB149" s="30">
        <f>SUM(AB3:AB145)</f>
        <v>5207401.6899999985</v>
      </c>
      <c r="AC149" s="4">
        <f>AB149/AA149-1</f>
        <v>-3.3897780143862244E-2</v>
      </c>
    </row>
    <row r="150" spans="1:29">
      <c r="K150" s="4"/>
      <c r="U150" s="4"/>
    </row>
    <row r="151" spans="1:29">
      <c r="F151" s="25">
        <f>F149-C149</f>
        <v>-10965</v>
      </c>
      <c r="K151" s="4"/>
      <c r="N151" s="33" t="s">
        <v>711</v>
      </c>
      <c r="Q151" s="26">
        <f>N149/Q149</f>
        <v>0.18552931939805878</v>
      </c>
      <c r="U151" s="4"/>
      <c r="AA151" s="3" t="s">
        <v>712</v>
      </c>
      <c r="AB151" s="3" t="s">
        <v>712</v>
      </c>
    </row>
    <row r="152" spans="1:29">
      <c r="F152" s="4">
        <f>F149/C149-1</f>
        <v>-4.4072960545355144E-2</v>
      </c>
      <c r="K152" s="4"/>
      <c r="U152" s="4"/>
      <c r="AA152" s="32">
        <f>M149/AA149</f>
        <v>5.2622788293549862E-2</v>
      </c>
      <c r="AB152" s="32">
        <f>N149/AB149</f>
        <v>4.4928185672574873E-2</v>
      </c>
    </row>
    <row r="153" spans="1:29">
      <c r="K153" s="4"/>
      <c r="U153" s="4"/>
    </row>
    <row r="154" spans="1:29">
      <c r="K154" s="4"/>
    </row>
    <row r="155" spans="1:29">
      <c r="K155" s="4"/>
      <c r="U155" s="4"/>
    </row>
    <row r="156" spans="1:29">
      <c r="K156" s="4"/>
      <c r="U156" s="4"/>
    </row>
    <row r="157" spans="1:29">
      <c r="K157" s="4"/>
      <c r="U157" s="4"/>
    </row>
    <row r="158" spans="1:29">
      <c r="K158" s="4"/>
      <c r="U158" s="4"/>
    </row>
    <row r="159" spans="1:29">
      <c r="K159" s="4"/>
      <c r="U159" s="4"/>
    </row>
    <row r="160" spans="1:29">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3:21">
      <c r="K193" s="4"/>
      <c r="U193" s="4"/>
    </row>
    <row r="194" spans="3:21">
      <c r="K194" s="4"/>
      <c r="U194" s="4"/>
    </row>
    <row r="195" spans="3:21">
      <c r="K195" s="4"/>
      <c r="U195" s="4"/>
    </row>
    <row r="196" spans="3:21">
      <c r="K196" s="6"/>
      <c r="M196" s="11"/>
      <c r="N196" s="11"/>
      <c r="T196" s="120"/>
      <c r="U196" s="6"/>
    </row>
    <row r="197" spans="3:21" ht="15" customHeight="1">
      <c r="K197" s="6"/>
      <c r="M197" s="11"/>
      <c r="N197" s="11"/>
      <c r="T197" s="120"/>
      <c r="U197" s="6"/>
    </row>
    <row r="198" spans="3:21" ht="15" customHeight="1">
      <c r="K198" s="6"/>
      <c r="M198" s="11"/>
      <c r="N198" s="11"/>
      <c r="T198" s="120"/>
      <c r="U198" s="6"/>
    </row>
    <row r="199" spans="3:21" ht="15" customHeight="1">
      <c r="K199" s="6"/>
      <c r="M199" s="11"/>
      <c r="N199" s="11"/>
      <c r="T199" s="120"/>
      <c r="U199" s="6"/>
    </row>
    <row r="200" spans="3:21" ht="15" customHeight="1">
      <c r="K200" s="6"/>
      <c r="M200" s="11"/>
      <c r="N200" s="11"/>
      <c r="T200" s="120"/>
      <c r="U200" s="6"/>
    </row>
    <row r="201" spans="3:21" ht="15" customHeight="1">
      <c r="K201" s="6"/>
      <c r="M201" s="11"/>
      <c r="N201" s="11"/>
      <c r="T201" s="120"/>
      <c r="U201" s="6"/>
    </row>
    <row r="202" spans="3:21" ht="15" customHeight="1">
      <c r="K202" s="6"/>
      <c r="M202" s="11"/>
      <c r="N202" s="11"/>
      <c r="T202" s="120"/>
      <c r="U202" s="6"/>
    </row>
    <row r="203" spans="3:21" ht="15" customHeight="1">
      <c r="K203" s="6"/>
      <c r="M203" s="11"/>
      <c r="N203" s="11"/>
      <c r="T203" s="120"/>
      <c r="U203" s="6"/>
    </row>
    <row r="204" spans="3:21" ht="15" customHeight="1">
      <c r="K204" s="6"/>
      <c r="M204" s="11"/>
      <c r="N204" s="11"/>
      <c r="T204" s="120"/>
      <c r="U204" s="6"/>
    </row>
    <row r="205" spans="3:21">
      <c r="M205" s="11"/>
      <c r="N205" s="11"/>
      <c r="T205" s="120"/>
    </row>
    <row r="206" spans="3:21" ht="15" customHeight="1">
      <c r="C206" s="8"/>
      <c r="F206" s="8"/>
      <c r="J206" s="8"/>
      <c r="M206" s="11"/>
      <c r="N206" s="11"/>
      <c r="T206" s="120"/>
    </row>
    <row r="207" spans="3:21">
      <c r="M207" s="11"/>
      <c r="N207" s="11"/>
      <c r="T207" s="120"/>
    </row>
    <row r="208" spans="3:21" ht="15" customHeight="1">
      <c r="M208" s="11"/>
      <c r="N208" s="11"/>
      <c r="T208" s="120"/>
    </row>
    <row r="209" spans="3:14" ht="15" customHeight="1">
      <c r="C209" s="9"/>
      <c r="F209" s="9"/>
      <c r="M209" s="7"/>
      <c r="N209" s="7"/>
    </row>
    <row r="211" spans="3:14" ht="15" customHeight="1">
      <c r="C211" s="8"/>
      <c r="F211" s="8"/>
    </row>
    <row r="214" spans="3:14" ht="15" customHeight="1">
      <c r="C214" s="9"/>
      <c r="F214" s="9"/>
      <c r="M214" s="7"/>
      <c r="N214" s="7"/>
    </row>
  </sheetData>
  <autoFilter ref="A2:AC140" xr:uid="{97EDC353-A3BB-4027-BC75-3196C26C68C7}">
    <sortState xmlns:xlrd2="http://schemas.microsoft.com/office/spreadsheetml/2017/richdata2" ref="A3:AC145">
      <sortCondition ref="J2:J140"/>
    </sortState>
  </autoFilter>
  <mergeCells count="7">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05">
    <cfRule type="cellIs" dxfId="27" priority="1" operator="greaterThan">
      <formula>500</formula>
    </cfRule>
  </conditionalFormatting>
  <conditionalFormatting sqref="J3:J204">
    <cfRule type="cellIs" dxfId="26" priority="2" operator="lessThan">
      <formula>-100</formula>
    </cfRule>
  </conditionalFormatting>
  <conditionalFormatting sqref="J207:J1048576">
    <cfRule type="cellIs" dxfId="25" priority="19" operator="greaterThan">
      <formula>500</formula>
    </cfRule>
  </conditionalFormatting>
  <conditionalFormatting sqref="K2">
    <cfRule type="cellIs" dxfId="24" priority="20" operator="lessThan">
      <formula>-20%</formula>
    </cfRule>
  </conditionalFormatting>
  <conditionalFormatting sqref="K3:K204">
    <cfRule type="cellIs" dxfId="23" priority="5" operator="greaterThan">
      <formula>0.2</formula>
    </cfRule>
  </conditionalFormatting>
  <conditionalFormatting sqref="K3:K1048576">
    <cfRule type="cellIs" dxfId="22" priority="3" operator="lessThan">
      <formula>-0.2</formula>
    </cfRule>
  </conditionalFormatting>
  <conditionalFormatting sqref="U3:U139 U149:U153 U155:U204">
    <cfRule type="cellIs" dxfId="21" priority="12" operator="greaterThan">
      <formula>0.5</formula>
    </cfRule>
  </conditionalFormatting>
  <conditionalFormatting sqref="AC3:AC146">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49">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D198"/>
  <sheetViews>
    <sheetView tabSelected="1" zoomScaleNormal="100" workbookViewId="0">
      <pane xSplit="2" ySplit="2" topLeftCell="E3" activePane="bottomRight" state="frozen"/>
      <selection pane="bottomRight" activeCell="AE2" sqref="AE2"/>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16"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s>
  <sheetData>
    <row r="1" spans="1:30">
      <c r="B1" s="154">
        <v>45870</v>
      </c>
      <c r="C1" s="153"/>
      <c r="E1" s="154">
        <v>45901</v>
      </c>
      <c r="F1" s="153"/>
      <c r="J1" s="155"/>
      <c r="K1" s="155"/>
      <c r="L1" s="1"/>
      <c r="N1" s="156" t="s">
        <v>0</v>
      </c>
      <c r="O1" s="156"/>
      <c r="Q1" s="10" t="s">
        <v>1</v>
      </c>
      <c r="R1" s="1"/>
      <c r="T1" s="153" t="s">
        <v>2</v>
      </c>
      <c r="U1" s="153"/>
      <c r="X1" s="155" t="s">
        <v>713</v>
      </c>
      <c r="Y1" s="155"/>
      <c r="Z1" s="155"/>
      <c r="AA1" s="155"/>
      <c r="AB1" s="153" t="s">
        <v>3</v>
      </c>
      <c r="AC1" s="153"/>
    </row>
    <row r="2" spans="1:30">
      <c r="A2" s="3" t="s">
        <v>4</v>
      </c>
      <c r="B2" s="3" t="s">
        <v>5</v>
      </c>
      <c r="C2" s="3" t="s">
        <v>6</v>
      </c>
      <c r="E2" s="3" t="s">
        <v>5</v>
      </c>
      <c r="F2" s="3" t="s">
        <v>6</v>
      </c>
      <c r="G2" t="s">
        <v>7</v>
      </c>
      <c r="J2" t="s">
        <v>8</v>
      </c>
      <c r="K2" t="s">
        <v>9</v>
      </c>
      <c r="N2" t="s">
        <v>10</v>
      </c>
      <c r="O2" t="s">
        <v>11</v>
      </c>
      <c r="Q2" s="5" t="s">
        <v>1034</v>
      </c>
      <c r="T2" s="116" t="s">
        <v>13</v>
      </c>
      <c r="U2" t="s">
        <v>9</v>
      </c>
      <c r="X2" t="s">
        <v>714</v>
      </c>
      <c r="Y2" t="s">
        <v>715</v>
      </c>
      <c r="Z2" t="s">
        <v>1035</v>
      </c>
      <c r="AB2" t="s">
        <v>10</v>
      </c>
      <c r="AC2" t="s">
        <v>11</v>
      </c>
      <c r="AD2" t="s">
        <v>9</v>
      </c>
    </row>
    <row r="3" spans="1:30" ht="13.9" customHeight="1">
      <c r="A3" t="s">
        <v>1036</v>
      </c>
      <c r="B3" t="s">
        <v>1037</v>
      </c>
      <c r="C3">
        <v>12292</v>
      </c>
      <c r="E3" t="s">
        <v>1037</v>
      </c>
      <c r="F3">
        <v>5865</v>
      </c>
      <c r="G3" t="b">
        <f>IF(B3=E3,TRUE,FALSE)</f>
        <v>1</v>
      </c>
      <c r="J3">
        <f>F3-C3</f>
        <v>-6427</v>
      </c>
      <c r="K3" s="4">
        <f>F3/C3-1</f>
        <v>-0.52286039700618292</v>
      </c>
      <c r="L3" s="4"/>
      <c r="N3" s="5">
        <v>12299.44</v>
      </c>
      <c r="O3" s="5">
        <v>5190.3599999999997</v>
      </c>
      <c r="Q3" s="5">
        <v>25073.15</v>
      </c>
      <c r="T3" s="116">
        <f>O3-N3</f>
        <v>-7109.0800000000008</v>
      </c>
      <c r="U3" s="4">
        <f>IF(N3=0,0,O3/N3-1)</f>
        <v>-0.57800029920061413</v>
      </c>
      <c r="X3" t="s">
        <v>1038</v>
      </c>
      <c r="AB3" s="18">
        <v>208325.79</v>
      </c>
      <c r="AC3" s="18">
        <v>117126.56</v>
      </c>
      <c r="AD3" s="4">
        <f>AC3/AB3-1</f>
        <v>-0.43777215485418297</v>
      </c>
    </row>
    <row r="4" spans="1:30" ht="13.9" customHeight="1">
      <c r="A4" t="s">
        <v>1039</v>
      </c>
      <c r="B4" t="s">
        <v>1040</v>
      </c>
      <c r="C4">
        <v>6892</v>
      </c>
      <c r="E4" t="s">
        <v>1040</v>
      </c>
      <c r="F4">
        <v>5031</v>
      </c>
      <c r="G4" t="b">
        <f>IF(B4=E4,TRUE,FALSE)</f>
        <v>1</v>
      </c>
      <c r="J4">
        <f>F4-C4</f>
        <v>-1861</v>
      </c>
      <c r="K4" s="4">
        <f>F4/C4-1</f>
        <v>-0.2700232153221126</v>
      </c>
      <c r="L4" s="4"/>
      <c r="N4" s="5">
        <v>6645.38</v>
      </c>
      <c r="O4" s="5">
        <v>4489.2299999999996</v>
      </c>
      <c r="Q4" s="5">
        <v>27125.63</v>
      </c>
      <c r="T4" s="116">
        <f>O4-N4</f>
        <v>-2156.1500000000005</v>
      </c>
      <c r="U4" s="4">
        <f>IF(N4=0,0,O4/N4-1)</f>
        <v>-0.32445849597765675</v>
      </c>
      <c r="X4" t="s">
        <v>1041</v>
      </c>
      <c r="AB4" s="18">
        <v>155006.84</v>
      </c>
      <c r="AC4" s="18">
        <v>119398.89</v>
      </c>
      <c r="AD4" s="4">
        <f>AC4/AB4-1</f>
        <v>-0.22971857241912674</v>
      </c>
    </row>
    <row r="5" spans="1:30" ht="13.9" customHeight="1">
      <c r="A5" t="s">
        <v>1042</v>
      </c>
      <c r="B5" t="s">
        <v>1043</v>
      </c>
      <c r="C5">
        <v>5085</v>
      </c>
      <c r="E5" t="s">
        <v>1043</v>
      </c>
      <c r="F5">
        <v>3959</v>
      </c>
      <c r="G5" t="b">
        <f>IF(B5=E5,TRUE,FALSE)</f>
        <v>1</v>
      </c>
      <c r="J5">
        <f>F5-C5</f>
        <v>-1126</v>
      </c>
      <c r="K5" s="4">
        <f>F5/C5-1</f>
        <v>-0.22143559488692233</v>
      </c>
      <c r="L5" s="4"/>
      <c r="N5" s="5">
        <v>4982.4399999999996</v>
      </c>
      <c r="O5" s="5">
        <v>3900.59</v>
      </c>
      <c r="Q5" s="5">
        <v>18836.88</v>
      </c>
      <c r="T5" s="116">
        <f>O5-N5</f>
        <v>-1081.8499999999995</v>
      </c>
      <c r="U5" s="4">
        <f>IF(N6=0,0,O5/N6-1)</f>
        <v>-0.35398555465200821</v>
      </c>
      <c r="AB5" s="18">
        <v>90508.95</v>
      </c>
      <c r="AC5" s="18">
        <v>75562.009999999995</v>
      </c>
      <c r="AD5" s="4">
        <f>AC5/AB5-1</f>
        <v>-0.16514322616713595</v>
      </c>
    </row>
    <row r="6" spans="1:30" ht="13.9" customHeight="1">
      <c r="A6" t="s">
        <v>1044</v>
      </c>
      <c r="B6" t="s">
        <v>1045</v>
      </c>
      <c r="C6">
        <v>4166</v>
      </c>
      <c r="E6" t="s">
        <v>1045</v>
      </c>
      <c r="F6">
        <v>3285</v>
      </c>
      <c r="G6" t="b">
        <f>IF(B6=E6,TRUE,FALSE)</f>
        <v>1</v>
      </c>
      <c r="J6">
        <f>F6-C6</f>
        <v>-881</v>
      </c>
      <c r="K6" s="4">
        <f>F6/C6-1</f>
        <v>-0.21147383581373025</v>
      </c>
      <c r="N6" s="5">
        <v>6037.93</v>
      </c>
      <c r="O6" s="5">
        <v>4482.9799999999996</v>
      </c>
      <c r="Q6" s="5">
        <v>19181.189999999999</v>
      </c>
      <c r="T6" s="116">
        <f>O6-N6</f>
        <v>-1554.9500000000007</v>
      </c>
      <c r="U6" s="4">
        <f>IF(N6=0,0,O6/N6-1)</f>
        <v>-0.25753031254088743</v>
      </c>
      <c r="X6" s="5"/>
      <c r="Y6" s="5"/>
      <c r="Z6" s="5"/>
      <c r="AA6" s="17"/>
      <c r="AB6" s="18">
        <v>58282.34</v>
      </c>
      <c r="AC6" s="18">
        <v>50217.71</v>
      </c>
      <c r="AD6" s="4">
        <f>AC6/AB6-1</f>
        <v>-0.13837176063967227</v>
      </c>
    </row>
    <row r="7" spans="1:30" ht="13.9" customHeight="1">
      <c r="A7" t="s">
        <v>1046</v>
      </c>
      <c r="B7" t="s">
        <v>1047</v>
      </c>
      <c r="C7">
        <v>5310</v>
      </c>
      <c r="E7" t="s">
        <v>1047</v>
      </c>
      <c r="F7">
        <v>4517</v>
      </c>
      <c r="G7" t="b">
        <f>IF(B7=E7,TRUE,FALSE)</f>
        <v>1</v>
      </c>
      <c r="J7">
        <f>F7-C7</f>
        <v>-793</v>
      </c>
      <c r="K7" s="4">
        <f>F7/C7-1</f>
        <v>-0.14934086629001886</v>
      </c>
      <c r="L7" s="4"/>
      <c r="N7" s="5">
        <v>5405.73</v>
      </c>
      <c r="O7" s="5">
        <v>4570.93</v>
      </c>
      <c r="Q7" s="5">
        <v>36609.08</v>
      </c>
      <c r="T7" s="116">
        <f>O7-N7</f>
        <v>-834.79999999999927</v>
      </c>
      <c r="U7" s="4">
        <f>IF(N7=0,0,O7/N7-1)</f>
        <v>-0.1544287265549702</v>
      </c>
      <c r="AB7" s="18">
        <v>152900.07</v>
      </c>
      <c r="AC7" s="18">
        <v>137695.60999999999</v>
      </c>
      <c r="AD7" s="4">
        <f>AC7/AB7-1</f>
        <v>-9.9440503853268525E-2</v>
      </c>
    </row>
    <row r="8" spans="1:30" ht="13.9" customHeight="1">
      <c r="A8" t="s">
        <v>1048</v>
      </c>
      <c r="B8" t="s">
        <v>1049</v>
      </c>
      <c r="C8">
        <v>1422</v>
      </c>
      <c r="E8" t="s">
        <v>1049</v>
      </c>
      <c r="F8">
        <v>1060</v>
      </c>
      <c r="G8" t="b">
        <f>IF(B8=E8,TRUE,FALSE)</f>
        <v>1</v>
      </c>
      <c r="J8">
        <f>F8-C8</f>
        <v>-362</v>
      </c>
      <c r="K8" s="4">
        <f>F8/C8-1</f>
        <v>-0.25457102672292542</v>
      </c>
      <c r="L8" s="4"/>
      <c r="N8" s="5">
        <v>1334.37</v>
      </c>
      <c r="O8" s="5">
        <v>1108.57</v>
      </c>
      <c r="Q8" s="5">
        <v>7419.21</v>
      </c>
      <c r="T8" s="116">
        <f>O8-N8</f>
        <v>-225.79999999999995</v>
      </c>
      <c r="U8" s="4">
        <f>IF(N8=0,0,O8/N8-1)</f>
        <v>-0.16921843266860015</v>
      </c>
      <c r="AB8" s="18">
        <v>40974.660000000003</v>
      </c>
      <c r="AC8" s="18">
        <v>37045.25</v>
      </c>
      <c r="AD8" s="4">
        <f>AC8/AB8-1</f>
        <v>-9.5898538267309652E-2</v>
      </c>
    </row>
    <row r="9" spans="1:30" ht="13.9" customHeight="1">
      <c r="A9" t="s">
        <v>1050</v>
      </c>
      <c r="B9" t="s">
        <v>1051</v>
      </c>
      <c r="C9">
        <v>1245</v>
      </c>
      <c r="E9" t="s">
        <v>1051</v>
      </c>
      <c r="F9">
        <v>891</v>
      </c>
      <c r="G9" t="b">
        <f>IF(B9=E9,TRUE,FALSE)</f>
        <v>1</v>
      </c>
      <c r="J9">
        <f>F9-C9</f>
        <v>-354</v>
      </c>
      <c r="K9" s="4">
        <f>F9/C9-1</f>
        <v>-0.28433734939759037</v>
      </c>
      <c r="L9" s="4"/>
      <c r="N9" s="5">
        <v>1258.04</v>
      </c>
      <c r="O9" s="5">
        <v>673.48</v>
      </c>
      <c r="Q9" s="5">
        <v>3475.85</v>
      </c>
      <c r="T9" s="116">
        <f>O9-N9</f>
        <v>-584.55999999999995</v>
      </c>
      <c r="U9" s="4">
        <f>IF(N9=0,0,O9/N9-1)</f>
        <v>-0.46465931130965621</v>
      </c>
      <c r="X9" t="s">
        <v>1052</v>
      </c>
      <c r="AB9" s="18">
        <v>29815.59</v>
      </c>
      <c r="AC9" s="18">
        <v>21290.83</v>
      </c>
      <c r="AD9" s="4">
        <f>AC9/AB9-1</f>
        <v>-0.28591619350816133</v>
      </c>
    </row>
    <row r="10" spans="1:30" ht="13.9" customHeight="1">
      <c r="A10" s="55" t="s">
        <v>1053</v>
      </c>
      <c r="B10" s="37" t="s">
        <v>1054</v>
      </c>
      <c r="C10">
        <v>676</v>
      </c>
      <c r="E10" s="37" t="s">
        <v>1054</v>
      </c>
      <c r="F10">
        <v>325</v>
      </c>
      <c r="G10" t="b">
        <f>IF(B10=E10,TRUE,FALSE)</f>
        <v>1</v>
      </c>
      <c r="J10">
        <f>F10-C10</f>
        <v>-351</v>
      </c>
      <c r="K10" s="4">
        <f>F10/C10-1</f>
        <v>-0.51923076923076916</v>
      </c>
      <c r="L10" s="4"/>
      <c r="N10" s="5">
        <v>1857.65</v>
      </c>
      <c r="O10" s="5">
        <v>640.88</v>
      </c>
      <c r="Q10" s="5">
        <v>3571.46</v>
      </c>
      <c r="T10" s="116">
        <f>O10-N10</f>
        <v>-1216.77</v>
      </c>
      <c r="U10" s="4">
        <f>IF(N10=0,0,O10/N10-1)</f>
        <v>-0.655004979409469</v>
      </c>
      <c r="AB10" s="18">
        <v>15005.44</v>
      </c>
      <c r="AC10" s="18">
        <v>7727.39</v>
      </c>
      <c r="AD10" s="4">
        <f>AC10/AB10-1</f>
        <v>-0.48502743005203441</v>
      </c>
    </row>
    <row r="11" spans="1:30" ht="13.9" customHeight="1">
      <c r="A11" t="s">
        <v>1055</v>
      </c>
      <c r="B11" t="s">
        <v>1056</v>
      </c>
      <c r="C11">
        <v>1178</v>
      </c>
      <c r="E11" t="s">
        <v>1056</v>
      </c>
      <c r="F11">
        <v>829</v>
      </c>
      <c r="G11" t="b">
        <f>IF(B11=E11,TRUE,FALSE)</f>
        <v>1</v>
      </c>
      <c r="J11">
        <f>F11-C11</f>
        <v>-349</v>
      </c>
      <c r="K11" s="4">
        <f>F11/C11-1</f>
        <v>-0.29626485568760608</v>
      </c>
      <c r="L11" s="4"/>
      <c r="N11" s="5">
        <v>1118.1500000000001</v>
      </c>
      <c r="O11" s="5">
        <v>776.65</v>
      </c>
      <c r="Q11" s="5">
        <v>3903.98</v>
      </c>
      <c r="T11" s="116">
        <f>O11-N11</f>
        <v>-341.50000000000011</v>
      </c>
      <c r="U11" s="4">
        <f>IF(N11=0,0,O11/N11-1)</f>
        <v>-0.30541519474131384</v>
      </c>
      <c r="AB11" s="18">
        <v>20012.86</v>
      </c>
      <c r="AC11" s="18">
        <v>12377.57</v>
      </c>
      <c r="AD11" s="4">
        <f>AC11/AB11-1</f>
        <v>-0.38151918316522482</v>
      </c>
    </row>
    <row r="12" spans="1:30" ht="13.9" customHeight="1">
      <c r="A12" t="s">
        <v>1057</v>
      </c>
      <c r="B12" t="s">
        <v>1058</v>
      </c>
      <c r="C12">
        <v>1897</v>
      </c>
      <c r="E12" t="s">
        <v>1058</v>
      </c>
      <c r="F12">
        <v>1591</v>
      </c>
      <c r="G12" t="b">
        <f>IF(B12=E12,TRUE,FALSE)</f>
        <v>1</v>
      </c>
      <c r="J12">
        <f>F12-C12</f>
        <v>-306</v>
      </c>
      <c r="K12" s="4">
        <f>F12/C12-1</f>
        <v>-0.1613073273589879</v>
      </c>
      <c r="L12" s="4"/>
      <c r="N12" s="5">
        <v>1871.7</v>
      </c>
      <c r="O12" s="5">
        <v>1302.92</v>
      </c>
      <c r="Q12" s="5">
        <v>8912.68</v>
      </c>
      <c r="T12" s="116">
        <f>O12-N12</f>
        <v>-568.78</v>
      </c>
      <c r="U12" s="4">
        <f>IF(N12=0,0,O12/N12-1)</f>
        <v>-0.30388416947160335</v>
      </c>
      <c r="AB12" s="18">
        <v>33304.06</v>
      </c>
      <c r="AC12" s="18">
        <v>30209.48</v>
      </c>
      <c r="AD12" s="4">
        <f>AC12/AB12-1</f>
        <v>-9.2919001467088314E-2</v>
      </c>
    </row>
    <row r="13" spans="1:30" ht="13.9" customHeight="1">
      <c r="A13" t="s">
        <v>1059</v>
      </c>
      <c r="B13" t="s">
        <v>1060</v>
      </c>
      <c r="C13">
        <v>1205</v>
      </c>
      <c r="E13" t="s">
        <v>1060</v>
      </c>
      <c r="F13">
        <v>948</v>
      </c>
      <c r="G13" t="b">
        <f>IF(B13=E13,TRUE,FALSE)</f>
        <v>1</v>
      </c>
      <c r="J13">
        <f>F13-C13</f>
        <v>-257</v>
      </c>
      <c r="K13" s="4">
        <f>F13/C13-1</f>
        <v>-0.21327800829875521</v>
      </c>
      <c r="N13" s="5">
        <v>1933.6</v>
      </c>
      <c r="O13" s="5">
        <v>1526.7</v>
      </c>
      <c r="Q13" s="5">
        <v>9623.57</v>
      </c>
      <c r="T13" s="116">
        <f>O13-N13</f>
        <v>-406.89999999999986</v>
      </c>
      <c r="U13" s="4">
        <f>IF(N13=0,0,O13/N13-1)</f>
        <v>-0.21043649151841115</v>
      </c>
      <c r="X13" s="5"/>
      <c r="Y13" s="5"/>
      <c r="Z13" s="5"/>
      <c r="AA13" s="17"/>
      <c r="AB13" s="18">
        <v>25522.95</v>
      </c>
      <c r="AC13" s="18">
        <v>21462.54</v>
      </c>
      <c r="AD13" s="4">
        <f>AC13/AB13-1</f>
        <v>-0.15908858497940093</v>
      </c>
    </row>
    <row r="14" spans="1:30" ht="13.9" customHeight="1">
      <c r="A14" t="s">
        <v>1061</v>
      </c>
      <c r="B14" t="s">
        <v>1062</v>
      </c>
      <c r="C14">
        <v>1993</v>
      </c>
      <c r="E14" t="s">
        <v>1062</v>
      </c>
      <c r="F14">
        <v>1765</v>
      </c>
      <c r="G14" t="b">
        <f>IF(B14=E14,TRUE,FALSE)</f>
        <v>1</v>
      </c>
      <c r="J14">
        <f>F14-C14</f>
        <v>-228</v>
      </c>
      <c r="K14" s="4">
        <f>F14/C14-1</f>
        <v>-0.11440040140491725</v>
      </c>
      <c r="L14" s="4"/>
      <c r="N14" s="5">
        <v>3541.81</v>
      </c>
      <c r="O14" s="5">
        <v>1896.78</v>
      </c>
      <c r="Q14" s="5">
        <v>13778.44</v>
      </c>
      <c r="T14" s="116">
        <f>O14-N14</f>
        <v>-1645.03</v>
      </c>
      <c r="U14" s="4">
        <f>IF(N14=0,0,O14/N14-1)</f>
        <v>-0.46446026184352074</v>
      </c>
      <c r="AB14" s="18">
        <v>77538.210000000006</v>
      </c>
      <c r="AC14" s="18">
        <v>68740.52</v>
      </c>
      <c r="AD14" s="4">
        <f>AC14/AB14-1</f>
        <v>-0.11346263990360372</v>
      </c>
    </row>
    <row r="15" spans="1:30" ht="13.9" customHeight="1">
      <c r="A15" t="s">
        <v>1063</v>
      </c>
      <c r="B15" t="s">
        <v>1064</v>
      </c>
      <c r="C15">
        <v>193</v>
      </c>
      <c r="E15" t="s">
        <v>1064</v>
      </c>
      <c r="F15">
        <v>8</v>
      </c>
      <c r="G15" t="b">
        <f>IF(B15=E15,TRUE,FALSE)</f>
        <v>1</v>
      </c>
      <c r="J15">
        <f>F15-C15</f>
        <v>-185</v>
      </c>
      <c r="K15" s="4">
        <f>F15/C15-1</f>
        <v>-0.95854922279792742</v>
      </c>
      <c r="L15" s="4"/>
      <c r="N15" s="5">
        <v>0</v>
      </c>
      <c r="O15" s="5">
        <v>0</v>
      </c>
      <c r="Q15" s="5">
        <v>0</v>
      </c>
      <c r="T15" s="116">
        <f>O15-N15</f>
        <v>0</v>
      </c>
      <c r="U15" s="4">
        <f>IF(N15=0,0,O15/N15-1)</f>
        <v>0</v>
      </c>
      <c r="AB15" s="18">
        <v>2993.31</v>
      </c>
      <c r="AC15" s="18">
        <v>127.92</v>
      </c>
      <c r="AD15" s="4">
        <f>AC15/AB15-1</f>
        <v>-0.95726470028162802</v>
      </c>
    </row>
    <row r="16" spans="1:30" ht="13.9" customHeight="1">
      <c r="A16" t="s">
        <v>1065</v>
      </c>
      <c r="B16" t="s">
        <v>1066</v>
      </c>
      <c r="C16">
        <v>1066</v>
      </c>
      <c r="E16" t="s">
        <v>1066</v>
      </c>
      <c r="F16">
        <v>886</v>
      </c>
      <c r="G16" t="b">
        <f>IF(B16=E16,TRUE,FALSE)</f>
        <v>1</v>
      </c>
      <c r="J16">
        <f>F16-C16</f>
        <v>-180</v>
      </c>
      <c r="K16" s="4">
        <f>F16/C16-1</f>
        <v>-0.16885553470919323</v>
      </c>
      <c r="L16" s="4"/>
      <c r="N16" s="5">
        <v>1545.48</v>
      </c>
      <c r="O16" s="5">
        <v>1378.74</v>
      </c>
      <c r="Q16" s="5">
        <v>10017.69</v>
      </c>
      <c r="T16" s="116">
        <f>O16-N16</f>
        <v>-166.74</v>
      </c>
      <c r="U16" s="4">
        <f>IF(N16=0,0,O16/N16-1)</f>
        <v>-0.1078888112431089</v>
      </c>
      <c r="AB16" s="18">
        <v>39858.53</v>
      </c>
      <c r="AC16" s="18">
        <v>33279.660000000003</v>
      </c>
      <c r="AD16" s="4">
        <f>AC16/AB16-1</f>
        <v>-0.16505551007525854</v>
      </c>
    </row>
    <row r="17" spans="1:30" ht="13.9" customHeight="1">
      <c r="A17" t="s">
        <v>1067</v>
      </c>
      <c r="B17" t="s">
        <v>1068</v>
      </c>
      <c r="C17">
        <v>1137</v>
      </c>
      <c r="E17" t="s">
        <v>1068</v>
      </c>
      <c r="F17">
        <v>971</v>
      </c>
      <c r="G17" t="b">
        <f>IF(B17=E17,TRUE,FALSE)</f>
        <v>1</v>
      </c>
      <c r="J17">
        <f>F17-C17</f>
        <v>-166</v>
      </c>
      <c r="K17" s="4">
        <f>F17/C17-1</f>
        <v>-0.14599824098504832</v>
      </c>
      <c r="L17" s="4"/>
      <c r="N17" s="5">
        <v>1066.4000000000001</v>
      </c>
      <c r="O17" s="5">
        <v>903.94</v>
      </c>
      <c r="Q17" s="5">
        <v>5325.79</v>
      </c>
      <c r="T17" s="116">
        <f>O17-N17</f>
        <v>-162.46000000000004</v>
      </c>
      <c r="U17" s="4">
        <f>IF(N17=0,0,O17/N17-1)</f>
        <v>-0.15234433608402098</v>
      </c>
      <c r="AB17" s="18">
        <v>22706.84</v>
      </c>
      <c r="AC17" s="18">
        <v>19408.490000000002</v>
      </c>
      <c r="AD17" s="4">
        <f>AC17/AB17-1</f>
        <v>-0.14525799274579809</v>
      </c>
    </row>
    <row r="18" spans="1:30" ht="13.9" customHeight="1">
      <c r="A18" s="56" t="s">
        <v>1069</v>
      </c>
      <c r="B18" s="37" t="s">
        <v>1070</v>
      </c>
      <c r="C18">
        <v>169</v>
      </c>
      <c r="E18" s="37" t="s">
        <v>1070</v>
      </c>
      <c r="F18">
        <v>13</v>
      </c>
      <c r="G18" t="b">
        <f>IF(B18=E18,TRUE,FALSE)</f>
        <v>1</v>
      </c>
      <c r="J18">
        <f>F18-C18</f>
        <v>-156</v>
      </c>
      <c r="K18" s="4">
        <f>F18/C18-1</f>
        <v>-0.92307692307692313</v>
      </c>
      <c r="L18" s="4"/>
      <c r="N18" s="5">
        <v>804.68</v>
      </c>
      <c r="O18" s="5">
        <v>22.2</v>
      </c>
      <c r="Q18" s="5">
        <v>139.94999999999999</v>
      </c>
      <c r="T18" s="116">
        <f>O18-N18</f>
        <v>-782.4799999999999</v>
      </c>
      <c r="U18" s="4">
        <f>IF(N18=0,0,O18/N18-1)</f>
        <v>-0.97241139334890891</v>
      </c>
      <c r="AB18" s="18">
        <v>4222.8100000000004</v>
      </c>
      <c r="AC18" s="18">
        <v>324.87</v>
      </c>
      <c r="AD18" s="4">
        <f>AC18/AB18-1</f>
        <v>-0.92306781503311774</v>
      </c>
    </row>
    <row r="19" spans="1:30" ht="13.9" customHeight="1">
      <c r="A19" t="s">
        <v>1071</v>
      </c>
      <c r="B19" t="s">
        <v>1072</v>
      </c>
      <c r="C19">
        <v>864</v>
      </c>
      <c r="E19" t="s">
        <v>1072</v>
      </c>
      <c r="F19">
        <v>716</v>
      </c>
      <c r="G19" t="b">
        <f>IF(B19=E19,TRUE,FALSE)</f>
        <v>1</v>
      </c>
      <c r="J19">
        <f>F19-C19</f>
        <v>-148</v>
      </c>
      <c r="K19" s="4">
        <f>F19/C19-1</f>
        <v>-0.17129629629629628</v>
      </c>
      <c r="L19" s="4"/>
      <c r="N19" s="5">
        <v>843.84</v>
      </c>
      <c r="O19" s="5">
        <v>765.39</v>
      </c>
      <c r="Q19" s="5">
        <v>2412.2399999999998</v>
      </c>
      <c r="T19" s="116">
        <f>O19-N19</f>
        <v>-78.450000000000045</v>
      </c>
      <c r="U19" s="4">
        <f>IF(N19=0,0,O19/N19-1)</f>
        <v>-9.2967861205915825E-2</v>
      </c>
      <c r="AB19" s="18">
        <v>17264.48</v>
      </c>
      <c r="AC19" s="18">
        <v>14332.19</v>
      </c>
      <c r="AD19" s="4">
        <f>AC19/AB19-1</f>
        <v>-0.16984525453416488</v>
      </c>
    </row>
    <row r="20" spans="1:30" ht="13.9" customHeight="1">
      <c r="A20" t="s">
        <v>1073</v>
      </c>
      <c r="B20" t="s">
        <v>1074</v>
      </c>
      <c r="C20">
        <v>140</v>
      </c>
      <c r="E20" t="s">
        <v>1074</v>
      </c>
      <c r="F20">
        <v>6</v>
      </c>
      <c r="G20" t="b">
        <f>IF(B20=E20,TRUE,FALSE)</f>
        <v>1</v>
      </c>
      <c r="J20">
        <f>F20-C20</f>
        <v>-134</v>
      </c>
      <c r="K20" s="4">
        <f>F20/C20-1</f>
        <v>-0.95714285714285718</v>
      </c>
      <c r="L20" s="4"/>
      <c r="N20" s="5">
        <v>119.56</v>
      </c>
      <c r="O20" s="5">
        <v>0</v>
      </c>
      <c r="Q20" s="5">
        <v>0</v>
      </c>
      <c r="T20" s="116">
        <f>O20-N20</f>
        <v>-119.56</v>
      </c>
      <c r="U20" s="4">
        <f>IF(N20=0,0,O20/N20-1)</f>
        <v>-1</v>
      </c>
      <c r="X20" t="s">
        <v>1075</v>
      </c>
      <c r="AB20" s="18">
        <v>2798.6</v>
      </c>
      <c r="AC20" s="18">
        <v>119.94</v>
      </c>
      <c r="AD20" s="4">
        <f>AC20/AB20-1</f>
        <v>-0.95714285714285718</v>
      </c>
    </row>
    <row r="21" spans="1:30" ht="13.9" customHeight="1">
      <c r="A21" s="55" t="s">
        <v>1076</v>
      </c>
      <c r="B21" s="37" t="s">
        <v>1077</v>
      </c>
      <c r="C21">
        <v>1023</v>
      </c>
      <c r="E21" s="37" t="s">
        <v>1077</v>
      </c>
      <c r="F21">
        <v>890</v>
      </c>
      <c r="G21" t="b">
        <f>IF(B21=E21,TRUE,FALSE)</f>
        <v>1</v>
      </c>
      <c r="J21">
        <f>F21-C21</f>
        <v>-133</v>
      </c>
      <c r="K21" s="4">
        <f>F21/C21-1</f>
        <v>-0.13000977517106549</v>
      </c>
      <c r="L21" s="4"/>
      <c r="N21" s="5">
        <v>2097.7600000000002</v>
      </c>
      <c r="O21" s="5">
        <v>1570.13</v>
      </c>
      <c r="Q21" s="5">
        <v>7369.87</v>
      </c>
      <c r="T21" s="116">
        <f>O21-N21</f>
        <v>-527.63000000000011</v>
      </c>
      <c r="U21" s="4">
        <f>IF(N21=0,0,O21/N21-1)</f>
        <v>-0.25152066966669206</v>
      </c>
      <c r="AB21" s="18">
        <v>17380.77</v>
      </c>
      <c r="AC21" s="18">
        <v>16185.1</v>
      </c>
      <c r="AD21" s="4">
        <f>AC21/AB21-1</f>
        <v>-6.8792694454848702E-2</v>
      </c>
    </row>
    <row r="22" spans="1:30" ht="13.9" customHeight="1">
      <c r="A22" t="s">
        <v>1078</v>
      </c>
      <c r="B22" t="s">
        <v>1079</v>
      </c>
      <c r="C22">
        <v>993</v>
      </c>
      <c r="E22" t="s">
        <v>1079</v>
      </c>
      <c r="F22">
        <v>876</v>
      </c>
      <c r="G22" t="b">
        <f>IF(B22=E22,TRUE,FALSE)</f>
        <v>1</v>
      </c>
      <c r="J22">
        <f>F22-C22</f>
        <v>-117</v>
      </c>
      <c r="K22" s="4">
        <f>F22/C22-1</f>
        <v>-0.1178247734138973</v>
      </c>
      <c r="L22" s="4"/>
      <c r="N22" s="5">
        <v>1303.75</v>
      </c>
      <c r="O22" s="5">
        <v>1279.46</v>
      </c>
      <c r="Q22" s="5">
        <v>6583.64</v>
      </c>
      <c r="T22" s="116">
        <f>O22-N22</f>
        <v>-24.289999999999964</v>
      </c>
      <c r="U22" s="4">
        <f>IF(N22=0,0,O22/N22-1)</f>
        <v>-1.8630872483221483E-2</v>
      </c>
      <c r="AB22" s="18">
        <v>23819.67</v>
      </c>
      <c r="AC22" s="18">
        <v>21014.28</v>
      </c>
      <c r="AD22" s="4">
        <f>AC22/AB22-1</f>
        <v>-0.11777619085402946</v>
      </c>
    </row>
    <row r="23" spans="1:30" ht="13.9" customHeight="1">
      <c r="A23" s="55" t="s">
        <v>1080</v>
      </c>
      <c r="B23" s="145" t="s">
        <v>1081</v>
      </c>
      <c r="C23">
        <v>395</v>
      </c>
      <c r="E23" s="145" t="s">
        <v>1081</v>
      </c>
      <c r="F23">
        <v>283</v>
      </c>
      <c r="G23" t="b">
        <f>IF(B23=E23,TRUE,FALSE)</f>
        <v>1</v>
      </c>
      <c r="J23">
        <f>F23-C23</f>
        <v>-112</v>
      </c>
      <c r="K23" s="4">
        <f>F23/C23-1</f>
        <v>-0.28354430379746831</v>
      </c>
      <c r="L23" s="4"/>
      <c r="N23" s="5">
        <v>553.41</v>
      </c>
      <c r="O23" s="5">
        <v>520.92999999999995</v>
      </c>
      <c r="Q23" s="5">
        <v>3282.6</v>
      </c>
      <c r="T23" s="116">
        <f>O23-N23</f>
        <v>-32.480000000000018</v>
      </c>
      <c r="U23" s="4">
        <f>IF(N23=0,0,O23/N23-1)</f>
        <v>-5.8690663341826155E-2</v>
      </c>
      <c r="AB23" s="18">
        <v>8174.56</v>
      </c>
      <c r="AC23" s="18">
        <v>5967.17</v>
      </c>
      <c r="AD23" s="4">
        <f>AC23/AB23-1</f>
        <v>-0.27003165919633598</v>
      </c>
    </row>
    <row r="24" spans="1:30" ht="13.9" customHeight="1">
      <c r="A24" t="s">
        <v>1082</v>
      </c>
      <c r="B24" t="s">
        <v>1083</v>
      </c>
      <c r="C24">
        <v>475</v>
      </c>
      <c r="E24" t="s">
        <v>1083</v>
      </c>
      <c r="F24">
        <v>366</v>
      </c>
      <c r="G24" t="b">
        <f>IF(B24=E24,TRUE,FALSE)</f>
        <v>1</v>
      </c>
      <c r="J24">
        <f>F24-C24</f>
        <v>-109</v>
      </c>
      <c r="K24" s="4">
        <f>F24/C24-1</f>
        <v>-0.22947368421052627</v>
      </c>
      <c r="L24" s="6"/>
      <c r="N24" s="5">
        <v>426.99</v>
      </c>
      <c r="O24" s="5">
        <v>373.63</v>
      </c>
      <c r="Q24" s="5">
        <v>2641.21</v>
      </c>
      <c r="T24" s="116">
        <f>O24-N24</f>
        <v>-53.360000000000014</v>
      </c>
      <c r="U24" s="4">
        <f>IF(N24=0,0,O24/N24-1)</f>
        <v>-0.12496779784069889</v>
      </c>
      <c r="AB24" s="18">
        <v>10441.51</v>
      </c>
      <c r="AC24" s="18">
        <v>8046.8</v>
      </c>
      <c r="AD24" s="4">
        <f>AC24/AB24-1</f>
        <v>-0.22934518091731948</v>
      </c>
    </row>
    <row r="25" spans="1:30" ht="13.9" customHeight="1">
      <c r="A25" t="s">
        <v>1084</v>
      </c>
      <c r="B25" t="s">
        <v>1085</v>
      </c>
      <c r="C25">
        <v>2544</v>
      </c>
      <c r="E25" t="s">
        <v>1085</v>
      </c>
      <c r="F25">
        <v>2440</v>
      </c>
      <c r="G25" t="b">
        <f>IF(B25=E25,TRUE,FALSE)</f>
        <v>1</v>
      </c>
      <c r="J25">
        <f>F25-C25</f>
        <v>-104</v>
      </c>
      <c r="K25" s="4">
        <f>F25/C25-1</f>
        <v>-4.0880503144654079E-2</v>
      </c>
      <c r="L25" s="6"/>
      <c r="N25" s="5">
        <v>2374.85</v>
      </c>
      <c r="O25" s="5">
        <v>2037.3</v>
      </c>
      <c r="Q25" s="5">
        <v>11279.68</v>
      </c>
      <c r="T25" s="116">
        <f>O25-N25</f>
        <v>-337.54999999999995</v>
      </c>
      <c r="U25" s="4">
        <f>IF(N25=0,0,O25/N25-1)</f>
        <v>-0.14213529275533188</v>
      </c>
      <c r="AB25" s="18">
        <v>63467.3</v>
      </c>
      <c r="AC25" s="18">
        <v>60820.85</v>
      </c>
      <c r="AD25" s="4">
        <f>AC25/AB25-1</f>
        <v>-4.169785070422094E-2</v>
      </c>
    </row>
    <row r="26" spans="1:30">
      <c r="A26" t="s">
        <v>1086</v>
      </c>
      <c r="B26" t="s">
        <v>1087</v>
      </c>
      <c r="C26">
        <v>1559</v>
      </c>
      <c r="E26" t="s">
        <v>1087</v>
      </c>
      <c r="F26">
        <v>1465</v>
      </c>
      <c r="G26" t="b">
        <f>IF(B26=E26,TRUE,FALSE)</f>
        <v>1</v>
      </c>
      <c r="J26">
        <f>F26-C26</f>
        <v>-94</v>
      </c>
      <c r="K26" s="4">
        <f>F26/C26-1</f>
        <v>-6.0295060936497724E-2</v>
      </c>
      <c r="L26" s="4"/>
      <c r="N26" s="5">
        <v>2170.8200000000002</v>
      </c>
      <c r="O26" s="5">
        <v>1918.63</v>
      </c>
      <c r="Q26" s="5">
        <v>13058.66</v>
      </c>
      <c r="T26" s="116">
        <f>O26-N26</f>
        <v>-252.19000000000005</v>
      </c>
      <c r="U26" s="4">
        <f>IF(N26=0,0,O26/N26-1)</f>
        <v>-0.11617269050404921</v>
      </c>
      <c r="AB26" s="18">
        <v>34572.54</v>
      </c>
      <c r="AC26" s="18">
        <v>34250.6</v>
      </c>
      <c r="AD26" s="4">
        <f>AC26/AB26-1</f>
        <v>-9.31201467985876E-3</v>
      </c>
    </row>
    <row r="27" spans="1:30">
      <c r="A27" t="s">
        <v>1088</v>
      </c>
      <c r="B27" t="s">
        <v>1089</v>
      </c>
      <c r="C27">
        <v>220</v>
      </c>
      <c r="E27" t="s">
        <v>1089</v>
      </c>
      <c r="F27">
        <v>132</v>
      </c>
      <c r="G27" t="b">
        <f>IF(B27=E27,TRUE,FALSE)</f>
        <v>1</v>
      </c>
      <c r="J27">
        <f>F27-C27</f>
        <v>-88</v>
      </c>
      <c r="K27" s="4">
        <f>F27/C27-1</f>
        <v>-0.4</v>
      </c>
      <c r="L27" s="4"/>
      <c r="N27" s="5">
        <v>271.39999999999998</v>
      </c>
      <c r="O27" s="5">
        <v>141.25</v>
      </c>
      <c r="Q27" s="5">
        <v>958.24</v>
      </c>
      <c r="T27" s="116">
        <f>O27-N27</f>
        <v>-130.14999999999998</v>
      </c>
      <c r="U27" s="4">
        <f>IF(N27=0,0,O27/N27-1)</f>
        <v>-0.47955047899778924</v>
      </c>
      <c r="AB27" s="18">
        <v>4836.7</v>
      </c>
      <c r="AC27" s="18">
        <v>2901.36</v>
      </c>
      <c r="AD27" s="4">
        <f>AC27/AB27-1</f>
        <v>-0.40013645667500564</v>
      </c>
    </row>
    <row r="28" spans="1:30">
      <c r="A28" t="s">
        <v>1090</v>
      </c>
      <c r="B28" t="s">
        <v>1091</v>
      </c>
      <c r="C28">
        <v>1246</v>
      </c>
      <c r="E28" t="s">
        <v>1091</v>
      </c>
      <c r="F28">
        <v>1173</v>
      </c>
      <c r="G28" t="b">
        <f>IF(B28=E28,TRUE,FALSE)</f>
        <v>1</v>
      </c>
      <c r="J28">
        <f>F28-C28</f>
        <v>-73</v>
      </c>
      <c r="K28" s="4">
        <f>F28/C28-1</f>
        <v>-5.8587479935794495E-2</v>
      </c>
      <c r="N28" s="5">
        <v>2247.5300000000002</v>
      </c>
      <c r="O28" s="5">
        <v>2007.98</v>
      </c>
      <c r="Q28" s="5">
        <v>12668.84</v>
      </c>
      <c r="T28" s="116">
        <f>O28-N28</f>
        <v>-239.55000000000018</v>
      </c>
      <c r="U28" s="4">
        <f>IF(N28=0,0,O28/N28-1)</f>
        <v>-0.10658367185310103</v>
      </c>
      <c r="X28" s="5"/>
      <c r="Y28" s="5"/>
      <c r="Z28" s="5"/>
      <c r="AA28" s="17"/>
      <c r="AB28" s="18">
        <v>48453.65</v>
      </c>
      <c r="AC28" s="18">
        <v>45690.04</v>
      </c>
      <c r="AD28" s="4">
        <f>AC28/AB28-1</f>
        <v>-5.7036157234800711E-2</v>
      </c>
    </row>
    <row r="29" spans="1:30">
      <c r="A29" t="s">
        <v>1092</v>
      </c>
      <c r="B29" t="s">
        <v>1093</v>
      </c>
      <c r="C29">
        <v>1225</v>
      </c>
      <c r="E29" t="s">
        <v>1093</v>
      </c>
      <c r="F29">
        <v>1163</v>
      </c>
      <c r="G29" t="b">
        <f>IF(B29=E29,TRUE,FALSE)</f>
        <v>1</v>
      </c>
      <c r="J29">
        <f>F29-C29</f>
        <v>-62</v>
      </c>
      <c r="K29" s="4">
        <f>F29/C29-1</f>
        <v>-5.0612244897959235E-2</v>
      </c>
      <c r="L29" s="4"/>
      <c r="N29" s="5">
        <v>1189.3900000000001</v>
      </c>
      <c r="O29" s="5">
        <v>843.36</v>
      </c>
      <c r="Q29" s="5">
        <v>5092.3900000000003</v>
      </c>
      <c r="T29" s="116">
        <f>O29-N29</f>
        <v>-346.03000000000009</v>
      </c>
      <c r="U29" s="4">
        <f>IF(N29=0,0,O29/N29-1)</f>
        <v>-0.29093064512060807</v>
      </c>
      <c r="X29" t="s">
        <v>1094</v>
      </c>
      <c r="AB29" s="18">
        <v>24485.75</v>
      </c>
      <c r="AC29" s="18">
        <v>23245.57</v>
      </c>
      <c r="AD29" s="4">
        <f>AC29/AB29-1</f>
        <v>-5.0649050978630483E-2</v>
      </c>
    </row>
    <row r="30" spans="1:30">
      <c r="A30" s="55" t="s">
        <v>1095</v>
      </c>
      <c r="B30" s="27" t="s">
        <v>1096</v>
      </c>
      <c r="C30">
        <v>888</v>
      </c>
      <c r="E30" s="27" t="s">
        <v>1096</v>
      </c>
      <c r="F30">
        <v>828</v>
      </c>
      <c r="G30" t="b">
        <f>IF(B30=E30,TRUE,FALSE)</f>
        <v>1</v>
      </c>
      <c r="J30">
        <f>F30-C30</f>
        <v>-60</v>
      </c>
      <c r="K30" s="4">
        <f>F30/C30-1</f>
        <v>-6.7567567567567544E-2</v>
      </c>
      <c r="L30" s="4"/>
      <c r="N30" s="5">
        <v>2281</v>
      </c>
      <c r="O30" s="5">
        <v>1810.68</v>
      </c>
      <c r="Q30" s="5">
        <v>8958.33</v>
      </c>
      <c r="T30" s="116">
        <f>O30-N30</f>
        <v>-470.31999999999994</v>
      </c>
      <c r="U30" s="4">
        <f>IF(N31=0,0,O30/N31-1)</f>
        <v>-0.68159725397238491</v>
      </c>
      <c r="AB30" s="18">
        <v>21300.959999999999</v>
      </c>
      <c r="AC30" s="18">
        <v>19862.52</v>
      </c>
      <c r="AD30" s="4">
        <f>AC30/AB30-1</f>
        <v>-6.7529350789823472E-2</v>
      </c>
    </row>
    <row r="31" spans="1:30">
      <c r="A31" t="s">
        <v>1097</v>
      </c>
      <c r="B31" t="s">
        <v>1098</v>
      </c>
      <c r="C31">
        <v>3031</v>
      </c>
      <c r="E31" t="s">
        <v>1098</v>
      </c>
      <c r="F31">
        <v>2974</v>
      </c>
      <c r="G31" t="b">
        <f>IF(B31=E31,TRUE,FALSE)</f>
        <v>1</v>
      </c>
      <c r="J31">
        <f>F31-C31</f>
        <v>-57</v>
      </c>
      <c r="K31" s="4">
        <f>F31/C31-1</f>
        <v>-1.8805674694820196E-2</v>
      </c>
      <c r="L31" s="4"/>
      <c r="N31" s="5">
        <v>5686.76</v>
      </c>
      <c r="O31" s="5">
        <v>4932.99</v>
      </c>
      <c r="Q31" s="5">
        <v>22854.09</v>
      </c>
      <c r="T31" s="116">
        <f>O31-N31</f>
        <v>-753.77000000000044</v>
      </c>
      <c r="U31" s="4">
        <f>IF(N31=0,0,O31/N31-1)</f>
        <v>-0.13254823484725931</v>
      </c>
      <c r="AB31" s="18">
        <v>75732.69</v>
      </c>
      <c r="AC31" s="18">
        <v>70222.28</v>
      </c>
      <c r="AD31" s="4">
        <f>AC31/AB31-1</f>
        <v>-7.2761313509397407E-2</v>
      </c>
    </row>
    <row r="32" spans="1:30">
      <c r="A32" t="s">
        <v>1099</v>
      </c>
      <c r="B32" t="s">
        <v>1100</v>
      </c>
      <c r="C32">
        <v>1229</v>
      </c>
      <c r="E32" t="s">
        <v>1100</v>
      </c>
      <c r="F32">
        <v>1175</v>
      </c>
      <c r="G32" t="b">
        <f>IF(B32=E32,TRUE,FALSE)</f>
        <v>1</v>
      </c>
      <c r="J32">
        <f>F32-C32</f>
        <v>-54</v>
      </c>
      <c r="K32" s="4">
        <f>F32/C32-1</f>
        <v>-4.3938161106590767E-2</v>
      </c>
      <c r="L32" s="4"/>
      <c r="N32" s="5">
        <v>1018.51</v>
      </c>
      <c r="O32" s="5">
        <v>1071.57</v>
      </c>
      <c r="Q32" s="5">
        <v>6880.57</v>
      </c>
      <c r="T32" s="116">
        <f>O32-N32</f>
        <v>53.059999999999945</v>
      </c>
      <c r="U32" s="4">
        <f>IF(N32=0,0,O32/N32-1)</f>
        <v>5.2095708436834087E-2</v>
      </c>
      <c r="AB32" s="18">
        <v>23336.81</v>
      </c>
      <c r="AC32" s="18">
        <v>22311.35</v>
      </c>
      <c r="AD32" s="4">
        <f>AC32/AB32-1</f>
        <v>-4.394173839526494E-2</v>
      </c>
    </row>
    <row r="33" spans="1:30">
      <c r="A33" t="s">
        <v>1101</v>
      </c>
      <c r="B33" t="s">
        <v>1102</v>
      </c>
      <c r="C33">
        <v>614</v>
      </c>
      <c r="E33" t="s">
        <v>1102</v>
      </c>
      <c r="F33">
        <v>563</v>
      </c>
      <c r="G33" t="b">
        <f>IF(B33=E33,TRUE,FALSE)</f>
        <v>1</v>
      </c>
      <c r="J33">
        <f>F33-C33</f>
        <v>-51</v>
      </c>
      <c r="K33" s="4">
        <f>F33/C33-1</f>
        <v>-8.3061889250814369E-2</v>
      </c>
      <c r="L33" s="4"/>
      <c r="N33" s="5">
        <v>482.05</v>
      </c>
      <c r="O33" s="5">
        <v>467.49</v>
      </c>
      <c r="Q33" s="5">
        <v>4448.8999999999996</v>
      </c>
      <c r="T33" s="116">
        <f>O33-N33</f>
        <v>-14.560000000000002</v>
      </c>
      <c r="U33" s="4">
        <f>IF(N33=0,0,O33/N33-1)</f>
        <v>-3.0204335649828828E-2</v>
      </c>
      <c r="AB33" s="18">
        <v>18408.759999999998</v>
      </c>
      <c r="AC33" s="18">
        <v>16849.28</v>
      </c>
      <c r="AD33" s="4">
        <f>AC33/AB33-1</f>
        <v>-8.4714016587754903E-2</v>
      </c>
    </row>
    <row r="34" spans="1:30">
      <c r="A34" t="s">
        <v>1103</v>
      </c>
      <c r="B34" t="s">
        <v>1104</v>
      </c>
      <c r="C34">
        <v>1155</v>
      </c>
      <c r="E34" t="s">
        <v>1104</v>
      </c>
      <c r="F34">
        <v>1105</v>
      </c>
      <c r="G34" t="b">
        <f>IF(B34=E34,TRUE,FALSE)</f>
        <v>1</v>
      </c>
      <c r="J34">
        <f>F34-C34</f>
        <v>-50</v>
      </c>
      <c r="K34" s="4">
        <f>F34/C34-1</f>
        <v>-4.3290043290043267E-2</v>
      </c>
      <c r="L34" s="4"/>
      <c r="N34" s="5">
        <v>1359.98</v>
      </c>
      <c r="O34" s="5">
        <v>1377.37</v>
      </c>
      <c r="Q34" s="5">
        <v>4863.6899999999996</v>
      </c>
      <c r="T34" s="116">
        <f>O34-N34</f>
        <v>17.389999999999873</v>
      </c>
      <c r="U34" s="4">
        <f>IF(N34=0,0,O34/N34-1)</f>
        <v>1.278695274930497E-2</v>
      </c>
      <c r="AB34" s="18">
        <v>28858.45</v>
      </c>
      <c r="AC34" s="18">
        <v>27584.959999999999</v>
      </c>
      <c r="AD34" s="4">
        <f>AC34/AB34-1</f>
        <v>-4.4128842678660907E-2</v>
      </c>
    </row>
    <row r="35" spans="1:30">
      <c r="A35" t="s">
        <v>1105</v>
      </c>
      <c r="B35" t="s">
        <v>1106</v>
      </c>
      <c r="C35">
        <v>799</v>
      </c>
      <c r="E35" t="s">
        <v>1106</v>
      </c>
      <c r="F35">
        <v>766</v>
      </c>
      <c r="G35" t="b">
        <f>IF(B35=E35,TRUE,FALSE)</f>
        <v>1</v>
      </c>
      <c r="J35">
        <f>F35-C35</f>
        <v>-33</v>
      </c>
      <c r="K35" s="4">
        <f>F35/C35-1</f>
        <v>-4.1301627033792254E-2</v>
      </c>
      <c r="L35" s="4"/>
      <c r="N35" s="5">
        <v>770.42</v>
      </c>
      <c r="O35" s="5">
        <v>1174.81</v>
      </c>
      <c r="Q35" s="5">
        <v>4692.6400000000003</v>
      </c>
      <c r="T35" s="116">
        <f>O35-N35</f>
        <v>404.39</v>
      </c>
      <c r="U35" s="4">
        <f>IF(N35=0,0,O35/N35-1)</f>
        <v>0.52489551153916048</v>
      </c>
      <c r="AB35" s="18">
        <v>11146.05</v>
      </c>
      <c r="AC35" s="18">
        <v>11178.87</v>
      </c>
      <c r="AD35" s="4">
        <f>AC35/AB35-1</f>
        <v>2.9445408911679127E-3</v>
      </c>
    </row>
    <row r="36" spans="1:30">
      <c r="A36" t="s">
        <v>1107</v>
      </c>
      <c r="B36" t="s">
        <v>1108</v>
      </c>
      <c r="C36">
        <v>518</v>
      </c>
      <c r="E36" t="s">
        <v>1108</v>
      </c>
      <c r="F36">
        <v>491</v>
      </c>
      <c r="G36" t="b">
        <f>IF(B36=E36,TRUE,FALSE)</f>
        <v>1</v>
      </c>
      <c r="J36">
        <f>F36-C36</f>
        <v>-27</v>
      </c>
      <c r="K36" s="4">
        <f>F36/C36-1</f>
        <v>-5.212355212355213E-2</v>
      </c>
      <c r="L36" s="4"/>
      <c r="N36" s="5">
        <v>806.86</v>
      </c>
      <c r="O36" s="5">
        <v>361.43</v>
      </c>
      <c r="Q36" s="5">
        <v>2171.83</v>
      </c>
      <c r="T36" s="116">
        <f>O36-N36</f>
        <v>-445.43</v>
      </c>
      <c r="U36" s="4">
        <f>IF(N36=0,0,O36/N36-1)</f>
        <v>-0.55205364003668544</v>
      </c>
      <c r="AB36" s="18">
        <v>8778.74</v>
      </c>
      <c r="AC36" s="18">
        <v>8331.65</v>
      </c>
      <c r="AD36" s="4">
        <f>AC36/AB36-1</f>
        <v>-5.0928720978181352E-2</v>
      </c>
    </row>
    <row r="37" spans="1:30">
      <c r="A37" t="s">
        <v>1109</v>
      </c>
      <c r="B37" t="s">
        <v>1110</v>
      </c>
      <c r="C37">
        <v>1077</v>
      </c>
      <c r="E37" t="s">
        <v>1110</v>
      </c>
      <c r="F37">
        <v>1050</v>
      </c>
      <c r="G37" t="b">
        <f>IF(B37=E37,TRUE,FALSE)</f>
        <v>1</v>
      </c>
      <c r="J37">
        <f>F37-C37</f>
        <v>-27</v>
      </c>
      <c r="K37" s="4">
        <f>F37/C37-1</f>
        <v>-2.5069637883008311E-2</v>
      </c>
      <c r="L37" s="4"/>
      <c r="N37" s="5">
        <v>1220.92</v>
      </c>
      <c r="O37" s="5">
        <v>1065.5899999999999</v>
      </c>
      <c r="Q37" s="5">
        <v>7659.31</v>
      </c>
      <c r="T37" s="116">
        <f>O37-N37</f>
        <v>-155.33000000000015</v>
      </c>
      <c r="U37" s="4">
        <f>IF(N37=0,0,O37/N37-1)</f>
        <v>-0.12722373292271416</v>
      </c>
      <c r="AB37" s="18">
        <v>18293.36</v>
      </c>
      <c r="AC37" s="18">
        <v>17836.439999999999</v>
      </c>
      <c r="AD37" s="4">
        <f>AC37/AB37-1</f>
        <v>-2.497736883765489E-2</v>
      </c>
    </row>
    <row r="38" spans="1:30">
      <c r="A38" t="s">
        <v>1111</v>
      </c>
      <c r="B38" t="s">
        <v>1112</v>
      </c>
      <c r="C38">
        <v>1410</v>
      </c>
      <c r="E38" t="s">
        <v>1112</v>
      </c>
      <c r="F38">
        <v>1390</v>
      </c>
      <c r="G38" t="b">
        <f>IF(B38=E38,TRUE,FALSE)</f>
        <v>1</v>
      </c>
      <c r="J38">
        <f>F38-C38</f>
        <v>-20</v>
      </c>
      <c r="K38" s="4">
        <f>F38/C38-1</f>
        <v>-1.4184397163120588E-2</v>
      </c>
      <c r="L38" s="6"/>
      <c r="N38" s="5">
        <v>2182.37</v>
      </c>
      <c r="O38" s="5">
        <v>2222.56</v>
      </c>
      <c r="Q38" s="5">
        <v>12280.54</v>
      </c>
      <c r="T38" s="116">
        <f>O38-N38</f>
        <v>40.190000000000055</v>
      </c>
      <c r="U38" s="4">
        <f>IF(N38=0,0,O38/N38-1)</f>
        <v>1.8415759014282607E-2</v>
      </c>
      <c r="AB38" s="18">
        <v>40839.949999999997</v>
      </c>
      <c r="AC38" s="18">
        <v>40292.33</v>
      </c>
      <c r="AD38" s="4">
        <f>AC38/AB38-1</f>
        <v>-1.340892924697501E-2</v>
      </c>
    </row>
    <row r="39" spans="1:30">
      <c r="A39" t="s">
        <v>1113</v>
      </c>
      <c r="B39" t="s">
        <v>1114</v>
      </c>
      <c r="C39">
        <v>13</v>
      </c>
      <c r="E39" t="s">
        <v>1114</v>
      </c>
      <c r="F39">
        <v>1</v>
      </c>
      <c r="G39" t="b">
        <f>IF(B39=E39,TRUE,FALSE)</f>
        <v>1</v>
      </c>
      <c r="J39">
        <f>F39-C39</f>
        <v>-12</v>
      </c>
      <c r="K39" s="4">
        <f>F39/C39-1</f>
        <v>-0.92307692307692313</v>
      </c>
      <c r="L39" s="4"/>
      <c r="N39" s="5">
        <v>13.85</v>
      </c>
      <c r="O39" s="5">
        <v>0</v>
      </c>
      <c r="Q39" s="5">
        <v>0</v>
      </c>
      <c r="T39" s="116">
        <f>O39-N39</f>
        <v>-13.85</v>
      </c>
      <c r="U39" s="4">
        <f>IF(N39=0,0,O39/N39-1)</f>
        <v>-1</v>
      </c>
      <c r="AB39" s="18">
        <v>505.96</v>
      </c>
      <c r="AC39" s="18">
        <v>38.950000000000003</v>
      </c>
      <c r="AD39" s="4">
        <f>AC39/AB39-1</f>
        <v>-0.92301762985216218</v>
      </c>
    </row>
    <row r="40" spans="1:30">
      <c r="A40" t="s">
        <v>1115</v>
      </c>
      <c r="B40" t="s">
        <v>1116</v>
      </c>
      <c r="C40">
        <v>984</v>
      </c>
      <c r="E40" t="s">
        <v>1116</v>
      </c>
      <c r="F40">
        <v>973</v>
      </c>
      <c r="G40" t="b">
        <f>IF(B40=E40,TRUE,FALSE)</f>
        <v>1</v>
      </c>
      <c r="J40">
        <f>F40-C40</f>
        <v>-11</v>
      </c>
      <c r="K40" s="4">
        <f>F40/C40-1</f>
        <v>-1.1178861788617933E-2</v>
      </c>
      <c r="L40" s="4"/>
      <c r="N40" s="5">
        <v>2135.5100000000002</v>
      </c>
      <c r="O40" s="5">
        <v>1802.74</v>
      </c>
      <c r="Q40" s="5">
        <v>7884.02</v>
      </c>
      <c r="T40" s="116">
        <f>O40-N40</f>
        <v>-332.77000000000021</v>
      </c>
      <c r="U40" s="4">
        <f>IF(N40=0,0,O40/N40-1)</f>
        <v>-0.15582694531985342</v>
      </c>
      <c r="AB40" s="18">
        <v>23580.01</v>
      </c>
      <c r="AC40" s="18">
        <v>23339.63</v>
      </c>
      <c r="AD40" s="4">
        <f>AC40/AB40-1</f>
        <v>-1.0194228077087253E-2</v>
      </c>
    </row>
    <row r="41" spans="1:30">
      <c r="A41" t="s">
        <v>1117</v>
      </c>
      <c r="B41" t="s">
        <v>1118</v>
      </c>
      <c r="C41">
        <v>657</v>
      </c>
      <c r="E41" t="s">
        <v>1118</v>
      </c>
      <c r="F41">
        <v>647</v>
      </c>
      <c r="G41" t="b">
        <f>IF(B41=E41,TRUE,FALSE)</f>
        <v>1</v>
      </c>
      <c r="J41">
        <f>F41-C41</f>
        <v>-10</v>
      </c>
      <c r="K41" s="4">
        <f>F41/C41-1</f>
        <v>-1.5220700152207001E-2</v>
      </c>
      <c r="L41" s="4"/>
      <c r="N41" s="5">
        <v>1016.94</v>
      </c>
      <c r="O41" s="5">
        <v>873.73</v>
      </c>
      <c r="Q41" s="5">
        <v>3187.68</v>
      </c>
      <c r="T41" s="116">
        <f>O41-N41</f>
        <v>-143.21000000000004</v>
      </c>
      <c r="U41" s="4">
        <f>IF(N41=0,0,O41/N41-1)</f>
        <v>-0.14082443408657352</v>
      </c>
      <c r="X41" t="s">
        <v>1119</v>
      </c>
      <c r="AB41" s="18">
        <v>13112.32</v>
      </c>
      <c r="AC41" s="18">
        <v>12913.32</v>
      </c>
      <c r="AD41" s="4">
        <f>AC41/AB41-1</f>
        <v>-1.517656677079271E-2</v>
      </c>
    </row>
    <row r="42" spans="1:30">
      <c r="A42" t="s">
        <v>1120</v>
      </c>
      <c r="B42" t="s">
        <v>1121</v>
      </c>
      <c r="C42">
        <v>1122</v>
      </c>
      <c r="E42" t="s">
        <v>1121</v>
      </c>
      <c r="F42">
        <v>1113</v>
      </c>
      <c r="G42" t="b">
        <f>IF(B42=E42,TRUE,FALSE)</f>
        <v>1</v>
      </c>
      <c r="J42">
        <f>F42-C42</f>
        <v>-9</v>
      </c>
      <c r="K42" s="4">
        <f>F42/C42-1</f>
        <v>-8.0213903743315829E-3</v>
      </c>
      <c r="L42" s="4"/>
      <c r="N42" s="5">
        <v>1612.08</v>
      </c>
      <c r="O42" s="5">
        <v>1707.9</v>
      </c>
      <c r="Q42" s="5">
        <v>11345.2</v>
      </c>
      <c r="T42" s="116">
        <f>O42-N42</f>
        <v>95.820000000000164</v>
      </c>
      <c r="U42" s="4">
        <f>IF(N42=0,0,O42/N42-1)</f>
        <v>5.943873753163631E-2</v>
      </c>
      <c r="AB42" s="18">
        <v>33642.78</v>
      </c>
      <c r="AC42" s="18">
        <v>31761.87</v>
      </c>
      <c r="AD42" s="4">
        <f>AC42/AB42-1</f>
        <v>-5.5908281063574372E-2</v>
      </c>
    </row>
    <row r="43" spans="1:30">
      <c r="A43" s="27" t="s">
        <v>1122</v>
      </c>
      <c r="B43" s="27" t="s">
        <v>1123</v>
      </c>
      <c r="C43">
        <v>365</v>
      </c>
      <c r="E43" s="27" t="s">
        <v>1123</v>
      </c>
      <c r="F43">
        <v>359</v>
      </c>
      <c r="G43" t="b">
        <f>IF(B43=E43,TRUE,FALSE)</f>
        <v>1</v>
      </c>
      <c r="J43">
        <f>F43-C43</f>
        <v>-6</v>
      </c>
      <c r="K43" s="4">
        <f>F43/C43-1</f>
        <v>-1.6438356164383605E-2</v>
      </c>
      <c r="L43" s="4"/>
      <c r="N43" s="5">
        <v>417.37</v>
      </c>
      <c r="O43" s="5">
        <v>309.10000000000002</v>
      </c>
      <c r="Q43" s="5">
        <v>1421.88</v>
      </c>
      <c r="T43" s="116">
        <f>O43-N43</f>
        <v>-108.26999999999998</v>
      </c>
      <c r="U43" s="4">
        <f>IF(N43=0,0,O43/N43-1)</f>
        <v>-0.25941011572465678</v>
      </c>
      <c r="AB43" s="18">
        <v>6931.35</v>
      </c>
      <c r="AC43" s="18">
        <v>6817.03</v>
      </c>
      <c r="AD43" s="4">
        <f>AC43/AB43-1</f>
        <v>-1.6493179539339486E-2</v>
      </c>
    </row>
    <row r="44" spans="1:30">
      <c r="A44" t="s">
        <v>1124</v>
      </c>
      <c r="B44" t="s">
        <v>1125</v>
      </c>
      <c r="C44">
        <v>3785</v>
      </c>
      <c r="E44" t="s">
        <v>1125</v>
      </c>
      <c r="F44">
        <v>3779</v>
      </c>
      <c r="G44" t="b">
        <f>IF(B44=E44,TRUE,FALSE)</f>
        <v>1</v>
      </c>
      <c r="J44">
        <f>F44-C44</f>
        <v>-6</v>
      </c>
      <c r="K44" s="4">
        <f>F44/C44-1</f>
        <v>-1.5852047556143001E-3</v>
      </c>
      <c r="L44" s="4"/>
      <c r="N44" s="5">
        <v>2038.27</v>
      </c>
      <c r="O44" s="5">
        <v>2520.17</v>
      </c>
      <c r="Q44" s="5">
        <v>16016.7</v>
      </c>
      <c r="T44" s="116">
        <f>O44-N44</f>
        <v>481.90000000000009</v>
      </c>
      <c r="U44" s="4">
        <f>IF(N44=0,0,O44/N44-1)</f>
        <v>0.23642598870610865</v>
      </c>
      <c r="X44" t="s">
        <v>1126</v>
      </c>
      <c r="AB44" s="18">
        <v>71399.02</v>
      </c>
      <c r="AC44" s="18">
        <v>82737.87</v>
      </c>
      <c r="AD44" s="4">
        <f>AC44/AB44-1</f>
        <v>0.1588096027088326</v>
      </c>
    </row>
    <row r="45" spans="1:30">
      <c r="A45" t="s">
        <v>1127</v>
      </c>
      <c r="B45" t="s">
        <v>1128</v>
      </c>
      <c r="C45">
        <v>910</v>
      </c>
      <c r="E45" t="s">
        <v>1128</v>
      </c>
      <c r="F45">
        <v>904</v>
      </c>
      <c r="G45" t="b">
        <f>IF(B45=E45,TRUE,FALSE)</f>
        <v>1</v>
      </c>
      <c r="J45">
        <f>F45-C45</f>
        <v>-6</v>
      </c>
      <c r="K45" s="4">
        <f>F45/C45-1</f>
        <v>-6.59340659340657E-3</v>
      </c>
      <c r="L45" s="4"/>
      <c r="N45" s="5">
        <v>1616.6</v>
      </c>
      <c r="O45" s="5">
        <v>1578.99</v>
      </c>
      <c r="Q45" s="5">
        <v>7880.95</v>
      </c>
      <c r="T45" s="116">
        <f>O45-N45</f>
        <v>-37.6099999999999</v>
      </c>
      <c r="U45" s="4">
        <f>IF(N45=0,0,O45/N45-1)</f>
        <v>-2.3264876902140186E-2</v>
      </c>
      <c r="AB45" s="18">
        <v>15459.71</v>
      </c>
      <c r="AC45" s="18">
        <v>15357.43</v>
      </c>
      <c r="AD45" s="4">
        <f>AC45/AB45-1</f>
        <v>-6.6159067666856641E-3</v>
      </c>
    </row>
    <row r="46" spans="1:30">
      <c r="A46" t="s">
        <v>1129</v>
      </c>
      <c r="B46" t="s">
        <v>1130</v>
      </c>
      <c r="C46">
        <v>526</v>
      </c>
      <c r="E46" t="s">
        <v>1130</v>
      </c>
      <c r="F46">
        <v>520</v>
      </c>
      <c r="G46" t="b">
        <f>IF(B46=E46,TRUE,FALSE)</f>
        <v>1</v>
      </c>
      <c r="J46">
        <f>F46-C46</f>
        <v>-6</v>
      </c>
      <c r="K46" s="4">
        <f>F46/C46-1</f>
        <v>-1.1406844106463865E-2</v>
      </c>
      <c r="L46" s="4"/>
      <c r="N46" s="5">
        <v>616.26</v>
      </c>
      <c r="O46" s="5">
        <v>614.02</v>
      </c>
      <c r="Q46" s="5">
        <v>3637.35</v>
      </c>
      <c r="T46" s="116">
        <f>O46-N46</f>
        <v>-2.2400000000000091</v>
      </c>
      <c r="U46" s="4">
        <f>IF(N46=0,0,O46/N46-1)</f>
        <v>-3.6348294551001858E-3</v>
      </c>
      <c r="AB46" s="18">
        <v>11564.32</v>
      </c>
      <c r="AC46" s="18">
        <v>11434.36</v>
      </c>
      <c r="AD46" s="4">
        <f>AC46/AB46-1</f>
        <v>-1.1238014859498824E-2</v>
      </c>
    </row>
    <row r="47" spans="1:30">
      <c r="A47" t="s">
        <v>1131</v>
      </c>
      <c r="B47" t="s">
        <v>1132</v>
      </c>
      <c r="C47">
        <v>258</v>
      </c>
      <c r="E47" t="s">
        <v>1132</v>
      </c>
      <c r="F47">
        <v>254</v>
      </c>
      <c r="G47" t="b">
        <f>IF(B47=E47,TRUE,FALSE)</f>
        <v>1</v>
      </c>
      <c r="J47">
        <f>F47-C47</f>
        <v>-4</v>
      </c>
      <c r="K47" s="4">
        <f>F47/C47-1</f>
        <v>-1.5503875968992276E-2</v>
      </c>
      <c r="L47" s="4"/>
      <c r="N47" s="5">
        <v>662.92</v>
      </c>
      <c r="O47" s="5">
        <v>611.54999999999995</v>
      </c>
      <c r="Q47" s="5">
        <v>4617.92</v>
      </c>
      <c r="T47" s="116">
        <f>O47-N47</f>
        <v>-51.370000000000005</v>
      </c>
      <c r="U47" s="4">
        <f>IF(N47=0,0,O47/N47-1)</f>
        <v>-7.7490496590840507E-2</v>
      </c>
      <c r="AB47" s="18">
        <v>7735.62</v>
      </c>
      <c r="AC47" s="18">
        <v>7614.76</v>
      </c>
      <c r="AD47" s="4">
        <f>AC47/AB47-1</f>
        <v>-1.5623828471408863E-2</v>
      </c>
    </row>
    <row r="48" spans="1:30">
      <c r="A48" t="s">
        <v>1133</v>
      </c>
      <c r="B48" t="s">
        <v>1134</v>
      </c>
      <c r="C48">
        <v>377</v>
      </c>
      <c r="E48" t="s">
        <v>1134</v>
      </c>
      <c r="F48">
        <v>375</v>
      </c>
      <c r="G48" t="b">
        <f>IF(B48=E48,TRUE,FALSE)</f>
        <v>1</v>
      </c>
      <c r="J48">
        <f>F48-C48</f>
        <v>-2</v>
      </c>
      <c r="K48" s="4">
        <f>F48/C48-1</f>
        <v>-5.3050397877983935E-3</v>
      </c>
      <c r="L48" s="4"/>
      <c r="N48" s="5">
        <v>131.4</v>
      </c>
      <c r="O48" s="5">
        <v>180.75</v>
      </c>
      <c r="Q48" s="5">
        <v>1036.08</v>
      </c>
      <c r="T48" s="116">
        <f>O48-N48</f>
        <v>49.349999999999994</v>
      </c>
      <c r="U48" s="4">
        <f>IF(N48=0,0,O48/N48-1)</f>
        <v>0.37557077625570767</v>
      </c>
      <c r="AB48" s="18">
        <v>8290.01</v>
      </c>
      <c r="AC48" s="18">
        <v>8223.6</v>
      </c>
      <c r="AD48" s="4">
        <f>AC48/AB48-1</f>
        <v>-8.0108467902934022E-3</v>
      </c>
    </row>
    <row r="49" spans="1:30">
      <c r="A49" t="s">
        <v>1135</v>
      </c>
      <c r="B49" t="s">
        <v>1136</v>
      </c>
      <c r="C49">
        <v>2</v>
      </c>
      <c r="E49" t="s">
        <v>1136</v>
      </c>
      <c r="F49">
        <v>1</v>
      </c>
      <c r="G49" t="b">
        <f>IF(B49=E49,TRUE,FALSE)</f>
        <v>1</v>
      </c>
      <c r="J49">
        <f>F49-C49</f>
        <v>-1</v>
      </c>
      <c r="K49" s="4">
        <f>F49/C49-1</f>
        <v>-0.5</v>
      </c>
      <c r="L49" s="4"/>
      <c r="N49" s="5">
        <v>0</v>
      </c>
      <c r="O49" s="5">
        <v>0</v>
      </c>
      <c r="Q49" s="5">
        <v>0</v>
      </c>
      <c r="T49" s="116">
        <f>O49-N49</f>
        <v>0</v>
      </c>
      <c r="U49" s="4">
        <f>IF(N49=0,0,O49/N49-1)</f>
        <v>0</v>
      </c>
      <c r="AB49" s="18">
        <v>45.98</v>
      </c>
      <c r="AC49" s="18">
        <v>22.99</v>
      </c>
      <c r="AD49" s="4">
        <f>AC49/AB49-1</f>
        <v>-0.5</v>
      </c>
    </row>
    <row r="50" spans="1:30">
      <c r="A50" t="s">
        <v>1137</v>
      </c>
      <c r="B50" t="s">
        <v>1138</v>
      </c>
      <c r="C50">
        <v>256</v>
      </c>
      <c r="E50" t="s">
        <v>1138</v>
      </c>
      <c r="F50">
        <v>255</v>
      </c>
      <c r="G50" t="b">
        <f>IF(B50=E50,TRUE,FALSE)</f>
        <v>1</v>
      </c>
      <c r="J50">
        <f>F50-C50</f>
        <v>-1</v>
      </c>
      <c r="K50" s="4">
        <f>F50/C50-1</f>
        <v>-3.90625E-3</v>
      </c>
      <c r="L50" s="4"/>
      <c r="N50" s="5">
        <v>0</v>
      </c>
      <c r="O50" s="5">
        <v>0</v>
      </c>
      <c r="Q50" s="5">
        <v>0</v>
      </c>
      <c r="T50" s="116">
        <f>O50-N50</f>
        <v>0</v>
      </c>
      <c r="U50" s="4">
        <f>IF(N50=0,0,O50/N50-1)</f>
        <v>0</v>
      </c>
      <c r="AB50" s="18">
        <v>2557.44</v>
      </c>
      <c r="AC50" s="18">
        <v>2547.15</v>
      </c>
      <c r="AD50" s="4">
        <f>AC50/AB50-1</f>
        <v>-4.0235548048047631E-3</v>
      </c>
    </row>
    <row r="51" spans="1:30">
      <c r="A51" t="s">
        <v>1139</v>
      </c>
      <c r="B51" t="s">
        <v>1140</v>
      </c>
      <c r="C51">
        <v>0</v>
      </c>
      <c r="E51" t="s">
        <v>1140</v>
      </c>
      <c r="F51">
        <v>0</v>
      </c>
      <c r="G51" t="b">
        <f>IF(B51=E51,TRUE,FALSE)</f>
        <v>1</v>
      </c>
      <c r="J51">
        <f>F51-C51</f>
        <v>0</v>
      </c>
      <c r="K51" s="4" t="e">
        <f>F51/C51-1</f>
        <v>#DIV/0!</v>
      </c>
      <c r="L51" s="4"/>
      <c r="N51" s="5">
        <v>0</v>
      </c>
      <c r="O51" s="5">
        <v>0</v>
      </c>
      <c r="Q51" s="5">
        <v>0</v>
      </c>
      <c r="T51" s="116">
        <f>O51-N51</f>
        <v>0</v>
      </c>
      <c r="U51" s="4">
        <f>IF(N51=0,0,O51/N51-1)</f>
        <v>0</v>
      </c>
      <c r="AB51" s="18">
        <v>0</v>
      </c>
      <c r="AC51" s="18">
        <v>0</v>
      </c>
      <c r="AD51" s="4" t="e">
        <f>AC51/AB51-1</f>
        <v>#DIV/0!</v>
      </c>
    </row>
    <row r="52" spans="1:30">
      <c r="A52" t="s">
        <v>1141</v>
      </c>
      <c r="B52" t="s">
        <v>1142</v>
      </c>
      <c r="C52">
        <v>0</v>
      </c>
      <c r="E52" t="s">
        <v>1142</v>
      </c>
      <c r="F52">
        <v>0</v>
      </c>
      <c r="G52" t="b">
        <f>IF(B52=E52,TRUE,FALSE)</f>
        <v>1</v>
      </c>
      <c r="J52">
        <f>F52-C52</f>
        <v>0</v>
      </c>
      <c r="K52" s="4" t="e">
        <f>F52/C52-1</f>
        <v>#DIV/0!</v>
      </c>
      <c r="N52" s="5">
        <v>0</v>
      </c>
      <c r="O52" s="5">
        <v>0</v>
      </c>
      <c r="Q52" s="5">
        <v>0</v>
      </c>
      <c r="T52" s="116">
        <f>O52-N52</f>
        <v>0</v>
      </c>
      <c r="U52" s="4">
        <f>IF(N52=0,0,O52/N52-1)</f>
        <v>0</v>
      </c>
      <c r="AB52" s="18">
        <v>0</v>
      </c>
      <c r="AC52" s="18">
        <v>0</v>
      </c>
      <c r="AD52" s="4" t="e">
        <f>AC52/AB52-1</f>
        <v>#DIV/0!</v>
      </c>
    </row>
    <row r="53" spans="1:30">
      <c r="A53" t="s">
        <v>1143</v>
      </c>
      <c r="B53" t="s">
        <v>1144</v>
      </c>
      <c r="C53">
        <v>0</v>
      </c>
      <c r="E53" t="s">
        <v>1144</v>
      </c>
      <c r="F53">
        <v>0</v>
      </c>
      <c r="G53" t="b">
        <f>IF(B53=E53,TRUE,FALSE)</f>
        <v>1</v>
      </c>
      <c r="J53">
        <f>F53-C53</f>
        <v>0</v>
      </c>
      <c r="K53" s="4" t="e">
        <f>F53/C53-1</f>
        <v>#DIV/0!</v>
      </c>
      <c r="L53" s="4"/>
      <c r="N53" s="5">
        <v>0</v>
      </c>
      <c r="O53" s="5">
        <v>0</v>
      </c>
      <c r="Q53" s="5">
        <v>0</v>
      </c>
      <c r="T53" s="116">
        <f>O53-N53</f>
        <v>0</v>
      </c>
      <c r="U53" s="4">
        <f>IF(N53=0,0,O53/N53-1)</f>
        <v>0</v>
      </c>
      <c r="AB53" s="18">
        <v>0</v>
      </c>
      <c r="AC53" s="18">
        <v>0</v>
      </c>
      <c r="AD53" s="4" t="e">
        <f>AC53/AB53-1</f>
        <v>#DIV/0!</v>
      </c>
    </row>
    <row r="54" spans="1:30">
      <c r="A54" t="s">
        <v>1145</v>
      </c>
      <c r="B54" t="s">
        <v>1146</v>
      </c>
      <c r="C54">
        <v>0</v>
      </c>
      <c r="E54" t="s">
        <v>1146</v>
      </c>
      <c r="F54">
        <v>1</v>
      </c>
      <c r="G54" t="b">
        <f>IF(B54=E54,TRUE,FALSE)</f>
        <v>1</v>
      </c>
      <c r="J54">
        <f>F54-C54</f>
        <v>1</v>
      </c>
      <c r="K54" s="4" t="e">
        <f>F54/C54-1</f>
        <v>#DIV/0!</v>
      </c>
      <c r="L54" s="4"/>
      <c r="N54" s="5">
        <v>0</v>
      </c>
      <c r="O54" s="5">
        <v>0</v>
      </c>
      <c r="Q54" s="5">
        <v>0</v>
      </c>
      <c r="T54" s="116">
        <f>O54-N54</f>
        <v>0</v>
      </c>
      <c r="U54" s="4">
        <f>IF(N54=0,0,O54/N54-1)</f>
        <v>0</v>
      </c>
      <c r="X54" t="s">
        <v>1147</v>
      </c>
      <c r="AB54" s="18">
        <v>0</v>
      </c>
      <c r="AC54" s="18">
        <v>18.989999999999998</v>
      </c>
      <c r="AD54" s="4" t="e">
        <f>AC54/AB54-1</f>
        <v>#DIV/0!</v>
      </c>
    </row>
    <row r="55" spans="1:30">
      <c r="A55" t="s">
        <v>1148</v>
      </c>
      <c r="B55" t="s">
        <v>1149</v>
      </c>
      <c r="C55">
        <v>951</v>
      </c>
      <c r="E55" t="s">
        <v>1149</v>
      </c>
      <c r="F55">
        <v>956</v>
      </c>
      <c r="G55" t="b">
        <f>IF(B55=E55,TRUE,FALSE)</f>
        <v>1</v>
      </c>
      <c r="J55">
        <f>F55-C55</f>
        <v>5</v>
      </c>
      <c r="K55" s="4">
        <f>F55/C55-1</f>
        <v>5.2576235541534899E-3</v>
      </c>
      <c r="L55" s="4"/>
      <c r="N55" s="5">
        <v>697.43</v>
      </c>
      <c r="O55" s="5">
        <v>501.88</v>
      </c>
      <c r="Q55" s="5">
        <v>4024.54</v>
      </c>
      <c r="T55" s="116">
        <f>O55-N55</f>
        <v>-195.54999999999995</v>
      </c>
      <c r="U55" s="4">
        <f>IF(N55=0,0,O55/N55-1)</f>
        <v>-0.28038656209225299</v>
      </c>
      <c r="AB55" s="18">
        <v>22810.89</v>
      </c>
      <c r="AC55" s="18">
        <v>22690.22</v>
      </c>
      <c r="AD55" s="4">
        <f>AC55/AB55-1</f>
        <v>-5.2900171803905716E-3</v>
      </c>
    </row>
    <row r="56" spans="1:30">
      <c r="A56" t="s">
        <v>1150</v>
      </c>
      <c r="B56" t="s">
        <v>1151</v>
      </c>
      <c r="C56">
        <v>13</v>
      </c>
      <c r="E56" t="s">
        <v>1151</v>
      </c>
      <c r="F56">
        <v>18</v>
      </c>
      <c r="G56" t="b">
        <f>IF(B56=E56,TRUE,FALSE)</f>
        <v>1</v>
      </c>
      <c r="J56">
        <f>F56-C56</f>
        <v>5</v>
      </c>
      <c r="K56" s="4">
        <f>F56/C56-1</f>
        <v>0.38461538461538458</v>
      </c>
      <c r="L56" s="4"/>
      <c r="N56" s="5">
        <v>16.14</v>
      </c>
      <c r="O56" s="5">
        <v>9.1</v>
      </c>
      <c r="Q56" s="5">
        <v>0</v>
      </c>
      <c r="T56" s="116">
        <f>O56-N56</f>
        <v>-7.0400000000000009</v>
      </c>
      <c r="U56" s="4">
        <f>IF(N56=0,0,O56/N56-1)</f>
        <v>-0.43618339529120198</v>
      </c>
      <c r="AB56" s="18">
        <v>506.35</v>
      </c>
      <c r="AC56" s="18">
        <v>701.1</v>
      </c>
      <c r="AD56" s="4">
        <f>AC56/AB56-1</f>
        <v>0.38461538461538458</v>
      </c>
    </row>
    <row r="57" spans="1:30">
      <c r="A57" t="s">
        <v>1152</v>
      </c>
      <c r="B57" t="s">
        <v>1153</v>
      </c>
      <c r="C57">
        <v>514</v>
      </c>
      <c r="E57" t="s">
        <v>1153</v>
      </c>
      <c r="F57">
        <v>520</v>
      </c>
      <c r="G57" t="b">
        <f>IF(B57=E57,TRUE,FALSE)</f>
        <v>1</v>
      </c>
      <c r="J57">
        <f>F57-C57</f>
        <v>6</v>
      </c>
      <c r="K57" s="4">
        <f>F57/C57-1</f>
        <v>1.1673151750972721E-2</v>
      </c>
      <c r="L57" s="4"/>
      <c r="N57" s="5">
        <v>882.42</v>
      </c>
      <c r="O57" s="5">
        <v>442.53</v>
      </c>
      <c r="Q57" s="5">
        <v>2624.85</v>
      </c>
      <c r="T57" s="116">
        <f>O57-N57</f>
        <v>-439.89</v>
      </c>
      <c r="U57" s="4">
        <f>IF(N57=0,0,O57/N57-1)</f>
        <v>-0.49850411368735981</v>
      </c>
      <c r="AB57" s="18">
        <v>9738.9699999999993</v>
      </c>
      <c r="AC57" s="18">
        <v>9853.6200000000008</v>
      </c>
      <c r="AD57" s="4">
        <f>AC57/AB57-1</f>
        <v>1.1772292141776886E-2</v>
      </c>
    </row>
    <row r="58" spans="1:30">
      <c r="A58" t="s">
        <v>1154</v>
      </c>
      <c r="B58" t="s">
        <v>1155</v>
      </c>
      <c r="C58">
        <v>1117</v>
      </c>
      <c r="E58" t="s">
        <v>1155</v>
      </c>
      <c r="F58">
        <v>1134</v>
      </c>
      <c r="G58" t="b">
        <f>IF(B58=E58,TRUE,FALSE)</f>
        <v>1</v>
      </c>
      <c r="J58">
        <f>F58-C58</f>
        <v>17</v>
      </c>
      <c r="K58" s="4">
        <f>F58/C58-1</f>
        <v>1.5219337511190645E-2</v>
      </c>
      <c r="L58" s="4"/>
      <c r="N58" s="5">
        <v>865.17</v>
      </c>
      <c r="O58" s="5">
        <v>722.27</v>
      </c>
      <c r="Q58" s="5">
        <v>4308.53</v>
      </c>
      <c r="T58" s="116">
        <f>O58-N58</f>
        <v>-142.89999999999998</v>
      </c>
      <c r="U58" s="4">
        <f>IF(N58=0,0,O58/N58-1)</f>
        <v>-0.16516985101193982</v>
      </c>
      <c r="AB58" s="18">
        <v>21209.17</v>
      </c>
      <c r="AC58" s="18">
        <v>21532</v>
      </c>
      <c r="AD58" s="4">
        <f>AC58/AB58-1</f>
        <v>1.5221246281679202E-2</v>
      </c>
    </row>
    <row r="59" spans="1:30">
      <c r="A59" s="27" t="s">
        <v>1156</v>
      </c>
      <c r="B59" s="27" t="s">
        <v>1157</v>
      </c>
      <c r="C59">
        <v>363</v>
      </c>
      <c r="E59" s="27" t="s">
        <v>1157</v>
      </c>
      <c r="F59">
        <v>388</v>
      </c>
      <c r="G59" t="b">
        <f>IF(B59=E59,TRUE,FALSE)</f>
        <v>1</v>
      </c>
      <c r="J59">
        <f>F59-C59</f>
        <v>25</v>
      </c>
      <c r="K59" s="4">
        <f>F59/C59-1</f>
        <v>6.887052341597788E-2</v>
      </c>
      <c r="L59" s="4"/>
      <c r="N59" s="5">
        <v>898.24</v>
      </c>
      <c r="O59" s="5">
        <v>841.4</v>
      </c>
      <c r="Q59" s="5">
        <v>5624.38</v>
      </c>
      <c r="T59" s="116">
        <f>O59-N59</f>
        <v>-56.840000000000032</v>
      </c>
      <c r="U59" s="4">
        <f>IF(N59=0,0,O59/N59-1)</f>
        <v>-6.3279301745635896E-2</v>
      </c>
      <c r="AB59" s="18">
        <v>9795.2099999999991</v>
      </c>
      <c r="AC59" s="18">
        <v>10471.040000000001</v>
      </c>
      <c r="AD59" s="4">
        <f>AC59/AB59-1</f>
        <v>6.8995968437634447E-2</v>
      </c>
    </row>
    <row r="60" spans="1:30" ht="13.9" customHeight="1">
      <c r="A60" t="s">
        <v>1158</v>
      </c>
      <c r="B60" t="s">
        <v>1159</v>
      </c>
      <c r="C60">
        <v>800</v>
      </c>
      <c r="E60" t="s">
        <v>1159</v>
      </c>
      <c r="F60">
        <v>828</v>
      </c>
      <c r="G60" t="b">
        <f>IF(B60=E60,TRUE,FALSE)</f>
        <v>1</v>
      </c>
      <c r="J60">
        <f>F60-C60</f>
        <v>28</v>
      </c>
      <c r="K60" s="4">
        <f>F60/C60-1</f>
        <v>3.499999999999992E-2</v>
      </c>
      <c r="N60" s="5">
        <v>929.38</v>
      </c>
      <c r="O60" s="5">
        <v>637.51</v>
      </c>
      <c r="Q60" s="5">
        <v>3138.04</v>
      </c>
      <c r="T60" s="116">
        <f>O60-N60</f>
        <v>-291.87</v>
      </c>
      <c r="U60" s="4">
        <f>IF(N60=0,0,O60/N60-1)</f>
        <v>-0.31404807506079324</v>
      </c>
      <c r="AB60" s="18">
        <v>15958.4</v>
      </c>
      <c r="AC60" s="18">
        <v>16517</v>
      </c>
      <c r="AD60" s="4">
        <f>AC60/AB60-1</f>
        <v>3.5003509123721743E-2</v>
      </c>
    </row>
    <row r="61" spans="1:30" ht="13.9" customHeight="1">
      <c r="A61" t="s">
        <v>1160</v>
      </c>
      <c r="B61" t="s">
        <v>1161</v>
      </c>
      <c r="C61">
        <v>374</v>
      </c>
      <c r="E61" t="s">
        <v>1161</v>
      </c>
      <c r="F61">
        <v>403</v>
      </c>
      <c r="G61" t="b">
        <f>IF(B61=E61,TRUE,FALSE)</f>
        <v>1</v>
      </c>
      <c r="J61">
        <f>F61-C61</f>
        <v>29</v>
      </c>
      <c r="K61" s="4">
        <f>F61/C61-1</f>
        <v>7.7540106951871746E-2</v>
      </c>
      <c r="L61" s="4"/>
      <c r="N61" s="5">
        <v>407.95</v>
      </c>
      <c r="O61" s="5">
        <v>546.85</v>
      </c>
      <c r="Q61" s="5">
        <v>2903.99</v>
      </c>
      <c r="T61" s="116">
        <f>O61-N61</f>
        <v>138.90000000000003</v>
      </c>
      <c r="U61" s="4">
        <f>IF(N61=0,0,O61/N61-1)</f>
        <v>0.34048290231646039</v>
      </c>
      <c r="AB61" s="18">
        <v>11170.15</v>
      </c>
      <c r="AC61" s="18">
        <v>12038.4</v>
      </c>
      <c r="AD61" s="4">
        <f>AC61/AB61-1</f>
        <v>7.7729484384721825E-2</v>
      </c>
    </row>
    <row r="62" spans="1:30" ht="13.9" customHeight="1">
      <c r="A62" t="s">
        <v>1162</v>
      </c>
      <c r="B62" t="s">
        <v>1163</v>
      </c>
      <c r="C62">
        <v>855</v>
      </c>
      <c r="E62" t="s">
        <v>1163</v>
      </c>
      <c r="F62">
        <v>893</v>
      </c>
      <c r="G62" t="b">
        <f>IF(B62=E62,TRUE,FALSE)</f>
        <v>1</v>
      </c>
      <c r="J62">
        <f>F62-C62</f>
        <v>38</v>
      </c>
      <c r="K62" s="4">
        <f>F62/C62-1</f>
        <v>4.4444444444444509E-2</v>
      </c>
      <c r="L62" s="4"/>
      <c r="N62" s="5">
        <v>616.45000000000005</v>
      </c>
      <c r="O62" s="5">
        <v>660.62</v>
      </c>
      <c r="Q62" s="5">
        <v>6136.79</v>
      </c>
      <c r="T62" s="116">
        <f>O62-N62</f>
        <v>44.169999999999959</v>
      </c>
      <c r="U62" s="4">
        <f>IF(N62=0,0,O62/N62-1)</f>
        <v>7.1652202125070952E-2</v>
      </c>
      <c r="AB62" s="18">
        <v>18798.59</v>
      </c>
      <c r="AC62" s="18">
        <v>19635.75</v>
      </c>
      <c r="AD62" s="4">
        <f>AC62/AB62-1</f>
        <v>4.4533127218584045E-2</v>
      </c>
    </row>
    <row r="63" spans="1:30" ht="13.9" customHeight="1">
      <c r="A63" s="55" t="s">
        <v>1164</v>
      </c>
      <c r="B63" t="s">
        <v>1165</v>
      </c>
      <c r="C63">
        <v>647</v>
      </c>
      <c r="E63" t="s">
        <v>1165</v>
      </c>
      <c r="F63">
        <v>686</v>
      </c>
      <c r="G63" t="b">
        <f>IF(B63=E63,TRUE,FALSE)</f>
        <v>1</v>
      </c>
      <c r="J63">
        <f>F63-C63</f>
        <v>39</v>
      </c>
      <c r="K63" s="4">
        <f>F63/C63-1</f>
        <v>6.0278207109737192E-2</v>
      </c>
      <c r="L63" s="4"/>
      <c r="N63" s="5">
        <v>1880.7</v>
      </c>
      <c r="O63" s="5">
        <v>1090.55</v>
      </c>
      <c r="Q63" s="5">
        <v>5665.52</v>
      </c>
      <c r="T63" s="116">
        <f>O63-N63</f>
        <v>-790.15000000000009</v>
      </c>
      <c r="U63" s="4">
        <f>IF(N63=0,0,O63/N63-1)</f>
        <v>-0.42013611952996233</v>
      </c>
      <c r="AB63" s="18">
        <v>9156.5300000000007</v>
      </c>
      <c r="AC63" s="18">
        <v>9069.16</v>
      </c>
      <c r="AD63" s="4">
        <f>AC63/AB63-1</f>
        <v>-9.541824250016151E-3</v>
      </c>
    </row>
    <row r="64" spans="1:30" ht="13.9" customHeight="1">
      <c r="A64" t="s">
        <v>1166</v>
      </c>
      <c r="B64" t="s">
        <v>1167</v>
      </c>
      <c r="C64">
        <v>863</v>
      </c>
      <c r="E64" t="s">
        <v>1167</v>
      </c>
      <c r="F64">
        <v>903</v>
      </c>
      <c r="G64" t="b">
        <f>IF(B64=E64,TRUE,FALSE)</f>
        <v>1</v>
      </c>
      <c r="J64">
        <f>F64-C64</f>
        <v>40</v>
      </c>
      <c r="K64" s="4">
        <f>F64/C64-1</f>
        <v>4.6349942062572369E-2</v>
      </c>
      <c r="L64" s="4"/>
      <c r="N64" s="5">
        <v>1359.68</v>
      </c>
      <c r="O64" s="5">
        <v>1379.48</v>
      </c>
      <c r="Q64" s="5">
        <v>7119.95</v>
      </c>
      <c r="T64" s="116">
        <f>O64-N64</f>
        <v>19.799999999999955</v>
      </c>
      <c r="U64" s="4">
        <f>IF(N64=0,0,O64/N64-1)</f>
        <v>1.4562249941162619E-2</v>
      </c>
      <c r="X64" s="5"/>
      <c r="Y64" s="5"/>
      <c r="Z64" s="5"/>
      <c r="AA64" s="17"/>
      <c r="AB64" s="18">
        <v>20701.21</v>
      </c>
      <c r="AC64" s="18">
        <v>21661.53</v>
      </c>
      <c r="AD64" s="4">
        <f>AC64/AB64-1</f>
        <v>4.6389558871196446E-2</v>
      </c>
    </row>
    <row r="65" spans="1:30" ht="13.9" customHeight="1">
      <c r="A65" t="s">
        <v>1168</v>
      </c>
      <c r="B65" t="s">
        <v>1169</v>
      </c>
      <c r="C65">
        <v>224</v>
      </c>
      <c r="E65" t="s">
        <v>1169</v>
      </c>
      <c r="F65">
        <v>266</v>
      </c>
      <c r="G65" t="b">
        <f>IF(B65=E65,TRUE,FALSE)</f>
        <v>1</v>
      </c>
      <c r="J65">
        <f>F65-C65</f>
        <v>42</v>
      </c>
      <c r="K65" s="4">
        <f>F65/C65-1</f>
        <v>0.1875</v>
      </c>
      <c r="N65" s="5">
        <v>413.91</v>
      </c>
      <c r="O65" s="5">
        <v>328.44</v>
      </c>
      <c r="Q65" s="5">
        <v>1703.3</v>
      </c>
      <c r="T65" s="116">
        <f>O65-N65</f>
        <v>-85.470000000000027</v>
      </c>
      <c r="U65" s="4">
        <f>IF(N65=0,0,O65/N65-1)</f>
        <v>-0.20649416539827503</v>
      </c>
      <c r="AB65" s="18">
        <v>4477.3599999999997</v>
      </c>
      <c r="AC65" s="18">
        <v>5316.14</v>
      </c>
      <c r="AD65" s="4">
        <f>AC65/AB65-1</f>
        <v>0.18733807422230964</v>
      </c>
    </row>
    <row r="66" spans="1:30" ht="13.9" customHeight="1">
      <c r="A66" t="s">
        <v>1170</v>
      </c>
      <c r="B66" t="s">
        <v>1171</v>
      </c>
      <c r="C66">
        <v>173</v>
      </c>
      <c r="E66" t="s">
        <v>1171</v>
      </c>
      <c r="F66">
        <v>216</v>
      </c>
      <c r="G66" t="b">
        <f>IF(B66=E66,TRUE,FALSE)</f>
        <v>1</v>
      </c>
      <c r="J66">
        <f>F66-C66</f>
        <v>43</v>
      </c>
      <c r="K66" s="4">
        <f>F66/C66-1</f>
        <v>0.24855491329479773</v>
      </c>
      <c r="L66" s="4"/>
      <c r="N66" s="5">
        <v>0</v>
      </c>
      <c r="O66" s="5">
        <v>0</v>
      </c>
      <c r="Q66" s="5">
        <v>0</v>
      </c>
      <c r="T66" s="116">
        <f>O66-N66</f>
        <v>0</v>
      </c>
      <c r="U66" s="4">
        <f>IF(N66=0,0,O66/N66-1)</f>
        <v>0</v>
      </c>
      <c r="AB66" s="18">
        <v>3450.75</v>
      </c>
      <c r="AC66" s="18">
        <v>4309</v>
      </c>
      <c r="AD66" s="4">
        <f>AC66/AB66-1</f>
        <v>0.2487140476707963</v>
      </c>
    </row>
    <row r="67" spans="1:30" ht="13.9" customHeight="1">
      <c r="A67" s="27" t="s">
        <v>1172</v>
      </c>
      <c r="B67" t="s">
        <v>1173</v>
      </c>
      <c r="C67">
        <v>313</v>
      </c>
      <c r="E67" t="s">
        <v>1173</v>
      </c>
      <c r="F67">
        <v>357</v>
      </c>
      <c r="G67" t="b">
        <f>IF(B67=E67,TRUE,FALSE)</f>
        <v>1</v>
      </c>
      <c r="J67">
        <f>F67-C67</f>
        <v>44</v>
      </c>
      <c r="K67" s="4">
        <f>F67/C67-1</f>
        <v>0.14057507987220452</v>
      </c>
      <c r="L67" s="4"/>
      <c r="N67" s="5">
        <v>727.7</v>
      </c>
      <c r="O67" s="5">
        <v>974.14</v>
      </c>
      <c r="Q67" s="5">
        <v>6165.22</v>
      </c>
      <c r="T67" s="116">
        <f>O67-N67</f>
        <v>246.43999999999994</v>
      </c>
      <c r="U67" s="4">
        <f>IF(N67=0,0,O67/N67-1)</f>
        <v>0.33865603957674861</v>
      </c>
      <c r="AB67" s="18">
        <v>7507.19</v>
      </c>
      <c r="AC67" s="18">
        <v>8563.23</v>
      </c>
      <c r="AD67" s="4">
        <f>AC67/AB67-1</f>
        <v>0.14067047723582315</v>
      </c>
    </row>
    <row r="68" spans="1:30" ht="13.9" customHeight="1">
      <c r="A68" t="s">
        <v>1174</v>
      </c>
      <c r="B68" t="s">
        <v>1175</v>
      </c>
      <c r="C68">
        <v>746</v>
      </c>
      <c r="E68" t="s">
        <v>1175</v>
      </c>
      <c r="F68">
        <v>791</v>
      </c>
      <c r="G68" t="b">
        <f>IF(B68=E68,TRUE,FALSE)</f>
        <v>1</v>
      </c>
      <c r="J68">
        <f>F68-C68</f>
        <v>45</v>
      </c>
      <c r="K68" s="4">
        <f>F68/C68-1</f>
        <v>6.0321715817694299E-2</v>
      </c>
      <c r="L68" s="4"/>
      <c r="N68" s="5">
        <v>1569.72</v>
      </c>
      <c r="O68" s="5">
        <v>1522.3</v>
      </c>
      <c r="Q68" s="5">
        <v>10189.790000000001</v>
      </c>
      <c r="T68" s="116">
        <f>O68-N68</f>
        <v>-47.420000000000073</v>
      </c>
      <c r="U68" s="4">
        <f>IF(N68=0,0,O68/N68-1)</f>
        <v>-3.0209209285732563E-2</v>
      </c>
      <c r="X68" s="5"/>
      <c r="Y68" s="5"/>
      <c r="Z68" s="5"/>
      <c r="AA68" s="17"/>
      <c r="AB68" s="18">
        <v>19385.939999999999</v>
      </c>
      <c r="AC68" s="18">
        <v>20552.63</v>
      </c>
      <c r="AD68" s="4">
        <f>AC68/AB68-1</f>
        <v>6.0182276433332627E-2</v>
      </c>
    </row>
    <row r="69" spans="1:30" ht="13.9" customHeight="1">
      <c r="A69" s="55" t="s">
        <v>932</v>
      </c>
      <c r="B69" s="37" t="s">
        <v>1176</v>
      </c>
      <c r="C69">
        <v>1202</v>
      </c>
      <c r="E69" s="37" t="s">
        <v>1176</v>
      </c>
      <c r="F69">
        <v>1250</v>
      </c>
      <c r="G69" t="b">
        <f>IF(B69=E69,TRUE,FALSE)</f>
        <v>1</v>
      </c>
      <c r="J69">
        <f>F69-C69</f>
        <v>48</v>
      </c>
      <c r="K69" s="4">
        <f>F69/C69-1</f>
        <v>3.9933444259567352E-2</v>
      </c>
      <c r="L69" s="4"/>
      <c r="N69" s="5">
        <v>3086.69</v>
      </c>
      <c r="O69" s="5">
        <v>2304.52</v>
      </c>
      <c r="Q69" s="5">
        <v>11609.04</v>
      </c>
      <c r="T69" s="116">
        <f>O69-N69</f>
        <v>-782.17000000000007</v>
      </c>
      <c r="U69" s="4">
        <f>IF(N69=0,0,O69/N69-1)</f>
        <v>-0.25340089221787743</v>
      </c>
      <c r="AB69" s="18">
        <v>18875.98</v>
      </c>
      <c r="AC69" s="18">
        <v>19182.86</v>
      </c>
      <c r="AD69" s="4">
        <f>AC69/AB69-1</f>
        <v>1.625769893801543E-2</v>
      </c>
    </row>
    <row r="70" spans="1:30" ht="14.25" customHeight="1">
      <c r="A70" s="37" t="s">
        <v>1177</v>
      </c>
      <c r="B70" s="37" t="s">
        <v>1178</v>
      </c>
      <c r="C70">
        <v>219</v>
      </c>
      <c r="E70" s="37" t="s">
        <v>1178</v>
      </c>
      <c r="F70">
        <v>271</v>
      </c>
      <c r="G70" t="b">
        <f>IF(B70=E70,TRUE,FALSE)</f>
        <v>1</v>
      </c>
      <c r="J70">
        <f>F70-C70</f>
        <v>52</v>
      </c>
      <c r="K70" s="4">
        <f>F70/C70-1</f>
        <v>0.23744292237442921</v>
      </c>
      <c r="L70" s="4"/>
      <c r="N70" s="5">
        <v>761.13</v>
      </c>
      <c r="O70" s="5">
        <v>859.45</v>
      </c>
      <c r="Q70" s="5">
        <v>4157.16</v>
      </c>
      <c r="T70" s="116">
        <f>O70-N70</f>
        <v>98.32000000000005</v>
      </c>
      <c r="U70" s="4">
        <f>IF(N70=0,0,O70/N70-1)</f>
        <v>0.12917635620721835</v>
      </c>
      <c r="AB70" s="18">
        <v>5472.31</v>
      </c>
      <c r="AC70" s="18">
        <v>6771.54</v>
      </c>
      <c r="AD70" s="4">
        <f>AC70/AB70-1</f>
        <v>0.23741893277244874</v>
      </c>
    </row>
    <row r="71" spans="1:30" ht="13.9" customHeight="1">
      <c r="A71" t="s">
        <v>1179</v>
      </c>
      <c r="B71" t="s">
        <v>1180</v>
      </c>
      <c r="C71">
        <v>657</v>
      </c>
      <c r="E71" t="s">
        <v>1180</v>
      </c>
      <c r="F71">
        <v>716</v>
      </c>
      <c r="G71" t="b">
        <f>IF(B71=E71,TRUE,FALSE)</f>
        <v>1</v>
      </c>
      <c r="J71">
        <f>F71-C71</f>
        <v>59</v>
      </c>
      <c r="K71" s="4">
        <f>F71/C71-1</f>
        <v>8.9802130898021248E-2</v>
      </c>
      <c r="L71" s="4"/>
      <c r="N71" s="5">
        <v>583.92999999999995</v>
      </c>
      <c r="O71" s="5">
        <v>700.34</v>
      </c>
      <c r="Q71" s="5">
        <v>4648.7</v>
      </c>
      <c r="T71" s="116">
        <f>O71-N71</f>
        <v>116.41000000000008</v>
      </c>
      <c r="U71" s="4">
        <f>IF(N71=0,0,O71/N71-1)</f>
        <v>0.1993560872022333</v>
      </c>
      <c r="AB71" s="18">
        <v>19017.54</v>
      </c>
      <c r="AC71" s="18">
        <v>20725.88</v>
      </c>
      <c r="AD71" s="4">
        <f>AC71/AB71-1</f>
        <v>8.9829704577984337E-2</v>
      </c>
    </row>
    <row r="72" spans="1:30" ht="13.9" customHeight="1">
      <c r="A72" s="55" t="s">
        <v>1181</v>
      </c>
      <c r="B72" s="37" t="s">
        <v>1182</v>
      </c>
      <c r="C72">
        <v>823</v>
      </c>
      <c r="E72" s="37" t="s">
        <v>1182</v>
      </c>
      <c r="F72">
        <v>883</v>
      </c>
      <c r="G72" t="b">
        <f>IF(B72=E72,TRUE,FALSE)</f>
        <v>1</v>
      </c>
      <c r="J72">
        <f>F72-C72</f>
        <v>60</v>
      </c>
      <c r="K72" s="4">
        <f>F72/C72-1</f>
        <v>7.2904009720534679E-2</v>
      </c>
      <c r="L72" s="4"/>
      <c r="N72" s="5">
        <v>1387.2</v>
      </c>
      <c r="O72" s="5">
        <v>1032</v>
      </c>
      <c r="Q72" s="5">
        <v>3926.87</v>
      </c>
      <c r="T72" s="116">
        <f>O72-N72</f>
        <v>-355.20000000000005</v>
      </c>
      <c r="U72" s="4">
        <f>IF(N73=0,0,O72/N73-1)</f>
        <v>-0.65647749628017049</v>
      </c>
      <c r="AB72" s="18">
        <v>12464.37</v>
      </c>
      <c r="AC72" s="18">
        <v>11808.69</v>
      </c>
      <c r="AD72" s="4">
        <f>AC72/AB72-1</f>
        <v>-5.2604343420485811E-2</v>
      </c>
    </row>
    <row r="73" spans="1:30">
      <c r="A73" t="s">
        <v>1183</v>
      </c>
      <c r="B73" t="s">
        <v>1184</v>
      </c>
      <c r="C73">
        <v>2679</v>
      </c>
      <c r="E73" t="s">
        <v>1184</v>
      </c>
      <c r="F73">
        <v>2741</v>
      </c>
      <c r="G73" t="b">
        <f>IF(B73=E73,TRUE,FALSE)</f>
        <v>1</v>
      </c>
      <c r="J73">
        <f>F73-C73</f>
        <v>62</v>
      </c>
      <c r="K73" s="4">
        <f>F73/C73-1</f>
        <v>2.3142963792459836E-2</v>
      </c>
      <c r="L73" s="4"/>
      <c r="N73" s="5">
        <v>3004.17</v>
      </c>
      <c r="O73" s="5">
        <v>2919.72</v>
      </c>
      <c r="Q73" s="5">
        <v>14836.45</v>
      </c>
      <c r="T73" s="116">
        <f>O73-N73</f>
        <v>-84.450000000000273</v>
      </c>
      <c r="U73" s="4">
        <f>IF(N73=0,0,O73/N73-1)</f>
        <v>-2.8110925813119803E-2</v>
      </c>
      <c r="AB73" s="18">
        <v>53441.25</v>
      </c>
      <c r="AC73" s="18">
        <v>54640.45</v>
      </c>
      <c r="AD73" s="4">
        <f>AC73/AB73-1</f>
        <v>2.2439594882230463E-2</v>
      </c>
    </row>
    <row r="74" spans="1:30">
      <c r="A74" t="s">
        <v>1185</v>
      </c>
      <c r="B74" t="s">
        <v>1186</v>
      </c>
      <c r="C74">
        <v>1183</v>
      </c>
      <c r="E74" t="s">
        <v>1186</v>
      </c>
      <c r="F74">
        <v>1246</v>
      </c>
      <c r="G74" t="b">
        <f>IF(B74=E74,TRUE,FALSE)</f>
        <v>1</v>
      </c>
      <c r="J74">
        <f>F74-C74</f>
        <v>63</v>
      </c>
      <c r="K74" s="4">
        <f>F74/C74-1</f>
        <v>5.3254437869822535E-2</v>
      </c>
      <c r="L74" s="4"/>
      <c r="N74" s="5">
        <v>1378.76</v>
      </c>
      <c r="O74" s="5">
        <v>1905.43</v>
      </c>
      <c r="Q74" s="5">
        <v>12396.97</v>
      </c>
      <c r="T74" s="116">
        <f>O74-N74</f>
        <v>526.67000000000007</v>
      </c>
      <c r="U74" s="4">
        <f>IF(N74=0,0,O74/N74-1)</f>
        <v>0.38198816327714757</v>
      </c>
      <c r="X74" s="5"/>
      <c r="Y74" s="5"/>
      <c r="Z74" s="5"/>
      <c r="AA74" s="17"/>
      <c r="AB74" s="18">
        <v>37250.769999999997</v>
      </c>
      <c r="AC74" s="18">
        <v>39446.339999999997</v>
      </c>
      <c r="AD74" s="4">
        <f>AC74/AB74-1</f>
        <v>5.8940258147683888E-2</v>
      </c>
    </row>
    <row r="75" spans="1:30">
      <c r="A75" s="146" t="s">
        <v>1187</v>
      </c>
      <c r="B75" s="37" t="s">
        <v>1188</v>
      </c>
      <c r="C75">
        <v>0</v>
      </c>
      <c r="E75" s="37" t="s">
        <v>1188</v>
      </c>
      <c r="F75">
        <v>64</v>
      </c>
      <c r="G75" t="b">
        <f>IF(B75=E75,TRUE,FALSE)</f>
        <v>1</v>
      </c>
      <c r="J75">
        <f>F75-C75</f>
        <v>64</v>
      </c>
      <c r="K75" s="4" t="e">
        <f>F75/C75-1</f>
        <v>#DIV/0!</v>
      </c>
      <c r="L75" s="4"/>
      <c r="N75" s="5">
        <v>0</v>
      </c>
      <c r="O75" s="5">
        <v>73.8</v>
      </c>
      <c r="Q75" s="5">
        <v>168.84</v>
      </c>
      <c r="T75" s="116">
        <f>O75-N75</f>
        <v>73.8</v>
      </c>
      <c r="U75" s="4">
        <f>IF(N75=0,0,O75/N75-1)</f>
        <v>0</v>
      </c>
      <c r="AB75" s="18">
        <v>0</v>
      </c>
      <c r="AC75" s="18">
        <v>1364.36</v>
      </c>
      <c r="AD75" s="4" t="e">
        <f>AC75/AB75-1</f>
        <v>#DIV/0!</v>
      </c>
    </row>
    <row r="76" spans="1:30">
      <c r="A76" s="55" t="s">
        <v>1189</v>
      </c>
      <c r="B76" s="37" t="s">
        <v>1190</v>
      </c>
      <c r="C76">
        <v>152</v>
      </c>
      <c r="E76" s="37" t="s">
        <v>1190</v>
      </c>
      <c r="F76">
        <v>219</v>
      </c>
      <c r="G76" t="b">
        <f>IF(B76=E76,TRUE,FALSE)</f>
        <v>1</v>
      </c>
      <c r="J76">
        <f>F76-C76</f>
        <v>67</v>
      </c>
      <c r="K76" s="4">
        <f>F76/C76-1</f>
        <v>0.44078947368421062</v>
      </c>
      <c r="L76" s="4"/>
      <c r="N76" s="5">
        <v>778.12</v>
      </c>
      <c r="O76" s="5">
        <v>953</v>
      </c>
      <c r="Q76" s="5">
        <v>4784.55</v>
      </c>
      <c r="T76" s="116">
        <f>O76-N76</f>
        <v>174.88</v>
      </c>
      <c r="U76" s="4">
        <f>IF(N76=0,0,O76/N76-1)</f>
        <v>0.22474682568241411</v>
      </c>
      <c r="AB76" s="18">
        <v>3798.48</v>
      </c>
      <c r="AC76" s="18">
        <v>5472.81</v>
      </c>
      <c r="AD76" s="4">
        <f>AC76/AB76-1</f>
        <v>0.44078947368421062</v>
      </c>
    </row>
    <row r="77" spans="1:30">
      <c r="A77" t="s">
        <v>1191</v>
      </c>
      <c r="B77" t="s">
        <v>1192</v>
      </c>
      <c r="C77">
        <v>3268</v>
      </c>
      <c r="E77" t="s">
        <v>1192</v>
      </c>
      <c r="F77">
        <v>3336</v>
      </c>
      <c r="G77" t="b">
        <f>IF(B77=E77,TRUE,FALSE)</f>
        <v>1</v>
      </c>
      <c r="J77">
        <f>F77-C77</f>
        <v>68</v>
      </c>
      <c r="K77" s="4">
        <f>F77/C77-1</f>
        <v>2.0807833537331621E-2</v>
      </c>
      <c r="L77" s="4"/>
      <c r="N77" s="5">
        <v>2222.52</v>
      </c>
      <c r="O77" s="5">
        <v>1719.75</v>
      </c>
      <c r="Q77" s="5">
        <v>7263.9</v>
      </c>
      <c r="T77" s="116">
        <f>O77-N77</f>
        <v>-502.77</v>
      </c>
      <c r="U77" s="4">
        <f>IF(N77=0,0,O77/N77-1)</f>
        <v>-0.22621618703093782</v>
      </c>
      <c r="X77" s="5"/>
      <c r="Y77" s="5" t="s">
        <v>1193</v>
      </c>
      <c r="Z77" s="5"/>
      <c r="AA77" s="17"/>
      <c r="AB77" s="18">
        <v>65321.52</v>
      </c>
      <c r="AC77" s="18">
        <v>66683.039999999994</v>
      </c>
      <c r="AD77" s="4">
        <f>AC77/AB77-1</f>
        <v>2.0843360656641163E-2</v>
      </c>
    </row>
    <row r="78" spans="1:30">
      <c r="A78" t="s">
        <v>1194</v>
      </c>
      <c r="B78" t="s">
        <v>1195</v>
      </c>
      <c r="C78">
        <v>1267</v>
      </c>
      <c r="E78" t="s">
        <v>1195</v>
      </c>
      <c r="F78">
        <v>1338</v>
      </c>
      <c r="G78" t="b">
        <f>IF(B78=E78,TRUE,FALSE)</f>
        <v>1</v>
      </c>
      <c r="J78">
        <f>F78-C78</f>
        <v>71</v>
      </c>
      <c r="K78" s="4">
        <f>F78/C78-1</f>
        <v>5.6037884767166535E-2</v>
      </c>
      <c r="L78" s="4"/>
      <c r="N78" s="5">
        <v>888.5</v>
      </c>
      <c r="O78" s="5">
        <v>971.32</v>
      </c>
      <c r="Q78" s="5">
        <v>7632.94</v>
      </c>
      <c r="T78" s="116">
        <f>O78-N78</f>
        <v>82.82000000000005</v>
      </c>
      <c r="U78" s="4">
        <f>IF(N78=0,0,O78/N78-1)</f>
        <v>9.3213280810354515E-2</v>
      </c>
      <c r="AB78" s="18">
        <v>30378.53</v>
      </c>
      <c r="AC78" s="18">
        <v>32089.5</v>
      </c>
      <c r="AD78" s="4">
        <f>AC78/AB78-1</f>
        <v>5.6321685084828044E-2</v>
      </c>
    </row>
    <row r="79" spans="1:30">
      <c r="A79" t="s">
        <v>1196</v>
      </c>
      <c r="B79" t="s">
        <v>1197</v>
      </c>
      <c r="C79">
        <v>1308</v>
      </c>
      <c r="E79" t="s">
        <v>1197</v>
      </c>
      <c r="F79">
        <v>1385</v>
      </c>
      <c r="G79" t="b">
        <f>IF(B79=E79,TRUE,FALSE)</f>
        <v>1</v>
      </c>
      <c r="J79">
        <f>F79-C79</f>
        <v>77</v>
      </c>
      <c r="K79" s="4">
        <f>F79/C79-1</f>
        <v>5.8868501529051986E-2</v>
      </c>
      <c r="L79" s="4"/>
      <c r="N79" s="5">
        <v>1170.07</v>
      </c>
      <c r="O79" s="5">
        <v>1164.1500000000001</v>
      </c>
      <c r="Q79" s="5">
        <v>5167.0200000000004</v>
      </c>
      <c r="T79" s="116">
        <f>O79-N79</f>
        <v>-5.9199999999998454</v>
      </c>
      <c r="U79" s="4">
        <f>IF(N79=0,0,O79/N79-1)</f>
        <v>-5.0595263531240109E-3</v>
      </c>
      <c r="AB79" s="18">
        <v>26144.92</v>
      </c>
      <c r="AC79" s="18">
        <v>27685.35</v>
      </c>
      <c r="AD79" s="4">
        <f>AC79/AB79-1</f>
        <v>5.891890279258849E-2</v>
      </c>
    </row>
    <row r="80" spans="1:30">
      <c r="A80" s="57" t="s">
        <v>1198</v>
      </c>
      <c r="B80" s="37" t="s">
        <v>1199</v>
      </c>
      <c r="C80">
        <v>837</v>
      </c>
      <c r="E80" s="37" t="s">
        <v>1199</v>
      </c>
      <c r="F80">
        <v>927</v>
      </c>
      <c r="G80" t="b">
        <f>IF(B80=E80,TRUE,FALSE)</f>
        <v>1</v>
      </c>
      <c r="J80">
        <f>F80-C80</f>
        <v>90</v>
      </c>
      <c r="K80" s="4">
        <f>F80/C80-1</f>
        <v>0.10752688172043001</v>
      </c>
      <c r="L80" s="4"/>
      <c r="N80" s="5">
        <v>1647.7</v>
      </c>
      <c r="O80" s="5">
        <v>1768.73</v>
      </c>
      <c r="Q80" s="5">
        <v>8471.65</v>
      </c>
      <c r="T80" s="116">
        <f>O80-N80</f>
        <v>121.02999999999997</v>
      </c>
      <c r="U80" s="4">
        <f>IF(N80=0,0,O80/N80-1)</f>
        <v>7.345390544395225E-2</v>
      </c>
      <c r="AB80" s="18">
        <v>20076.990000000002</v>
      </c>
      <c r="AC80" s="18">
        <v>20891.099999999999</v>
      </c>
      <c r="AD80" s="4">
        <f>AC80/AB80-1</f>
        <v>4.0549405065201327E-2</v>
      </c>
    </row>
    <row r="81" spans="1:30">
      <c r="A81" t="s">
        <v>1200</v>
      </c>
      <c r="B81" t="s">
        <v>1201</v>
      </c>
      <c r="C81">
        <v>372</v>
      </c>
      <c r="E81" t="s">
        <v>1201</v>
      </c>
      <c r="F81">
        <v>462</v>
      </c>
      <c r="G81" t="b">
        <f>IF(B81=E81,TRUE,FALSE)</f>
        <v>1</v>
      </c>
      <c r="J81">
        <f>F81-C81</f>
        <v>90</v>
      </c>
      <c r="K81" s="4">
        <f>F81/C81-1</f>
        <v>0.24193548387096775</v>
      </c>
      <c r="L81" s="4"/>
      <c r="N81" s="5">
        <v>174.76</v>
      </c>
      <c r="O81" s="5">
        <v>426.14</v>
      </c>
      <c r="Q81" s="5">
        <v>4644.6099999999997</v>
      </c>
      <c r="T81" s="116">
        <f>O81-N81</f>
        <v>251.38</v>
      </c>
      <c r="U81" s="4">
        <f>IF(N81=0,0,O81/N81-1)</f>
        <v>1.4384298466468302</v>
      </c>
      <c r="AB81" s="18">
        <v>14488.62</v>
      </c>
      <c r="AC81" s="18">
        <v>17954.78</v>
      </c>
      <c r="AD81" s="4">
        <f>AC81/AB81-1</f>
        <v>0.23923327411444273</v>
      </c>
    </row>
    <row r="82" spans="1:30">
      <c r="A82" t="s">
        <v>1202</v>
      </c>
      <c r="B82" t="s">
        <v>1203</v>
      </c>
      <c r="C82">
        <v>980</v>
      </c>
      <c r="E82" t="s">
        <v>1203</v>
      </c>
      <c r="F82">
        <v>1074</v>
      </c>
      <c r="G82" t="b">
        <f>IF(B82=E82,TRUE,FALSE)</f>
        <v>1</v>
      </c>
      <c r="J82">
        <f>F82-C82</f>
        <v>94</v>
      </c>
      <c r="K82" s="4">
        <f>F82/C82-1</f>
        <v>9.5918367346938815E-2</v>
      </c>
      <c r="L82" s="4"/>
      <c r="N82" s="5">
        <v>2267.9699999999998</v>
      </c>
      <c r="O82" s="5">
        <v>2302.12</v>
      </c>
      <c r="Q82" s="5">
        <v>18199.830000000002</v>
      </c>
      <c r="T82" s="116">
        <f>O82-N82</f>
        <v>34.150000000000091</v>
      </c>
      <c r="U82" s="4">
        <f>IF(N82=0,0,O82/N82-1)</f>
        <v>1.5057518397509684E-2</v>
      </c>
      <c r="Y82" t="s">
        <v>1204</v>
      </c>
      <c r="AB82" s="18">
        <v>26436.47</v>
      </c>
      <c r="AC82" s="18">
        <v>28980.5</v>
      </c>
      <c r="AD82" s="4">
        <f>AC82/AB82-1</f>
        <v>9.6231834280446682E-2</v>
      </c>
    </row>
    <row r="83" spans="1:30">
      <c r="A83" s="55" t="s">
        <v>1205</v>
      </c>
      <c r="B83" s="37" t="s">
        <v>1206</v>
      </c>
      <c r="C83">
        <v>611</v>
      </c>
      <c r="E83" s="37" t="s">
        <v>1206</v>
      </c>
      <c r="F83">
        <v>711</v>
      </c>
      <c r="G83" t="b">
        <f>IF(B83=E83,TRUE,FALSE)</f>
        <v>1</v>
      </c>
      <c r="J83">
        <f>F83-C83</f>
        <v>100</v>
      </c>
      <c r="K83" s="4">
        <f>F83/C83-1</f>
        <v>0.16366612111292955</v>
      </c>
      <c r="L83" s="4"/>
      <c r="N83" s="5">
        <v>2072.69</v>
      </c>
      <c r="O83" s="5">
        <v>1972.38</v>
      </c>
      <c r="Q83" s="5">
        <v>12162.5</v>
      </c>
      <c r="T83" s="116">
        <f>O83-N83</f>
        <v>-100.30999999999995</v>
      </c>
      <c r="U83" s="4">
        <f>IF(N83=0,0,O83/N83-1)</f>
        <v>-4.8396045718365976E-2</v>
      </c>
      <c r="AB83" s="18">
        <v>13148.89</v>
      </c>
      <c r="AC83" s="18">
        <v>15017.89</v>
      </c>
      <c r="AD83" s="4">
        <f>AC83/AB83-1</f>
        <v>0.14214127580350899</v>
      </c>
    </row>
    <row r="84" spans="1:30">
      <c r="A84" s="56" t="s">
        <v>1207</v>
      </c>
      <c r="B84" s="37" t="s">
        <v>1208</v>
      </c>
      <c r="C84">
        <v>629</v>
      </c>
      <c r="E84" s="37" t="s">
        <v>1208</v>
      </c>
      <c r="F84">
        <v>743</v>
      </c>
      <c r="G84" t="b">
        <f>IF(B84=E84,TRUE,FALSE)</f>
        <v>1</v>
      </c>
      <c r="J84">
        <f>F84-C84</f>
        <v>114</v>
      </c>
      <c r="K84" s="4">
        <f>F84/C84-1</f>
        <v>0.18124006359300471</v>
      </c>
      <c r="L84" s="4"/>
      <c r="N84" s="5">
        <v>2135.34</v>
      </c>
      <c r="O84" s="5">
        <v>2069.73</v>
      </c>
      <c r="Q84" s="5">
        <v>8651.9</v>
      </c>
      <c r="T84" s="116">
        <f>O84-N84</f>
        <v>-65.610000000000127</v>
      </c>
      <c r="U84" s="4">
        <f>IF(N84=0,0,O84/N84-1)</f>
        <v>-3.0725786057489768E-2</v>
      </c>
      <c r="AB84" s="18">
        <v>10685.01</v>
      </c>
      <c r="AC84" s="18">
        <v>12622.72</v>
      </c>
      <c r="AD84" s="4">
        <f>AC84/AB84-1</f>
        <v>0.18134844983766962</v>
      </c>
    </row>
    <row r="85" spans="1:30">
      <c r="A85" t="s">
        <v>1209</v>
      </c>
      <c r="B85" t="s">
        <v>1210</v>
      </c>
      <c r="C85">
        <v>296</v>
      </c>
      <c r="E85" t="s">
        <v>1210</v>
      </c>
      <c r="F85">
        <v>416</v>
      </c>
      <c r="G85" t="b">
        <f>IF(B85=E85,TRUE,FALSE)</f>
        <v>1</v>
      </c>
      <c r="J85">
        <f>F85-C85</f>
        <v>120</v>
      </c>
      <c r="K85" s="4">
        <f>F85/C85-1</f>
        <v>0.40540540540540548</v>
      </c>
      <c r="L85" s="4"/>
      <c r="N85" s="5">
        <v>416.47</v>
      </c>
      <c r="O85" s="5">
        <v>498.39</v>
      </c>
      <c r="Q85" s="5">
        <v>3215.14</v>
      </c>
      <c r="T85" s="116">
        <f>O85-N85</f>
        <v>81.919999999999959</v>
      </c>
      <c r="U85" s="4">
        <f>IF(N85=0,0,O85/N85-1)</f>
        <v>0.19670084279780053</v>
      </c>
      <c r="X85" t="s">
        <v>1211</v>
      </c>
      <c r="AB85" s="18">
        <v>7100.08</v>
      </c>
      <c r="AC85" s="18">
        <v>9977.2000000000007</v>
      </c>
      <c r="AD85" s="4">
        <f>AC85/AB85-1</f>
        <v>0.40522360311433125</v>
      </c>
    </row>
    <row r="86" spans="1:30">
      <c r="A86" t="s">
        <v>1212</v>
      </c>
      <c r="B86" t="s">
        <v>1213</v>
      </c>
      <c r="C86">
        <v>707</v>
      </c>
      <c r="E86" t="s">
        <v>1213</v>
      </c>
      <c r="F86">
        <v>831</v>
      </c>
      <c r="G86" t="b">
        <f>IF(B86=E86,TRUE,FALSE)</f>
        <v>1</v>
      </c>
      <c r="J86">
        <f>F86-C86</f>
        <v>124</v>
      </c>
      <c r="K86" s="4">
        <f>F86/C86-1</f>
        <v>0.17538896746817545</v>
      </c>
      <c r="L86" s="4"/>
      <c r="N86" s="5">
        <v>1405.49</v>
      </c>
      <c r="O86" s="5">
        <v>1594.96</v>
      </c>
      <c r="Q86" s="5">
        <v>9336.2900000000009</v>
      </c>
      <c r="T86" s="116">
        <f>O86-N86</f>
        <v>189.47000000000003</v>
      </c>
      <c r="U86" s="4">
        <f>IF(N86=0,0,O86/N86-1)</f>
        <v>0.13480707795857683</v>
      </c>
      <c r="AB86" s="18">
        <v>16331.16</v>
      </c>
      <c r="AC86" s="18">
        <v>20443.73</v>
      </c>
      <c r="AD86" s="4">
        <f>AC86/AB86-1</f>
        <v>0.25182350794432229</v>
      </c>
    </row>
    <row r="87" spans="1:30">
      <c r="A87" t="s">
        <v>1214</v>
      </c>
      <c r="B87" t="s">
        <v>1215</v>
      </c>
      <c r="C87">
        <v>875</v>
      </c>
      <c r="E87" t="s">
        <v>1215</v>
      </c>
      <c r="F87">
        <v>1002</v>
      </c>
      <c r="G87" t="b">
        <f>IF(B87=E87,TRUE,FALSE)</f>
        <v>1</v>
      </c>
      <c r="J87">
        <f>F87-C87</f>
        <v>127</v>
      </c>
      <c r="K87" s="4">
        <f>F87/C87-1</f>
        <v>0.14514285714285724</v>
      </c>
      <c r="N87" s="5">
        <v>1721.15</v>
      </c>
      <c r="O87" s="5">
        <v>1714.93</v>
      </c>
      <c r="Q87" s="5">
        <v>7604.68</v>
      </c>
      <c r="T87" s="116">
        <f>O87-N87</f>
        <v>-6.2200000000000273</v>
      </c>
      <c r="U87" s="4">
        <f>IF(N87=0,0,O87/N87-1)</f>
        <v>-3.6138628242744497E-3</v>
      </c>
      <c r="X87" s="5"/>
      <c r="Y87" s="5"/>
      <c r="Z87" s="5"/>
      <c r="AA87" s="17"/>
      <c r="AB87" s="18">
        <v>17488.05</v>
      </c>
      <c r="AC87" s="18">
        <v>20028.580000000002</v>
      </c>
      <c r="AD87" s="4">
        <f>AC87/AB87-1</f>
        <v>0.14527234311429815</v>
      </c>
    </row>
    <row r="88" spans="1:30">
      <c r="A88" t="s">
        <v>1216</v>
      </c>
      <c r="B88" t="s">
        <v>1217</v>
      </c>
      <c r="C88">
        <v>2454</v>
      </c>
      <c r="E88" t="s">
        <v>1217</v>
      </c>
      <c r="F88">
        <v>2585</v>
      </c>
      <c r="G88" t="b">
        <f>IF(B88=E88,TRUE,FALSE)</f>
        <v>1</v>
      </c>
      <c r="J88">
        <f>F88-C88</f>
        <v>131</v>
      </c>
      <c r="K88" s="4">
        <f>F88/C88-1</f>
        <v>5.3382233088834496E-2</v>
      </c>
      <c r="L88" s="4"/>
      <c r="N88" s="5">
        <v>1646.05</v>
      </c>
      <c r="O88" s="5">
        <v>1401.58</v>
      </c>
      <c r="Q88" s="5">
        <v>6867.62</v>
      </c>
      <c r="T88" s="116">
        <f>O88-N88</f>
        <v>-244.47000000000003</v>
      </c>
      <c r="U88" s="4">
        <f>IF(N88=0,0,O88/N88-1)</f>
        <v>-0.14851918228486383</v>
      </c>
      <c r="AB88" s="18">
        <v>48950.7</v>
      </c>
      <c r="AC88" s="18">
        <v>51567.55</v>
      </c>
      <c r="AD88" s="4">
        <f>AC88/AB88-1</f>
        <v>5.3458888228360424E-2</v>
      </c>
    </row>
    <row r="89" spans="1:30">
      <c r="A89" t="s">
        <v>1218</v>
      </c>
      <c r="B89" t="s">
        <v>1219</v>
      </c>
      <c r="C89">
        <v>1527</v>
      </c>
      <c r="E89" t="s">
        <v>1219</v>
      </c>
      <c r="F89">
        <v>1671</v>
      </c>
      <c r="G89" t="b">
        <f>IF(B89=E89,TRUE,FALSE)</f>
        <v>1</v>
      </c>
      <c r="J89">
        <f>F89-C89</f>
        <v>144</v>
      </c>
      <c r="K89" s="4">
        <f>F89/C89-1</f>
        <v>9.430255402750487E-2</v>
      </c>
      <c r="L89" s="6"/>
      <c r="N89" s="5">
        <v>1404.11</v>
      </c>
      <c r="O89" s="5">
        <v>1699.52</v>
      </c>
      <c r="Q89" s="5">
        <v>8575.27</v>
      </c>
      <c r="T89" s="116">
        <f>O89-N89</f>
        <v>295.41000000000008</v>
      </c>
      <c r="U89" s="4">
        <f>IF(N89=0,0,O89/N89-1)</f>
        <v>0.2103894993981954</v>
      </c>
      <c r="AB89" s="18">
        <v>33570.15</v>
      </c>
      <c r="AC89" s="18">
        <v>35124.550000000003</v>
      </c>
      <c r="AD89" s="4">
        <f>AC89/AB89-1</f>
        <v>4.630304005195085E-2</v>
      </c>
    </row>
    <row r="90" spans="1:30">
      <c r="A90" s="146" t="s">
        <v>1220</v>
      </c>
      <c r="B90" s="37" t="s">
        <v>1221</v>
      </c>
      <c r="C90">
        <v>0</v>
      </c>
      <c r="E90" s="37" t="s">
        <v>1221</v>
      </c>
      <c r="F90">
        <v>153</v>
      </c>
      <c r="G90" t="b">
        <f>IF(B90=E90,TRUE,FALSE)</f>
        <v>1</v>
      </c>
      <c r="J90">
        <f>F90-C90</f>
        <v>153</v>
      </c>
      <c r="K90" s="4" t="e">
        <f>F90/C90-1</f>
        <v>#DIV/0!</v>
      </c>
      <c r="L90" s="4"/>
      <c r="N90" s="5">
        <v>0.75</v>
      </c>
      <c r="O90" s="5">
        <v>609.02</v>
      </c>
      <c r="Q90" s="5">
        <v>2473.65</v>
      </c>
      <c r="T90" s="116">
        <f>O90-N90</f>
        <v>608.27</v>
      </c>
      <c r="U90" s="4">
        <f>IF(N90=0,0,O90/N90-1)</f>
        <v>811.02666666666664</v>
      </c>
      <c r="AB90" s="18">
        <v>0</v>
      </c>
      <c r="AC90" s="18">
        <v>2823.71</v>
      </c>
      <c r="AD90" s="4" t="e">
        <f>AC90/AB90-1</f>
        <v>#DIV/0!</v>
      </c>
    </row>
    <row r="91" spans="1:30">
      <c r="A91" s="150" t="s">
        <v>1222</v>
      </c>
      <c r="B91" s="150" t="s">
        <v>1223</v>
      </c>
      <c r="C91">
        <v>0</v>
      </c>
      <c r="E91" s="150" t="s">
        <v>1223</v>
      </c>
      <c r="F91">
        <v>158</v>
      </c>
      <c r="G91" t="b">
        <f>IF(B91=E91,TRUE,FALSE)</f>
        <v>1</v>
      </c>
      <c r="J91">
        <f>F91-C91</f>
        <v>158</v>
      </c>
      <c r="K91" s="4" t="e">
        <f>F91/C91-1</f>
        <v>#DIV/0!</v>
      </c>
      <c r="L91" s="4"/>
      <c r="N91" s="5">
        <v>0</v>
      </c>
      <c r="O91" s="5">
        <v>397.18</v>
      </c>
      <c r="Q91" s="5">
        <v>2025.12</v>
      </c>
      <c r="T91" s="116">
        <f>O91-N91</f>
        <v>397.18</v>
      </c>
      <c r="U91" s="4">
        <f>IF(N91=0,0,O91/N91-1)</f>
        <v>0</v>
      </c>
      <c r="AB91" s="18">
        <v>0</v>
      </c>
      <c r="AC91" s="18">
        <v>3337.95</v>
      </c>
      <c r="AD91" s="4" t="e">
        <f>AC91/AB91-1</f>
        <v>#DIV/0!</v>
      </c>
    </row>
    <row r="92" spans="1:30">
      <c r="A92" t="s">
        <v>1224</v>
      </c>
      <c r="B92" t="s">
        <v>1225</v>
      </c>
      <c r="C92">
        <v>1388</v>
      </c>
      <c r="E92" t="s">
        <v>1225</v>
      </c>
      <c r="F92">
        <v>1564</v>
      </c>
      <c r="G92" t="b">
        <f>IF(B92=E92,TRUE,FALSE)</f>
        <v>1</v>
      </c>
      <c r="J92">
        <f>F92-C92</f>
        <v>176</v>
      </c>
      <c r="K92" s="4">
        <f>F92/C92-1</f>
        <v>0.12680115273775217</v>
      </c>
      <c r="L92" s="4"/>
      <c r="N92" s="5">
        <v>2463.38</v>
      </c>
      <c r="O92" s="5">
        <v>1302.68</v>
      </c>
      <c r="Q92" s="5">
        <v>6661.67</v>
      </c>
      <c r="T92" s="116">
        <f>O92-N92</f>
        <v>-1160.7</v>
      </c>
      <c r="U92" s="4">
        <f>IF(N92=0,0,O92/N92-1)</f>
        <v>-0.4711818720619636</v>
      </c>
      <c r="AB92" s="18">
        <v>30518.16</v>
      </c>
      <c r="AC92" s="18">
        <v>31609.8</v>
      </c>
      <c r="AD92" s="4">
        <f>AC92/AB92-1</f>
        <v>3.5770177494318212E-2</v>
      </c>
    </row>
    <row r="93" spans="1:30">
      <c r="A93" t="s">
        <v>1226</v>
      </c>
      <c r="B93" t="s">
        <v>1227</v>
      </c>
      <c r="C93">
        <v>977</v>
      </c>
      <c r="E93" t="s">
        <v>1227</v>
      </c>
      <c r="F93">
        <v>1162</v>
      </c>
      <c r="G93" t="b">
        <f>IF(B93=E93,TRUE,FALSE)</f>
        <v>1</v>
      </c>
      <c r="J93">
        <f>F93-C93</f>
        <v>185</v>
      </c>
      <c r="K93" s="4">
        <f>F93/C93-1</f>
        <v>0.18935516888433979</v>
      </c>
      <c r="L93" s="4"/>
      <c r="N93" s="5">
        <v>1453.99</v>
      </c>
      <c r="O93" s="5">
        <v>742.58</v>
      </c>
      <c r="Q93" s="5">
        <v>6107.27</v>
      </c>
      <c r="T93" s="116">
        <f>O93-N93</f>
        <v>-711.41</v>
      </c>
      <c r="U93" s="4">
        <f>IF(N93=0,0,O93/N93-1)</f>
        <v>-0.48928121926560708</v>
      </c>
      <c r="AB93" s="18">
        <v>19527.03</v>
      </c>
      <c r="AC93" s="18">
        <v>21314.38</v>
      </c>
      <c r="AD93" s="4">
        <f>AC93/AB93-1</f>
        <v>9.1532096790961193E-2</v>
      </c>
    </row>
    <row r="94" spans="1:30">
      <c r="A94" t="s">
        <v>1228</v>
      </c>
      <c r="B94" t="s">
        <v>1229</v>
      </c>
      <c r="C94">
        <v>1242</v>
      </c>
      <c r="E94" t="s">
        <v>1229</v>
      </c>
      <c r="F94">
        <v>1432</v>
      </c>
      <c r="G94" t="b">
        <f>IF(B94=E94,TRUE,FALSE)</f>
        <v>1</v>
      </c>
      <c r="J94">
        <f>F94-C94</f>
        <v>190</v>
      </c>
      <c r="K94" s="4">
        <f>F94/C94-1</f>
        <v>0.1529790660225443</v>
      </c>
      <c r="L94" s="4"/>
      <c r="N94" s="5">
        <v>1369.61</v>
      </c>
      <c r="O94" s="5">
        <v>1556.84</v>
      </c>
      <c r="Q94" s="5">
        <v>7322.4</v>
      </c>
      <c r="T94" s="116">
        <f>O94-N94</f>
        <v>187.23000000000002</v>
      </c>
      <c r="U94" s="4">
        <f>IF(N94=0,0,O94/N94-1)</f>
        <v>0.1367031490716335</v>
      </c>
      <c r="AB94" s="18">
        <v>28545.48</v>
      </c>
      <c r="AC94" s="18">
        <v>29818.54</v>
      </c>
      <c r="AD94" s="4">
        <f>AC94/AB94-1</f>
        <v>4.4597603543538256E-2</v>
      </c>
    </row>
    <row r="95" spans="1:30">
      <c r="A95" t="s">
        <v>1230</v>
      </c>
      <c r="B95" t="s">
        <v>1231</v>
      </c>
      <c r="C95">
        <v>2110</v>
      </c>
      <c r="E95" t="s">
        <v>1231</v>
      </c>
      <c r="F95">
        <v>2320</v>
      </c>
      <c r="G95" t="b">
        <f>IF(B95=E95,TRUE,FALSE)</f>
        <v>1</v>
      </c>
      <c r="J95">
        <f>F95-C95</f>
        <v>210</v>
      </c>
      <c r="K95" s="4">
        <f>F95/C95-1</f>
        <v>9.9526066350710929E-2</v>
      </c>
      <c r="L95" s="4"/>
      <c r="N95" s="5">
        <v>1087.69</v>
      </c>
      <c r="O95" s="5">
        <v>982.77</v>
      </c>
      <c r="Q95" s="5">
        <v>5585.86</v>
      </c>
      <c r="T95" s="116">
        <f>O95-N95</f>
        <v>-104.92000000000007</v>
      </c>
      <c r="U95" s="4">
        <f>IF(N95=0,0,O95/N95-1)</f>
        <v>-9.6461307909422755E-2</v>
      </c>
      <c r="AB95" s="18">
        <v>42086.3</v>
      </c>
      <c r="AC95" s="18">
        <v>44537.2</v>
      </c>
      <c r="AD95" s="4">
        <f>AC95/AB95-1</f>
        <v>5.8235102634348834E-2</v>
      </c>
    </row>
    <row r="96" spans="1:30" ht="15" customHeight="1">
      <c r="A96" t="s">
        <v>1232</v>
      </c>
      <c r="B96" t="s">
        <v>1233</v>
      </c>
      <c r="C96">
        <v>880</v>
      </c>
      <c r="D96" s="5"/>
      <c r="E96" t="s">
        <v>1233</v>
      </c>
      <c r="F96">
        <v>1090</v>
      </c>
      <c r="G96" t="b">
        <f>IF(B96=E96,TRUE,FALSE)</f>
        <v>1</v>
      </c>
      <c r="H96" s="5"/>
      <c r="I96" s="5"/>
      <c r="J96">
        <f>F96-C96</f>
        <v>210</v>
      </c>
      <c r="K96" s="4">
        <f>F96/C96-1</f>
        <v>0.23863636363636354</v>
      </c>
      <c r="L96" s="5"/>
      <c r="M96" s="5"/>
      <c r="N96" s="5">
        <v>1470.12</v>
      </c>
      <c r="O96" s="5">
        <v>1869.68</v>
      </c>
      <c r="Q96" s="5">
        <v>13494.18</v>
      </c>
      <c r="T96" s="116">
        <f>O96-N96</f>
        <v>399.56000000000017</v>
      </c>
      <c r="U96" s="4">
        <f>IF(N96=0,0,O96/N96-1)</f>
        <v>0.27178733708812897</v>
      </c>
      <c r="X96" s="5"/>
      <c r="Y96" s="5"/>
      <c r="Z96" s="5"/>
      <c r="AA96" s="17"/>
      <c r="AB96" s="18">
        <v>30780.35</v>
      </c>
      <c r="AC96" s="18">
        <v>38127.9</v>
      </c>
      <c r="AD96" s="4">
        <f>AC96/AB96-1</f>
        <v>0.23870911149483365</v>
      </c>
    </row>
    <row r="97" spans="1:30" ht="15" customHeight="1">
      <c r="A97" s="150" t="s">
        <v>1234</v>
      </c>
      <c r="B97" s="150" t="s">
        <v>1235</v>
      </c>
      <c r="C97">
        <v>0</v>
      </c>
      <c r="E97" s="150" t="s">
        <v>1235</v>
      </c>
      <c r="F97">
        <v>231</v>
      </c>
      <c r="G97" t="b">
        <f>IF(B97=E97,TRUE,FALSE)</f>
        <v>1</v>
      </c>
      <c r="J97">
        <f>F97-C97</f>
        <v>231</v>
      </c>
      <c r="K97" s="4" t="e">
        <f>F97/C97-1</f>
        <v>#DIV/0!</v>
      </c>
      <c r="L97" s="4"/>
      <c r="N97" s="5">
        <v>0</v>
      </c>
      <c r="O97" s="5">
        <v>515.98</v>
      </c>
      <c r="Q97" s="5">
        <v>3996.96</v>
      </c>
      <c r="T97" s="116">
        <f>O97-N97</f>
        <v>515.98</v>
      </c>
      <c r="U97" s="4">
        <f>IF(N97=0,0,O97/N97-1)</f>
        <v>0</v>
      </c>
      <c r="AB97" s="18">
        <v>0</v>
      </c>
      <c r="AC97" s="18">
        <v>9005.91</v>
      </c>
      <c r="AD97" s="4" t="e">
        <f>AC97/AB97-1</f>
        <v>#DIV/0!</v>
      </c>
    </row>
    <row r="98" spans="1:30" ht="15" customHeight="1">
      <c r="A98" t="s">
        <v>1236</v>
      </c>
      <c r="B98" t="s">
        <v>1237</v>
      </c>
      <c r="C98">
        <v>1208</v>
      </c>
      <c r="E98" t="s">
        <v>1237</v>
      </c>
      <c r="F98">
        <v>1442</v>
      </c>
      <c r="G98" t="b">
        <f>IF(B98=E98,TRUE,FALSE)</f>
        <v>1</v>
      </c>
      <c r="J98">
        <f>F98-C98</f>
        <v>234</v>
      </c>
      <c r="K98" s="4">
        <f>F98/C98-1</f>
        <v>0.19370860927152322</v>
      </c>
      <c r="L98" s="4"/>
      <c r="N98" s="5">
        <v>1127.74</v>
      </c>
      <c r="O98" s="5">
        <v>1114.04</v>
      </c>
      <c r="Q98" s="5">
        <v>5571.78</v>
      </c>
      <c r="T98" s="116">
        <f>O98-N98</f>
        <v>-13.700000000000045</v>
      </c>
      <c r="U98" s="4">
        <f>IF(N98=0,0,O98/N98-1)</f>
        <v>-1.214819018568114E-2</v>
      </c>
      <c r="AB98" s="18">
        <v>24144.12</v>
      </c>
      <c r="AC98" s="18">
        <v>27601.58</v>
      </c>
      <c r="AD98" s="4">
        <f>AC98/AB98-1</f>
        <v>0.14320091185762829</v>
      </c>
    </row>
    <row r="99" spans="1:30" ht="15" customHeight="1">
      <c r="A99" s="27" t="s">
        <v>1238</v>
      </c>
      <c r="B99" s="27" t="s">
        <v>1239</v>
      </c>
      <c r="C99">
        <v>1240</v>
      </c>
      <c r="E99" s="27" t="s">
        <v>1239</v>
      </c>
      <c r="F99">
        <v>1479</v>
      </c>
      <c r="G99" t="b">
        <f>IF(B99=E99,TRUE,FALSE)</f>
        <v>1</v>
      </c>
      <c r="J99">
        <f>F99-C99</f>
        <v>239</v>
      </c>
      <c r="K99" s="4">
        <f>F99/C99-1</f>
        <v>0.19274193548387086</v>
      </c>
      <c r="L99" s="4"/>
      <c r="N99" s="5">
        <v>2146.34</v>
      </c>
      <c r="O99" s="5">
        <v>2124.81</v>
      </c>
      <c r="Q99" s="5">
        <v>11204.76</v>
      </c>
      <c r="T99" s="116">
        <f>O99-N99</f>
        <v>-21.5300000000002</v>
      </c>
      <c r="U99" s="4">
        <f>IF(N99=0,0,O99/N99-1)</f>
        <v>-1.0031029566611172E-2</v>
      </c>
      <c r="AB99" s="18">
        <v>25452.86</v>
      </c>
      <c r="AC99" s="18">
        <v>32030.73</v>
      </c>
      <c r="AD99" s="4">
        <f>AC99/AB99-1</f>
        <v>0.25843343341376968</v>
      </c>
    </row>
    <row r="100" spans="1:30" ht="15" customHeight="1">
      <c r="A100" t="s">
        <v>1240</v>
      </c>
      <c r="B100" t="s">
        <v>1241</v>
      </c>
      <c r="C100">
        <v>1735</v>
      </c>
      <c r="E100" t="s">
        <v>1241</v>
      </c>
      <c r="F100">
        <v>1977</v>
      </c>
      <c r="G100" t="b">
        <f>IF(B100=E100,TRUE,FALSE)</f>
        <v>1</v>
      </c>
      <c r="J100">
        <f>F100-C100</f>
        <v>242</v>
      </c>
      <c r="K100" s="4">
        <f>F100/C100-1</f>
        <v>0.13948126801152738</v>
      </c>
      <c r="L100" s="6"/>
      <c r="N100" s="5">
        <v>2427.6799999999998</v>
      </c>
      <c r="O100" s="5">
        <v>1985.85</v>
      </c>
      <c r="Q100" s="5">
        <v>11809.15</v>
      </c>
      <c r="T100" s="116">
        <f>O100-N100</f>
        <v>-441.82999999999993</v>
      </c>
      <c r="U100" s="4">
        <f>IF(N100=0,0,O100/N100-1)</f>
        <v>-0.18199680353259073</v>
      </c>
      <c r="AB100" s="18">
        <v>34566.35</v>
      </c>
      <c r="AC100" s="18">
        <v>39421.99</v>
      </c>
      <c r="AD100" s="4">
        <f>AC100/AB100-1</f>
        <v>0.14047303229875308</v>
      </c>
    </row>
    <row r="101" spans="1:30" ht="15" customHeight="1">
      <c r="A101" t="s">
        <v>1242</v>
      </c>
      <c r="B101" t="s">
        <v>1243</v>
      </c>
      <c r="C101">
        <v>1059</v>
      </c>
      <c r="E101" t="s">
        <v>1243</v>
      </c>
      <c r="F101">
        <v>1326</v>
      </c>
      <c r="G101" t="b">
        <f>IF(B101=E101,TRUE,FALSE)</f>
        <v>1</v>
      </c>
      <c r="J101">
        <f>F101-C101</f>
        <v>267</v>
      </c>
      <c r="K101" s="4">
        <f>F101/C101-1</f>
        <v>0.25212464589235117</v>
      </c>
      <c r="L101" s="4"/>
      <c r="N101" s="5">
        <v>1653.37</v>
      </c>
      <c r="O101" s="5">
        <v>1530.78</v>
      </c>
      <c r="Q101" s="5">
        <v>7013.37</v>
      </c>
      <c r="T101" s="116">
        <f>O101-N101</f>
        <v>-122.58999999999992</v>
      </c>
      <c r="U101" s="4">
        <f>IF(N101=0,0,O101/N101-1)</f>
        <v>-7.4145533062774827E-2</v>
      </c>
      <c r="AB101" s="18">
        <v>21123.65</v>
      </c>
      <c r="AC101" s="18">
        <v>25181.98</v>
      </c>
      <c r="AD101" s="4">
        <f>AC101/AB101-1</f>
        <v>0.19212257351357365</v>
      </c>
    </row>
    <row r="102" spans="1:30" ht="15" customHeight="1">
      <c r="A102" s="55" t="s">
        <v>1244</v>
      </c>
      <c r="B102" t="s">
        <v>1245</v>
      </c>
      <c r="C102">
        <v>2799</v>
      </c>
      <c r="E102" t="s">
        <v>1245</v>
      </c>
      <c r="F102">
        <v>3074</v>
      </c>
      <c r="G102" t="b">
        <f>IF(B102=E102,TRUE,FALSE)</f>
        <v>1</v>
      </c>
      <c r="J102">
        <f>F102-C102</f>
        <v>275</v>
      </c>
      <c r="K102" s="4">
        <f>F102/C102-1</f>
        <v>9.8249374776705922E-2</v>
      </c>
      <c r="L102" s="4"/>
      <c r="N102" s="5">
        <v>5601.25</v>
      </c>
      <c r="O102" s="5">
        <v>4563.3599999999997</v>
      </c>
      <c r="Q102" s="5">
        <v>48213.87</v>
      </c>
      <c r="T102" s="116">
        <f>O102-N102</f>
        <v>-1037.8900000000003</v>
      </c>
      <c r="U102" s="4">
        <f>IF(N102=0,0,O102/N102-1)</f>
        <v>-0.18529613925463073</v>
      </c>
      <c r="AB102" s="18">
        <v>83929.41</v>
      </c>
      <c r="AC102" s="18">
        <v>92176.960000000006</v>
      </c>
      <c r="AD102" s="4">
        <f>AC102/AB102-1</f>
        <v>9.826769901039456E-2</v>
      </c>
    </row>
    <row r="103" spans="1:30" ht="15" customHeight="1">
      <c r="A103" t="s">
        <v>1246</v>
      </c>
      <c r="B103" t="s">
        <v>1247</v>
      </c>
      <c r="C103">
        <v>738</v>
      </c>
      <c r="E103" t="s">
        <v>1247</v>
      </c>
      <c r="F103">
        <v>1017</v>
      </c>
      <c r="G103" t="b">
        <f>IF(B103=E103,TRUE,FALSE)</f>
        <v>1</v>
      </c>
      <c r="J103">
        <f>F103-C103</f>
        <v>279</v>
      </c>
      <c r="K103" s="4">
        <f>F103/C103-1</f>
        <v>0.37804878048780477</v>
      </c>
      <c r="L103" s="4"/>
      <c r="N103" s="5">
        <v>1461.12</v>
      </c>
      <c r="O103" s="5">
        <v>1830.01</v>
      </c>
      <c r="Q103" s="5">
        <v>12189.47</v>
      </c>
      <c r="T103" s="116">
        <f>O103-N103</f>
        <v>368.8900000000001</v>
      </c>
      <c r="U103" s="4">
        <f>IF(N103=0,0,O103/N103-1)</f>
        <v>0.25247070740254052</v>
      </c>
      <c r="AB103" s="18">
        <v>16220.04</v>
      </c>
      <c r="AC103" s="18">
        <v>22358.11</v>
      </c>
      <c r="AD103" s="4">
        <f>AC103/AB103-1</f>
        <v>0.37842508403185193</v>
      </c>
    </row>
    <row r="104" spans="1:30" ht="15" customHeight="1">
      <c r="A104" s="55" t="s">
        <v>1248</v>
      </c>
      <c r="B104" s="37" t="s">
        <v>1249</v>
      </c>
      <c r="C104">
        <v>249</v>
      </c>
      <c r="E104" s="37" t="s">
        <v>1249</v>
      </c>
      <c r="F104">
        <v>532</v>
      </c>
      <c r="G104" t="b">
        <f>IF(B104=E104,TRUE,FALSE)</f>
        <v>1</v>
      </c>
      <c r="J104">
        <f>F104-C104</f>
        <v>283</v>
      </c>
      <c r="K104" s="4">
        <f>F104/C104-1</f>
        <v>1.1365461847389557</v>
      </c>
      <c r="L104" s="4"/>
      <c r="N104" s="5">
        <v>1040.6500000000001</v>
      </c>
      <c r="O104" s="5">
        <v>837.51</v>
      </c>
      <c r="Q104" s="5">
        <v>2816.32</v>
      </c>
      <c r="T104" s="116">
        <f>O104-N104</f>
        <v>-203.1400000000001</v>
      </c>
      <c r="U104" s="4">
        <f>IF(N104=0,0,O104/N104-1)</f>
        <v>-0.19520492000192191</v>
      </c>
      <c r="AB104" s="18">
        <v>4473.07</v>
      </c>
      <c r="AC104" s="18">
        <v>8881.1200000000008</v>
      </c>
      <c r="AD104" s="4">
        <f>AC104/AB104-1</f>
        <v>0.98546412195650901</v>
      </c>
    </row>
    <row r="105" spans="1:30" ht="15" customHeight="1">
      <c r="A105" t="s">
        <v>1250</v>
      </c>
      <c r="B105" t="s">
        <v>1251</v>
      </c>
      <c r="C105">
        <v>408</v>
      </c>
      <c r="E105" t="s">
        <v>1251</v>
      </c>
      <c r="F105">
        <v>693</v>
      </c>
      <c r="G105" t="b">
        <f>IF(B105=E105,TRUE,FALSE)</f>
        <v>1</v>
      </c>
      <c r="J105">
        <f>F105-C105</f>
        <v>285</v>
      </c>
      <c r="K105" s="4">
        <f>F105/C105-1</f>
        <v>0.69852941176470584</v>
      </c>
      <c r="L105" s="4"/>
      <c r="N105" s="5">
        <v>205.24</v>
      </c>
      <c r="O105" s="5">
        <v>569.77</v>
      </c>
      <c r="Q105" s="5">
        <v>3679.73</v>
      </c>
      <c r="T105" s="116">
        <f>O105-N105</f>
        <v>364.53</v>
      </c>
      <c r="U105" s="4" t="e">
        <f>IF(#REF!=0,0,O105/#REF!-1)</f>
        <v>#REF!</v>
      </c>
      <c r="AB105" s="18">
        <v>9761.0499999999993</v>
      </c>
      <c r="AC105" s="18">
        <v>16622.189999999999</v>
      </c>
      <c r="AD105" s="4">
        <f>AC105/AB105-1</f>
        <v>0.70291003529333418</v>
      </c>
    </row>
    <row r="106" spans="1:30" ht="15" customHeight="1">
      <c r="A106" t="s">
        <v>1252</v>
      </c>
      <c r="B106" t="s">
        <v>1253</v>
      </c>
      <c r="C106">
        <v>734</v>
      </c>
      <c r="E106" t="s">
        <v>1253</v>
      </c>
      <c r="F106">
        <v>1055</v>
      </c>
      <c r="G106" t="b">
        <f>IF(B106=E106,TRUE,FALSE)</f>
        <v>1</v>
      </c>
      <c r="J106">
        <f>F106-C106</f>
        <v>321</v>
      </c>
      <c r="K106" s="4">
        <f>F106/C106-1</f>
        <v>0.43732970027247964</v>
      </c>
      <c r="N106" s="5">
        <v>636.79999999999995</v>
      </c>
      <c r="O106" s="5">
        <v>1297.68</v>
      </c>
      <c r="Q106" s="5">
        <v>5279.03</v>
      </c>
      <c r="T106" s="116">
        <f>O106-N106</f>
        <v>660.88000000000011</v>
      </c>
      <c r="U106" s="4">
        <f>IF(N106=0,0,O106/N106-1)</f>
        <v>1.0378140703517591</v>
      </c>
      <c r="AB106" s="18">
        <v>13907.02</v>
      </c>
      <c r="AC106" s="18">
        <v>15984.17</v>
      </c>
      <c r="AD106" s="4">
        <f>AC106/AB106-1</f>
        <v>0.14935981971694878</v>
      </c>
    </row>
    <row r="107" spans="1:30" ht="15" customHeight="1">
      <c r="A107" t="s">
        <v>1254</v>
      </c>
      <c r="B107" t="s">
        <v>1255</v>
      </c>
      <c r="C107">
        <v>3570</v>
      </c>
      <c r="E107" t="s">
        <v>1255</v>
      </c>
      <c r="F107">
        <v>3893</v>
      </c>
      <c r="G107" t="b">
        <f>IF(B107=E107,TRUE,FALSE)</f>
        <v>1</v>
      </c>
      <c r="J107">
        <f>F107-C107</f>
        <v>323</v>
      </c>
      <c r="K107" s="4">
        <f>F107/C107-1</f>
        <v>9.0476190476190377E-2</v>
      </c>
      <c r="L107" s="4"/>
      <c r="N107" s="5">
        <v>4714.21</v>
      </c>
      <c r="O107" s="5">
        <v>4519.7</v>
      </c>
      <c r="Q107" s="5">
        <v>18359</v>
      </c>
      <c r="T107" s="116">
        <f>O107-N107</f>
        <v>-194.51000000000022</v>
      </c>
      <c r="U107" s="4">
        <f>IF(N107=0,0,O107/N107-1)</f>
        <v>-4.1260359636079103E-2</v>
      </c>
      <c r="AB107" s="18">
        <v>60967.7</v>
      </c>
      <c r="AC107" s="18">
        <v>72711.27</v>
      </c>
      <c r="AD107" s="4">
        <f>AC107/AB107-1</f>
        <v>0.19261953460602932</v>
      </c>
    </row>
    <row r="108" spans="1:30" ht="15" customHeight="1">
      <c r="A108" t="s">
        <v>1256</v>
      </c>
      <c r="B108" t="s">
        <v>1257</v>
      </c>
      <c r="C108">
        <v>2094</v>
      </c>
      <c r="E108" t="s">
        <v>1257</v>
      </c>
      <c r="F108">
        <v>2423</v>
      </c>
      <c r="G108" t="b">
        <f>IF(B108=E108,TRUE,FALSE)</f>
        <v>1</v>
      </c>
      <c r="J108">
        <f>F108-C108</f>
        <v>329</v>
      </c>
      <c r="K108" s="4">
        <f>F108/C108-1</f>
        <v>0.15711556829035334</v>
      </c>
      <c r="L108" s="6"/>
      <c r="N108" s="5">
        <v>3672.39</v>
      </c>
      <c r="O108" s="5">
        <v>3272.51</v>
      </c>
      <c r="Q108" s="5">
        <v>18791.740000000002</v>
      </c>
      <c r="T108" s="116">
        <f>O108-N108</f>
        <v>-399.87999999999965</v>
      </c>
      <c r="U108" s="4">
        <f>IF(N108=0,0,O108/N108-1)</f>
        <v>-0.10888821721004571</v>
      </c>
      <c r="AB108" s="18">
        <v>56508.69</v>
      </c>
      <c r="AC108" s="18">
        <v>65347.03</v>
      </c>
      <c r="AD108" s="4">
        <f>AC108/AB108-1</f>
        <v>0.15640674027304469</v>
      </c>
    </row>
    <row r="109" spans="1:30" ht="15" customHeight="1">
      <c r="A109" t="s">
        <v>1258</v>
      </c>
      <c r="B109" t="s">
        <v>1259</v>
      </c>
      <c r="C109">
        <v>1675</v>
      </c>
      <c r="E109" t="s">
        <v>1259</v>
      </c>
      <c r="F109">
        <v>2023</v>
      </c>
      <c r="G109" t="b">
        <f>IF(B109=E109,TRUE,FALSE)</f>
        <v>1</v>
      </c>
      <c r="J109">
        <f>F109-C109</f>
        <v>348</v>
      </c>
      <c r="K109" s="4">
        <f>F109/C109-1</f>
        <v>0.20776119402985072</v>
      </c>
      <c r="N109" s="5">
        <v>2198.66</v>
      </c>
      <c r="O109" s="5">
        <v>2237.81</v>
      </c>
      <c r="Q109" s="5">
        <v>10815.91</v>
      </c>
      <c r="T109" s="116">
        <f>O109-N109</f>
        <v>39.150000000000091</v>
      </c>
      <c r="U109" s="4">
        <f>IF(N109=0,0,O109/N109-1)</f>
        <v>1.7806300201031577E-2</v>
      </c>
      <c r="X109" s="5"/>
      <c r="Y109" s="5"/>
      <c r="Z109" s="5"/>
      <c r="AA109" s="17"/>
      <c r="AB109" s="18">
        <v>50098.85</v>
      </c>
      <c r="AC109" s="18">
        <v>52195.13</v>
      </c>
      <c r="AD109" s="4">
        <f>AC109/AB109-1</f>
        <v>4.1842876632896653E-2</v>
      </c>
    </row>
    <row r="110" spans="1:30" ht="15" customHeight="1">
      <c r="A110" t="s">
        <v>1260</v>
      </c>
      <c r="B110" t="s">
        <v>1261</v>
      </c>
      <c r="C110">
        <v>915</v>
      </c>
      <c r="E110" t="s">
        <v>1261</v>
      </c>
      <c r="F110">
        <v>1296</v>
      </c>
      <c r="G110" t="b">
        <f>IF(B110=E110,TRUE,FALSE)</f>
        <v>1</v>
      </c>
      <c r="J110">
        <f>F110-C110</f>
        <v>381</v>
      </c>
      <c r="K110" s="4">
        <f>F110/C110-1</f>
        <v>0.41639344262295075</v>
      </c>
      <c r="L110" s="4"/>
      <c r="N110" s="5">
        <v>795.07</v>
      </c>
      <c r="O110" s="5">
        <v>1411.96</v>
      </c>
      <c r="Q110" s="5">
        <v>9526.33</v>
      </c>
      <c r="T110" s="116">
        <f>O110-N110</f>
        <v>616.89</v>
      </c>
      <c r="U110" s="4">
        <f>IF(N110=0,0,O110/N110-1)</f>
        <v>0.77589394644496701</v>
      </c>
      <c r="AB110" s="18">
        <v>15533.07</v>
      </c>
      <c r="AC110" s="18">
        <v>25854</v>
      </c>
      <c r="AD110" s="4">
        <f>AC110/AB110-1</f>
        <v>0.66444881790914478</v>
      </c>
    </row>
    <row r="111" spans="1:30" ht="15" customHeight="1">
      <c r="A111" t="s">
        <v>1262</v>
      </c>
      <c r="B111" t="s">
        <v>1263</v>
      </c>
      <c r="C111">
        <v>819</v>
      </c>
      <c r="E111" t="s">
        <v>1263</v>
      </c>
      <c r="F111">
        <v>1235</v>
      </c>
      <c r="G111" t="b">
        <f>IF(B111=E111,TRUE,FALSE)</f>
        <v>1</v>
      </c>
      <c r="J111">
        <f>F111-C111</f>
        <v>416</v>
      </c>
      <c r="K111" s="4">
        <f>F111/C111-1</f>
        <v>0.50793650793650791</v>
      </c>
      <c r="N111" s="5">
        <v>655.82</v>
      </c>
      <c r="O111" s="5">
        <v>1177.3900000000001</v>
      </c>
      <c r="Q111" s="5">
        <v>5231.07</v>
      </c>
      <c r="T111" s="116">
        <f>O111-N111</f>
        <v>521.57000000000005</v>
      </c>
      <c r="U111" s="4">
        <f>IF(N111=0,0,O111/N111-1)</f>
        <v>0.79529444054771137</v>
      </c>
      <c r="X111" s="5"/>
      <c r="Y111" s="5"/>
      <c r="Z111" s="5"/>
      <c r="AA111" s="17"/>
      <c r="AB111" s="18">
        <v>16369.61</v>
      </c>
      <c r="AC111" s="18">
        <v>22394.09</v>
      </c>
      <c r="AD111" s="4">
        <f>AC111/AB111-1</f>
        <v>0.36802831588535101</v>
      </c>
    </row>
    <row r="112" spans="1:30" ht="15" customHeight="1">
      <c r="A112" t="s">
        <v>1264</v>
      </c>
      <c r="B112" t="s">
        <v>1265</v>
      </c>
      <c r="C112">
        <v>1653</v>
      </c>
      <c r="E112" t="s">
        <v>1265</v>
      </c>
      <c r="F112">
        <v>2094</v>
      </c>
      <c r="G112" t="b">
        <f>IF(B112=E112,TRUE,FALSE)</f>
        <v>1</v>
      </c>
      <c r="J112">
        <f>F112-C112</f>
        <v>441</v>
      </c>
      <c r="K112" s="4">
        <f>F112/C112-1</f>
        <v>0.26678765880217781</v>
      </c>
      <c r="L112" s="4"/>
      <c r="N112" s="5">
        <v>1258</v>
      </c>
      <c r="O112" s="5">
        <v>1449.77</v>
      </c>
      <c r="Q112" s="5">
        <v>9843.09</v>
      </c>
      <c r="T112" s="116">
        <f>O112-N112</f>
        <v>191.76999999999998</v>
      </c>
      <c r="U112" s="4">
        <f>IF(N112=0,0,O112/N112-1)</f>
        <v>0.15244038155802864</v>
      </c>
      <c r="AB112" s="18">
        <v>41233.35</v>
      </c>
      <c r="AC112" s="18">
        <v>52236.3</v>
      </c>
      <c r="AD112" s="4">
        <f>AC112/AB112-1</f>
        <v>0.26684589052308394</v>
      </c>
    </row>
    <row r="113" spans="1:30" ht="15" customHeight="1">
      <c r="A113" t="s">
        <v>1266</v>
      </c>
      <c r="B113" t="s">
        <v>1267</v>
      </c>
      <c r="C113">
        <v>837</v>
      </c>
      <c r="E113" t="s">
        <v>1267</v>
      </c>
      <c r="F113">
        <v>1303</v>
      </c>
      <c r="G113" t="b">
        <f>IF(B113=E113,TRUE,FALSE)</f>
        <v>1</v>
      </c>
      <c r="J113">
        <f>F113-C113</f>
        <v>466</v>
      </c>
      <c r="K113" s="4">
        <f>F113/C113-1</f>
        <v>0.55675029868578263</v>
      </c>
      <c r="L113" s="6"/>
      <c r="N113" s="5">
        <v>692.61</v>
      </c>
      <c r="O113" s="5">
        <v>1057.07</v>
      </c>
      <c r="Q113" s="5">
        <v>7147.77</v>
      </c>
      <c r="T113" s="116">
        <f>O113-N113</f>
        <v>364.45999999999992</v>
      </c>
      <c r="U113" s="4">
        <f>IF(N113=0,0,O113/N113-1)</f>
        <v>0.52621244278887103</v>
      </c>
      <c r="X113" t="s">
        <v>1268</v>
      </c>
      <c r="AB113" s="18">
        <v>25096.23</v>
      </c>
      <c r="AC113" s="18">
        <v>37826.800000000003</v>
      </c>
      <c r="AD113" s="4">
        <f>AC113/AB113-1</f>
        <v>0.50727021548654938</v>
      </c>
    </row>
    <row r="114" spans="1:30" ht="15" customHeight="1">
      <c r="A114" t="s">
        <v>1269</v>
      </c>
      <c r="B114" t="s">
        <v>1270</v>
      </c>
      <c r="C114">
        <v>1434</v>
      </c>
      <c r="E114" t="s">
        <v>1270</v>
      </c>
      <c r="F114">
        <v>1914</v>
      </c>
      <c r="G114" t="b">
        <f>IF(B114=E114,TRUE,FALSE)</f>
        <v>1</v>
      </c>
      <c r="J114">
        <f>F114-C114</f>
        <v>480</v>
      </c>
      <c r="K114" s="4">
        <f>F114/C114-1</f>
        <v>0.33472803347280333</v>
      </c>
      <c r="L114" s="4"/>
      <c r="N114" s="5">
        <v>2341.8200000000002</v>
      </c>
      <c r="O114" s="5">
        <v>2524.5100000000002</v>
      </c>
      <c r="Q114" s="5">
        <v>14232.83</v>
      </c>
      <c r="T114" s="116">
        <f>O114-N114</f>
        <v>182.69000000000005</v>
      </c>
      <c r="U114" s="4">
        <f>IF(N114=0,0,O114/N114-1)</f>
        <v>7.8011973593188122E-2</v>
      </c>
      <c r="AB114" s="18">
        <v>35749.19</v>
      </c>
      <c r="AC114" s="18">
        <v>43498.31</v>
      </c>
      <c r="AD114" s="4">
        <f>AC114/AB114-1</f>
        <v>0.21676351268378369</v>
      </c>
    </row>
    <row r="115" spans="1:30" ht="15" customHeight="1">
      <c r="A115" t="s">
        <v>1271</v>
      </c>
      <c r="B115" t="s">
        <v>1272</v>
      </c>
      <c r="C115">
        <v>1116</v>
      </c>
      <c r="E115" t="s">
        <v>1272</v>
      </c>
      <c r="F115">
        <v>1644</v>
      </c>
      <c r="G115" t="b">
        <f>IF(B115=E115,TRUE,FALSE)</f>
        <v>1</v>
      </c>
      <c r="J115">
        <f>F115-C115</f>
        <v>528</v>
      </c>
      <c r="K115" s="4">
        <f>F115/C115-1</f>
        <v>0.4731182795698925</v>
      </c>
      <c r="L115" s="4"/>
      <c r="N115" s="5">
        <v>1016.79</v>
      </c>
      <c r="O115" s="5">
        <v>1664.58</v>
      </c>
      <c r="Q115" s="5">
        <v>8221</v>
      </c>
      <c r="T115" s="116">
        <f>O115-N115</f>
        <v>647.79</v>
      </c>
      <c r="U115" s="4">
        <f>IF(N115=0,0,O115/N115-1)</f>
        <v>0.63709320508659606</v>
      </c>
      <c r="AB115" s="18">
        <v>22263</v>
      </c>
      <c r="AC115" s="18">
        <v>32754.5</v>
      </c>
      <c r="AD115" s="4">
        <f>AC115/AB115-1</f>
        <v>0.47125275120154519</v>
      </c>
    </row>
    <row r="116" spans="1:30" ht="15" customHeight="1">
      <c r="A116" t="s">
        <v>1273</v>
      </c>
      <c r="B116" t="s">
        <v>1274</v>
      </c>
      <c r="C116">
        <v>1236</v>
      </c>
      <c r="E116" t="s">
        <v>1274</v>
      </c>
      <c r="F116">
        <v>1790</v>
      </c>
      <c r="G116" t="b">
        <f>IF(B116=E116,TRUE,FALSE)</f>
        <v>1</v>
      </c>
      <c r="J116">
        <f>F116-C116</f>
        <v>554</v>
      </c>
      <c r="K116" s="4">
        <f>F116/C116-1</f>
        <v>0.44822006472491904</v>
      </c>
      <c r="L116" s="6"/>
      <c r="N116" s="5">
        <v>2905.27</v>
      </c>
      <c r="O116" s="5">
        <v>2938.02</v>
      </c>
      <c r="Q116" s="5">
        <v>17049.689999999999</v>
      </c>
      <c r="T116" s="116">
        <f>O116-N116</f>
        <v>32.75</v>
      </c>
      <c r="U116" s="4">
        <f>IF(N116=0,0,O116/N116-1)</f>
        <v>1.127261837970317E-2</v>
      </c>
      <c r="AB116" s="18">
        <v>27154.79</v>
      </c>
      <c r="AC116" s="18">
        <v>36709.67</v>
      </c>
      <c r="AD116" s="4">
        <f>AC116/AB116-1</f>
        <v>0.35186720280289396</v>
      </c>
    </row>
    <row r="117" spans="1:30" ht="15" customHeight="1">
      <c r="A117" t="s">
        <v>1275</v>
      </c>
      <c r="B117" t="s">
        <v>1276</v>
      </c>
      <c r="C117">
        <v>5647</v>
      </c>
      <c r="E117" t="s">
        <v>1276</v>
      </c>
      <c r="F117">
        <v>6204</v>
      </c>
      <c r="G117" t="b">
        <f>IF(B117=E117,TRUE,FALSE)</f>
        <v>1</v>
      </c>
      <c r="J117">
        <f>F117-C117</f>
        <v>557</v>
      </c>
      <c r="K117" s="4">
        <f>F117/C117-1</f>
        <v>9.8636444129626355E-2</v>
      </c>
      <c r="L117" s="4"/>
      <c r="N117" s="5">
        <v>7173.38</v>
      </c>
      <c r="O117" s="5">
        <v>5736.09</v>
      </c>
      <c r="Q117" s="5">
        <v>30533.5</v>
      </c>
      <c r="T117" s="116">
        <f>O117-N117</f>
        <v>-1437.29</v>
      </c>
      <c r="U117" s="4">
        <f>IF(N117=0,0,O117/N117-1)</f>
        <v>-0.20036440283381052</v>
      </c>
      <c r="AB117" s="18">
        <v>105784.4</v>
      </c>
      <c r="AC117" s="18">
        <v>113666.38</v>
      </c>
      <c r="AD117" s="4">
        <f>AC117/AB117-1</f>
        <v>7.4509852114300612E-2</v>
      </c>
    </row>
    <row r="118" spans="1:30" ht="15" customHeight="1">
      <c r="A118" s="55" t="s">
        <v>1277</v>
      </c>
      <c r="B118" s="37" t="s">
        <v>1278</v>
      </c>
      <c r="C118">
        <v>983</v>
      </c>
      <c r="E118" s="37" t="s">
        <v>1278</v>
      </c>
      <c r="F118">
        <v>1541</v>
      </c>
      <c r="G118" t="b">
        <f>IF(B118=E118,TRUE,FALSE)</f>
        <v>1</v>
      </c>
      <c r="J118">
        <f>F118-C118</f>
        <v>558</v>
      </c>
      <c r="K118" s="4">
        <f>F118/C118-1</f>
        <v>0.5676500508647</v>
      </c>
      <c r="L118" s="4"/>
      <c r="N118" s="5">
        <v>3051</v>
      </c>
      <c r="O118" s="5">
        <v>2823.28</v>
      </c>
      <c r="Q118" s="5">
        <v>15233.43</v>
      </c>
      <c r="T118" s="116">
        <f>O118-N118</f>
        <v>-227.7199999999998</v>
      </c>
      <c r="U118" s="4">
        <f>IF(N118=0,0,O118/N118-1)</f>
        <v>-7.4637823664372216E-2</v>
      </c>
      <c r="AB118" s="18">
        <v>17877.27</v>
      </c>
      <c r="AC118" s="18">
        <v>27593.42</v>
      </c>
      <c r="AD118" s="4">
        <f>AC118/AB118-1</f>
        <v>0.54349181950040459</v>
      </c>
    </row>
    <row r="119" spans="1:30" ht="15" customHeight="1">
      <c r="A119" s="55" t="s">
        <v>1279</v>
      </c>
      <c r="B119" s="37" t="s">
        <v>1280</v>
      </c>
      <c r="C119">
        <v>858</v>
      </c>
      <c r="E119" s="37" t="s">
        <v>1280</v>
      </c>
      <c r="F119">
        <v>1459</v>
      </c>
      <c r="G119" t="b">
        <f>IF(B119=E119,TRUE,FALSE)</f>
        <v>1</v>
      </c>
      <c r="J119">
        <f>F119-C119</f>
        <v>601</v>
      </c>
      <c r="K119" s="4">
        <f>F119/C119-1</f>
        <v>0.70046620046620056</v>
      </c>
      <c r="L119" s="4"/>
      <c r="N119" s="5">
        <v>959.73</v>
      </c>
      <c r="O119" s="5">
        <v>1523.88</v>
      </c>
      <c r="Q119" s="5">
        <v>5797.36</v>
      </c>
      <c r="T119" s="116">
        <f>O119-N119</f>
        <v>564.15000000000009</v>
      </c>
      <c r="U119" s="4">
        <f>IF(N120=0,0,O119/N120-1)</f>
        <v>-0.57785737436528173</v>
      </c>
      <c r="AB119" s="18">
        <v>16289.81</v>
      </c>
      <c r="AC119" s="18">
        <v>24614.45</v>
      </c>
      <c r="AD119" s="4">
        <f>AC119/AB119-1</f>
        <v>0.5110335847993317</v>
      </c>
    </row>
    <row r="120" spans="1:30" ht="15" customHeight="1">
      <c r="A120" s="56" t="s">
        <v>1281</v>
      </c>
      <c r="B120" s="37" t="s">
        <v>1282</v>
      </c>
      <c r="C120">
        <v>1498</v>
      </c>
      <c r="E120" s="37" t="s">
        <v>1282</v>
      </c>
      <c r="F120">
        <v>2106</v>
      </c>
      <c r="G120" t="b">
        <f>IF(B120=E120,TRUE,FALSE)</f>
        <v>1</v>
      </c>
      <c r="J120">
        <f>F120-C120</f>
        <v>608</v>
      </c>
      <c r="K120" s="4">
        <f>F120/C120-1</f>
        <v>0.40587449933244324</v>
      </c>
      <c r="L120" s="4"/>
      <c r="N120" s="5">
        <v>3609.87</v>
      </c>
      <c r="O120" s="5">
        <v>3855.95</v>
      </c>
      <c r="Q120" s="5">
        <v>16417.13</v>
      </c>
      <c r="T120" s="116">
        <f>O120-N120</f>
        <v>246.07999999999993</v>
      </c>
      <c r="U120" s="4">
        <f>IF(N121=0,0,O120/N121-1)</f>
        <v>4.4481808548216177</v>
      </c>
      <c r="AB120" s="18">
        <v>29942.02</v>
      </c>
      <c r="AC120" s="18">
        <v>40325.14</v>
      </c>
      <c r="AD120" s="4">
        <f>AC120/AB120-1</f>
        <v>0.34677419893514205</v>
      </c>
    </row>
    <row r="121" spans="1:30" ht="15" customHeight="1">
      <c r="A121" t="s">
        <v>1283</v>
      </c>
      <c r="B121" t="s">
        <v>1284</v>
      </c>
      <c r="C121">
        <v>677</v>
      </c>
      <c r="E121" t="s">
        <v>1284</v>
      </c>
      <c r="F121">
        <v>1287</v>
      </c>
      <c r="G121" t="b">
        <f>IF(B121=E121,TRUE,FALSE)</f>
        <v>1</v>
      </c>
      <c r="J121">
        <f>F121-C121</f>
        <v>610</v>
      </c>
      <c r="K121" s="4">
        <f>F121/C121-1</f>
        <v>0.90103397341211222</v>
      </c>
      <c r="L121" s="4"/>
      <c r="N121" s="5">
        <v>707.75</v>
      </c>
      <c r="O121" s="5">
        <v>1345.53</v>
      </c>
      <c r="Q121" s="5">
        <v>6364.89</v>
      </c>
      <c r="T121" s="116">
        <f>O121-N121</f>
        <v>637.78</v>
      </c>
      <c r="U121" s="4">
        <f>IF(N121=0,0,O121/N121-1)</f>
        <v>0.90113740727658076</v>
      </c>
      <c r="AB121" s="18">
        <v>11473.28</v>
      </c>
      <c r="AC121" s="18">
        <v>19254.330000000002</v>
      </c>
      <c r="AD121" s="4">
        <f>AC121/AB121-1</f>
        <v>0.67818880041278518</v>
      </c>
    </row>
    <row r="122" spans="1:30" ht="15" customHeight="1">
      <c r="A122" s="55" t="s">
        <v>1285</v>
      </c>
      <c r="B122" s="37" t="s">
        <v>1286</v>
      </c>
      <c r="C122">
        <v>1277</v>
      </c>
      <c r="E122" s="37" t="s">
        <v>1286</v>
      </c>
      <c r="F122">
        <v>1956</v>
      </c>
      <c r="G122" t="b">
        <f>IF(B122=E122,TRUE,FALSE)</f>
        <v>1</v>
      </c>
      <c r="J122">
        <f>F122-C122</f>
        <v>679</v>
      </c>
      <c r="K122" s="4">
        <f>F122/C122-1</f>
        <v>0.53171495693030546</v>
      </c>
      <c r="L122" s="4"/>
      <c r="N122" s="5">
        <v>2143.2199999999998</v>
      </c>
      <c r="O122" s="5">
        <v>2241.02</v>
      </c>
      <c r="Q122" s="5">
        <v>9026.82</v>
      </c>
      <c r="T122" s="116">
        <f>O122-N122</f>
        <v>97.800000000000182</v>
      </c>
      <c r="U122" s="4">
        <f>IF(N123=0,0,O122/N123-1)</f>
        <v>0.31648915859411253</v>
      </c>
      <c r="AB122" s="18">
        <v>28079.25</v>
      </c>
      <c r="AC122" s="18">
        <v>36980.239999999998</v>
      </c>
      <c r="AD122" s="4">
        <f>AC122/AB122-1</f>
        <v>0.31699529011636707</v>
      </c>
    </row>
    <row r="123" spans="1:30" ht="15" customHeight="1">
      <c r="A123" t="s">
        <v>1287</v>
      </c>
      <c r="B123" t="s">
        <v>1288</v>
      </c>
      <c r="C123">
        <v>1339</v>
      </c>
      <c r="E123" t="s">
        <v>1288</v>
      </c>
      <c r="F123">
        <v>2056</v>
      </c>
      <c r="G123" t="b">
        <f>IF(B123=E123,TRUE,FALSE)</f>
        <v>1</v>
      </c>
      <c r="J123">
        <f>F123-C123</f>
        <v>717</v>
      </c>
      <c r="K123" s="4">
        <f>F123/C123-1</f>
        <v>0.53547423450336074</v>
      </c>
      <c r="L123" s="4"/>
      <c r="N123" s="5">
        <v>1702.27</v>
      </c>
      <c r="O123" s="5">
        <v>2780.24</v>
      </c>
      <c r="Q123" s="5">
        <v>14415.84</v>
      </c>
      <c r="T123" s="116">
        <f>O123-N123</f>
        <v>1077.9699999999998</v>
      </c>
      <c r="U123" s="4">
        <f>IF(N123=0,0,O123/N123-1)</f>
        <v>0.63325441909920266</v>
      </c>
      <c r="AB123" s="18">
        <v>26224.639999999999</v>
      </c>
      <c r="AC123" s="18">
        <v>41069.39</v>
      </c>
      <c r="AD123" s="4">
        <f>AC123/AB123-1</f>
        <v>0.56606115470031249</v>
      </c>
    </row>
    <row r="124" spans="1:30" ht="15" customHeight="1">
      <c r="A124" s="56" t="s">
        <v>1289</v>
      </c>
      <c r="B124" s="37" t="s">
        <v>1290</v>
      </c>
      <c r="C124">
        <v>1241</v>
      </c>
      <c r="E124" s="37" t="s">
        <v>1290</v>
      </c>
      <c r="F124">
        <v>2019</v>
      </c>
      <c r="G124" t="b">
        <f>IF(B124=E124,TRUE,FALSE)</f>
        <v>1</v>
      </c>
      <c r="J124">
        <f>F124-C124</f>
        <v>778</v>
      </c>
      <c r="K124" s="4">
        <f>F124/C124-1</f>
        <v>0.62691377921031433</v>
      </c>
      <c r="L124" s="4"/>
      <c r="N124" s="5">
        <v>3770.68</v>
      </c>
      <c r="O124" s="5">
        <v>3776.47</v>
      </c>
      <c r="Q124" s="5">
        <v>15802.47</v>
      </c>
      <c r="T124" s="116">
        <f>O124-N124</f>
        <v>5.7899999999999636</v>
      </c>
      <c r="U124" s="4">
        <f>IF(N125=0,0,O124/N125-1)</f>
        <v>-0.20452664061759473</v>
      </c>
      <c r="AB124" s="18">
        <v>27286.29</v>
      </c>
      <c r="AC124" s="18">
        <v>41296</v>
      </c>
      <c r="AD124" s="4">
        <f>AC124/AB124-1</f>
        <v>0.51343403592060333</v>
      </c>
    </row>
    <row r="125" spans="1:30" ht="15" customHeight="1">
      <c r="A125" t="s">
        <v>1291</v>
      </c>
      <c r="B125" t="s">
        <v>1292</v>
      </c>
      <c r="C125">
        <v>3499</v>
      </c>
      <c r="E125" t="s">
        <v>1292</v>
      </c>
      <c r="F125">
        <v>4768</v>
      </c>
      <c r="G125" t="b">
        <f>IF(B125=E125,TRUE,FALSE)</f>
        <v>1</v>
      </c>
      <c r="J125">
        <f>F125-C125</f>
        <v>1269</v>
      </c>
      <c r="K125" s="4">
        <f>F125/C125-1</f>
        <v>0.3626750500142899</v>
      </c>
      <c r="L125" s="4"/>
      <c r="N125" s="5">
        <v>4747.45</v>
      </c>
      <c r="O125" s="5">
        <v>4339.4399999999996</v>
      </c>
      <c r="Q125" s="5">
        <v>20313.150000000001</v>
      </c>
      <c r="T125" s="116">
        <f>O125-N125</f>
        <v>-408.01000000000022</v>
      </c>
      <c r="U125" s="4">
        <f>IF(N125=0,0,O125/N125-1)</f>
        <v>-8.5942979915533679E-2</v>
      </c>
      <c r="Y125" t="s">
        <v>1293</v>
      </c>
      <c r="AB125" s="18">
        <v>66435.12</v>
      </c>
      <c r="AC125" s="18">
        <v>81741.94</v>
      </c>
      <c r="AD125" s="4">
        <f>AC125/AB125-1</f>
        <v>0.23040253408137157</v>
      </c>
    </row>
    <row r="126" spans="1:30" ht="13.5" customHeight="1">
      <c r="A126" t="s">
        <v>1294</v>
      </c>
      <c r="B126" t="s">
        <v>1295</v>
      </c>
      <c r="C126">
        <v>3360</v>
      </c>
      <c r="E126" t="s">
        <v>1295</v>
      </c>
      <c r="F126">
        <v>6152</v>
      </c>
      <c r="G126" t="b">
        <f>IF(B126=E126,TRUE,FALSE)</f>
        <v>1</v>
      </c>
      <c r="J126">
        <f>F126-C126</f>
        <v>2792</v>
      </c>
      <c r="K126" s="4">
        <f>F126/C126-1</f>
        <v>0.83095238095238089</v>
      </c>
      <c r="L126" s="4"/>
      <c r="N126" s="5">
        <v>2663.02</v>
      </c>
      <c r="O126" s="5">
        <v>4172.37</v>
      </c>
      <c r="Q126" s="5">
        <v>15077.47</v>
      </c>
      <c r="T126" s="116">
        <f>O126-N126</f>
        <v>1509.35</v>
      </c>
      <c r="U126" s="4">
        <f>IF(N126=0,0,O126/N126-1)</f>
        <v>0.56678132345983134</v>
      </c>
      <c r="AB126" s="18">
        <v>33566.400000000001</v>
      </c>
      <c r="AC126" s="18">
        <v>61436.9</v>
      </c>
      <c r="AD126" s="4">
        <f>AC126/AB126-1</f>
        <v>0.83030947614280937</v>
      </c>
    </row>
    <row r="127" spans="1:30" ht="13.5" customHeight="1">
      <c r="A127" s="55"/>
      <c r="B127" s="37"/>
      <c r="E127" s="37"/>
      <c r="K127" s="4"/>
      <c r="L127" s="4"/>
      <c r="U127" s="4"/>
      <c r="AB127" s="18"/>
      <c r="AC127" s="18"/>
      <c r="AD127" s="4"/>
    </row>
    <row r="128" spans="1:30" ht="15" customHeight="1">
      <c r="K128" s="4"/>
      <c r="L128" s="4"/>
      <c r="U128" s="4"/>
      <c r="AB128" s="18"/>
      <c r="AC128" s="18"/>
      <c r="AD128" s="4"/>
    </row>
    <row r="129" spans="3:30" ht="15" customHeight="1">
      <c r="C129" s="19"/>
      <c r="F129" s="19"/>
      <c r="K129" s="4"/>
      <c r="L129" s="4"/>
      <c r="U129" s="4"/>
      <c r="AB129" s="18"/>
      <c r="AC129" s="18"/>
      <c r="AD129" s="4"/>
    </row>
    <row r="130" spans="3:30" ht="13.5" customHeight="1">
      <c r="C130" s="3" t="s">
        <v>706</v>
      </c>
      <c r="D130" s="3"/>
      <c r="E130" s="3"/>
      <c r="F130" s="3" t="s">
        <v>706</v>
      </c>
      <c r="G130" s="3"/>
      <c r="H130" s="3"/>
      <c r="I130" s="3"/>
      <c r="J130" s="3" t="s">
        <v>707</v>
      </c>
      <c r="K130" s="31"/>
      <c r="L130" s="31"/>
      <c r="M130" s="3"/>
      <c r="N130" s="33" t="s">
        <v>708</v>
      </c>
      <c r="O130" s="33" t="s">
        <v>708</v>
      </c>
      <c r="P130" s="3"/>
      <c r="Q130" s="33" t="s">
        <v>709</v>
      </c>
      <c r="R130" s="3"/>
      <c r="S130" s="3"/>
      <c r="T130" s="117" t="s">
        <v>710</v>
      </c>
      <c r="U130" s="31"/>
      <c r="V130" s="3"/>
      <c r="W130" s="3"/>
      <c r="X130" s="3"/>
      <c r="Y130" s="3"/>
      <c r="Z130" s="3"/>
      <c r="AA130" s="34"/>
      <c r="AB130" s="35" t="s">
        <v>3</v>
      </c>
      <c r="AC130" s="35" t="s">
        <v>3</v>
      </c>
    </row>
    <row r="131" spans="3:30">
      <c r="C131" s="19">
        <f>SUM(C3:C126)</f>
        <v>159080</v>
      </c>
      <c r="F131" s="19">
        <f>SUM(F3:F126)</f>
        <v>163076</v>
      </c>
      <c r="J131">
        <f>SUM(J3:J126)</f>
        <v>3996</v>
      </c>
      <c r="K131" s="4"/>
      <c r="L131" s="4"/>
      <c r="N131" s="5">
        <f>SUM(N3:N126)</f>
        <v>207714.61999999988</v>
      </c>
      <c r="O131" s="5">
        <f>SUM(O3:O126)</f>
        <v>187393.60999999996</v>
      </c>
      <c r="Q131" s="5">
        <f>SUM(Q3:Q126)</f>
        <v>1037751.51</v>
      </c>
      <c r="T131" s="116">
        <f>O131-N131</f>
        <v>-20321.009999999922</v>
      </c>
      <c r="U131" s="4">
        <f>IF(N131=0,0,O131/N131-1)</f>
        <v>-9.7831390010004737E-2</v>
      </c>
      <c r="X131" s="5"/>
      <c r="Y131" s="5"/>
      <c r="Z131" s="5"/>
      <c r="AA131" s="17"/>
      <c r="AB131" s="18">
        <f>SUM(AB3:AB126)</f>
        <v>3428271.4200000004</v>
      </c>
      <c r="AC131" s="18">
        <f>SUM(AC3:AC126)</f>
        <v>3513596.58</v>
      </c>
      <c r="AD131" s="4">
        <f>AC131/AB131-1</f>
        <v>2.4888682821968544E-2</v>
      </c>
    </row>
    <row r="132" spans="3:30">
      <c r="K132" s="4"/>
      <c r="L132" s="4"/>
      <c r="U132" s="4"/>
      <c r="X132" s="5"/>
      <c r="Y132" s="5"/>
      <c r="Z132" s="5"/>
      <c r="AA132" s="17"/>
    </row>
    <row r="133" spans="3:30">
      <c r="C133" s="4"/>
      <c r="F133" s="19">
        <f>F131-C131</f>
        <v>3996</v>
      </c>
      <c r="K133" s="4"/>
      <c r="L133" s="4"/>
      <c r="N133" s="4"/>
      <c r="O133" s="31" t="s">
        <v>711</v>
      </c>
      <c r="Q133" s="26">
        <f>O131/Q131</f>
        <v>0.18057657174596639</v>
      </c>
      <c r="U133" s="4"/>
      <c r="AB133" s="3" t="s">
        <v>712</v>
      </c>
      <c r="AC133" s="3" t="s">
        <v>712</v>
      </c>
    </row>
    <row r="134" spans="3:30">
      <c r="F134" s="4">
        <f>F131/C131-1</f>
        <v>2.5119436761377845E-2</v>
      </c>
      <c r="K134" s="4"/>
      <c r="L134" s="4"/>
      <c r="Q134" s="13"/>
      <c r="U134" s="4"/>
      <c r="AB134" s="32">
        <f>N131/AB131</f>
        <v>6.0588732498898776E-2</v>
      </c>
      <c r="AC134" s="32">
        <f>O131/AC131</f>
        <v>5.3333843465888153E-2</v>
      </c>
    </row>
    <row r="135" spans="3:30">
      <c r="K135" s="4"/>
      <c r="L135" s="4"/>
      <c r="U135" s="4"/>
    </row>
    <row r="136" spans="3:30">
      <c r="K136" s="4"/>
      <c r="L136" s="4"/>
      <c r="U136" s="4"/>
    </row>
    <row r="137" spans="3:30">
      <c r="K137" s="4"/>
      <c r="L137" s="4"/>
      <c r="U137" s="4"/>
    </row>
    <row r="138" spans="3:30">
      <c r="K138" s="4"/>
      <c r="L138" s="4"/>
      <c r="U138" s="4"/>
    </row>
    <row r="139" spans="3:30">
      <c r="U139" s="4"/>
    </row>
    <row r="140" spans="3:30">
      <c r="K140" s="4"/>
      <c r="L140" s="4"/>
      <c r="U140" s="4"/>
    </row>
    <row r="141" spans="3:30">
      <c r="K141" s="4"/>
      <c r="L141" s="4"/>
      <c r="U141" s="4"/>
    </row>
    <row r="142" spans="3:30">
      <c r="K142" s="4"/>
      <c r="L142" s="4"/>
      <c r="U142" s="4"/>
    </row>
    <row r="143" spans="3:30">
      <c r="K143" s="4"/>
      <c r="L143" s="4"/>
      <c r="U143" s="4"/>
    </row>
    <row r="144" spans="3:30">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3:21">
      <c r="K177" s="4"/>
      <c r="L177" s="4"/>
      <c r="U177" s="4"/>
    </row>
    <row r="178" spans="3:21">
      <c r="K178" s="4"/>
      <c r="L178" s="4"/>
      <c r="U178" s="4"/>
    </row>
    <row r="179" spans="3:21">
      <c r="K179" s="4"/>
      <c r="L179" s="4"/>
      <c r="U179" s="4"/>
    </row>
    <row r="180" spans="3:21">
      <c r="K180" s="6"/>
      <c r="L180" s="6"/>
      <c r="N180" s="11"/>
      <c r="O180" s="11"/>
      <c r="T180" s="121"/>
      <c r="U180" s="6"/>
    </row>
    <row r="181" spans="3:21" ht="15" customHeight="1">
      <c r="K181" s="6"/>
      <c r="L181" s="6"/>
      <c r="N181" s="11"/>
      <c r="O181" s="11"/>
      <c r="T181" s="121"/>
      <c r="U181" s="6"/>
    </row>
    <row r="182" spans="3:21" ht="15" customHeight="1">
      <c r="K182" s="6"/>
      <c r="L182" s="6"/>
      <c r="N182" s="11"/>
      <c r="O182" s="11"/>
      <c r="T182" s="121"/>
      <c r="U182" s="6"/>
    </row>
    <row r="183" spans="3:21" ht="15" customHeight="1">
      <c r="K183" s="6"/>
      <c r="L183" s="6"/>
      <c r="N183" s="11"/>
      <c r="O183" s="11"/>
      <c r="T183" s="121"/>
      <c r="U183" s="6"/>
    </row>
    <row r="184" spans="3:21" ht="15" customHeight="1">
      <c r="K184" s="6"/>
      <c r="N184" s="11"/>
      <c r="O184" s="11"/>
      <c r="T184" s="121"/>
      <c r="U184" s="6"/>
    </row>
    <row r="185" spans="3:21" ht="15" customHeight="1">
      <c r="K185" s="6"/>
      <c r="L185" s="6"/>
      <c r="N185" s="11"/>
      <c r="O185" s="11"/>
      <c r="T185" s="121"/>
      <c r="U185" s="6"/>
    </row>
    <row r="186" spans="3:21" ht="15" customHeight="1">
      <c r="K186" s="6"/>
      <c r="L186" s="6"/>
      <c r="N186" s="11"/>
      <c r="O186" s="11"/>
      <c r="T186" s="121"/>
      <c r="U186" s="6"/>
    </row>
    <row r="187" spans="3:21" ht="15" customHeight="1">
      <c r="K187" s="6"/>
      <c r="L187" s="6"/>
      <c r="N187" s="11"/>
      <c r="O187" s="11"/>
      <c r="T187" s="121"/>
      <c r="U187" s="6"/>
    </row>
    <row r="188" spans="3:21" ht="15" customHeight="1">
      <c r="K188" s="6"/>
      <c r="L188" s="6"/>
      <c r="N188" s="11"/>
      <c r="O188" s="11"/>
      <c r="T188" s="121"/>
      <c r="U188" s="6"/>
    </row>
    <row r="189" spans="3:21">
      <c r="N189" s="11"/>
      <c r="O189" s="11"/>
      <c r="T189" s="121"/>
    </row>
    <row r="190" spans="3:21" ht="15" customHeight="1">
      <c r="C190" s="8"/>
      <c r="F190" s="8"/>
      <c r="J190" s="8"/>
      <c r="N190" s="11"/>
      <c r="O190" s="11"/>
      <c r="T190" s="121"/>
    </row>
    <row r="191" spans="3:21">
      <c r="N191" s="11"/>
      <c r="O191" s="11"/>
      <c r="T191" s="121"/>
    </row>
    <row r="192" spans="3:21" ht="15" customHeight="1">
      <c r="N192" s="11"/>
      <c r="O192" s="11"/>
      <c r="T192" s="121"/>
    </row>
    <row r="193" spans="3:6" ht="15" customHeight="1">
      <c r="C193" s="9"/>
      <c r="F193" s="9"/>
    </row>
    <row r="195" spans="3:6" ht="15" customHeight="1">
      <c r="C195" s="8"/>
      <c r="F195" s="8"/>
    </row>
    <row r="198" spans="3:6" ht="15" customHeight="1">
      <c r="C198" s="9"/>
      <c r="F198" s="9"/>
    </row>
  </sheetData>
  <autoFilter ref="A2:AD121" xr:uid="{A0872D2E-CA91-4628-AF55-6EA17D54F5B9}">
    <sortState xmlns:xlrd2="http://schemas.microsoft.com/office/spreadsheetml/2017/richdata2" ref="A3:AD126">
      <sortCondition ref="J2:J121"/>
    </sortState>
  </autoFilter>
  <sortState xmlns:xlrd2="http://schemas.microsoft.com/office/spreadsheetml/2017/richdata2" ref="J3:K97">
    <sortCondition ref="J97"/>
  </sortState>
  <mergeCells count="7">
    <mergeCell ref="AB1:AC1"/>
    <mergeCell ref="X1:AA1"/>
    <mergeCell ref="B1:C1"/>
    <mergeCell ref="E1:F1"/>
    <mergeCell ref="J1:K1"/>
    <mergeCell ref="N1:O1"/>
    <mergeCell ref="T1:U1"/>
  </mergeCells>
  <phoneticPr fontId="3" type="noConversion"/>
  <conditionalFormatting sqref="D84 H84:I84 L84:M84 P84 R84:S84">
    <cfRule type="cellIs" dxfId="14" priority="17" operator="greaterThan">
      <formula>500</formula>
    </cfRule>
    <cfRule type="cellIs" dxfId="13" priority="18" operator="lessThan">
      <formula>-100</formula>
    </cfRule>
  </conditionalFormatting>
  <conditionalFormatting sqref="J132:J138 J140:J189 J2:J130">
    <cfRule type="cellIs" dxfId="12" priority="7" operator="greaterThan">
      <formula>500</formula>
    </cfRule>
  </conditionalFormatting>
  <conditionalFormatting sqref="J132:J138 J140:J188 J3:J130">
    <cfRule type="cellIs" dxfId="11" priority="11" operator="lessThan">
      <formula>-100</formula>
    </cfRule>
  </conditionalFormatting>
  <conditionalFormatting sqref="J191:J1048576">
    <cfRule type="cellIs" dxfId="10" priority="30" operator="greaterThan">
      <formula>500</formula>
    </cfRule>
  </conditionalFormatting>
  <conditionalFormatting sqref="K2">
    <cfRule type="cellIs" dxfId="9" priority="31" operator="lessThan">
      <formula>-20%</formula>
    </cfRule>
  </conditionalFormatting>
  <conditionalFormatting sqref="K140:K1048576 K3:K138">
    <cfRule type="cellIs" dxfId="8" priority="14" operator="lessThan">
      <formula>-0.2</formula>
    </cfRule>
  </conditionalFormatting>
  <conditionalFormatting sqref="K3:L3 L4:L72 L74:L83 L85:L138 L140:L184 K140:K188 K4:K138">
    <cfRule type="cellIs" dxfId="7" priority="35" operator="greaterThan">
      <formula>0.2</formula>
    </cfRule>
  </conditionalFormatting>
  <conditionalFormatting sqref="U3:U188">
    <cfRule type="cellIs" dxfId="6" priority="33" operator="greaterThan">
      <formula>0.5</formula>
    </cfRule>
  </conditionalFormatting>
  <conditionalFormatting sqref="AD3:AD129">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31">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L54"/>
  <sheetViews>
    <sheetView topLeftCell="Y1" zoomScale="85" zoomScaleNormal="85" workbookViewId="0">
      <selection activeCell="AH1" sqref="AH1:AH1048576"/>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8" width="16.42578125" customWidth="1"/>
    <col min="29" max="29" width="14.28515625" customWidth="1"/>
    <col min="30" max="30" width="16.42578125" customWidth="1"/>
    <col min="31" max="33" width="16.5703125" customWidth="1"/>
    <col min="34" max="38" width="20.5703125" customWidth="1"/>
  </cols>
  <sheetData>
    <row r="1" spans="1:38" ht="15.75" thickBot="1">
      <c r="A1" s="36" t="s">
        <v>1296</v>
      </c>
      <c r="B1" s="58" t="s">
        <v>1297</v>
      </c>
      <c r="C1" s="58" t="s">
        <v>1298</v>
      </c>
      <c r="D1" s="58" t="s">
        <v>1299</v>
      </c>
      <c r="E1" s="58" t="s">
        <v>1300</v>
      </c>
      <c r="F1" s="58" t="s">
        <v>1301</v>
      </c>
      <c r="G1" s="58" t="s">
        <v>1302</v>
      </c>
      <c r="H1" s="58" t="s">
        <v>1303</v>
      </c>
      <c r="I1" s="58" t="s">
        <v>1304</v>
      </c>
      <c r="J1" s="58" t="s">
        <v>1305</v>
      </c>
      <c r="K1" s="58" t="s">
        <v>1306</v>
      </c>
      <c r="L1" s="58" t="s">
        <v>1307</v>
      </c>
      <c r="M1" s="58" t="s">
        <v>1308</v>
      </c>
      <c r="N1" s="58" t="s">
        <v>1309</v>
      </c>
      <c r="O1" s="58" t="s">
        <v>1310</v>
      </c>
      <c r="P1" s="58" t="s">
        <v>1311</v>
      </c>
      <c r="Q1" s="58" t="s">
        <v>1312</v>
      </c>
      <c r="R1" s="58" t="s">
        <v>1313</v>
      </c>
      <c r="S1" s="58" t="s">
        <v>1314</v>
      </c>
      <c r="T1" s="58" t="s">
        <v>1315</v>
      </c>
      <c r="U1" s="58" t="s">
        <v>1316</v>
      </c>
      <c r="V1" s="58" t="s">
        <v>1317</v>
      </c>
      <c r="W1" s="58" t="s">
        <v>1318</v>
      </c>
      <c r="X1" s="58" t="s">
        <v>1319</v>
      </c>
      <c r="Y1" s="59" t="s">
        <v>1320</v>
      </c>
      <c r="Z1" s="59" t="s">
        <v>1321</v>
      </c>
      <c r="AA1" s="59" t="s">
        <v>1322</v>
      </c>
      <c r="AB1" s="59" t="s">
        <v>1323</v>
      </c>
      <c r="AC1" s="59" t="s">
        <v>1324</v>
      </c>
      <c r="AD1" s="59" t="s">
        <v>1325</v>
      </c>
      <c r="AE1" s="59" t="s">
        <v>1326</v>
      </c>
      <c r="AF1" s="59" t="s">
        <v>1327</v>
      </c>
      <c r="AG1" s="59" t="s">
        <v>1328</v>
      </c>
      <c r="AH1" s="59" t="s">
        <v>1329</v>
      </c>
      <c r="AI1" s="59" t="s">
        <v>1330</v>
      </c>
      <c r="AJ1" s="59" t="s">
        <v>1331</v>
      </c>
      <c r="AK1" s="59" t="s">
        <v>1332</v>
      </c>
      <c r="AL1" s="59" t="s">
        <v>1333</v>
      </c>
    </row>
    <row r="2" spans="1:38">
      <c r="A2" s="60" t="s">
        <v>1334</v>
      </c>
      <c r="B2" s="61">
        <v>4932070</v>
      </c>
      <c r="C2" s="61">
        <v>4882291</v>
      </c>
      <c r="D2" s="61">
        <v>5747107</v>
      </c>
      <c r="E2" s="61">
        <v>5558578</v>
      </c>
      <c r="F2" s="61">
        <v>5608447</v>
      </c>
      <c r="G2" s="61">
        <v>5365821</v>
      </c>
      <c r="H2" s="61">
        <v>6175048</v>
      </c>
      <c r="I2" s="61">
        <v>6208913</v>
      </c>
      <c r="J2" s="61">
        <v>6107157</v>
      </c>
      <c r="K2" s="61">
        <v>6062880</v>
      </c>
      <c r="L2" s="61">
        <v>6409021</v>
      </c>
      <c r="M2" s="61">
        <v>5849059</v>
      </c>
      <c r="N2" s="96">
        <v>7678962</v>
      </c>
      <c r="O2" s="61">
        <v>8708296</v>
      </c>
      <c r="P2" s="61">
        <v>10429669.960000001</v>
      </c>
      <c r="Q2" s="61">
        <v>12527965</v>
      </c>
      <c r="R2" s="61">
        <v>12400737</v>
      </c>
      <c r="S2" s="61">
        <v>12318165</v>
      </c>
      <c r="T2" s="61">
        <v>13296822</v>
      </c>
      <c r="U2" s="61">
        <v>12427810.4</v>
      </c>
      <c r="V2" s="61">
        <v>12425462.310000001</v>
      </c>
      <c r="W2" s="61">
        <v>13116754.92</v>
      </c>
      <c r="X2" s="61">
        <v>13168808.529999999</v>
      </c>
      <c r="Y2" s="61">
        <v>13467008.08</v>
      </c>
      <c r="Z2" s="96">
        <v>16902826.940000001</v>
      </c>
      <c r="AA2" s="61">
        <v>17685415.640000001</v>
      </c>
      <c r="AB2" s="61">
        <v>17844095.539999999</v>
      </c>
      <c r="AC2" s="61">
        <v>20055646.200000003</v>
      </c>
      <c r="AD2" s="61">
        <v>18715254.290000007</v>
      </c>
      <c r="AE2" s="61">
        <v>17998376.469999991</v>
      </c>
      <c r="AF2" s="61">
        <v>18949710.699999999</v>
      </c>
      <c r="AG2" s="61">
        <v>19163616.800000001</v>
      </c>
      <c r="AH2" s="61">
        <v>22100782.419999994</v>
      </c>
      <c r="AI2" s="70"/>
      <c r="AJ2" s="70"/>
      <c r="AK2" s="70"/>
      <c r="AL2" s="61">
        <f>SUM(Z2:AK2)</f>
        <v>169415724.99999997</v>
      </c>
    </row>
    <row r="3" spans="1:38">
      <c r="A3" s="63" t="s">
        <v>1335</v>
      </c>
      <c r="B3" s="64">
        <v>2297147</v>
      </c>
      <c r="C3" s="64">
        <v>2150420</v>
      </c>
      <c r="D3" s="64">
        <v>2629984</v>
      </c>
      <c r="E3" s="64">
        <v>2521569</v>
      </c>
      <c r="F3" s="64">
        <v>2259914</v>
      </c>
      <c r="G3" s="64">
        <v>2519256</v>
      </c>
      <c r="H3" s="64">
        <v>2827089</v>
      </c>
      <c r="I3" s="64">
        <v>2875100</v>
      </c>
      <c r="J3" s="64">
        <v>3207713</v>
      </c>
      <c r="K3" s="64">
        <v>2859584</v>
      </c>
      <c r="L3" s="64">
        <v>3081446</v>
      </c>
      <c r="M3" s="64">
        <v>3056146</v>
      </c>
      <c r="N3" s="97">
        <v>3844080</v>
      </c>
      <c r="O3" s="64">
        <v>3634529</v>
      </c>
      <c r="P3" s="64">
        <v>3706201</v>
      </c>
      <c r="Q3" s="64">
        <v>3814600</v>
      </c>
      <c r="R3" s="64">
        <v>3900991</v>
      </c>
      <c r="S3" s="64">
        <v>3690019</v>
      </c>
      <c r="T3" s="64">
        <v>3951398</v>
      </c>
      <c r="U3" s="64">
        <v>3583522.44</v>
      </c>
      <c r="V3" s="64">
        <v>3864300.73</v>
      </c>
      <c r="W3" s="64">
        <v>4230378.59</v>
      </c>
      <c r="X3" s="64">
        <v>4478555.7300000004</v>
      </c>
      <c r="Y3" s="64">
        <v>4536415</v>
      </c>
      <c r="Z3" s="97">
        <v>5536315.4100000001</v>
      </c>
      <c r="AA3" s="64">
        <v>5487073.7100000009</v>
      </c>
      <c r="AB3" s="64">
        <v>5227360</v>
      </c>
      <c r="AC3" s="64">
        <v>5178806.76</v>
      </c>
      <c r="AD3" s="64">
        <v>5401656.5199999977</v>
      </c>
      <c r="AE3" s="64">
        <v>5377394.1300000018</v>
      </c>
      <c r="AF3" s="64">
        <v>5402282.9000000004</v>
      </c>
      <c r="AG3" s="64">
        <v>5390114.6100000003</v>
      </c>
      <c r="AH3" s="64">
        <v>5598882.200000002</v>
      </c>
      <c r="AI3" s="71"/>
      <c r="AJ3" s="71"/>
      <c r="AK3" s="71"/>
      <c r="AL3" s="64">
        <f t="shared" ref="AL3:AL5" si="0">SUM(Z3:AK3)</f>
        <v>48599886.240000002</v>
      </c>
    </row>
    <row r="4" spans="1:38">
      <c r="A4" s="65" t="s">
        <v>1336</v>
      </c>
      <c r="B4" s="66">
        <v>1279804</v>
      </c>
      <c r="C4" s="66">
        <v>1268372</v>
      </c>
      <c r="D4" s="66">
        <v>1573830</v>
      </c>
      <c r="E4" s="66">
        <v>1506528</v>
      </c>
      <c r="F4" s="66">
        <v>1655029</v>
      </c>
      <c r="G4" s="66">
        <v>1700272</v>
      </c>
      <c r="H4" s="66">
        <v>2169477</v>
      </c>
      <c r="I4" s="66">
        <v>2248226</v>
      </c>
      <c r="J4" s="66">
        <v>2556442</v>
      </c>
      <c r="K4" s="66">
        <v>2514905</v>
      </c>
      <c r="L4" s="66">
        <v>2557339</v>
      </c>
      <c r="M4" s="66">
        <v>2415591</v>
      </c>
      <c r="N4" s="98">
        <v>2984457</v>
      </c>
      <c r="O4" s="66">
        <v>2977315</v>
      </c>
      <c r="P4" s="66">
        <v>3001644</v>
      </c>
      <c r="Q4" s="66">
        <v>3078498</v>
      </c>
      <c r="R4" s="66">
        <v>3417854</v>
      </c>
      <c r="S4" s="66">
        <v>2883462</v>
      </c>
      <c r="T4" s="66">
        <v>2983823.16</v>
      </c>
      <c r="U4" s="66">
        <v>2907226.21</v>
      </c>
      <c r="V4" s="66">
        <v>3099136.78</v>
      </c>
      <c r="W4" s="66">
        <v>3166072.06</v>
      </c>
      <c r="X4" s="66">
        <v>3138932.53</v>
      </c>
      <c r="Y4" s="66">
        <v>2941749.11</v>
      </c>
      <c r="Z4" s="98">
        <v>3609131</v>
      </c>
      <c r="AA4" s="66">
        <v>3670417.9999999991</v>
      </c>
      <c r="AB4" s="66">
        <v>3674547</v>
      </c>
      <c r="AC4" s="66">
        <v>3639874.11</v>
      </c>
      <c r="AD4" s="66">
        <v>3427273.69</v>
      </c>
      <c r="AE4" s="66">
        <v>3583478.2000000016</v>
      </c>
      <c r="AF4" s="66">
        <v>3585858.0100000007</v>
      </c>
      <c r="AG4" s="66">
        <v>3428271.4200000004</v>
      </c>
      <c r="AH4" s="66">
        <v>3795196.64</v>
      </c>
      <c r="AI4" s="72"/>
      <c r="AJ4" s="72"/>
      <c r="AK4" s="72"/>
      <c r="AL4" s="66">
        <f t="shared" si="0"/>
        <v>32414048.070000008</v>
      </c>
    </row>
    <row r="5" spans="1:38" ht="15.75" thickBot="1">
      <c r="A5" s="67" t="s">
        <v>1337</v>
      </c>
      <c r="B5" s="68">
        <v>8509021</v>
      </c>
      <c r="C5" s="68">
        <v>8301083</v>
      </c>
      <c r="D5" s="68">
        <v>9950921</v>
      </c>
      <c r="E5" s="68">
        <v>9586675</v>
      </c>
      <c r="F5" s="68">
        <v>9523390</v>
      </c>
      <c r="G5" s="68">
        <v>9585349</v>
      </c>
      <c r="H5" s="68">
        <v>11171614</v>
      </c>
      <c r="I5" s="68">
        <v>11332239</v>
      </c>
      <c r="J5" s="68">
        <v>11871312</v>
      </c>
      <c r="K5" s="68">
        <v>11437369</v>
      </c>
      <c r="L5" s="68">
        <v>12047806</v>
      </c>
      <c r="M5" s="68">
        <v>11320796</v>
      </c>
      <c r="N5" s="99">
        <v>14507499</v>
      </c>
      <c r="O5" s="68">
        <v>15320140</v>
      </c>
      <c r="P5" s="68">
        <v>17137514.960000001</v>
      </c>
      <c r="Q5" s="68">
        <v>19421063</v>
      </c>
      <c r="R5" s="68">
        <v>19719582</v>
      </c>
      <c r="S5" s="68">
        <v>18891646</v>
      </c>
      <c r="T5" s="68">
        <v>20232043.16</v>
      </c>
      <c r="U5" s="68">
        <v>18918559.050000001</v>
      </c>
      <c r="V5" s="68">
        <v>19388899.82</v>
      </c>
      <c r="W5" s="68">
        <v>20513205.57</v>
      </c>
      <c r="X5" s="68">
        <v>20786296.789999999</v>
      </c>
      <c r="Y5" s="68">
        <f t="shared" ref="Y5:AD5" si="1">SUM(Y2:Y4)</f>
        <v>20945172.189999998</v>
      </c>
      <c r="Z5" s="99">
        <f t="shared" si="1"/>
        <v>26048273.350000001</v>
      </c>
      <c r="AA5" s="68">
        <f t="shared" si="1"/>
        <v>26842907.350000001</v>
      </c>
      <c r="AB5" s="68">
        <f t="shared" si="1"/>
        <v>26746002.539999999</v>
      </c>
      <c r="AC5" s="68">
        <f t="shared" si="1"/>
        <v>28874327.07</v>
      </c>
      <c r="AD5" s="68">
        <f t="shared" si="1"/>
        <v>27544184.500000004</v>
      </c>
      <c r="AE5" s="68">
        <f t="shared" ref="AE5" si="2">SUM(AE2:AE4)</f>
        <v>26959248.799999997</v>
      </c>
      <c r="AF5" s="68">
        <f>SUM(AF2:AF4)</f>
        <v>27937851.610000003</v>
      </c>
      <c r="AG5" s="68">
        <f>SUM(AG2:AG4)</f>
        <v>27982002.830000002</v>
      </c>
      <c r="AH5" s="68">
        <f>SUM(AH2:AH4)</f>
        <v>31494861.259999998</v>
      </c>
      <c r="AI5" s="73"/>
      <c r="AJ5" s="73"/>
      <c r="AK5" s="73"/>
      <c r="AL5" s="68">
        <f>SUM(Z5:AK5)</f>
        <v>250429659.31000003</v>
      </c>
    </row>
    <row r="6" spans="1:38">
      <c r="A6" s="69"/>
      <c r="B6" s="69"/>
      <c r="C6" s="69"/>
      <c r="D6" s="69"/>
      <c r="E6" s="69"/>
      <c r="F6" s="69"/>
      <c r="G6" s="69"/>
      <c r="H6" s="69"/>
      <c r="I6" s="69"/>
      <c r="J6" s="69"/>
      <c r="K6" s="69"/>
      <c r="L6" s="69"/>
      <c r="M6" s="69"/>
      <c r="N6" s="69"/>
      <c r="O6" s="69"/>
      <c r="P6" s="69"/>
      <c r="Q6" s="69"/>
      <c r="R6" s="69"/>
      <c r="S6" s="69"/>
      <c r="T6" s="69"/>
      <c r="U6" s="62"/>
      <c r="V6" s="62"/>
      <c r="W6" s="62"/>
      <c r="X6" s="62"/>
      <c r="Y6" s="62"/>
      <c r="Z6" s="62"/>
      <c r="AA6" s="62"/>
      <c r="AB6" s="62"/>
      <c r="AC6" s="62"/>
      <c r="AH6" s="27"/>
      <c r="AI6" s="27"/>
      <c r="AJ6" s="27"/>
      <c r="AK6" s="27"/>
      <c r="AL6" s="27"/>
    </row>
    <row r="7" spans="1:38" ht="15.75" thickBo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D7" s="27"/>
      <c r="AE7" s="27"/>
      <c r="AF7" s="27"/>
      <c r="AG7" s="27"/>
      <c r="AH7" s="27"/>
      <c r="AI7" s="27"/>
      <c r="AJ7" s="27"/>
      <c r="AK7" s="27"/>
      <c r="AL7" s="62"/>
    </row>
    <row r="8" spans="1:38" ht="15.75" thickBot="1">
      <c r="A8" s="36" t="s">
        <v>1338</v>
      </c>
      <c r="B8" s="58" t="s">
        <v>1297</v>
      </c>
      <c r="C8" s="58" t="s">
        <v>1298</v>
      </c>
      <c r="D8" s="58" t="s">
        <v>1299</v>
      </c>
      <c r="E8" s="58" t="s">
        <v>1300</v>
      </c>
      <c r="F8" s="58" t="s">
        <v>1301</v>
      </c>
      <c r="G8" s="58" t="s">
        <v>1302</v>
      </c>
      <c r="H8" s="58" t="s">
        <v>1303</v>
      </c>
      <c r="I8" s="58" t="s">
        <v>1304</v>
      </c>
      <c r="J8" s="58" t="s">
        <v>1305</v>
      </c>
      <c r="K8" s="58" t="s">
        <v>1306</v>
      </c>
      <c r="L8" s="58" t="s">
        <v>1307</v>
      </c>
      <c r="M8" s="58" t="s">
        <v>1308</v>
      </c>
      <c r="N8" s="58" t="s">
        <v>1309</v>
      </c>
      <c r="O8" s="58" t="s">
        <v>1310</v>
      </c>
      <c r="P8" s="58" t="s">
        <v>1311</v>
      </c>
      <c r="Q8" s="58" t="s">
        <v>1312</v>
      </c>
      <c r="R8" s="58" t="s">
        <v>1313</v>
      </c>
      <c r="S8" s="58" t="s">
        <v>1314</v>
      </c>
      <c r="T8" s="58" t="s">
        <v>1315</v>
      </c>
      <c r="U8" s="58" t="s">
        <v>1316</v>
      </c>
      <c r="V8" s="58" t="s">
        <v>1317</v>
      </c>
      <c r="W8" s="58" t="s">
        <v>1318</v>
      </c>
      <c r="X8" s="58" t="s">
        <v>1319</v>
      </c>
      <c r="Y8" s="59" t="s">
        <v>1320</v>
      </c>
      <c r="Z8" s="59" t="s">
        <v>1321</v>
      </c>
      <c r="AA8" s="59" t="s">
        <v>1322</v>
      </c>
      <c r="AB8" s="59" t="s">
        <v>1323</v>
      </c>
      <c r="AC8" s="59" t="s">
        <v>1324</v>
      </c>
      <c r="AD8" s="59" t="s">
        <v>1325</v>
      </c>
      <c r="AE8" s="59" t="s">
        <v>1326</v>
      </c>
      <c r="AF8" s="59" t="s">
        <v>1327</v>
      </c>
      <c r="AG8" s="59" t="s">
        <v>1328</v>
      </c>
      <c r="AH8" s="59" t="s">
        <v>1329</v>
      </c>
      <c r="AI8" s="59" t="s">
        <v>1330</v>
      </c>
      <c r="AJ8" s="59" t="s">
        <v>1331</v>
      </c>
      <c r="AK8" s="59" t="s">
        <v>1332</v>
      </c>
      <c r="AL8" s="59" t="s">
        <v>1333</v>
      </c>
    </row>
    <row r="9" spans="1:38">
      <c r="A9" s="60" t="s">
        <v>1334</v>
      </c>
      <c r="B9" s="70"/>
      <c r="C9" s="70"/>
      <c r="D9" s="70"/>
      <c r="E9" s="70"/>
      <c r="F9" s="70"/>
      <c r="G9" s="70"/>
      <c r="H9" s="70"/>
      <c r="I9" s="61">
        <v>1904424</v>
      </c>
      <c r="J9" s="61">
        <v>1695098</v>
      </c>
      <c r="K9" s="61">
        <v>1666813</v>
      </c>
      <c r="L9" s="61">
        <v>1750099</v>
      </c>
      <c r="M9" s="61">
        <v>1643527</v>
      </c>
      <c r="N9" s="96">
        <v>2406151</v>
      </c>
      <c r="O9" s="61">
        <v>2919412.87</v>
      </c>
      <c r="P9" s="61">
        <v>3048758.81</v>
      </c>
      <c r="Q9" s="61">
        <v>3106780.26</v>
      </c>
      <c r="R9" s="61">
        <v>2784737.18</v>
      </c>
      <c r="S9" s="61">
        <v>3492681.52</v>
      </c>
      <c r="T9" s="61">
        <v>4066064.7</v>
      </c>
      <c r="U9" s="61">
        <v>3748577.68</v>
      </c>
      <c r="V9" s="61">
        <v>3443396.96</v>
      </c>
      <c r="W9" s="61">
        <v>3525797.52</v>
      </c>
      <c r="X9" s="61">
        <v>3658847.17</v>
      </c>
      <c r="Y9" s="61">
        <v>3834500.07</v>
      </c>
      <c r="Z9" s="61">
        <v>5020104.29</v>
      </c>
      <c r="AA9" s="61">
        <v>5590028.4100000001</v>
      </c>
      <c r="AB9" s="61">
        <v>5666226.75</v>
      </c>
      <c r="AC9" s="61">
        <v>5447442.3499999996</v>
      </c>
      <c r="AD9" s="61">
        <v>5556379.3300000019</v>
      </c>
      <c r="AE9" s="61">
        <v>5686329.8300000038</v>
      </c>
      <c r="AF9" s="61">
        <v>6201229.6000000006</v>
      </c>
      <c r="AG9" s="61">
        <v>6672753.96</v>
      </c>
      <c r="AH9" s="61">
        <v>7148035.9199999981</v>
      </c>
      <c r="AI9" s="61"/>
      <c r="AJ9" s="61"/>
      <c r="AK9" s="61"/>
      <c r="AL9" s="61">
        <f>SUM(Z9:AK9)</f>
        <v>52988530.439999998</v>
      </c>
    </row>
    <row r="10" spans="1:38">
      <c r="A10" s="63" t="s">
        <v>1335</v>
      </c>
      <c r="B10" s="71"/>
      <c r="C10" s="71"/>
      <c r="D10" s="71"/>
      <c r="E10" s="71"/>
      <c r="F10" s="71"/>
      <c r="G10" s="71"/>
      <c r="H10" s="71"/>
      <c r="I10" s="64">
        <v>706024</v>
      </c>
      <c r="J10" s="64">
        <v>780336</v>
      </c>
      <c r="K10" s="64">
        <v>681505.29</v>
      </c>
      <c r="L10" s="64">
        <v>757472</v>
      </c>
      <c r="M10" s="64">
        <v>689408</v>
      </c>
      <c r="N10" s="97">
        <v>1042938</v>
      </c>
      <c r="O10" s="64">
        <v>993958</v>
      </c>
      <c r="P10" s="64">
        <v>1014061</v>
      </c>
      <c r="Q10" s="64">
        <v>988563</v>
      </c>
      <c r="R10" s="64">
        <v>976671</v>
      </c>
      <c r="S10" s="64">
        <v>810220</v>
      </c>
      <c r="T10" s="64">
        <v>880304</v>
      </c>
      <c r="U10" s="64">
        <v>819190</v>
      </c>
      <c r="V10" s="64">
        <v>844494</v>
      </c>
      <c r="W10" s="64">
        <v>986509</v>
      </c>
      <c r="X10" s="64">
        <v>1077277</v>
      </c>
      <c r="Y10" s="64">
        <v>1149351</v>
      </c>
      <c r="Z10" s="64">
        <v>1516609</v>
      </c>
      <c r="AA10" s="64">
        <v>1641173.6800000006</v>
      </c>
      <c r="AB10" s="64">
        <v>1512470</v>
      </c>
      <c r="AC10" s="64">
        <v>1319420</v>
      </c>
      <c r="AD10" s="64">
        <v>1455364.5700000005</v>
      </c>
      <c r="AE10" s="64">
        <v>1354767.88</v>
      </c>
      <c r="AF10" s="64">
        <v>1343264.7299999997</v>
      </c>
      <c r="AG10" s="64">
        <v>1451271.0299999998</v>
      </c>
      <c r="AH10" s="64">
        <v>1261035.78</v>
      </c>
      <c r="AI10" s="64"/>
      <c r="AJ10" s="64"/>
      <c r="AK10" s="64"/>
      <c r="AL10" s="64">
        <f t="shared" ref="AL10:AL12" si="3">SUM(Z10:AK10)</f>
        <v>12855376.67</v>
      </c>
    </row>
    <row r="11" spans="1:38">
      <c r="A11" s="65" t="s">
        <v>1336</v>
      </c>
      <c r="B11" s="72"/>
      <c r="C11" s="72"/>
      <c r="D11" s="72"/>
      <c r="E11" s="72"/>
      <c r="F11" s="72"/>
      <c r="G11" s="72"/>
      <c r="H11" s="72"/>
      <c r="I11" s="66">
        <v>601219</v>
      </c>
      <c r="J11" s="66">
        <v>693403</v>
      </c>
      <c r="K11" s="66">
        <v>656364.23</v>
      </c>
      <c r="L11" s="66">
        <v>695530</v>
      </c>
      <c r="M11" s="66">
        <v>708403</v>
      </c>
      <c r="N11" s="98">
        <v>973949</v>
      </c>
      <c r="O11" s="66">
        <v>951983</v>
      </c>
      <c r="P11" s="66">
        <v>931209</v>
      </c>
      <c r="Q11" s="66">
        <v>895312</v>
      </c>
      <c r="R11" s="66">
        <v>1019778</v>
      </c>
      <c r="S11" s="66">
        <v>790104</v>
      </c>
      <c r="T11" s="66">
        <v>808969</v>
      </c>
      <c r="U11" s="66">
        <v>809964</v>
      </c>
      <c r="V11" s="66">
        <v>874705</v>
      </c>
      <c r="W11" s="66">
        <v>857979</v>
      </c>
      <c r="X11" s="66">
        <v>789235</v>
      </c>
      <c r="Y11" s="66">
        <v>795115</v>
      </c>
      <c r="Z11" s="66">
        <v>1098357</v>
      </c>
      <c r="AA11" s="66">
        <v>1160975.4900000002</v>
      </c>
      <c r="AB11" s="66">
        <v>1171911</v>
      </c>
      <c r="AC11" s="66">
        <v>969742</v>
      </c>
      <c r="AD11" s="66">
        <v>1028082.6799999999</v>
      </c>
      <c r="AE11" s="66">
        <v>1013652.5499999993</v>
      </c>
      <c r="AF11" s="66">
        <v>1025221.4600000005</v>
      </c>
      <c r="AG11" s="66">
        <v>1066714.2000000004</v>
      </c>
      <c r="AH11" s="66">
        <v>1037751.5099999999</v>
      </c>
      <c r="AI11" s="66"/>
      <c r="AJ11" s="66"/>
      <c r="AK11" s="66"/>
      <c r="AL11" s="66">
        <f t="shared" si="3"/>
        <v>9572407.8900000006</v>
      </c>
    </row>
    <row r="12" spans="1:38" ht="15.75" thickBot="1">
      <c r="A12" s="67" t="s">
        <v>1337</v>
      </c>
      <c r="B12" s="73"/>
      <c r="C12" s="73"/>
      <c r="D12" s="73"/>
      <c r="E12" s="73"/>
      <c r="F12" s="73"/>
      <c r="G12" s="73"/>
      <c r="H12" s="73"/>
      <c r="I12" s="68">
        <v>3211667</v>
      </c>
      <c r="J12" s="68">
        <v>3168837</v>
      </c>
      <c r="K12" s="68">
        <v>3004682.52</v>
      </c>
      <c r="L12" s="68">
        <v>3203101</v>
      </c>
      <c r="M12" s="68">
        <v>3041338</v>
      </c>
      <c r="N12" s="99">
        <v>4423038</v>
      </c>
      <c r="O12" s="68">
        <v>4865353.87</v>
      </c>
      <c r="P12" s="68">
        <v>4994028.8099999996</v>
      </c>
      <c r="Q12" s="68">
        <v>4990655.26</v>
      </c>
      <c r="R12" s="68">
        <v>4781186.18</v>
      </c>
      <c r="S12" s="68">
        <v>5093005.5199999996</v>
      </c>
      <c r="T12" s="68">
        <v>5755337.7000000002</v>
      </c>
      <c r="U12" s="68">
        <v>5377731.6799999997</v>
      </c>
      <c r="V12" s="68">
        <v>5162595.96</v>
      </c>
      <c r="W12" s="68">
        <v>5370285.5199999996</v>
      </c>
      <c r="X12" s="68">
        <v>5525359.1699999999</v>
      </c>
      <c r="Y12" s="68">
        <v>5778966.0700000003</v>
      </c>
      <c r="Z12" s="68">
        <f t="shared" ref="Z12:AE12" si="4">SUM(Z9:Z11)</f>
        <v>7635070.29</v>
      </c>
      <c r="AA12" s="68">
        <f t="shared" si="4"/>
        <v>8392177.5800000019</v>
      </c>
      <c r="AB12" s="68">
        <f t="shared" si="4"/>
        <v>8350607.75</v>
      </c>
      <c r="AC12" s="68">
        <f t="shared" si="4"/>
        <v>7736604.3499999996</v>
      </c>
      <c r="AD12" s="68">
        <f t="shared" si="4"/>
        <v>8039826.5800000019</v>
      </c>
      <c r="AE12" s="68">
        <f t="shared" si="4"/>
        <v>8054750.2600000035</v>
      </c>
      <c r="AF12" s="68">
        <f>SUM(AF9:AF11)</f>
        <v>8569715.790000001</v>
      </c>
      <c r="AG12" s="68">
        <f>SUM(AG9:AG11)</f>
        <v>9190739.1900000013</v>
      </c>
      <c r="AH12" s="68">
        <f>SUM(AH9:AH11)</f>
        <v>9446823.2099999972</v>
      </c>
      <c r="AI12" s="68"/>
      <c r="AJ12" s="68"/>
      <c r="AK12" s="68"/>
      <c r="AL12" s="68">
        <f>SUM(Z12:AK12)</f>
        <v>75416315</v>
      </c>
    </row>
    <row r="13" spans="1:38">
      <c r="A13" s="69"/>
      <c r="B13" s="69"/>
      <c r="C13" s="69"/>
      <c r="D13" s="69"/>
      <c r="E13" s="69"/>
      <c r="F13" s="69"/>
      <c r="G13" s="69"/>
      <c r="H13" s="69"/>
      <c r="I13" s="69"/>
      <c r="J13" s="69"/>
      <c r="K13" s="69"/>
      <c r="L13" s="69"/>
      <c r="M13" s="69"/>
      <c r="N13" s="62"/>
      <c r="O13" s="62"/>
      <c r="P13" s="62"/>
      <c r="Q13" s="62"/>
      <c r="R13" s="62"/>
      <c r="S13" s="62"/>
      <c r="T13" s="62"/>
      <c r="U13" s="62"/>
      <c r="V13" s="62"/>
      <c r="W13" s="62"/>
      <c r="X13" s="62"/>
      <c r="Y13" s="62"/>
      <c r="Z13" s="62"/>
      <c r="AA13" s="27"/>
      <c r="AB13" s="27"/>
      <c r="AC13" s="27"/>
      <c r="AD13" s="27"/>
      <c r="AE13" s="27"/>
      <c r="AF13" s="27"/>
      <c r="AG13" s="27"/>
      <c r="AH13" s="27"/>
      <c r="AI13" s="27"/>
      <c r="AJ13" s="27"/>
      <c r="AK13" s="27"/>
      <c r="AL13" s="27"/>
    </row>
    <row r="14" spans="1:38" ht="15.75" thickBo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H14" s="27"/>
      <c r="AI14" s="27"/>
      <c r="AJ14" s="27"/>
      <c r="AK14" s="27"/>
      <c r="AL14" s="27"/>
    </row>
    <row r="15" spans="1:38" ht="15.75" thickBot="1">
      <c r="A15" s="36" t="s">
        <v>1339</v>
      </c>
      <c r="B15" s="58" t="s">
        <v>1297</v>
      </c>
      <c r="C15" s="58" t="s">
        <v>1298</v>
      </c>
      <c r="D15" s="58" t="s">
        <v>1299</v>
      </c>
      <c r="E15" s="58" t="s">
        <v>1300</v>
      </c>
      <c r="F15" s="58" t="s">
        <v>1301</v>
      </c>
      <c r="G15" s="58" t="s">
        <v>1302</v>
      </c>
      <c r="H15" s="58" t="s">
        <v>1303</v>
      </c>
      <c r="I15" s="58" t="s">
        <v>1304</v>
      </c>
      <c r="J15" s="58" t="s">
        <v>1305</v>
      </c>
      <c r="K15" s="58" t="s">
        <v>1306</v>
      </c>
      <c r="L15" s="58" t="s">
        <v>1307</v>
      </c>
      <c r="M15" s="58" t="s">
        <v>1308</v>
      </c>
      <c r="N15" s="58" t="s">
        <v>1309</v>
      </c>
      <c r="O15" s="58" t="s">
        <v>1310</v>
      </c>
      <c r="P15" s="58" t="s">
        <v>1311</v>
      </c>
      <c r="Q15" s="58" t="s">
        <v>1312</v>
      </c>
      <c r="R15" s="58" t="s">
        <v>1313</v>
      </c>
      <c r="S15" s="58" t="s">
        <v>1314</v>
      </c>
      <c r="T15" s="58" t="s">
        <v>1315</v>
      </c>
      <c r="U15" s="58" t="s">
        <v>1316</v>
      </c>
      <c r="V15" s="58" t="s">
        <v>1317</v>
      </c>
      <c r="W15" s="58" t="s">
        <v>1318</v>
      </c>
      <c r="X15" s="58" t="s">
        <v>1319</v>
      </c>
      <c r="Y15" s="59" t="s">
        <v>1320</v>
      </c>
      <c r="Z15" s="59" t="s">
        <v>1321</v>
      </c>
      <c r="AA15" s="59" t="s">
        <v>1322</v>
      </c>
      <c r="AB15" s="59" t="s">
        <v>1323</v>
      </c>
      <c r="AC15" s="59" t="s">
        <v>1324</v>
      </c>
      <c r="AD15" s="59" t="s">
        <v>1325</v>
      </c>
      <c r="AE15" s="59" t="s">
        <v>1326</v>
      </c>
      <c r="AF15" s="59" t="s">
        <v>1327</v>
      </c>
      <c r="AG15" s="59" t="s">
        <v>1328</v>
      </c>
      <c r="AH15" s="59" t="s">
        <v>1329</v>
      </c>
      <c r="AI15" s="59" t="s">
        <v>1330</v>
      </c>
      <c r="AJ15" s="59" t="s">
        <v>1331</v>
      </c>
      <c r="AK15" s="59" t="s">
        <v>1332</v>
      </c>
      <c r="AL15" s="59" t="s">
        <v>1333</v>
      </c>
    </row>
    <row r="16" spans="1:38">
      <c r="A16" s="60" t="s">
        <v>1334</v>
      </c>
      <c r="B16" s="70"/>
      <c r="C16" s="61">
        <v>281621</v>
      </c>
      <c r="D16" s="61">
        <v>273878</v>
      </c>
      <c r="E16" s="61">
        <v>277809</v>
      </c>
      <c r="F16" s="61">
        <v>254443</v>
      </c>
      <c r="G16" s="61">
        <v>260570</v>
      </c>
      <c r="H16" s="61">
        <v>336892</v>
      </c>
      <c r="I16" s="61">
        <v>353937</v>
      </c>
      <c r="J16" s="61">
        <v>290810</v>
      </c>
      <c r="K16" s="61">
        <v>287548</v>
      </c>
      <c r="L16" s="61">
        <v>293581</v>
      </c>
      <c r="M16" s="61">
        <v>260800</v>
      </c>
      <c r="N16" s="96">
        <v>391789.03</v>
      </c>
      <c r="O16" s="61">
        <v>456957.97</v>
      </c>
      <c r="P16" s="61">
        <v>433741.56</v>
      </c>
      <c r="Q16" s="61">
        <v>417240.93</v>
      </c>
      <c r="R16" s="61">
        <v>378268.57</v>
      </c>
      <c r="S16" s="61">
        <v>447394</v>
      </c>
      <c r="T16" s="61">
        <v>520052.15</v>
      </c>
      <c r="U16" s="61">
        <v>506057.84</v>
      </c>
      <c r="V16" s="61">
        <v>490372.32</v>
      </c>
      <c r="W16" s="61">
        <v>483724.33</v>
      </c>
      <c r="X16" s="61">
        <v>522704.26</v>
      </c>
      <c r="Y16" s="61">
        <v>560029.31999999995</v>
      </c>
      <c r="Z16" s="61">
        <v>771258.65</v>
      </c>
      <c r="AA16" s="61">
        <v>816469.8</v>
      </c>
      <c r="AB16" s="61">
        <v>775860.44</v>
      </c>
      <c r="AC16" s="61">
        <v>712776.75</v>
      </c>
      <c r="AD16" s="61">
        <v>749152.51000000071</v>
      </c>
      <c r="AE16" s="61">
        <v>784754.15999999898</v>
      </c>
      <c r="AF16" s="61">
        <v>879983.60000000033</v>
      </c>
      <c r="AG16" s="61">
        <v>999082.41999999993</v>
      </c>
      <c r="AH16" s="61">
        <v>997712.63</v>
      </c>
      <c r="AI16" s="61"/>
      <c r="AJ16" s="61"/>
      <c r="AK16" s="61"/>
      <c r="AL16" s="61">
        <f>SUM(Z16:AK16)</f>
        <v>7487050.96</v>
      </c>
    </row>
    <row r="17" spans="1:38">
      <c r="A17" s="63" t="s">
        <v>1335</v>
      </c>
      <c r="B17" s="71"/>
      <c r="C17" s="64">
        <v>157254</v>
      </c>
      <c r="D17" s="64">
        <v>174005</v>
      </c>
      <c r="E17" s="64">
        <v>171273</v>
      </c>
      <c r="F17" s="64">
        <v>118695</v>
      </c>
      <c r="G17" s="64">
        <v>125637</v>
      </c>
      <c r="H17" s="64">
        <v>173332</v>
      </c>
      <c r="I17" s="64">
        <v>150428</v>
      </c>
      <c r="J17" s="64">
        <v>151620</v>
      </c>
      <c r="K17" s="64">
        <v>124967</v>
      </c>
      <c r="L17" s="64">
        <v>130035</v>
      </c>
      <c r="M17" s="64">
        <v>120095.34</v>
      </c>
      <c r="N17" s="97">
        <v>195481</v>
      </c>
      <c r="O17" s="64">
        <v>192130</v>
      </c>
      <c r="P17" s="64">
        <v>176189</v>
      </c>
      <c r="Q17" s="64">
        <v>173609</v>
      </c>
      <c r="R17" s="64">
        <v>163129</v>
      </c>
      <c r="S17" s="64">
        <v>151125</v>
      </c>
      <c r="T17" s="64">
        <v>162391</v>
      </c>
      <c r="U17" s="64">
        <v>165932.48000000001</v>
      </c>
      <c r="V17" s="64">
        <v>174978.27</v>
      </c>
      <c r="W17" s="64">
        <v>190435</v>
      </c>
      <c r="X17" s="64">
        <v>218696</v>
      </c>
      <c r="Y17" s="64">
        <v>248084</v>
      </c>
      <c r="Z17" s="64">
        <v>331372</v>
      </c>
      <c r="AA17" s="64">
        <v>332112</v>
      </c>
      <c r="AB17" s="64">
        <v>291118</v>
      </c>
      <c r="AC17" s="64">
        <v>253586</v>
      </c>
      <c r="AD17" s="64">
        <v>279025.34999999998</v>
      </c>
      <c r="AE17" s="64">
        <v>263243.46999999997</v>
      </c>
      <c r="AF17" s="64">
        <v>247762.80000000016</v>
      </c>
      <c r="AG17" s="64">
        <v>283642.8600000001</v>
      </c>
      <c r="AH17" s="64">
        <v>233959.10999999993</v>
      </c>
      <c r="AI17" s="64"/>
      <c r="AJ17" s="64"/>
      <c r="AK17" s="64"/>
      <c r="AL17" s="64">
        <f t="shared" ref="AL17:AL19" si="5">SUM(Z17:AK17)</f>
        <v>2515821.5900000003</v>
      </c>
    </row>
    <row r="18" spans="1:38">
      <c r="A18" s="65" t="s">
        <v>1336</v>
      </c>
      <c r="B18" s="72"/>
      <c r="C18" s="66">
        <v>105644</v>
      </c>
      <c r="D18" s="66">
        <v>123530</v>
      </c>
      <c r="E18" s="66">
        <v>111756</v>
      </c>
      <c r="F18" s="66">
        <v>101708</v>
      </c>
      <c r="G18" s="66">
        <v>115414</v>
      </c>
      <c r="H18" s="66">
        <v>149559</v>
      </c>
      <c r="I18" s="66">
        <v>140607</v>
      </c>
      <c r="J18" s="66">
        <v>149786</v>
      </c>
      <c r="K18" s="66">
        <v>131233</v>
      </c>
      <c r="L18" s="66">
        <v>134895</v>
      </c>
      <c r="M18" s="66">
        <v>135219</v>
      </c>
      <c r="N18" s="98">
        <v>200784</v>
      </c>
      <c r="O18" s="66">
        <v>185443</v>
      </c>
      <c r="P18" s="66">
        <v>173278</v>
      </c>
      <c r="Q18" s="66">
        <v>161823</v>
      </c>
      <c r="R18" s="66">
        <v>174040</v>
      </c>
      <c r="S18" s="66">
        <v>147768</v>
      </c>
      <c r="T18" s="66">
        <v>154351</v>
      </c>
      <c r="U18" s="66">
        <v>166396.01999999999</v>
      </c>
      <c r="V18" s="66">
        <v>184384.8</v>
      </c>
      <c r="W18" s="66">
        <v>169616</v>
      </c>
      <c r="X18" s="66">
        <v>160236</v>
      </c>
      <c r="Y18" s="66">
        <v>168096</v>
      </c>
      <c r="Z18" s="66">
        <v>231151</v>
      </c>
      <c r="AA18" s="66">
        <v>232388</v>
      </c>
      <c r="AB18" s="66">
        <v>226071</v>
      </c>
      <c r="AC18" s="66">
        <v>182617</v>
      </c>
      <c r="AD18" s="66">
        <v>193963.78</v>
      </c>
      <c r="AE18" s="66">
        <v>188323.60999999993</v>
      </c>
      <c r="AF18" s="66">
        <v>190799.73999999993</v>
      </c>
      <c r="AG18" s="66">
        <v>207714.62</v>
      </c>
      <c r="AH18" s="66">
        <v>187393.60999999993</v>
      </c>
      <c r="AI18" s="66"/>
      <c r="AJ18" s="66"/>
      <c r="AK18" s="66"/>
      <c r="AL18" s="66">
        <f t="shared" si="5"/>
        <v>1840422.3599999999</v>
      </c>
    </row>
    <row r="19" spans="1:38" ht="15.75" thickBot="1">
      <c r="A19" s="67" t="s">
        <v>1337</v>
      </c>
      <c r="B19" s="73"/>
      <c r="C19" s="68">
        <v>544519</v>
      </c>
      <c r="D19" s="68">
        <v>571413</v>
      </c>
      <c r="E19" s="68">
        <v>560838</v>
      </c>
      <c r="F19" s="68">
        <v>474846</v>
      </c>
      <c r="G19" s="68">
        <v>501621</v>
      </c>
      <c r="H19" s="68">
        <v>659783</v>
      </c>
      <c r="I19" s="68">
        <v>644972</v>
      </c>
      <c r="J19" s="68">
        <v>592216</v>
      </c>
      <c r="K19" s="68">
        <v>543748</v>
      </c>
      <c r="L19" s="68">
        <v>558511</v>
      </c>
      <c r="M19" s="68">
        <v>516114.34</v>
      </c>
      <c r="N19" s="99">
        <v>788054.03</v>
      </c>
      <c r="O19" s="68">
        <v>834530.97</v>
      </c>
      <c r="P19" s="68">
        <v>783208.56</v>
      </c>
      <c r="Q19" s="68">
        <v>752672.93</v>
      </c>
      <c r="R19" s="68">
        <v>715437.57</v>
      </c>
      <c r="S19" s="68">
        <v>746287</v>
      </c>
      <c r="T19" s="68">
        <v>836794.15</v>
      </c>
      <c r="U19" s="68">
        <v>838386.34</v>
      </c>
      <c r="V19" s="68">
        <v>849735.39</v>
      </c>
      <c r="W19" s="68">
        <v>843775.33</v>
      </c>
      <c r="X19" s="68">
        <v>901636.26</v>
      </c>
      <c r="Y19" s="68">
        <v>976209.32</v>
      </c>
      <c r="Z19" s="68">
        <f t="shared" ref="Z19:AE19" si="6">SUM(Z16:Z18)</f>
        <v>1333781.6499999999</v>
      </c>
      <c r="AA19" s="68">
        <f t="shared" si="6"/>
        <v>1380969.8</v>
      </c>
      <c r="AB19" s="68">
        <f t="shared" si="6"/>
        <v>1293049.44</v>
      </c>
      <c r="AC19" s="68">
        <f t="shared" si="6"/>
        <v>1148979.75</v>
      </c>
      <c r="AD19" s="68">
        <f t="shared" si="6"/>
        <v>1222141.6400000006</v>
      </c>
      <c r="AE19" s="68">
        <f t="shared" si="6"/>
        <v>1236321.2399999988</v>
      </c>
      <c r="AF19" s="68">
        <f>SUM(AF16:AF18)</f>
        <v>1318546.1400000004</v>
      </c>
      <c r="AG19" s="68">
        <f>SUM(AG16:AG18)</f>
        <v>1490439.9</v>
      </c>
      <c r="AH19" s="68">
        <f>SUM(AH16:AH18)</f>
        <v>1419065.3499999999</v>
      </c>
      <c r="AI19" s="68"/>
      <c r="AJ19" s="68"/>
      <c r="AK19" s="68"/>
      <c r="AL19" s="68">
        <f>SUM(Z19:AK19)</f>
        <v>11843294.91</v>
      </c>
    </row>
    <row r="20" spans="1:38">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row>
    <row r="21" spans="1:38" ht="15.75" thickBo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row>
    <row r="22" spans="1:38" ht="15.75" thickBot="1">
      <c r="A22" s="36" t="s">
        <v>712</v>
      </c>
      <c r="B22" s="58" t="s">
        <v>1297</v>
      </c>
      <c r="C22" s="58" t="s">
        <v>1298</v>
      </c>
      <c r="D22" s="58" t="s">
        <v>1299</v>
      </c>
      <c r="E22" s="58" t="s">
        <v>1300</v>
      </c>
      <c r="F22" s="58" t="s">
        <v>1301</v>
      </c>
      <c r="G22" s="58" t="s">
        <v>1302</v>
      </c>
      <c r="H22" s="58" t="s">
        <v>1303</v>
      </c>
      <c r="I22" s="58" t="s">
        <v>1304</v>
      </c>
      <c r="J22" s="58" t="s">
        <v>1305</v>
      </c>
      <c r="K22" s="58" t="s">
        <v>1306</v>
      </c>
      <c r="L22" s="58" t="s">
        <v>1307</v>
      </c>
      <c r="M22" s="58" t="s">
        <v>1308</v>
      </c>
      <c r="N22" s="58" t="s">
        <v>1309</v>
      </c>
      <c r="O22" s="58" t="s">
        <v>1310</v>
      </c>
      <c r="P22" s="58" t="s">
        <v>1311</v>
      </c>
      <c r="Q22" s="58" t="s">
        <v>1312</v>
      </c>
      <c r="R22" s="58" t="s">
        <v>1313</v>
      </c>
      <c r="S22" s="58" t="s">
        <v>1314</v>
      </c>
      <c r="T22" s="58" t="s">
        <v>1315</v>
      </c>
      <c r="U22" s="58" t="s">
        <v>1316</v>
      </c>
      <c r="V22" s="58" t="s">
        <v>1317</v>
      </c>
      <c r="W22" s="58" t="s">
        <v>1318</v>
      </c>
      <c r="X22" s="58" t="s">
        <v>1319</v>
      </c>
      <c r="Y22" s="59" t="s">
        <v>1320</v>
      </c>
      <c r="Z22" s="59" t="s">
        <v>1321</v>
      </c>
      <c r="AA22" s="59" t="s">
        <v>1322</v>
      </c>
      <c r="AB22" s="59" t="s">
        <v>1323</v>
      </c>
      <c r="AC22" s="59" t="s">
        <v>1324</v>
      </c>
      <c r="AD22" s="59" t="s">
        <v>1325</v>
      </c>
      <c r="AE22" s="59" t="s">
        <v>1326</v>
      </c>
      <c r="AF22" s="59" t="s">
        <v>1327</v>
      </c>
      <c r="AG22" s="59" t="s">
        <v>1328</v>
      </c>
      <c r="AH22" s="59" t="s">
        <v>1329</v>
      </c>
      <c r="AI22" s="59" t="s">
        <v>1330</v>
      </c>
      <c r="AJ22" s="58" t="s">
        <v>1331</v>
      </c>
      <c r="AK22" s="151" t="s">
        <v>1332</v>
      </c>
      <c r="AL22" s="69"/>
    </row>
    <row r="23" spans="1:38">
      <c r="A23" s="60" t="s">
        <v>1334</v>
      </c>
      <c r="B23" s="75">
        <v>0</v>
      </c>
      <c r="C23" s="75">
        <v>5.7700000000000001E-2</v>
      </c>
      <c r="D23" s="75">
        <v>4.7699999999999999E-2</v>
      </c>
      <c r="E23" s="75">
        <v>0.05</v>
      </c>
      <c r="F23" s="75">
        <v>4.5400000000000003E-2</v>
      </c>
      <c r="G23" s="75">
        <v>4.8599999999999997E-2</v>
      </c>
      <c r="H23" s="75">
        <v>5.4600000000000003E-2</v>
      </c>
      <c r="I23" s="75">
        <v>5.7000000000000002E-2</v>
      </c>
      <c r="J23" s="75">
        <v>4.7600000000000003E-2</v>
      </c>
      <c r="K23" s="75">
        <v>4.7399999999999998E-2</v>
      </c>
      <c r="L23" s="75">
        <v>4.58E-2</v>
      </c>
      <c r="M23" s="75">
        <v>4.4600000000000001E-2</v>
      </c>
      <c r="N23" s="100">
        <v>5.0999999999999997E-2</v>
      </c>
      <c r="O23" s="75">
        <v>5.2499999999999998E-2</v>
      </c>
      <c r="P23" s="75">
        <v>4.1599999999999998E-2</v>
      </c>
      <c r="Q23" s="75">
        <v>3.3300000000000003E-2</v>
      </c>
      <c r="R23" s="75">
        <v>3.0499999999999999E-2</v>
      </c>
      <c r="S23" s="75">
        <v>3.6299999999999999E-2</v>
      </c>
      <c r="T23" s="75">
        <v>3.9100000000000003E-2</v>
      </c>
      <c r="U23" s="75">
        <v>4.07E-2</v>
      </c>
      <c r="V23" s="75">
        <v>3.95E-2</v>
      </c>
      <c r="W23" s="75">
        <v>3.6900000000000002E-2</v>
      </c>
      <c r="X23" s="75">
        <v>3.9699999999999999E-2</v>
      </c>
      <c r="Y23" s="75">
        <v>3.9699999999999999E-2</v>
      </c>
      <c r="Z23" s="75">
        <f t="shared" ref="Z23:AA26" si="7">Z16/Z2</f>
        <v>4.5628973942509046E-2</v>
      </c>
      <c r="AA23" s="75">
        <f t="shared" si="7"/>
        <v>4.6166277152873296E-2</v>
      </c>
      <c r="AB23" s="75">
        <f t="shared" ref="AB23:AG23" si="8">AB16/AB2</f>
        <v>4.3479953257412336E-2</v>
      </c>
      <c r="AC23" s="75">
        <f t="shared" si="8"/>
        <v>3.5539954329669013E-2</v>
      </c>
      <c r="AD23" s="75">
        <f t="shared" si="8"/>
        <v>4.0028978414698338E-2</v>
      </c>
      <c r="AE23" s="75">
        <f t="shared" si="8"/>
        <v>4.3601386008790342E-2</v>
      </c>
      <c r="AF23" s="75">
        <f t="shared" si="8"/>
        <v>4.6437838230427464E-2</v>
      </c>
      <c r="AG23" s="75">
        <f>AG16/AG2</f>
        <v>5.2134335101085921E-2</v>
      </c>
      <c r="AH23" s="75">
        <f>AH16/AH2</f>
        <v>4.5143769620442253E-2</v>
      </c>
      <c r="AI23" s="75" t="e">
        <v>#DIV/0!</v>
      </c>
      <c r="AJ23" s="75" t="e">
        <v>#DIV/0!</v>
      </c>
      <c r="AK23" s="75" t="e">
        <v>#DIV/0!</v>
      </c>
      <c r="AL23" s="62"/>
    </row>
    <row r="24" spans="1:38">
      <c r="A24" s="63" t="s">
        <v>1335</v>
      </c>
      <c r="B24" s="77">
        <v>0</v>
      </c>
      <c r="C24" s="77">
        <v>7.3099999999999998E-2</v>
      </c>
      <c r="D24" s="77">
        <v>6.6199999999999995E-2</v>
      </c>
      <c r="E24" s="77">
        <v>6.7900000000000002E-2</v>
      </c>
      <c r="F24" s="77">
        <v>5.2499999999999998E-2</v>
      </c>
      <c r="G24" s="77">
        <v>4.99E-2</v>
      </c>
      <c r="H24" s="77">
        <v>6.13E-2</v>
      </c>
      <c r="I24" s="77">
        <v>5.2299999999999999E-2</v>
      </c>
      <c r="J24" s="77">
        <v>4.7300000000000002E-2</v>
      </c>
      <c r="K24" s="77">
        <v>4.3700000000000003E-2</v>
      </c>
      <c r="L24" s="77">
        <v>4.2200000000000001E-2</v>
      </c>
      <c r="M24" s="77">
        <v>3.9300000000000002E-2</v>
      </c>
      <c r="N24" s="101">
        <v>5.0900000000000001E-2</v>
      </c>
      <c r="O24" s="77">
        <v>5.2900000000000003E-2</v>
      </c>
      <c r="P24" s="77">
        <v>4.7500000000000001E-2</v>
      </c>
      <c r="Q24" s="77">
        <v>4.5499999999999999E-2</v>
      </c>
      <c r="R24" s="77">
        <v>4.1799999999999997E-2</v>
      </c>
      <c r="S24" s="77">
        <v>4.1000000000000002E-2</v>
      </c>
      <c r="T24" s="77">
        <v>4.1099999999999998E-2</v>
      </c>
      <c r="U24" s="77">
        <v>4.6300000000000001E-2</v>
      </c>
      <c r="V24" s="77">
        <v>4.53E-2</v>
      </c>
      <c r="W24" s="77">
        <v>4.4999999999999998E-2</v>
      </c>
      <c r="X24" s="77">
        <v>4.8800000000000003E-2</v>
      </c>
      <c r="Y24" s="77">
        <v>4.8800000000000003E-2</v>
      </c>
      <c r="Z24" s="77">
        <f t="shared" si="7"/>
        <v>5.9854248802634603E-2</v>
      </c>
      <c r="AA24" s="77">
        <f t="shared" si="7"/>
        <v>6.05262508857385E-2</v>
      </c>
      <c r="AB24" s="77">
        <f t="shared" ref="AB24" si="9">AB17/AB3</f>
        <v>5.5691209329374672E-2</v>
      </c>
      <c r="AC24" s="77">
        <f>AC17/AC3</f>
        <v>4.8966105852538126E-2</v>
      </c>
      <c r="AD24" s="77">
        <f>AD17/AD3</f>
        <v>5.1655515112241916E-2</v>
      </c>
      <c r="AE24" s="77">
        <f>AE17/AE3</f>
        <v>4.8953724357191551E-2</v>
      </c>
      <c r="AF24" s="77">
        <f>AF17/AF3</f>
        <v>4.586261115647982E-2</v>
      </c>
      <c r="AG24" s="77">
        <f>AG17/AG3</f>
        <v>5.2622788293549862E-2</v>
      </c>
      <c r="AH24" s="77">
        <f>AH17/AH3</f>
        <v>4.1786753434462302E-2</v>
      </c>
      <c r="AI24" s="77" t="e">
        <v>#DIV/0!</v>
      </c>
      <c r="AJ24" s="77" t="e">
        <v>#DIV/0!</v>
      </c>
      <c r="AK24" s="77" t="e">
        <v>#DIV/0!</v>
      </c>
      <c r="AL24" s="62"/>
    </row>
    <row r="25" spans="1:38">
      <c r="A25" s="65" t="s">
        <v>1336</v>
      </c>
      <c r="B25" s="79">
        <v>0</v>
      </c>
      <c r="C25" s="79">
        <v>8.3299999999999999E-2</v>
      </c>
      <c r="D25" s="79">
        <v>7.85E-2</v>
      </c>
      <c r="E25" s="79">
        <v>7.4200000000000002E-2</v>
      </c>
      <c r="F25" s="79">
        <v>6.1499999999999999E-2</v>
      </c>
      <c r="G25" s="79">
        <v>6.7900000000000002E-2</v>
      </c>
      <c r="H25" s="79">
        <v>6.8900000000000003E-2</v>
      </c>
      <c r="I25" s="79">
        <v>6.25E-2</v>
      </c>
      <c r="J25" s="79">
        <v>5.8599999999999999E-2</v>
      </c>
      <c r="K25" s="79">
        <v>5.2200000000000003E-2</v>
      </c>
      <c r="L25" s="79">
        <v>5.2699999999999997E-2</v>
      </c>
      <c r="M25" s="79">
        <v>5.6000000000000001E-2</v>
      </c>
      <c r="N25" s="102">
        <v>6.7299999999999999E-2</v>
      </c>
      <c r="O25" s="79">
        <v>6.2300000000000001E-2</v>
      </c>
      <c r="P25" s="79">
        <v>5.7700000000000001E-2</v>
      </c>
      <c r="Q25" s="79">
        <v>5.2600000000000001E-2</v>
      </c>
      <c r="R25" s="79">
        <v>5.0900000000000001E-2</v>
      </c>
      <c r="S25" s="79">
        <v>5.1200000000000002E-2</v>
      </c>
      <c r="T25" s="79">
        <v>5.1700000000000003E-2</v>
      </c>
      <c r="U25" s="79">
        <v>5.7200000000000001E-2</v>
      </c>
      <c r="V25" s="79">
        <v>5.9499999999999997E-2</v>
      </c>
      <c r="W25" s="79">
        <v>5.3600000000000002E-2</v>
      </c>
      <c r="X25" s="79">
        <v>5.0999999999999997E-2</v>
      </c>
      <c r="Y25" s="79">
        <v>5.0999999999999997E-2</v>
      </c>
      <c r="Z25" s="79">
        <f t="shared" si="7"/>
        <v>6.4046165129500704E-2</v>
      </c>
      <c r="AA25" s="79">
        <f t="shared" si="7"/>
        <v>6.3313769712332504E-2</v>
      </c>
      <c r="AB25" s="79">
        <f t="shared" ref="AB25" si="10">AB18/AB4</f>
        <v>6.1523502080664635E-2</v>
      </c>
      <c r="AC25" s="79">
        <f t="shared" ref="AC25:AD25" si="11">AC18/AC4</f>
        <v>5.0171240675134232E-2</v>
      </c>
      <c r="AD25" s="79">
        <f t="shared" si="11"/>
        <v>5.6594190468634564E-2</v>
      </c>
      <c r="AE25" s="79">
        <f t="shared" ref="AE25:AG26" si="12">AE18/AE4</f>
        <v>5.255330142653019E-2</v>
      </c>
      <c r="AF25" s="79">
        <f t="shared" si="12"/>
        <v>5.3208950122372499E-2</v>
      </c>
      <c r="AG25" s="79">
        <f>AG18/AG4</f>
        <v>6.058873249889881E-2</v>
      </c>
      <c r="AH25" s="79">
        <f>AH18/AH4</f>
        <v>4.9376521897426619E-2</v>
      </c>
      <c r="AI25" s="79" t="e">
        <v>#DIV/0!</v>
      </c>
      <c r="AJ25" s="79" t="e">
        <v>#DIV/0!</v>
      </c>
      <c r="AK25" s="79" t="e">
        <v>#DIV/0!</v>
      </c>
      <c r="AL25" s="62"/>
    </row>
    <row r="26" spans="1:38" ht="15.75" thickBot="1">
      <c r="A26" s="67" t="s">
        <v>1337</v>
      </c>
      <c r="B26" s="81">
        <v>0</v>
      </c>
      <c r="C26" s="81">
        <v>6.5600000000000006E-2</v>
      </c>
      <c r="D26" s="81">
        <v>5.74E-2</v>
      </c>
      <c r="E26" s="81">
        <v>5.8500000000000003E-2</v>
      </c>
      <c r="F26" s="81">
        <v>4.99E-2</v>
      </c>
      <c r="G26" s="81">
        <v>5.2299999999999999E-2</v>
      </c>
      <c r="H26" s="81">
        <v>5.91E-2</v>
      </c>
      <c r="I26" s="81">
        <v>5.6899999999999999E-2</v>
      </c>
      <c r="J26" s="81">
        <v>4.99E-2</v>
      </c>
      <c r="K26" s="81">
        <v>4.7500000000000001E-2</v>
      </c>
      <c r="L26" s="81">
        <v>4.6399999999999997E-2</v>
      </c>
      <c r="M26" s="81">
        <v>4.5600000000000002E-2</v>
      </c>
      <c r="N26" s="103">
        <v>5.4300000000000001E-2</v>
      </c>
      <c r="O26" s="81">
        <v>5.45E-2</v>
      </c>
      <c r="P26" s="81">
        <v>4.5699999999999998E-2</v>
      </c>
      <c r="Q26" s="81">
        <v>3.8800000000000001E-2</v>
      </c>
      <c r="R26" s="81">
        <v>3.6299999999999999E-2</v>
      </c>
      <c r="S26" s="81">
        <v>3.95E-2</v>
      </c>
      <c r="T26" s="81">
        <v>4.1399999999999999E-2</v>
      </c>
      <c r="U26" s="81">
        <v>4.4299999999999999E-2</v>
      </c>
      <c r="V26" s="81">
        <v>4.3799999999999999E-2</v>
      </c>
      <c r="W26" s="81">
        <v>4.1099999999999998E-2</v>
      </c>
      <c r="X26" s="81">
        <v>4.3400000000000001E-2</v>
      </c>
      <c r="Y26" s="81">
        <v>4.3400000000000001E-2</v>
      </c>
      <c r="Z26" s="81">
        <f t="shared" si="7"/>
        <v>5.1204225020158575E-2</v>
      </c>
      <c r="AA26" s="81">
        <f t="shared" si="7"/>
        <v>5.144635720690665E-2</v>
      </c>
      <c r="AB26" s="81">
        <f t="shared" ref="AB26" si="13">AB19/AB5</f>
        <v>4.8345521468719642E-2</v>
      </c>
      <c r="AC26" s="81">
        <f t="shared" ref="AC26" si="14">AC19/AC5</f>
        <v>3.9792433853593524E-2</v>
      </c>
      <c r="AD26" s="81">
        <f>AD19/AD5</f>
        <v>4.4370224139327868E-2</v>
      </c>
      <c r="AE26" s="81">
        <f t="shared" si="12"/>
        <v>4.585889054890873E-2</v>
      </c>
      <c r="AF26" s="81">
        <f t="shared" si="12"/>
        <v>4.7195688430388946E-2</v>
      </c>
      <c r="AG26" s="81">
        <f t="shared" si="12"/>
        <v>5.32642323372962E-2</v>
      </c>
      <c r="AH26" s="81">
        <f t="shared" ref="AH26" si="15">AH19/AH5</f>
        <v>4.5057044013789058E-2</v>
      </c>
      <c r="AI26" s="81" t="e">
        <v>#DIV/0!</v>
      </c>
      <c r="AJ26" s="81" t="e">
        <v>#DIV/0!</v>
      </c>
      <c r="AK26" s="81" t="e">
        <v>#DIV/0!</v>
      </c>
      <c r="AL26" s="62"/>
    </row>
    <row r="27" spans="1:38">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row>
    <row r="28" spans="1:38" ht="15.75" thickBo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row>
    <row r="29" spans="1:38" ht="15.75" thickBot="1">
      <c r="A29" s="36" t="s">
        <v>1340</v>
      </c>
      <c r="B29" s="58" t="s">
        <v>1297</v>
      </c>
      <c r="C29" s="58" t="s">
        <v>1298</v>
      </c>
      <c r="D29" s="58" t="s">
        <v>1299</v>
      </c>
      <c r="E29" s="58" t="s">
        <v>1300</v>
      </c>
      <c r="F29" s="58" t="s">
        <v>1301</v>
      </c>
      <c r="G29" s="58" t="s">
        <v>1302</v>
      </c>
      <c r="H29" s="58" t="s">
        <v>1303</v>
      </c>
      <c r="I29" s="58" t="s">
        <v>1304</v>
      </c>
      <c r="J29" s="58" t="s">
        <v>1305</v>
      </c>
      <c r="K29" s="58" t="s">
        <v>1306</v>
      </c>
      <c r="L29" s="58" t="s">
        <v>1307</v>
      </c>
      <c r="M29" s="58" t="s">
        <v>1308</v>
      </c>
      <c r="N29" s="58" t="s">
        <v>1309</v>
      </c>
      <c r="O29" s="58" t="s">
        <v>1310</v>
      </c>
      <c r="P29" s="58" t="s">
        <v>1311</v>
      </c>
      <c r="Q29" s="58" t="s">
        <v>1312</v>
      </c>
      <c r="R29" s="58" t="s">
        <v>1313</v>
      </c>
      <c r="S29" s="58" t="s">
        <v>1314</v>
      </c>
      <c r="T29" s="58" t="s">
        <v>1315</v>
      </c>
      <c r="U29" s="58" t="s">
        <v>1316</v>
      </c>
      <c r="V29" s="58" t="s">
        <v>1317</v>
      </c>
      <c r="W29" s="58" t="s">
        <v>1318</v>
      </c>
      <c r="X29" s="58" t="s">
        <v>1319</v>
      </c>
      <c r="Y29" s="59" t="s">
        <v>1320</v>
      </c>
      <c r="Z29" s="59" t="s">
        <v>1321</v>
      </c>
      <c r="AA29" s="59" t="s">
        <v>1322</v>
      </c>
      <c r="AB29" s="59" t="s">
        <v>1323</v>
      </c>
      <c r="AC29" s="59" t="s">
        <v>1324</v>
      </c>
      <c r="AD29" s="59" t="s">
        <v>1325</v>
      </c>
      <c r="AE29" s="59" t="s">
        <v>1326</v>
      </c>
      <c r="AF29" s="59" t="s">
        <v>1327</v>
      </c>
      <c r="AG29" s="59" t="s">
        <v>1328</v>
      </c>
      <c r="AH29" s="59" t="s">
        <v>1329</v>
      </c>
      <c r="AI29" s="59" t="s">
        <v>1330</v>
      </c>
      <c r="AJ29" s="58" t="s">
        <v>1331</v>
      </c>
      <c r="AK29" s="151" t="s">
        <v>1332</v>
      </c>
      <c r="AL29" s="69"/>
    </row>
    <row r="30" spans="1:38">
      <c r="A30" s="60" t="s">
        <v>1334</v>
      </c>
      <c r="B30" s="74"/>
      <c r="C30" s="74"/>
      <c r="D30" s="70" t="e">
        <v>#DIV/0!</v>
      </c>
      <c r="E30" s="70" t="e">
        <v>#DIV/0!</v>
      </c>
      <c r="F30" s="70" t="e">
        <v>#DIV/0!</v>
      </c>
      <c r="G30" s="70" t="e">
        <v>#DIV/0!</v>
      </c>
      <c r="H30" s="70" t="e">
        <v>#DIV/0!</v>
      </c>
      <c r="I30" s="75">
        <v>0.18579999999999999</v>
      </c>
      <c r="J30" s="75">
        <v>0.1716</v>
      </c>
      <c r="K30" s="75">
        <v>0.17249999999999999</v>
      </c>
      <c r="L30" s="75">
        <v>0.1678</v>
      </c>
      <c r="M30" s="75">
        <v>0.15870000000000001</v>
      </c>
      <c r="N30" s="100">
        <v>0.1628</v>
      </c>
      <c r="O30" s="75">
        <v>0.1565</v>
      </c>
      <c r="P30" s="75">
        <v>0.14230000000000001</v>
      </c>
      <c r="Q30" s="75">
        <v>0.1343</v>
      </c>
      <c r="R30" s="75">
        <v>0.1358</v>
      </c>
      <c r="S30" s="75">
        <v>0.12809999999999999</v>
      </c>
      <c r="T30" s="75">
        <v>0.12790000000000001</v>
      </c>
      <c r="U30" s="75">
        <v>0.13500000000000001</v>
      </c>
      <c r="V30" s="75">
        <v>0.1424</v>
      </c>
      <c r="W30" s="75">
        <v>0.13719999999999999</v>
      </c>
      <c r="X30" s="75">
        <v>0.1429</v>
      </c>
      <c r="Y30" s="75">
        <v>0.1429</v>
      </c>
      <c r="Z30" s="75">
        <f t="shared" ref="Z30:AA33" si="16">Z16/Z9</f>
        <v>0.15363398954406982</v>
      </c>
      <c r="AA30" s="75">
        <f t="shared" si="16"/>
        <v>0.14605825590070659</v>
      </c>
      <c r="AB30" s="75">
        <f t="shared" ref="AB30:AG30" si="17">AB16/AB9</f>
        <v>0.13692717821432049</v>
      </c>
      <c r="AC30" s="75">
        <f t="shared" si="17"/>
        <v>0.13084613001916395</v>
      </c>
      <c r="AD30" s="75">
        <f t="shared" si="17"/>
        <v>0.1348274596651774</v>
      </c>
      <c r="AE30" s="75">
        <f t="shared" si="17"/>
        <v>0.13800714757342847</v>
      </c>
      <c r="AF30" s="75">
        <f t="shared" si="17"/>
        <v>0.1419046958041999</v>
      </c>
      <c r="AG30" s="75">
        <f t="shared" si="17"/>
        <v>0.14972564940787955</v>
      </c>
      <c r="AH30" s="75">
        <f t="shared" ref="AH30" si="18">AH16/AH9</f>
        <v>0.13957856971709234</v>
      </c>
      <c r="AI30" s="75" t="e">
        <v>#DIV/0!</v>
      </c>
      <c r="AJ30" s="75" t="e">
        <v>#DIV/0!</v>
      </c>
      <c r="AK30" s="75" t="e">
        <v>#DIV/0!</v>
      </c>
      <c r="AL30" s="62"/>
    </row>
    <row r="31" spans="1:38">
      <c r="A31" s="63" t="s">
        <v>1335</v>
      </c>
      <c r="B31" s="76"/>
      <c r="C31" s="76"/>
      <c r="D31" s="71" t="e">
        <v>#DIV/0!</v>
      </c>
      <c r="E31" s="71" t="e">
        <v>#DIV/0!</v>
      </c>
      <c r="F31" s="71" t="e">
        <v>#DIV/0!</v>
      </c>
      <c r="G31" s="71" t="e">
        <v>#DIV/0!</v>
      </c>
      <c r="H31" s="71" t="e">
        <v>#DIV/0!</v>
      </c>
      <c r="I31" s="77">
        <v>0.21310000000000001</v>
      </c>
      <c r="J31" s="77">
        <v>0.1943</v>
      </c>
      <c r="K31" s="77">
        <v>0.18340000000000001</v>
      </c>
      <c r="L31" s="77">
        <v>0.17169999999999999</v>
      </c>
      <c r="M31" s="77">
        <v>0.17419999999999999</v>
      </c>
      <c r="N31" s="101">
        <v>0.18740000000000001</v>
      </c>
      <c r="O31" s="77">
        <v>0.1933</v>
      </c>
      <c r="P31" s="77">
        <v>0.17369999999999999</v>
      </c>
      <c r="Q31" s="77">
        <v>0.17560000000000001</v>
      </c>
      <c r="R31" s="77">
        <v>0.16700000000000001</v>
      </c>
      <c r="S31" s="77">
        <v>0.1865</v>
      </c>
      <c r="T31" s="77">
        <v>0.1845</v>
      </c>
      <c r="U31" s="77">
        <v>0.2026</v>
      </c>
      <c r="V31" s="77">
        <v>0.2072</v>
      </c>
      <c r="W31" s="77">
        <v>0.193</v>
      </c>
      <c r="X31" s="77">
        <v>0.20300000000000001</v>
      </c>
      <c r="Y31" s="77">
        <v>0.20300000000000001</v>
      </c>
      <c r="Z31" s="77">
        <f t="shared" si="16"/>
        <v>0.21849534059207087</v>
      </c>
      <c r="AA31" s="77">
        <f t="shared" si="16"/>
        <v>0.20236249462640654</v>
      </c>
      <c r="AB31" s="77">
        <f t="shared" ref="AB31" si="19">AB17/AB10</f>
        <v>0.19247852849973884</v>
      </c>
      <c r="AC31" s="77">
        <f t="shared" ref="AC31:AD31" si="20">AC17/AC10</f>
        <v>0.19219505540313167</v>
      </c>
      <c r="AD31" s="77">
        <f t="shared" si="20"/>
        <v>0.19172196146014456</v>
      </c>
      <c r="AE31" s="77">
        <f t="shared" ref="AE31:AF31" si="21">AE17/AE10</f>
        <v>0.19430890995142283</v>
      </c>
      <c r="AF31" s="77">
        <f t="shared" si="21"/>
        <v>0.18444822860792318</v>
      </c>
      <c r="AG31" s="77">
        <f t="shared" ref="AG31:AH31" si="22">AG17/AG10</f>
        <v>0.19544444430893115</v>
      </c>
      <c r="AH31" s="77">
        <f t="shared" si="22"/>
        <v>0.18552931939805858</v>
      </c>
      <c r="AI31" s="77" t="e">
        <v>#DIV/0!</v>
      </c>
      <c r="AJ31" s="77" t="e">
        <v>#DIV/0!</v>
      </c>
      <c r="AK31" s="77" t="e">
        <v>#DIV/0!</v>
      </c>
      <c r="AL31" s="62"/>
    </row>
    <row r="32" spans="1:38">
      <c r="A32" s="65" t="s">
        <v>1336</v>
      </c>
      <c r="B32" s="78"/>
      <c r="C32" s="78"/>
      <c r="D32" s="72" t="e">
        <v>#DIV/0!</v>
      </c>
      <c r="E32" s="72" t="e">
        <v>#DIV/0!</v>
      </c>
      <c r="F32" s="72" t="e">
        <v>#DIV/0!</v>
      </c>
      <c r="G32" s="72" t="e">
        <v>#DIV/0!</v>
      </c>
      <c r="H32" s="72" t="e">
        <v>#DIV/0!</v>
      </c>
      <c r="I32" s="79">
        <v>0.2339</v>
      </c>
      <c r="J32" s="79">
        <v>0.216</v>
      </c>
      <c r="K32" s="79">
        <v>0.19989999999999999</v>
      </c>
      <c r="L32" s="79">
        <v>0.19389999999999999</v>
      </c>
      <c r="M32" s="79">
        <v>0.19089999999999999</v>
      </c>
      <c r="N32" s="102">
        <v>0.20619999999999999</v>
      </c>
      <c r="O32" s="79">
        <v>0.1948</v>
      </c>
      <c r="P32" s="79">
        <v>0.18609999999999999</v>
      </c>
      <c r="Q32" s="79">
        <v>0.1807</v>
      </c>
      <c r="R32" s="79">
        <v>0.17069999999999999</v>
      </c>
      <c r="S32" s="79">
        <v>0.187</v>
      </c>
      <c r="T32" s="79">
        <v>0.1908</v>
      </c>
      <c r="U32" s="79">
        <v>0.2054</v>
      </c>
      <c r="V32" s="79">
        <v>0.21079999999999999</v>
      </c>
      <c r="W32" s="79">
        <v>0.19769999999999999</v>
      </c>
      <c r="X32" s="79">
        <v>0.20300000000000001</v>
      </c>
      <c r="Y32" s="79">
        <v>0.20300000000000001</v>
      </c>
      <c r="Z32" s="79">
        <f t="shared" si="16"/>
        <v>0.21045161090610795</v>
      </c>
      <c r="AA32" s="79">
        <f t="shared" si="16"/>
        <v>0.20016615510117269</v>
      </c>
      <c r="AB32" s="79">
        <f t="shared" ref="AB32" si="23">AB18/AB11</f>
        <v>0.19290799386642843</v>
      </c>
      <c r="AC32" s="79">
        <f t="shared" ref="AC32:AD32" si="24">AC18/AC11</f>
        <v>0.18831503637049854</v>
      </c>
      <c r="AD32" s="79">
        <f t="shared" si="24"/>
        <v>0.18866554584890002</v>
      </c>
      <c r="AE32" s="79">
        <f t="shared" ref="AE32:AF32" si="25">AE18/AE11</f>
        <v>0.18578714175779468</v>
      </c>
      <c r="AF32" s="79">
        <f t="shared" si="25"/>
        <v>0.18610587804121836</v>
      </c>
      <c r="AG32" s="79">
        <f t="shared" ref="AG32:AH32" si="26">AG18/AG11</f>
        <v>0.19472377887160394</v>
      </c>
      <c r="AH32" s="79">
        <f t="shared" si="26"/>
        <v>0.18057657174596639</v>
      </c>
      <c r="AI32" s="79" t="e">
        <v>#DIV/0!</v>
      </c>
      <c r="AJ32" s="79" t="e">
        <v>#DIV/0!</v>
      </c>
      <c r="AK32" s="79" t="e">
        <v>#DIV/0!</v>
      </c>
      <c r="AL32" s="62"/>
    </row>
    <row r="33" spans="1:38" ht="15.75" thickBot="1">
      <c r="A33" s="67" t="s">
        <v>1337</v>
      </c>
      <c r="B33" s="80"/>
      <c r="C33" s="80"/>
      <c r="D33" s="73" t="e">
        <v>#DIV/0!</v>
      </c>
      <c r="E33" s="73" t="e">
        <v>#DIV/0!</v>
      </c>
      <c r="F33" s="73" t="e">
        <v>#DIV/0!</v>
      </c>
      <c r="G33" s="73" t="e">
        <v>#DIV/0!</v>
      </c>
      <c r="H33" s="73" t="e">
        <v>#DIV/0!</v>
      </c>
      <c r="I33" s="81">
        <v>0.20080000000000001</v>
      </c>
      <c r="J33" s="81">
        <v>0.18690000000000001</v>
      </c>
      <c r="K33" s="81">
        <v>0.18099999999999999</v>
      </c>
      <c r="L33" s="81">
        <v>0.1744</v>
      </c>
      <c r="M33" s="81">
        <v>0.16969999999999999</v>
      </c>
      <c r="N33" s="103">
        <v>0.1782</v>
      </c>
      <c r="O33" s="81">
        <v>0.17150000000000001</v>
      </c>
      <c r="P33" s="81">
        <v>0.15679999999999999</v>
      </c>
      <c r="Q33" s="81">
        <v>0.15079999999999999</v>
      </c>
      <c r="R33" s="81">
        <v>0.14960000000000001</v>
      </c>
      <c r="S33" s="81">
        <v>0.14649999999999999</v>
      </c>
      <c r="T33" s="81">
        <v>0.1454</v>
      </c>
      <c r="U33" s="81">
        <v>0.15590000000000001</v>
      </c>
      <c r="V33" s="81">
        <v>0.1646</v>
      </c>
      <c r="W33" s="81">
        <v>0.15709999999999999</v>
      </c>
      <c r="X33" s="81">
        <v>0.16320000000000001</v>
      </c>
      <c r="Y33" s="81">
        <v>0.16320000000000001</v>
      </c>
      <c r="Z33" s="81">
        <f t="shared" si="16"/>
        <v>0.17469146967080507</v>
      </c>
      <c r="AA33" s="81">
        <f t="shared" si="16"/>
        <v>0.16455440639043289</v>
      </c>
      <c r="AB33" s="81">
        <f t="shared" ref="AB33" si="27">AB19/AB12</f>
        <v>0.15484495005767693</v>
      </c>
      <c r="AC33" s="81">
        <f t="shared" ref="AC33:AD33" si="28">AC19/AC12</f>
        <v>0.14851215055349187</v>
      </c>
      <c r="AD33" s="81">
        <f t="shared" si="28"/>
        <v>0.15201094548982177</v>
      </c>
      <c r="AE33" s="81">
        <f t="shared" ref="AE33:AF33" si="29">AE19/AE12</f>
        <v>0.15348970484405786</v>
      </c>
      <c r="AF33" s="81">
        <f t="shared" si="29"/>
        <v>0.15386112822301662</v>
      </c>
      <c r="AG33" s="81">
        <f t="shared" ref="AG33:AH33" si="30">AG19/AG12</f>
        <v>0.16216757642537344</v>
      </c>
      <c r="AH33" s="81">
        <f t="shared" si="30"/>
        <v>0.15021614340129058</v>
      </c>
      <c r="AI33" s="81" t="e">
        <v>#DIV/0!</v>
      </c>
      <c r="AJ33" s="81" t="e">
        <v>#DIV/0!</v>
      </c>
      <c r="AK33" s="81" t="e">
        <v>#DIV/0!</v>
      </c>
      <c r="AL33" s="62"/>
    </row>
    <row r="34" spans="1:38">
      <c r="A34" s="69"/>
      <c r="B34" s="69"/>
      <c r="C34" s="69"/>
      <c r="D34" s="69"/>
      <c r="E34" s="69"/>
      <c r="F34" s="69"/>
      <c r="G34" s="69"/>
      <c r="H34" s="69"/>
      <c r="I34" s="69"/>
      <c r="J34" s="69"/>
      <c r="K34" s="69"/>
      <c r="L34" s="69"/>
      <c r="M34" s="69"/>
      <c r="N34" s="62"/>
      <c r="O34" s="62"/>
      <c r="P34" s="62"/>
      <c r="Q34" s="62"/>
      <c r="R34" s="62"/>
      <c r="S34" s="62"/>
      <c r="T34" s="62"/>
      <c r="U34" s="62"/>
      <c r="V34" s="62"/>
      <c r="W34" s="62"/>
      <c r="X34" s="62"/>
      <c r="Y34" s="62"/>
      <c r="Z34" s="62"/>
      <c r="AA34" s="62"/>
      <c r="AB34" s="62"/>
      <c r="AC34" s="62"/>
      <c r="AD34" s="62"/>
      <c r="AE34" s="62"/>
      <c r="AF34" s="62"/>
      <c r="AG34" s="62"/>
      <c r="AH34" s="27"/>
      <c r="AI34" s="27"/>
      <c r="AJ34" s="27"/>
      <c r="AK34" s="27"/>
      <c r="AL34" s="27"/>
    </row>
    <row r="35" spans="1:38" ht="15.75" thickBo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row>
    <row r="36" spans="1:38" ht="15.75" thickBot="1">
      <c r="A36" s="82" t="s">
        <v>706</v>
      </c>
      <c r="B36" s="83" t="s">
        <v>1297</v>
      </c>
      <c r="C36" s="83" t="s">
        <v>1298</v>
      </c>
      <c r="D36" s="83" t="s">
        <v>1299</v>
      </c>
      <c r="E36" s="83" t="s">
        <v>1300</v>
      </c>
      <c r="F36" s="83" t="s">
        <v>1301</v>
      </c>
      <c r="G36" s="83" t="s">
        <v>1302</v>
      </c>
      <c r="H36" s="83" t="s">
        <v>1303</v>
      </c>
      <c r="I36" s="83" t="s">
        <v>1304</v>
      </c>
      <c r="J36" s="83" t="s">
        <v>1305</v>
      </c>
      <c r="K36" s="83" t="s">
        <v>1306</v>
      </c>
      <c r="L36" s="83" t="s">
        <v>1307</v>
      </c>
      <c r="M36" s="83" t="s">
        <v>1308</v>
      </c>
      <c r="N36" s="83" t="s">
        <v>1309</v>
      </c>
      <c r="O36" s="83" t="s">
        <v>1310</v>
      </c>
      <c r="P36" s="83" t="s">
        <v>1311</v>
      </c>
      <c r="Q36" s="83" t="s">
        <v>1312</v>
      </c>
      <c r="R36" s="83" t="s">
        <v>1313</v>
      </c>
      <c r="S36" s="83" t="s">
        <v>1314</v>
      </c>
      <c r="T36" s="83" t="s">
        <v>1315</v>
      </c>
      <c r="U36" s="83" t="s">
        <v>1316</v>
      </c>
      <c r="V36" s="83" t="s">
        <v>1317</v>
      </c>
      <c r="W36" s="83" t="s">
        <v>1318</v>
      </c>
      <c r="X36" s="83" t="s">
        <v>1319</v>
      </c>
      <c r="Y36" s="84" t="s">
        <v>1320</v>
      </c>
      <c r="Z36" s="59" t="s">
        <v>1321</v>
      </c>
      <c r="AA36" s="59" t="s">
        <v>1322</v>
      </c>
      <c r="AB36" s="59" t="s">
        <v>1323</v>
      </c>
      <c r="AC36" s="59" t="s">
        <v>1324</v>
      </c>
      <c r="AD36" s="59" t="s">
        <v>1325</v>
      </c>
      <c r="AE36" s="59" t="s">
        <v>1326</v>
      </c>
      <c r="AF36" s="59" t="s">
        <v>1327</v>
      </c>
      <c r="AG36" s="59" t="s">
        <v>1328</v>
      </c>
      <c r="AH36" s="59" t="s">
        <v>1329</v>
      </c>
      <c r="AI36" s="59" t="s">
        <v>1330</v>
      </c>
      <c r="AJ36" s="59" t="s">
        <v>1331</v>
      </c>
      <c r="AK36" s="59" t="s">
        <v>1332</v>
      </c>
      <c r="AL36" s="59" t="s">
        <v>1333</v>
      </c>
    </row>
    <row r="37" spans="1:38">
      <c r="A37" s="85" t="s">
        <v>1334</v>
      </c>
      <c r="B37" s="86">
        <v>206450</v>
      </c>
      <c r="C37" s="86">
        <v>201966</v>
      </c>
      <c r="D37" s="86">
        <v>232244</v>
      </c>
      <c r="E37" s="86">
        <v>230500</v>
      </c>
      <c r="F37" s="86">
        <v>228949</v>
      </c>
      <c r="G37" s="86">
        <v>216548</v>
      </c>
      <c r="H37" s="86">
        <v>229222</v>
      </c>
      <c r="I37" s="86">
        <v>226692</v>
      </c>
      <c r="J37" s="86">
        <v>230639</v>
      </c>
      <c r="K37" s="86">
        <v>252280</v>
      </c>
      <c r="L37" s="86">
        <v>264001</v>
      </c>
      <c r="M37" s="104">
        <v>231198</v>
      </c>
      <c r="N37" s="109">
        <v>301961</v>
      </c>
      <c r="O37" s="110">
        <v>331009</v>
      </c>
      <c r="P37" s="110">
        <v>369644</v>
      </c>
      <c r="Q37" s="110">
        <v>419338</v>
      </c>
      <c r="R37" s="110">
        <v>403325</v>
      </c>
      <c r="S37" s="110">
        <v>407084</v>
      </c>
      <c r="T37" s="110">
        <v>446387</v>
      </c>
      <c r="U37" s="110">
        <v>410269</v>
      </c>
      <c r="V37" s="110">
        <v>413757</v>
      </c>
      <c r="W37" s="110">
        <v>445439</v>
      </c>
      <c r="X37" s="110">
        <v>453965</v>
      </c>
      <c r="Y37" s="110">
        <v>462128</v>
      </c>
      <c r="Z37" s="110">
        <v>572775</v>
      </c>
      <c r="AA37" s="110">
        <v>615883</v>
      </c>
      <c r="AB37" s="110">
        <v>604860</v>
      </c>
      <c r="AC37" s="110">
        <v>683843</v>
      </c>
      <c r="AD37" s="110">
        <v>636705</v>
      </c>
      <c r="AE37" s="110">
        <v>621195</v>
      </c>
      <c r="AF37" s="110">
        <v>689495</v>
      </c>
      <c r="AG37" s="110">
        <v>689517</v>
      </c>
      <c r="AH37" s="110">
        <v>775274</v>
      </c>
      <c r="AI37" s="110"/>
      <c r="AJ37" s="110"/>
      <c r="AK37" s="110"/>
      <c r="AL37" s="110">
        <f>SUM(Z37:AK37)</f>
        <v>5889547</v>
      </c>
    </row>
    <row r="38" spans="1:38">
      <c r="A38" s="87" t="s">
        <v>1335</v>
      </c>
      <c r="B38" s="88">
        <v>103070</v>
      </c>
      <c r="C38" s="88">
        <v>98910</v>
      </c>
      <c r="D38" s="88">
        <v>116062</v>
      </c>
      <c r="E38" s="88">
        <v>116489</v>
      </c>
      <c r="F38" s="88">
        <v>102286</v>
      </c>
      <c r="G38" s="88">
        <v>110085</v>
      </c>
      <c r="H38" s="88">
        <v>115702</v>
      </c>
      <c r="I38" s="88">
        <v>120670</v>
      </c>
      <c r="J38" s="88">
        <v>142446</v>
      </c>
      <c r="K38" s="88">
        <v>136602</v>
      </c>
      <c r="L38" s="88">
        <v>152488</v>
      </c>
      <c r="M38" s="105">
        <v>144866</v>
      </c>
      <c r="N38" s="111">
        <v>190333</v>
      </c>
      <c r="O38" s="88">
        <v>179484</v>
      </c>
      <c r="P38" s="88">
        <v>182162</v>
      </c>
      <c r="Q38" s="88">
        <v>182919</v>
      </c>
      <c r="R38" s="88">
        <v>183923</v>
      </c>
      <c r="S38" s="88">
        <v>173556</v>
      </c>
      <c r="T38" s="88">
        <v>186892</v>
      </c>
      <c r="U38" s="88">
        <v>171949</v>
      </c>
      <c r="V38" s="88">
        <v>182461</v>
      </c>
      <c r="W38" s="88">
        <v>199796</v>
      </c>
      <c r="X38" s="88">
        <v>214586</v>
      </c>
      <c r="Y38" s="88">
        <v>215754</v>
      </c>
      <c r="Z38" s="88">
        <v>251772</v>
      </c>
      <c r="AA38" s="88">
        <v>247829</v>
      </c>
      <c r="AB38" s="88">
        <v>229484</v>
      </c>
      <c r="AC38" s="88">
        <v>226754</v>
      </c>
      <c r="AD38" s="88">
        <v>241827</v>
      </c>
      <c r="AE38" s="88">
        <v>238449</v>
      </c>
      <c r="AF38" s="88">
        <v>252691</v>
      </c>
      <c r="AG38" s="88">
        <v>248792</v>
      </c>
      <c r="AH38" s="88">
        <v>255858</v>
      </c>
      <c r="AI38" s="88"/>
      <c r="AJ38" s="88"/>
      <c r="AK38" s="88"/>
      <c r="AL38" s="88">
        <f t="shared" ref="AL38:AL40" si="31">SUM(Z38:AK38)</f>
        <v>2193456</v>
      </c>
    </row>
    <row r="39" spans="1:38">
      <c r="A39" s="89" t="s">
        <v>1336</v>
      </c>
      <c r="B39" s="90">
        <v>65792</v>
      </c>
      <c r="C39" s="90">
        <v>66921</v>
      </c>
      <c r="D39" s="90">
        <v>80622</v>
      </c>
      <c r="E39" s="90">
        <v>81286</v>
      </c>
      <c r="F39" s="90">
        <v>88250</v>
      </c>
      <c r="G39" s="90">
        <v>90033</v>
      </c>
      <c r="H39" s="90">
        <v>103104</v>
      </c>
      <c r="I39" s="90">
        <v>103860</v>
      </c>
      <c r="J39" s="90">
        <v>124892</v>
      </c>
      <c r="K39" s="90">
        <v>133302</v>
      </c>
      <c r="L39" s="90">
        <v>140626</v>
      </c>
      <c r="M39" s="106">
        <v>128870</v>
      </c>
      <c r="N39" s="112">
        <v>159471</v>
      </c>
      <c r="O39" s="90">
        <v>157686</v>
      </c>
      <c r="P39" s="90">
        <v>154308</v>
      </c>
      <c r="Q39" s="90">
        <v>154291</v>
      </c>
      <c r="R39" s="90">
        <v>162133</v>
      </c>
      <c r="S39" s="90">
        <v>136127</v>
      </c>
      <c r="T39" s="90">
        <v>146540</v>
      </c>
      <c r="U39" s="90">
        <v>144576</v>
      </c>
      <c r="V39" s="90">
        <v>153627</v>
      </c>
      <c r="W39" s="90">
        <v>158313</v>
      </c>
      <c r="X39" s="90">
        <v>155184</v>
      </c>
      <c r="Y39" s="90">
        <v>141383</v>
      </c>
      <c r="Z39" s="90">
        <v>167484</v>
      </c>
      <c r="AA39" s="90">
        <v>171660</v>
      </c>
      <c r="AB39" s="90">
        <v>168751</v>
      </c>
      <c r="AC39" s="90">
        <v>167429</v>
      </c>
      <c r="AD39" s="90">
        <v>154307</v>
      </c>
      <c r="AE39" s="90">
        <v>166411</v>
      </c>
      <c r="AF39" s="90">
        <v>170327</v>
      </c>
      <c r="AG39" s="90">
        <v>159080</v>
      </c>
      <c r="AH39" s="90">
        <v>176167</v>
      </c>
      <c r="AI39" s="90"/>
      <c r="AJ39" s="90"/>
      <c r="AK39" s="90"/>
      <c r="AL39" s="90">
        <f t="shared" si="31"/>
        <v>1501616</v>
      </c>
    </row>
    <row r="40" spans="1:38">
      <c r="A40" s="91" t="s">
        <v>1337</v>
      </c>
      <c r="B40" s="92">
        <v>375312</v>
      </c>
      <c r="C40" s="92">
        <v>367797</v>
      </c>
      <c r="D40" s="92">
        <v>428928</v>
      </c>
      <c r="E40" s="92">
        <v>428275</v>
      </c>
      <c r="F40" s="92">
        <v>419485</v>
      </c>
      <c r="G40" s="92">
        <v>416666</v>
      </c>
      <c r="H40" s="92">
        <v>448028</v>
      </c>
      <c r="I40" s="92">
        <v>451222</v>
      </c>
      <c r="J40" s="92">
        <v>497977</v>
      </c>
      <c r="K40" s="92">
        <v>522184</v>
      </c>
      <c r="L40" s="92">
        <v>557115</v>
      </c>
      <c r="M40" s="107">
        <v>504934</v>
      </c>
      <c r="N40" s="113">
        <v>651765</v>
      </c>
      <c r="O40" s="92">
        <v>668179</v>
      </c>
      <c r="P40" s="92">
        <v>706114</v>
      </c>
      <c r="Q40" s="92">
        <v>756548</v>
      </c>
      <c r="R40" s="92">
        <v>749381</v>
      </c>
      <c r="S40" s="92">
        <v>716767</v>
      </c>
      <c r="T40" s="92">
        <v>779819</v>
      </c>
      <c r="U40" s="92">
        <v>726794</v>
      </c>
      <c r="V40" s="92">
        <v>749845</v>
      </c>
      <c r="W40" s="92">
        <v>803548</v>
      </c>
      <c r="X40" s="92">
        <v>823735</v>
      </c>
      <c r="Y40" s="92">
        <f t="shared" ref="Y40:AD40" si="32">SUM(Y37:Y39)</f>
        <v>819265</v>
      </c>
      <c r="Z40" s="92">
        <f t="shared" si="32"/>
        <v>992031</v>
      </c>
      <c r="AA40" s="92">
        <f t="shared" si="32"/>
        <v>1035372</v>
      </c>
      <c r="AB40" s="92">
        <f t="shared" si="32"/>
        <v>1003095</v>
      </c>
      <c r="AC40" s="92">
        <f t="shared" si="32"/>
        <v>1078026</v>
      </c>
      <c r="AD40" s="92">
        <f t="shared" si="32"/>
        <v>1032839</v>
      </c>
      <c r="AE40" s="92">
        <f>SUM(AE37:AE39)</f>
        <v>1026055</v>
      </c>
      <c r="AF40" s="92">
        <f>SUM(AF37:AF39)</f>
        <v>1112513</v>
      </c>
      <c r="AG40" s="92">
        <f>SUM(AG37:AG39)</f>
        <v>1097389</v>
      </c>
      <c r="AH40" s="92">
        <f>SUM(AH37:AH39)</f>
        <v>1207299</v>
      </c>
      <c r="AI40" s="92"/>
      <c r="AJ40" s="92"/>
      <c r="AK40" s="92"/>
      <c r="AL40" s="92">
        <f>SUM(Z40:AK40)</f>
        <v>9584619</v>
      </c>
    </row>
    <row r="41" spans="1:38" ht="15.75" thickBot="1">
      <c r="A41" s="93" t="s">
        <v>1341</v>
      </c>
      <c r="B41" s="94"/>
      <c r="C41" s="95">
        <v>-0.02</v>
      </c>
      <c r="D41" s="95">
        <v>0.17</v>
      </c>
      <c r="E41" s="95">
        <v>0</v>
      </c>
      <c r="F41" s="95">
        <v>-0.02</v>
      </c>
      <c r="G41" s="95">
        <v>-0.01</v>
      </c>
      <c r="H41" s="95">
        <v>0.08</v>
      </c>
      <c r="I41" s="95">
        <v>0.01</v>
      </c>
      <c r="J41" s="95">
        <v>0.1</v>
      </c>
      <c r="K41" s="95">
        <v>0.05</v>
      </c>
      <c r="L41" s="95">
        <v>7.0000000000000007E-2</v>
      </c>
      <c r="M41" s="108">
        <v>-0.09</v>
      </c>
      <c r="N41" s="114">
        <v>0.28999999999999998</v>
      </c>
      <c r="O41" s="115">
        <v>0.03</v>
      </c>
      <c r="P41" s="115">
        <v>0.06</v>
      </c>
      <c r="Q41" s="115">
        <v>7.0000000000000007E-2</v>
      </c>
      <c r="R41" s="115">
        <v>-0.01</v>
      </c>
      <c r="S41" s="115">
        <v>-0.04</v>
      </c>
      <c r="T41" s="115">
        <v>0.09</v>
      </c>
      <c r="U41" s="115">
        <v>-7.0000000000000007E-2</v>
      </c>
      <c r="V41" s="115">
        <v>0.03</v>
      </c>
      <c r="W41" s="115">
        <v>7.0000000000000007E-2</v>
      </c>
      <c r="X41" s="115">
        <v>0.03</v>
      </c>
      <c r="Y41" s="115">
        <v>0</v>
      </c>
      <c r="Z41" s="115">
        <f t="shared" ref="Z41:AG41" si="33">(Z40-Y40)/Y40</f>
        <v>0.21087926373029484</v>
      </c>
      <c r="AA41" s="115">
        <f t="shared" si="33"/>
        <v>4.3689158907332534E-2</v>
      </c>
      <c r="AB41" s="115">
        <f t="shared" si="33"/>
        <v>-3.1174302569511248E-2</v>
      </c>
      <c r="AC41" s="115">
        <f t="shared" si="33"/>
        <v>7.4699804106291026E-2</v>
      </c>
      <c r="AD41" s="115">
        <f t="shared" si="33"/>
        <v>-4.1916428731774556E-2</v>
      </c>
      <c r="AE41" s="115">
        <f t="shared" si="33"/>
        <v>-6.5683034819560455E-3</v>
      </c>
      <c r="AF41" s="115">
        <f t="shared" si="33"/>
        <v>8.4262539532481195E-2</v>
      </c>
      <c r="AG41" s="115">
        <f>(AG40-AF40)/AF40</f>
        <v>-1.3594447885103365E-2</v>
      </c>
      <c r="AH41" s="115">
        <f>(AH40-AG40)/AG40</f>
        <v>0.10015591554134405</v>
      </c>
      <c r="AI41" s="115" t="e">
        <v>#DIV/0!</v>
      </c>
      <c r="AJ41" s="115" t="e">
        <v>#DIV/0!</v>
      </c>
      <c r="AK41" s="115" t="e">
        <v>#DIV/0!</v>
      </c>
      <c r="AL41" s="115" t="e">
        <v>#DIV/0!</v>
      </c>
    </row>
    <row r="42" spans="1:38">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H42" s="27"/>
      <c r="AI42" s="27"/>
      <c r="AJ42" s="27"/>
      <c r="AK42" s="27"/>
      <c r="AL42" s="27"/>
    </row>
    <row r="43" spans="1:38">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H43" s="27"/>
      <c r="AI43" s="27"/>
      <c r="AJ43" s="27"/>
      <c r="AK43" s="27"/>
      <c r="AL43" s="27"/>
    </row>
    <row r="44" spans="1:38">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H44" s="27"/>
      <c r="AI44" s="27"/>
      <c r="AJ44" s="27"/>
      <c r="AK44" s="27"/>
      <c r="AL44" s="27"/>
    </row>
    <row r="45" spans="1:38">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H45" s="27"/>
      <c r="AI45" s="27"/>
      <c r="AJ45" s="27"/>
      <c r="AK45" s="27"/>
      <c r="AL45" s="27"/>
    </row>
    <row r="46" spans="1:38">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H46" s="27"/>
      <c r="AI46" s="27"/>
      <c r="AJ46" s="27"/>
      <c r="AK46" s="27"/>
      <c r="AL46" s="27"/>
    </row>
    <row r="47" spans="1:38">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H47" s="27"/>
      <c r="AI47" s="27"/>
      <c r="AJ47" s="27"/>
      <c r="AK47" s="27"/>
      <c r="AL47" s="27"/>
    </row>
    <row r="48" spans="1:3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H48" s="27"/>
      <c r="AI48" s="27"/>
      <c r="AJ48" s="27"/>
      <c r="AK48" s="27"/>
      <c r="AL48" s="27"/>
    </row>
    <row r="49" spans="1:38">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H49" s="27"/>
      <c r="AI49" s="27"/>
      <c r="AJ49" s="27"/>
      <c r="AK49" s="27"/>
      <c r="AL49" s="27"/>
    </row>
    <row r="50" spans="1:38">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H50" s="27"/>
      <c r="AI50" s="27"/>
      <c r="AJ50" s="27"/>
      <c r="AK50" s="27"/>
      <c r="AL50" s="27"/>
    </row>
    <row r="51" spans="1:38">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H51" s="27"/>
      <c r="AI51" s="27"/>
      <c r="AJ51" s="27"/>
      <c r="AK51" s="27"/>
      <c r="AL51" s="27"/>
    </row>
    <row r="52" spans="1:38">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H52" s="27"/>
      <c r="AI52" s="27"/>
      <c r="AJ52" s="27"/>
      <c r="AK52" s="27"/>
      <c r="AL52" s="27"/>
    </row>
    <row r="53" spans="1:38">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H53" s="27"/>
      <c r="AI53" s="27"/>
      <c r="AJ53" s="27"/>
      <c r="AK53" s="27"/>
      <c r="AL53" s="27"/>
    </row>
    <row r="54" spans="1:38">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H54" s="27"/>
      <c r="AI54" s="27"/>
      <c r="AJ54" s="27"/>
      <c r="AK54" s="27"/>
      <c r="AL54" s="27"/>
    </row>
  </sheetData>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A435" zoomScale="85" zoomScaleNormal="85" workbookViewId="0">
      <selection activeCell="M451" sqref="M451"/>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8" t="s">
        <v>5</v>
      </c>
      <c r="B1" s="38" t="s">
        <v>1342</v>
      </c>
      <c r="C1" s="38" t="s">
        <v>1343</v>
      </c>
      <c r="D1" s="38" t="s">
        <v>1344</v>
      </c>
      <c r="E1" s="38" t="s">
        <v>1345</v>
      </c>
      <c r="F1" s="38" t="s">
        <v>1346</v>
      </c>
      <c r="G1" s="38" t="s">
        <v>1347</v>
      </c>
      <c r="H1" s="38" t="s">
        <v>1348</v>
      </c>
      <c r="I1" s="38" t="s">
        <v>1349</v>
      </c>
      <c r="J1" s="38" t="s">
        <v>1350</v>
      </c>
      <c r="K1" s="38" t="s">
        <v>1351</v>
      </c>
      <c r="L1" s="38" t="s">
        <v>1352</v>
      </c>
      <c r="M1" s="38" t="s">
        <v>1353</v>
      </c>
      <c r="N1" s="38" t="s">
        <v>1354</v>
      </c>
      <c r="O1" s="38" t="s">
        <v>1355</v>
      </c>
      <c r="P1" s="38" t="s">
        <v>1356</v>
      </c>
      <c r="Q1" s="38" t="s">
        <v>1357</v>
      </c>
      <c r="R1" s="38" t="s">
        <v>1358</v>
      </c>
      <c r="S1" s="38" t="s">
        <v>1359</v>
      </c>
      <c r="T1" s="38" t="s">
        <v>1360</v>
      </c>
      <c r="U1" s="38" t="s">
        <v>1361</v>
      </c>
      <c r="V1" s="38" t="s">
        <v>1362</v>
      </c>
      <c r="W1" s="38" t="s">
        <v>1363</v>
      </c>
      <c r="X1" s="38" t="s">
        <v>1364</v>
      </c>
      <c r="Y1" s="38" t="s">
        <v>1365</v>
      </c>
      <c r="Z1" s="38" t="s">
        <v>1366</v>
      </c>
      <c r="AA1" s="38" t="s">
        <v>1367</v>
      </c>
      <c r="AD1" s="132" t="s">
        <v>1368</v>
      </c>
      <c r="AE1" s="38" t="s">
        <v>1369</v>
      </c>
      <c r="AF1" s="38" t="s">
        <v>1370</v>
      </c>
      <c r="AG1" s="38" t="s">
        <v>1371</v>
      </c>
      <c r="AH1" s="38" t="s">
        <v>1372</v>
      </c>
      <c r="AI1" s="38" t="s">
        <v>1373</v>
      </c>
      <c r="AJ1" s="38" t="s">
        <v>1374</v>
      </c>
    </row>
    <row r="2" spans="1:36" hidden="1">
      <c r="A2" s="39" t="s">
        <v>98</v>
      </c>
      <c r="B2" s="39">
        <v>3591</v>
      </c>
      <c r="C2" s="39">
        <v>5033</v>
      </c>
      <c r="D2" s="39">
        <v>3472</v>
      </c>
      <c r="E2" s="39">
        <v>6534</v>
      </c>
      <c r="F2" s="39">
        <v>5480</v>
      </c>
      <c r="G2" s="39">
        <v>4553</v>
      </c>
      <c r="H2" s="39">
        <v>15646</v>
      </c>
      <c r="I2" s="39">
        <v>5423</v>
      </c>
      <c r="J2" s="39">
        <v>4135</v>
      </c>
      <c r="K2">
        <v>3762</v>
      </c>
      <c r="L2">
        <v>3361</v>
      </c>
      <c r="M2">
        <v>2925</v>
      </c>
      <c r="N2">
        <v>5767</v>
      </c>
      <c r="O2">
        <v>830</v>
      </c>
      <c r="P2">
        <v>949</v>
      </c>
      <c r="Q2">
        <v>615</v>
      </c>
      <c r="R2">
        <v>1182</v>
      </c>
      <c r="S2">
        <v>1059</v>
      </c>
      <c r="T2">
        <v>868</v>
      </c>
      <c r="U2">
        <v>1282</v>
      </c>
      <c r="V2">
        <v>1003</v>
      </c>
      <c r="W2">
        <v>775</v>
      </c>
      <c r="X2">
        <v>791</v>
      </c>
      <c r="Y2">
        <v>762</v>
      </c>
      <c r="Z2">
        <v>607</v>
      </c>
      <c r="AA2">
        <v>836</v>
      </c>
      <c r="AD2" t="s">
        <v>699</v>
      </c>
      <c r="AE2" s="28">
        <v>67399</v>
      </c>
      <c r="AF2">
        <v>297250</v>
      </c>
      <c r="AG2">
        <v>63452</v>
      </c>
      <c r="AH2">
        <v>220366</v>
      </c>
    </row>
    <row r="3" spans="1:36" hidden="1">
      <c r="A3" s="39" t="s">
        <v>701</v>
      </c>
      <c r="B3" s="39">
        <v>1487</v>
      </c>
      <c r="C3" s="39">
        <v>1490</v>
      </c>
      <c r="D3" s="39">
        <v>1213</v>
      </c>
      <c r="E3" s="39">
        <v>1477</v>
      </c>
      <c r="F3" s="39">
        <v>1181</v>
      </c>
      <c r="G3" s="39">
        <v>1914</v>
      </c>
      <c r="H3" s="39">
        <v>1610</v>
      </c>
      <c r="I3" s="39">
        <v>1971</v>
      </c>
      <c r="J3" s="39">
        <v>3959</v>
      </c>
      <c r="K3">
        <v>1873</v>
      </c>
      <c r="L3">
        <v>556</v>
      </c>
      <c r="M3">
        <v>3789</v>
      </c>
      <c r="N3">
        <v>7411</v>
      </c>
      <c r="O3">
        <v>368</v>
      </c>
      <c r="P3">
        <v>393</v>
      </c>
      <c r="Q3">
        <v>316</v>
      </c>
      <c r="R3">
        <v>369</v>
      </c>
      <c r="S3">
        <v>352</v>
      </c>
      <c r="T3">
        <v>508</v>
      </c>
      <c r="U3">
        <v>475</v>
      </c>
      <c r="V3">
        <v>519</v>
      </c>
      <c r="W3">
        <v>1081</v>
      </c>
      <c r="X3">
        <v>483</v>
      </c>
      <c r="Y3">
        <v>156</v>
      </c>
      <c r="Z3">
        <v>1067</v>
      </c>
      <c r="AA3">
        <v>1424</v>
      </c>
      <c r="AD3" t="s">
        <v>180</v>
      </c>
      <c r="AE3" s="28">
        <v>4822</v>
      </c>
      <c r="AF3">
        <v>29959</v>
      </c>
      <c r="AG3">
        <v>4146</v>
      </c>
      <c r="AH3">
        <v>24385</v>
      </c>
    </row>
    <row r="4" spans="1:36" hidden="1">
      <c r="A4" s="39" t="s">
        <v>24</v>
      </c>
      <c r="B4" s="39">
        <v>16658</v>
      </c>
      <c r="C4" s="39">
        <v>30899</v>
      </c>
      <c r="D4" s="39">
        <v>78885</v>
      </c>
      <c r="E4" s="39">
        <v>85527</v>
      </c>
      <c r="F4" s="39">
        <v>47308</v>
      </c>
      <c r="G4" s="39">
        <v>81411</v>
      </c>
      <c r="H4" s="39">
        <v>35571</v>
      </c>
      <c r="I4" s="39">
        <v>48721</v>
      </c>
      <c r="J4" s="39">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164</v>
      </c>
      <c r="AE4" s="28">
        <v>10249</v>
      </c>
      <c r="AF4">
        <v>30497</v>
      </c>
      <c r="AG4">
        <v>11317</v>
      </c>
      <c r="AH4">
        <v>40299</v>
      </c>
    </row>
    <row r="5" spans="1:36" hidden="1">
      <c r="A5" s="39" t="s">
        <v>937</v>
      </c>
      <c r="B5" s="39">
        <v>1398</v>
      </c>
      <c r="C5" s="39">
        <v>1450</v>
      </c>
      <c r="D5" s="39">
        <v>1595</v>
      </c>
      <c r="E5" s="39">
        <v>1135</v>
      </c>
      <c r="F5" s="39">
        <v>997</v>
      </c>
      <c r="G5" s="39">
        <v>1326</v>
      </c>
      <c r="H5" s="39">
        <v>1041</v>
      </c>
      <c r="I5" s="39">
        <v>798</v>
      </c>
      <c r="J5" s="39">
        <v>627</v>
      </c>
      <c r="K5">
        <v>744</v>
      </c>
      <c r="L5">
        <v>533</v>
      </c>
      <c r="M5">
        <v>695</v>
      </c>
      <c r="N5">
        <v>1260</v>
      </c>
      <c r="O5">
        <v>273</v>
      </c>
      <c r="P5">
        <v>281</v>
      </c>
      <c r="Q5">
        <v>271</v>
      </c>
      <c r="R5">
        <v>250</v>
      </c>
      <c r="S5">
        <v>231</v>
      </c>
      <c r="T5">
        <v>274</v>
      </c>
      <c r="U5">
        <v>238</v>
      </c>
      <c r="V5">
        <v>252</v>
      </c>
      <c r="W5">
        <v>168</v>
      </c>
      <c r="X5">
        <v>283</v>
      </c>
      <c r="Y5">
        <v>170</v>
      </c>
      <c r="Z5">
        <v>162</v>
      </c>
      <c r="AA5">
        <v>272</v>
      </c>
      <c r="AD5" t="s">
        <v>16</v>
      </c>
      <c r="AE5" s="28">
        <v>26241</v>
      </c>
      <c r="AF5">
        <v>119613</v>
      </c>
      <c r="AG5">
        <v>21449</v>
      </c>
      <c r="AH5">
        <v>89404</v>
      </c>
    </row>
    <row r="6" spans="1:36" hidden="1">
      <c r="A6" s="39" t="s">
        <v>511</v>
      </c>
      <c r="B6" s="39">
        <v>3844</v>
      </c>
      <c r="C6" s="39">
        <v>4014</v>
      </c>
      <c r="D6" s="39">
        <v>4538</v>
      </c>
      <c r="E6" s="39">
        <v>5254</v>
      </c>
      <c r="F6" s="39">
        <v>4263</v>
      </c>
      <c r="G6" s="39">
        <v>2871</v>
      </c>
      <c r="H6" s="39">
        <v>5344</v>
      </c>
      <c r="I6" s="39">
        <v>3059</v>
      </c>
      <c r="J6" s="39">
        <v>3399</v>
      </c>
      <c r="K6">
        <v>3929</v>
      </c>
      <c r="L6">
        <v>4007</v>
      </c>
      <c r="M6">
        <v>4426</v>
      </c>
      <c r="N6">
        <v>4126</v>
      </c>
      <c r="O6">
        <v>967</v>
      </c>
      <c r="P6">
        <v>1074</v>
      </c>
      <c r="Q6">
        <v>966</v>
      </c>
      <c r="R6">
        <v>1242</v>
      </c>
      <c r="S6">
        <v>1147</v>
      </c>
      <c r="T6">
        <v>881</v>
      </c>
      <c r="U6">
        <v>878</v>
      </c>
      <c r="V6">
        <v>833</v>
      </c>
      <c r="W6">
        <v>864</v>
      </c>
      <c r="X6">
        <v>995</v>
      </c>
      <c r="Y6">
        <v>1181</v>
      </c>
      <c r="Z6">
        <v>1259</v>
      </c>
      <c r="AA6">
        <v>1148</v>
      </c>
      <c r="AD6" t="s">
        <v>703</v>
      </c>
      <c r="AE6" s="28">
        <v>20605</v>
      </c>
      <c r="AF6">
        <v>87723</v>
      </c>
      <c r="AG6">
        <v>17467</v>
      </c>
      <c r="AH6">
        <v>88572</v>
      </c>
    </row>
    <row r="7" spans="1:36" hidden="1">
      <c r="A7" s="39" t="s">
        <v>32</v>
      </c>
      <c r="B7" s="39">
        <v>5966</v>
      </c>
      <c r="C7" s="39">
        <v>5536</v>
      </c>
      <c r="D7" s="39">
        <v>4172</v>
      </c>
      <c r="E7" s="39">
        <v>4356</v>
      </c>
      <c r="F7" s="39">
        <v>3592</v>
      </c>
      <c r="G7" s="39">
        <v>3729</v>
      </c>
      <c r="H7" s="39">
        <v>4120</v>
      </c>
      <c r="I7" s="39">
        <v>3692</v>
      </c>
      <c r="J7" s="39">
        <v>4656</v>
      </c>
      <c r="K7">
        <v>4414</v>
      </c>
      <c r="L7">
        <v>4545</v>
      </c>
      <c r="M7">
        <v>4562</v>
      </c>
      <c r="N7">
        <v>4126</v>
      </c>
      <c r="O7">
        <v>1085</v>
      </c>
      <c r="P7">
        <v>973</v>
      </c>
      <c r="Q7">
        <v>761</v>
      </c>
      <c r="R7">
        <v>844</v>
      </c>
      <c r="S7">
        <v>776</v>
      </c>
      <c r="T7">
        <v>736</v>
      </c>
      <c r="U7">
        <v>760</v>
      </c>
      <c r="V7">
        <v>886</v>
      </c>
      <c r="W7">
        <v>993</v>
      </c>
      <c r="X7">
        <v>938</v>
      </c>
      <c r="Y7">
        <v>1001</v>
      </c>
      <c r="Z7">
        <v>987</v>
      </c>
      <c r="AA7">
        <v>926</v>
      </c>
      <c r="AD7" t="s">
        <v>64</v>
      </c>
      <c r="AE7" s="28">
        <v>6929</v>
      </c>
      <c r="AF7">
        <v>20535</v>
      </c>
      <c r="AG7">
        <v>6853</v>
      </c>
      <c r="AH7">
        <v>20846</v>
      </c>
    </row>
    <row r="8" spans="1:36" hidden="1">
      <c r="A8" s="39" t="s">
        <v>358</v>
      </c>
      <c r="B8" s="39">
        <v>1688</v>
      </c>
      <c r="C8" s="39">
        <v>1592</v>
      </c>
      <c r="D8" s="39">
        <v>1521</v>
      </c>
      <c r="E8" s="39">
        <v>1648</v>
      </c>
      <c r="F8" s="39">
        <v>1746</v>
      </c>
      <c r="G8" s="39">
        <v>1535</v>
      </c>
      <c r="H8" s="39">
        <v>1551</v>
      </c>
      <c r="I8" s="39">
        <v>1971</v>
      </c>
      <c r="J8" s="39">
        <v>2343</v>
      </c>
      <c r="K8">
        <v>2362</v>
      </c>
      <c r="L8">
        <v>1558</v>
      </c>
      <c r="M8">
        <v>1189</v>
      </c>
      <c r="N8">
        <v>4102</v>
      </c>
      <c r="O8">
        <v>348</v>
      </c>
      <c r="P8">
        <v>338</v>
      </c>
      <c r="Q8">
        <v>372</v>
      </c>
      <c r="R8">
        <v>366</v>
      </c>
      <c r="S8">
        <v>403</v>
      </c>
      <c r="T8">
        <v>328</v>
      </c>
      <c r="U8">
        <v>379</v>
      </c>
      <c r="V8">
        <v>466</v>
      </c>
      <c r="W8">
        <v>504</v>
      </c>
      <c r="X8">
        <v>536</v>
      </c>
      <c r="Y8">
        <v>430</v>
      </c>
      <c r="Z8">
        <v>296</v>
      </c>
      <c r="AA8">
        <v>553</v>
      </c>
      <c r="AD8" t="s">
        <v>72</v>
      </c>
      <c r="AE8" s="28">
        <v>2129</v>
      </c>
      <c r="AF8">
        <v>8488</v>
      </c>
      <c r="AG8">
        <v>2143</v>
      </c>
      <c r="AH8">
        <v>9087</v>
      </c>
    </row>
    <row r="9" spans="1:36" hidden="1">
      <c r="A9" s="39" t="s">
        <v>635</v>
      </c>
      <c r="B9" s="39">
        <v>2241</v>
      </c>
      <c r="C9" s="39">
        <v>2869</v>
      </c>
      <c r="D9" s="39">
        <v>2475</v>
      </c>
      <c r="E9" s="39">
        <v>2346</v>
      </c>
      <c r="F9" s="39">
        <v>2356</v>
      </c>
      <c r="G9" s="39">
        <v>2232</v>
      </c>
      <c r="H9" s="39">
        <v>2382</v>
      </c>
      <c r="I9" s="39">
        <v>2655</v>
      </c>
      <c r="J9" s="39">
        <v>2719</v>
      </c>
      <c r="K9">
        <v>3108</v>
      </c>
      <c r="L9">
        <v>2807</v>
      </c>
      <c r="M9">
        <v>2079</v>
      </c>
      <c r="N9">
        <v>4200</v>
      </c>
      <c r="O9">
        <v>822</v>
      </c>
      <c r="P9">
        <v>840</v>
      </c>
      <c r="Q9">
        <v>824</v>
      </c>
      <c r="R9">
        <v>668</v>
      </c>
      <c r="S9">
        <v>697</v>
      </c>
      <c r="T9">
        <v>695</v>
      </c>
      <c r="U9">
        <v>718</v>
      </c>
      <c r="V9">
        <v>757</v>
      </c>
      <c r="W9">
        <v>905</v>
      </c>
      <c r="X9">
        <v>998</v>
      </c>
      <c r="Y9">
        <v>1037</v>
      </c>
      <c r="Z9">
        <v>703</v>
      </c>
      <c r="AA9">
        <v>1185</v>
      </c>
      <c r="AD9" t="s">
        <v>82</v>
      </c>
      <c r="AE9" s="28">
        <v>11862</v>
      </c>
      <c r="AF9">
        <v>26335</v>
      </c>
      <c r="AG9">
        <v>11360</v>
      </c>
      <c r="AH9">
        <v>25016</v>
      </c>
    </row>
    <row r="10" spans="1:36" hidden="1">
      <c r="A10" s="39" t="s">
        <v>595</v>
      </c>
      <c r="B10" s="39">
        <v>4923</v>
      </c>
      <c r="C10" s="39">
        <v>5641</v>
      </c>
      <c r="D10" s="39">
        <v>4456</v>
      </c>
      <c r="E10" s="39">
        <v>4936</v>
      </c>
      <c r="F10" s="39">
        <v>5716</v>
      </c>
      <c r="G10" s="39">
        <v>6278</v>
      </c>
      <c r="H10" s="39">
        <v>5569</v>
      </c>
      <c r="I10" s="39">
        <v>5685</v>
      </c>
      <c r="J10" s="39">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32</v>
      </c>
      <c r="AE10" s="28">
        <v>4129</v>
      </c>
      <c r="AF10">
        <v>18813</v>
      </c>
      <c r="AG10">
        <v>5345</v>
      </c>
      <c r="AH10">
        <v>22943</v>
      </c>
    </row>
    <row r="11" spans="1:36" hidden="1">
      <c r="A11" s="39" t="s">
        <v>276</v>
      </c>
      <c r="B11" s="39">
        <v>861</v>
      </c>
      <c r="C11" s="39">
        <v>747</v>
      </c>
      <c r="D11" s="39">
        <v>763</v>
      </c>
      <c r="E11" s="39">
        <v>879</v>
      </c>
      <c r="F11" s="39">
        <v>857</v>
      </c>
      <c r="G11" s="39">
        <v>797</v>
      </c>
      <c r="H11" s="39">
        <v>772</v>
      </c>
      <c r="I11" s="39">
        <v>826</v>
      </c>
      <c r="J11" s="39">
        <v>821</v>
      </c>
      <c r="K11">
        <v>798</v>
      </c>
      <c r="L11">
        <v>649</v>
      </c>
      <c r="M11">
        <v>650</v>
      </c>
      <c r="N11">
        <v>1190</v>
      </c>
      <c r="O11">
        <v>171</v>
      </c>
      <c r="P11">
        <v>137</v>
      </c>
      <c r="Q11">
        <v>126</v>
      </c>
      <c r="R11">
        <v>178</v>
      </c>
      <c r="S11">
        <v>171</v>
      </c>
      <c r="T11">
        <v>179</v>
      </c>
      <c r="U11">
        <v>173</v>
      </c>
      <c r="V11">
        <v>174</v>
      </c>
      <c r="W11">
        <v>205</v>
      </c>
      <c r="X11">
        <v>189</v>
      </c>
      <c r="Y11">
        <v>180</v>
      </c>
      <c r="Z11">
        <v>152</v>
      </c>
      <c r="AA11">
        <v>228</v>
      </c>
      <c r="AD11" t="s">
        <v>24</v>
      </c>
      <c r="AE11" s="28">
        <v>25786</v>
      </c>
      <c r="AF11">
        <v>115850</v>
      </c>
      <c r="AG11">
        <v>23841</v>
      </c>
      <c r="AH11">
        <v>98104</v>
      </c>
    </row>
    <row r="12" spans="1:36" hidden="1">
      <c r="A12" s="39" t="s">
        <v>730</v>
      </c>
      <c r="B12" s="39">
        <v>4756</v>
      </c>
      <c r="C12" s="39">
        <v>4401</v>
      </c>
      <c r="D12" s="39">
        <v>3375</v>
      </c>
      <c r="E12" s="39">
        <v>2711</v>
      </c>
      <c r="F12" s="39">
        <v>2154</v>
      </c>
      <c r="G12" s="39">
        <v>2492</v>
      </c>
      <c r="H12" s="39">
        <v>2441</v>
      </c>
      <c r="I12" s="39">
        <v>2387</v>
      </c>
      <c r="J12" s="39">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58</v>
      </c>
      <c r="AE12" s="28">
        <v>4818</v>
      </c>
      <c r="AF12">
        <v>12139</v>
      </c>
      <c r="AG12">
        <v>3375</v>
      </c>
      <c r="AH12">
        <v>8797</v>
      </c>
    </row>
    <row r="13" spans="1:36" hidden="1">
      <c r="A13" s="39" t="s">
        <v>822</v>
      </c>
      <c r="B13" s="39">
        <v>532</v>
      </c>
      <c r="C13" s="39">
        <v>765</v>
      </c>
      <c r="D13" s="39">
        <v>1661</v>
      </c>
      <c r="E13" s="39">
        <v>674</v>
      </c>
      <c r="F13" s="39">
        <v>684</v>
      </c>
      <c r="G13" s="39">
        <v>1793</v>
      </c>
      <c r="H13" s="39">
        <v>963</v>
      </c>
      <c r="I13" s="39">
        <v>922</v>
      </c>
      <c r="J13" s="39">
        <v>637</v>
      </c>
      <c r="K13">
        <v>525</v>
      </c>
      <c r="L13">
        <v>470</v>
      </c>
      <c r="M13">
        <v>483</v>
      </c>
      <c r="N13">
        <v>494</v>
      </c>
      <c r="O13">
        <v>129</v>
      </c>
      <c r="P13">
        <v>168</v>
      </c>
      <c r="Q13">
        <v>265</v>
      </c>
      <c r="R13">
        <v>169</v>
      </c>
      <c r="S13">
        <v>145</v>
      </c>
      <c r="T13">
        <v>303</v>
      </c>
      <c r="U13">
        <v>216</v>
      </c>
      <c r="V13">
        <v>240</v>
      </c>
      <c r="W13">
        <v>174</v>
      </c>
      <c r="X13">
        <v>192</v>
      </c>
      <c r="Y13">
        <v>153</v>
      </c>
      <c r="Z13">
        <v>152</v>
      </c>
      <c r="AA13">
        <v>143</v>
      </c>
      <c r="AD13" t="s">
        <v>635</v>
      </c>
      <c r="AE13" s="28">
        <v>3732</v>
      </c>
      <c r="AF13">
        <v>12113</v>
      </c>
      <c r="AG13">
        <v>3441</v>
      </c>
      <c r="AH13">
        <v>11479</v>
      </c>
    </row>
    <row r="14" spans="1:36" hidden="1">
      <c r="A14" s="39" t="s">
        <v>142</v>
      </c>
      <c r="B14" s="39">
        <v>1912</v>
      </c>
      <c r="C14" s="39">
        <v>1956</v>
      </c>
      <c r="D14" s="39">
        <v>1740</v>
      </c>
      <c r="E14" s="39">
        <v>1413</v>
      </c>
      <c r="F14" s="39">
        <v>1833</v>
      </c>
      <c r="G14" s="39">
        <v>2677</v>
      </c>
      <c r="H14" s="39">
        <v>2190</v>
      </c>
      <c r="I14" s="39">
        <v>2027</v>
      </c>
      <c r="J14" s="39">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697</v>
      </c>
      <c r="AE14" s="28">
        <v>11641</v>
      </c>
      <c r="AF14">
        <v>28899</v>
      </c>
      <c r="AG14">
        <v>10424</v>
      </c>
      <c r="AH14">
        <v>27780</v>
      </c>
    </row>
    <row r="15" spans="1:36" hidden="1">
      <c r="A15" s="39" t="s">
        <v>467</v>
      </c>
      <c r="B15" s="39">
        <v>1255</v>
      </c>
      <c r="C15" s="39">
        <v>1309</v>
      </c>
      <c r="D15" s="39">
        <v>1188</v>
      </c>
      <c r="E15" s="39">
        <v>1177</v>
      </c>
      <c r="F15" s="39">
        <v>969</v>
      </c>
      <c r="G15" s="39">
        <v>930</v>
      </c>
      <c r="H15" s="39">
        <v>983</v>
      </c>
      <c r="I15" s="39">
        <v>1126</v>
      </c>
      <c r="J15" s="39">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693</v>
      </c>
      <c r="AE15" s="28">
        <v>7271</v>
      </c>
      <c r="AF15">
        <v>24464</v>
      </c>
      <c r="AG15">
        <v>10543</v>
      </c>
      <c r="AH15">
        <v>40468</v>
      </c>
    </row>
    <row r="16" spans="1:36" hidden="1">
      <c r="A16" s="39" t="s">
        <v>585</v>
      </c>
      <c r="B16" s="39">
        <v>2626</v>
      </c>
      <c r="C16" s="39">
        <v>3952</v>
      </c>
      <c r="D16" s="39">
        <v>4615</v>
      </c>
      <c r="E16" s="39">
        <v>2880</v>
      </c>
      <c r="F16" s="39">
        <v>2635</v>
      </c>
      <c r="G16" s="39">
        <v>2191</v>
      </c>
      <c r="H16" s="39">
        <v>2469</v>
      </c>
      <c r="I16" s="39">
        <v>2406</v>
      </c>
      <c r="J16" s="39">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451</v>
      </c>
      <c r="AE16" s="28">
        <v>4069</v>
      </c>
      <c r="AF16">
        <v>14752</v>
      </c>
      <c r="AG16">
        <v>3844</v>
      </c>
      <c r="AH16">
        <v>14485</v>
      </c>
    </row>
    <row r="17" spans="1:34" hidden="1">
      <c r="A17" s="39" t="s">
        <v>587</v>
      </c>
      <c r="B17" s="39">
        <v>2251</v>
      </c>
      <c r="C17" s="39">
        <v>1981</v>
      </c>
      <c r="D17" s="39">
        <v>2209</v>
      </c>
      <c r="E17" s="39">
        <v>1972</v>
      </c>
      <c r="F17" s="39">
        <v>2037</v>
      </c>
      <c r="G17" s="39">
        <v>1574</v>
      </c>
      <c r="H17" s="39">
        <v>1888</v>
      </c>
      <c r="I17" s="39">
        <v>1598</v>
      </c>
      <c r="J17" s="39">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80</v>
      </c>
      <c r="AE17" s="28">
        <v>3689</v>
      </c>
      <c r="AF17">
        <v>14117</v>
      </c>
      <c r="AG17">
        <v>3473</v>
      </c>
      <c r="AH17">
        <v>14892</v>
      </c>
    </row>
    <row r="18" spans="1:34" hidden="1">
      <c r="A18" s="39" t="s">
        <v>507</v>
      </c>
      <c r="B18" s="39">
        <v>2912</v>
      </c>
      <c r="C18" s="39">
        <v>3613</v>
      </c>
      <c r="D18" s="39">
        <v>3895</v>
      </c>
      <c r="E18" s="39">
        <v>3361</v>
      </c>
      <c r="F18" s="39">
        <v>2176</v>
      </c>
      <c r="G18" s="39">
        <v>2473</v>
      </c>
      <c r="H18" s="39">
        <v>1708</v>
      </c>
      <c r="I18" s="39">
        <v>1921</v>
      </c>
      <c r="J18" s="39">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134</v>
      </c>
      <c r="AE18" s="28">
        <v>1500</v>
      </c>
      <c r="AF18">
        <v>6351</v>
      </c>
      <c r="AH18">
        <v>0</v>
      </c>
    </row>
    <row r="19" spans="1:34" hidden="1">
      <c r="A19" s="39" t="s">
        <v>403</v>
      </c>
      <c r="B19" s="39">
        <v>0</v>
      </c>
      <c r="C19" s="39">
        <v>1748</v>
      </c>
      <c r="D19" s="39">
        <v>1392</v>
      </c>
      <c r="E19" s="39">
        <v>1702</v>
      </c>
      <c r="F19" s="39">
        <v>1694</v>
      </c>
      <c r="G19" s="39">
        <v>1549</v>
      </c>
      <c r="H19" s="39">
        <v>1385</v>
      </c>
      <c r="I19" s="39">
        <v>893</v>
      </c>
      <c r="J19" s="39">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483</v>
      </c>
      <c r="AE19" s="28">
        <v>2196</v>
      </c>
      <c r="AF19">
        <v>5001</v>
      </c>
      <c r="AG19">
        <v>2246</v>
      </c>
      <c r="AH19">
        <v>4686</v>
      </c>
    </row>
    <row r="20" spans="1:34" hidden="1">
      <c r="A20" s="39" t="s">
        <v>172</v>
      </c>
      <c r="B20" s="39">
        <v>1166</v>
      </c>
      <c r="C20" s="39">
        <v>1365</v>
      </c>
      <c r="D20" s="39">
        <v>1305</v>
      </c>
      <c r="E20" s="39">
        <v>1369</v>
      </c>
      <c r="F20" s="39">
        <v>1204</v>
      </c>
      <c r="G20" s="39">
        <v>1479</v>
      </c>
      <c r="H20" s="39">
        <v>2276</v>
      </c>
      <c r="I20" s="39">
        <v>2413</v>
      </c>
      <c r="J20" s="39">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162</v>
      </c>
      <c r="AE20" s="28">
        <v>1326</v>
      </c>
      <c r="AF20">
        <v>7012</v>
      </c>
      <c r="AH20">
        <v>0</v>
      </c>
    </row>
    <row r="21" spans="1:34" hidden="1">
      <c r="A21" s="39" t="s">
        <v>557</v>
      </c>
      <c r="B21" s="39">
        <v>0</v>
      </c>
      <c r="C21" s="39">
        <v>2043</v>
      </c>
      <c r="D21" s="39">
        <v>2010</v>
      </c>
      <c r="E21" s="39">
        <v>1973</v>
      </c>
      <c r="F21" s="39">
        <v>1304</v>
      </c>
      <c r="G21" s="39">
        <v>1219</v>
      </c>
      <c r="H21" s="39">
        <v>1175</v>
      </c>
      <c r="I21" s="39">
        <v>1201</v>
      </c>
      <c r="J21" s="39">
        <v>1105</v>
      </c>
      <c r="K21">
        <v>1069</v>
      </c>
      <c r="L21">
        <v>983</v>
      </c>
      <c r="M21">
        <v>992</v>
      </c>
      <c r="N21">
        <v>1228</v>
      </c>
      <c r="O21">
        <v>0</v>
      </c>
      <c r="P21">
        <v>795</v>
      </c>
      <c r="Q21">
        <v>769</v>
      </c>
      <c r="R21">
        <v>713</v>
      </c>
      <c r="S21">
        <v>483</v>
      </c>
      <c r="T21">
        <v>508</v>
      </c>
      <c r="U21">
        <v>479</v>
      </c>
      <c r="V21">
        <v>509</v>
      </c>
      <c r="W21">
        <v>484</v>
      </c>
      <c r="X21">
        <v>452</v>
      </c>
      <c r="Y21">
        <v>435</v>
      </c>
      <c r="Z21">
        <v>440</v>
      </c>
      <c r="AA21">
        <v>520</v>
      </c>
      <c r="AD21" t="s">
        <v>399</v>
      </c>
      <c r="AE21" s="28">
        <v>1109</v>
      </c>
      <c r="AF21">
        <v>3594</v>
      </c>
      <c r="AG21">
        <v>916</v>
      </c>
      <c r="AH21">
        <v>4179</v>
      </c>
    </row>
    <row r="22" spans="1:34" hidden="1">
      <c r="A22" s="39" t="s">
        <v>1011</v>
      </c>
      <c r="B22" s="39">
        <v>805</v>
      </c>
      <c r="C22" s="39">
        <v>2222</v>
      </c>
      <c r="D22" s="39">
        <v>770</v>
      </c>
      <c r="E22" s="39">
        <v>1022</v>
      </c>
      <c r="F22" s="39">
        <v>847</v>
      </c>
      <c r="G22" s="39">
        <v>1065</v>
      </c>
      <c r="H22" s="39">
        <v>741</v>
      </c>
      <c r="I22" s="39">
        <v>957</v>
      </c>
      <c r="J22" s="39">
        <v>661</v>
      </c>
      <c r="K22">
        <v>1346</v>
      </c>
      <c r="L22">
        <v>643</v>
      </c>
      <c r="M22">
        <v>930</v>
      </c>
      <c r="N22">
        <v>1036</v>
      </c>
      <c r="O22">
        <v>135</v>
      </c>
      <c r="P22">
        <v>356</v>
      </c>
      <c r="Q22">
        <v>156</v>
      </c>
      <c r="R22">
        <v>237</v>
      </c>
      <c r="S22">
        <v>210</v>
      </c>
      <c r="T22">
        <v>292</v>
      </c>
      <c r="U22">
        <v>163</v>
      </c>
      <c r="V22">
        <v>266</v>
      </c>
      <c r="W22">
        <v>193</v>
      </c>
      <c r="X22">
        <v>328</v>
      </c>
      <c r="Y22">
        <v>224</v>
      </c>
      <c r="Z22">
        <v>274</v>
      </c>
      <c r="AA22">
        <v>298</v>
      </c>
      <c r="AD22" t="s">
        <v>501</v>
      </c>
      <c r="AE22" s="28">
        <v>4052</v>
      </c>
      <c r="AF22">
        <v>25148</v>
      </c>
      <c r="AG22">
        <v>2601</v>
      </c>
      <c r="AH22">
        <v>23557</v>
      </c>
    </row>
    <row r="23" spans="1:34" hidden="1">
      <c r="A23" s="39" t="s">
        <v>180</v>
      </c>
      <c r="B23" s="39">
        <v>2837</v>
      </c>
      <c r="C23" s="39">
        <v>3008</v>
      </c>
      <c r="D23" s="39">
        <v>3196</v>
      </c>
      <c r="E23" s="39">
        <v>8455</v>
      </c>
      <c r="F23" s="39">
        <v>7979</v>
      </c>
      <c r="G23" s="39">
        <v>10916</v>
      </c>
      <c r="H23" s="39">
        <v>6931</v>
      </c>
      <c r="I23" s="39">
        <v>7015</v>
      </c>
      <c r="J23" s="39">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419</v>
      </c>
      <c r="AE23" s="28">
        <v>1476</v>
      </c>
      <c r="AF23">
        <v>6959</v>
      </c>
      <c r="AH23">
        <v>0</v>
      </c>
    </row>
    <row r="24" spans="1:34" hidden="1">
      <c r="A24" s="39" t="s">
        <v>156</v>
      </c>
      <c r="B24" s="39">
        <v>1158</v>
      </c>
      <c r="C24" s="39">
        <v>1375</v>
      </c>
      <c r="D24" s="39">
        <v>622</v>
      </c>
      <c r="E24" s="39">
        <v>552</v>
      </c>
      <c r="F24" s="39">
        <v>735</v>
      </c>
      <c r="G24" s="39">
        <v>710</v>
      </c>
      <c r="H24" s="39">
        <v>805</v>
      </c>
      <c r="I24" s="39">
        <v>937</v>
      </c>
      <c r="J24" s="39">
        <v>1084</v>
      </c>
      <c r="K24">
        <v>746</v>
      </c>
      <c r="L24">
        <v>566</v>
      </c>
      <c r="M24">
        <v>528</v>
      </c>
      <c r="N24">
        <v>887</v>
      </c>
      <c r="O24">
        <v>54</v>
      </c>
      <c r="P24">
        <v>110</v>
      </c>
      <c r="Q24">
        <v>113</v>
      </c>
      <c r="R24">
        <v>81</v>
      </c>
      <c r="S24">
        <v>103</v>
      </c>
      <c r="T24">
        <v>126</v>
      </c>
      <c r="U24">
        <v>153</v>
      </c>
      <c r="V24">
        <v>216</v>
      </c>
      <c r="W24">
        <v>230</v>
      </c>
      <c r="X24">
        <v>141</v>
      </c>
      <c r="Y24">
        <v>111</v>
      </c>
      <c r="Z24">
        <v>89</v>
      </c>
      <c r="AA24">
        <v>182</v>
      </c>
      <c r="AD24" t="s">
        <v>701</v>
      </c>
      <c r="AE24" s="28">
        <v>14987</v>
      </c>
      <c r="AF24">
        <v>52476</v>
      </c>
      <c r="AG24">
        <v>15202</v>
      </c>
      <c r="AH24">
        <v>62646</v>
      </c>
    </row>
    <row r="25" spans="1:34" hidden="1">
      <c r="A25" s="39" t="s">
        <v>517</v>
      </c>
      <c r="B25" s="39">
        <v>1208</v>
      </c>
      <c r="C25" s="39">
        <v>1250</v>
      </c>
      <c r="D25" s="39">
        <v>871</v>
      </c>
      <c r="E25" s="39">
        <v>821</v>
      </c>
      <c r="F25" s="39">
        <v>689</v>
      </c>
      <c r="G25" s="39">
        <v>638</v>
      </c>
      <c r="H25" s="39">
        <v>695</v>
      </c>
      <c r="I25" s="39">
        <v>1739</v>
      </c>
      <c r="J25" s="39">
        <v>849</v>
      </c>
      <c r="K25">
        <v>938</v>
      </c>
      <c r="L25">
        <v>850</v>
      </c>
      <c r="M25">
        <v>913</v>
      </c>
      <c r="N25">
        <v>1214</v>
      </c>
      <c r="O25">
        <v>325</v>
      </c>
      <c r="P25">
        <v>361</v>
      </c>
      <c r="Q25">
        <v>290</v>
      </c>
      <c r="R25">
        <v>277</v>
      </c>
      <c r="S25">
        <v>274</v>
      </c>
      <c r="T25">
        <v>252</v>
      </c>
      <c r="U25">
        <v>291</v>
      </c>
      <c r="V25">
        <v>611</v>
      </c>
      <c r="W25">
        <v>332</v>
      </c>
      <c r="X25">
        <v>382</v>
      </c>
      <c r="Y25">
        <v>427</v>
      </c>
      <c r="Z25">
        <v>361</v>
      </c>
      <c r="AA25">
        <v>487</v>
      </c>
      <c r="AD25" t="s">
        <v>384</v>
      </c>
      <c r="AE25" s="28">
        <v>652</v>
      </c>
      <c r="AF25">
        <v>3797</v>
      </c>
      <c r="AG25">
        <v>750</v>
      </c>
      <c r="AH25">
        <v>3773</v>
      </c>
    </row>
    <row r="26" spans="1:34" hidden="1">
      <c r="A26" s="39" t="s">
        <v>431</v>
      </c>
      <c r="B26" s="39">
        <v>1350</v>
      </c>
      <c r="C26" s="39">
        <v>1572</v>
      </c>
      <c r="D26" s="39">
        <v>1531</v>
      </c>
      <c r="E26" s="39">
        <v>1099</v>
      </c>
      <c r="F26" s="39">
        <v>993</v>
      </c>
      <c r="G26" s="39">
        <v>953</v>
      </c>
      <c r="H26" s="39">
        <v>1321</v>
      </c>
      <c r="I26" s="39">
        <v>1159</v>
      </c>
      <c r="J26" s="39">
        <v>1280</v>
      </c>
      <c r="K26">
        <v>1374</v>
      </c>
      <c r="L26">
        <v>952</v>
      </c>
      <c r="M26">
        <v>1057</v>
      </c>
      <c r="N26">
        <v>1414</v>
      </c>
      <c r="O26">
        <v>184</v>
      </c>
      <c r="P26">
        <v>212</v>
      </c>
      <c r="Q26">
        <v>218</v>
      </c>
      <c r="R26">
        <v>166</v>
      </c>
      <c r="S26">
        <v>146</v>
      </c>
      <c r="T26">
        <v>129</v>
      </c>
      <c r="U26">
        <v>156</v>
      </c>
      <c r="V26">
        <v>159</v>
      </c>
      <c r="W26">
        <v>162</v>
      </c>
      <c r="X26">
        <v>200</v>
      </c>
      <c r="Y26">
        <v>166</v>
      </c>
      <c r="Z26">
        <v>220</v>
      </c>
      <c r="AA26">
        <v>235</v>
      </c>
      <c r="AD26" s="37" t="s">
        <v>182</v>
      </c>
      <c r="AE26" s="28">
        <v>1671</v>
      </c>
      <c r="AF26">
        <v>3766</v>
      </c>
      <c r="AG26">
        <v>1289</v>
      </c>
      <c r="AH26">
        <v>3350</v>
      </c>
    </row>
    <row r="27" spans="1:34" hidden="1">
      <c r="A27" s="39" t="s">
        <v>236</v>
      </c>
      <c r="B27" s="39">
        <v>665</v>
      </c>
      <c r="C27" s="39">
        <v>685</v>
      </c>
      <c r="D27" s="39">
        <v>512</v>
      </c>
      <c r="E27" s="39">
        <v>531</v>
      </c>
      <c r="F27" s="39">
        <v>543</v>
      </c>
      <c r="G27" s="39">
        <v>726</v>
      </c>
      <c r="H27" s="39">
        <v>571</v>
      </c>
      <c r="I27" s="39">
        <v>593</v>
      </c>
      <c r="J27" s="39">
        <v>602</v>
      </c>
      <c r="K27">
        <v>563</v>
      </c>
      <c r="L27">
        <v>564</v>
      </c>
      <c r="M27">
        <v>541</v>
      </c>
      <c r="N27">
        <v>685</v>
      </c>
      <c r="O27">
        <v>149</v>
      </c>
      <c r="P27">
        <v>135</v>
      </c>
      <c r="Q27">
        <v>100</v>
      </c>
      <c r="R27">
        <v>154</v>
      </c>
      <c r="S27">
        <v>168</v>
      </c>
      <c r="T27">
        <v>212</v>
      </c>
      <c r="U27">
        <v>154</v>
      </c>
      <c r="V27">
        <v>188</v>
      </c>
      <c r="W27">
        <v>209</v>
      </c>
      <c r="X27">
        <v>206</v>
      </c>
      <c r="Y27">
        <v>211</v>
      </c>
      <c r="Z27">
        <v>178</v>
      </c>
      <c r="AA27">
        <v>237</v>
      </c>
      <c r="AD27" t="s">
        <v>40</v>
      </c>
      <c r="AE27" s="28">
        <v>2656</v>
      </c>
      <c r="AF27">
        <v>14102</v>
      </c>
      <c r="AG27">
        <v>1956</v>
      </c>
      <c r="AH27">
        <v>10593</v>
      </c>
    </row>
    <row r="28" spans="1:34" hidden="1">
      <c r="A28" s="39" t="s">
        <v>553</v>
      </c>
      <c r="B28" s="39">
        <v>1234</v>
      </c>
      <c r="C28" s="39">
        <v>1378</v>
      </c>
      <c r="D28" s="39">
        <v>1315</v>
      </c>
      <c r="E28" s="39">
        <v>1069</v>
      </c>
      <c r="F28" s="39">
        <v>963</v>
      </c>
      <c r="G28" s="39">
        <v>1037</v>
      </c>
      <c r="H28" s="39">
        <v>872</v>
      </c>
      <c r="I28" s="39">
        <v>952</v>
      </c>
      <c r="J28" s="39">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296</v>
      </c>
      <c r="AE28" s="28">
        <v>596</v>
      </c>
      <c r="AF28">
        <v>3841</v>
      </c>
      <c r="AH28">
        <v>0</v>
      </c>
    </row>
    <row r="29" spans="1:34" hidden="1">
      <c r="A29" s="39" t="s">
        <v>451</v>
      </c>
      <c r="B29" s="39">
        <v>2643</v>
      </c>
      <c r="C29" s="39">
        <v>2194</v>
      </c>
      <c r="D29" s="39">
        <v>2460</v>
      </c>
      <c r="E29" s="39">
        <v>3131</v>
      </c>
      <c r="F29" s="39">
        <v>5169</v>
      </c>
      <c r="G29" s="39">
        <v>5311</v>
      </c>
      <c r="H29" s="39">
        <v>4351</v>
      </c>
      <c r="I29" s="39">
        <v>3748</v>
      </c>
      <c r="J29" s="39">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144</v>
      </c>
      <c r="AE29" s="28">
        <v>1681</v>
      </c>
      <c r="AF29">
        <v>7809</v>
      </c>
      <c r="AG29">
        <v>1626</v>
      </c>
      <c r="AH29">
        <v>6360</v>
      </c>
    </row>
    <row r="30" spans="1:34" hidden="1">
      <c r="A30" s="39" t="s">
        <v>581</v>
      </c>
      <c r="B30" s="39">
        <v>1291</v>
      </c>
      <c r="C30" s="39">
        <v>1246</v>
      </c>
      <c r="D30" s="39">
        <v>1323</v>
      </c>
      <c r="E30" s="39">
        <v>1384</v>
      </c>
      <c r="F30" s="39">
        <v>2896</v>
      </c>
      <c r="G30" s="39">
        <v>3091</v>
      </c>
      <c r="H30" s="39">
        <v>1801</v>
      </c>
      <c r="I30" s="39">
        <v>1312</v>
      </c>
      <c r="J30" s="39">
        <v>1316</v>
      </c>
      <c r="K30">
        <v>1231</v>
      </c>
      <c r="L30">
        <v>1033</v>
      </c>
      <c r="M30">
        <v>878</v>
      </c>
      <c r="N30">
        <v>1263</v>
      </c>
      <c r="O30">
        <v>128</v>
      </c>
      <c r="P30">
        <v>337</v>
      </c>
      <c r="Q30">
        <v>295</v>
      </c>
      <c r="R30">
        <v>320</v>
      </c>
      <c r="S30">
        <v>520</v>
      </c>
      <c r="T30">
        <v>495</v>
      </c>
      <c r="U30">
        <v>369</v>
      </c>
      <c r="V30">
        <v>309</v>
      </c>
      <c r="W30">
        <v>344</v>
      </c>
      <c r="X30">
        <v>306</v>
      </c>
      <c r="Y30">
        <v>274</v>
      </c>
      <c r="Z30">
        <v>224</v>
      </c>
      <c r="AA30">
        <v>343</v>
      </c>
      <c r="AD30" s="37" t="s">
        <v>607</v>
      </c>
      <c r="AE30" s="28">
        <v>1969</v>
      </c>
      <c r="AF30">
        <v>3186</v>
      </c>
      <c r="AG30">
        <v>1236</v>
      </c>
      <c r="AH30">
        <v>3337</v>
      </c>
    </row>
    <row r="31" spans="1:34" hidden="1">
      <c r="A31" s="39" t="s">
        <v>250</v>
      </c>
      <c r="B31" s="39">
        <v>1802</v>
      </c>
      <c r="C31" s="39">
        <v>2266</v>
      </c>
      <c r="D31" s="39">
        <v>2188</v>
      </c>
      <c r="E31" s="39">
        <v>2260</v>
      </c>
      <c r="F31" s="39">
        <v>1855</v>
      </c>
      <c r="G31" s="39">
        <v>1756</v>
      </c>
      <c r="H31" s="39">
        <v>1896</v>
      </c>
      <c r="I31" s="39">
        <v>1935</v>
      </c>
      <c r="J31" s="39">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7" t="s">
        <v>417</v>
      </c>
      <c r="AE31" s="28">
        <v>1923</v>
      </c>
      <c r="AF31">
        <v>7678</v>
      </c>
      <c r="AG31">
        <v>1586</v>
      </c>
      <c r="AH31">
        <v>6667</v>
      </c>
    </row>
    <row r="32" spans="1:34" hidden="1">
      <c r="A32" s="39" t="s">
        <v>312</v>
      </c>
      <c r="B32" s="39">
        <v>1697</v>
      </c>
      <c r="C32" s="39">
        <v>1662</v>
      </c>
      <c r="D32" s="39">
        <v>1362</v>
      </c>
      <c r="E32" s="39">
        <v>1046</v>
      </c>
      <c r="F32" s="39">
        <v>973</v>
      </c>
      <c r="G32" s="39">
        <v>1027</v>
      </c>
      <c r="H32" s="39">
        <v>1129</v>
      </c>
      <c r="I32" s="39">
        <v>893</v>
      </c>
      <c r="J32" s="39">
        <v>844</v>
      </c>
      <c r="K32">
        <v>759</v>
      </c>
      <c r="L32">
        <v>683</v>
      </c>
      <c r="M32">
        <v>552</v>
      </c>
      <c r="N32">
        <v>750</v>
      </c>
      <c r="O32">
        <v>377</v>
      </c>
      <c r="P32">
        <v>343</v>
      </c>
      <c r="Q32">
        <v>338</v>
      </c>
      <c r="R32">
        <v>274</v>
      </c>
      <c r="S32">
        <v>237</v>
      </c>
      <c r="T32">
        <v>236</v>
      </c>
      <c r="U32">
        <v>268</v>
      </c>
      <c r="V32">
        <v>203</v>
      </c>
      <c r="W32">
        <v>211</v>
      </c>
      <c r="X32">
        <v>204</v>
      </c>
      <c r="Y32">
        <v>192</v>
      </c>
      <c r="Z32">
        <v>164</v>
      </c>
      <c r="AA32">
        <v>204</v>
      </c>
      <c r="AD32" t="s">
        <v>272</v>
      </c>
      <c r="AE32" s="28">
        <v>1541</v>
      </c>
      <c r="AF32">
        <v>5675</v>
      </c>
      <c r="AG32">
        <v>1822</v>
      </c>
      <c r="AH32">
        <v>6730</v>
      </c>
    </row>
    <row r="33" spans="1:34" hidden="1">
      <c r="A33" s="39" t="s">
        <v>160</v>
      </c>
      <c r="B33" s="39">
        <v>2049</v>
      </c>
      <c r="C33" s="39">
        <v>2090</v>
      </c>
      <c r="D33" s="39">
        <v>1579</v>
      </c>
      <c r="E33" s="39">
        <v>1696</v>
      </c>
      <c r="F33" s="39">
        <v>1568</v>
      </c>
      <c r="G33" s="39">
        <v>1921</v>
      </c>
      <c r="H33" s="39">
        <v>1701</v>
      </c>
      <c r="I33" s="39">
        <v>1734</v>
      </c>
      <c r="J33" s="39">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523</v>
      </c>
      <c r="AE33" s="28">
        <v>2159</v>
      </c>
      <c r="AF33">
        <v>7520</v>
      </c>
      <c r="AG33">
        <v>2259</v>
      </c>
      <c r="AH33">
        <v>7860</v>
      </c>
    </row>
    <row r="34" spans="1:34" hidden="1">
      <c r="A34" s="39" t="s">
        <v>228</v>
      </c>
      <c r="B34" s="39">
        <v>0</v>
      </c>
      <c r="C34" s="39">
        <v>0</v>
      </c>
      <c r="D34" s="39">
        <v>0</v>
      </c>
      <c r="E34" s="39">
        <v>0</v>
      </c>
      <c r="F34" s="39">
        <v>0</v>
      </c>
      <c r="G34" s="39">
        <v>0</v>
      </c>
      <c r="H34" s="39">
        <v>0</v>
      </c>
      <c r="I34" s="39">
        <v>0</v>
      </c>
      <c r="J34" s="39">
        <v>825</v>
      </c>
      <c r="K34">
        <v>820</v>
      </c>
      <c r="L34">
        <v>1364</v>
      </c>
      <c r="M34">
        <v>677</v>
      </c>
      <c r="N34">
        <v>514</v>
      </c>
      <c r="O34">
        <v>0</v>
      </c>
      <c r="P34">
        <v>0</v>
      </c>
      <c r="Q34">
        <v>0</v>
      </c>
      <c r="R34">
        <v>0</v>
      </c>
      <c r="S34">
        <v>0</v>
      </c>
      <c r="T34">
        <v>0</v>
      </c>
      <c r="U34">
        <v>0</v>
      </c>
      <c r="V34">
        <v>0</v>
      </c>
      <c r="W34">
        <v>34</v>
      </c>
      <c r="X34">
        <v>202</v>
      </c>
      <c r="Y34">
        <v>493</v>
      </c>
      <c r="Z34">
        <v>45</v>
      </c>
      <c r="AA34">
        <v>141</v>
      </c>
      <c r="AD34" t="s">
        <v>104</v>
      </c>
      <c r="AE34" s="28">
        <v>1658</v>
      </c>
      <c r="AF34">
        <v>6313</v>
      </c>
      <c r="AG34">
        <v>1995</v>
      </c>
      <c r="AH34">
        <v>7785</v>
      </c>
    </row>
    <row r="35" spans="1:34" hidden="1">
      <c r="A35" s="39" t="s">
        <v>589</v>
      </c>
      <c r="B35" s="39">
        <v>1612</v>
      </c>
      <c r="C35" s="39">
        <v>1612</v>
      </c>
      <c r="D35" s="39">
        <v>1268</v>
      </c>
      <c r="E35" s="39">
        <v>1177</v>
      </c>
      <c r="F35" s="39">
        <v>1265</v>
      </c>
      <c r="G35" s="39">
        <v>1237</v>
      </c>
      <c r="H35" s="39">
        <v>1282</v>
      </c>
      <c r="I35" s="39">
        <v>1568</v>
      </c>
      <c r="J35" s="39">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509</v>
      </c>
      <c r="AE35" s="28">
        <v>1546</v>
      </c>
      <c r="AF35">
        <v>6817</v>
      </c>
      <c r="AH35">
        <v>0</v>
      </c>
    </row>
    <row r="36" spans="1:34" hidden="1">
      <c r="A36" s="39" t="s">
        <v>384</v>
      </c>
      <c r="B36" s="39">
        <v>1438</v>
      </c>
      <c r="C36" s="39">
        <v>1596</v>
      </c>
      <c r="D36" s="39">
        <v>1534</v>
      </c>
      <c r="E36" s="39">
        <v>1000</v>
      </c>
      <c r="F36" s="39">
        <v>813</v>
      </c>
      <c r="G36" s="39">
        <v>737</v>
      </c>
      <c r="H36" s="39">
        <v>772</v>
      </c>
      <c r="I36" s="39">
        <v>1128</v>
      </c>
      <c r="J36" s="39">
        <v>987</v>
      </c>
      <c r="K36">
        <v>807</v>
      </c>
      <c r="L36">
        <v>912</v>
      </c>
      <c r="M36">
        <v>972</v>
      </c>
      <c r="N36">
        <v>1050</v>
      </c>
      <c r="O36">
        <v>272</v>
      </c>
      <c r="P36">
        <v>327</v>
      </c>
      <c r="Q36">
        <v>237</v>
      </c>
      <c r="R36">
        <v>138</v>
      </c>
      <c r="S36">
        <v>119</v>
      </c>
      <c r="T36">
        <v>95</v>
      </c>
      <c r="U36">
        <v>111</v>
      </c>
      <c r="V36">
        <v>219</v>
      </c>
      <c r="W36">
        <v>156</v>
      </c>
      <c r="X36">
        <v>143</v>
      </c>
      <c r="Y36">
        <v>143</v>
      </c>
      <c r="Z36">
        <v>173</v>
      </c>
      <c r="AA36">
        <v>179</v>
      </c>
      <c r="AD36" t="s">
        <v>248</v>
      </c>
      <c r="AE36" s="28">
        <v>2684</v>
      </c>
      <c r="AF36">
        <v>10777</v>
      </c>
      <c r="AG36">
        <v>2343</v>
      </c>
      <c r="AH36">
        <v>9865</v>
      </c>
    </row>
    <row r="37" spans="1:34" hidden="1">
      <c r="A37" s="39" t="s">
        <v>750</v>
      </c>
      <c r="B37" s="39">
        <v>1173</v>
      </c>
      <c r="C37" s="39">
        <v>1416</v>
      </c>
      <c r="D37" s="39">
        <v>1415</v>
      </c>
      <c r="E37" s="39">
        <v>1937</v>
      </c>
      <c r="F37" s="39">
        <v>1513</v>
      </c>
      <c r="G37" s="39">
        <v>1190</v>
      </c>
      <c r="H37" s="39">
        <v>1096</v>
      </c>
      <c r="I37" s="39">
        <v>1043</v>
      </c>
      <c r="J37" s="39">
        <v>1008</v>
      </c>
      <c r="K37">
        <v>997</v>
      </c>
      <c r="L37">
        <v>831</v>
      </c>
      <c r="M37">
        <v>782</v>
      </c>
      <c r="N37">
        <v>1235</v>
      </c>
      <c r="O37">
        <v>508</v>
      </c>
      <c r="P37">
        <v>615</v>
      </c>
      <c r="Q37">
        <v>723</v>
      </c>
      <c r="R37">
        <v>929</v>
      </c>
      <c r="S37">
        <v>694</v>
      </c>
      <c r="T37">
        <v>571</v>
      </c>
      <c r="U37">
        <v>578</v>
      </c>
      <c r="V37">
        <v>556</v>
      </c>
      <c r="W37">
        <v>571</v>
      </c>
      <c r="X37">
        <v>519</v>
      </c>
      <c r="Y37">
        <v>487</v>
      </c>
      <c r="Z37">
        <v>443</v>
      </c>
      <c r="AA37">
        <v>672</v>
      </c>
      <c r="AD37" t="s">
        <v>30</v>
      </c>
      <c r="AE37" s="28">
        <v>4901</v>
      </c>
      <c r="AF37">
        <v>19375</v>
      </c>
      <c r="AG37">
        <v>5061</v>
      </c>
      <c r="AH37">
        <v>23565</v>
      </c>
    </row>
    <row r="38" spans="1:34" hidden="1">
      <c r="A38" s="39" t="s">
        <v>960</v>
      </c>
      <c r="B38" s="39">
        <v>520</v>
      </c>
      <c r="C38" s="39">
        <v>584</v>
      </c>
      <c r="D38" s="39">
        <v>493</v>
      </c>
      <c r="E38" s="39">
        <v>425</v>
      </c>
      <c r="F38" s="39">
        <v>379</v>
      </c>
      <c r="G38" s="39">
        <v>478</v>
      </c>
      <c r="H38" s="39">
        <v>501</v>
      </c>
      <c r="I38" s="39">
        <v>487</v>
      </c>
      <c r="J38" s="39">
        <v>540</v>
      </c>
      <c r="K38">
        <v>402</v>
      </c>
      <c r="L38">
        <v>381</v>
      </c>
      <c r="M38">
        <v>402</v>
      </c>
      <c r="N38">
        <v>534</v>
      </c>
      <c r="O38">
        <v>111</v>
      </c>
      <c r="P38">
        <v>166</v>
      </c>
      <c r="Q38">
        <v>127</v>
      </c>
      <c r="R38">
        <v>138</v>
      </c>
      <c r="S38">
        <v>137</v>
      </c>
      <c r="T38">
        <v>168</v>
      </c>
      <c r="U38">
        <v>208</v>
      </c>
      <c r="V38">
        <v>200</v>
      </c>
      <c r="W38">
        <v>198</v>
      </c>
      <c r="X38">
        <v>206</v>
      </c>
      <c r="Y38">
        <v>186</v>
      </c>
      <c r="Z38">
        <v>158</v>
      </c>
      <c r="AA38">
        <v>265</v>
      </c>
      <c r="AD38" t="s">
        <v>348</v>
      </c>
      <c r="AE38" s="28">
        <v>1150</v>
      </c>
      <c r="AF38">
        <v>3529</v>
      </c>
      <c r="AH38">
        <v>0</v>
      </c>
    </row>
    <row r="39" spans="1:34" hidden="1">
      <c r="A39" s="39" t="s">
        <v>697</v>
      </c>
      <c r="B39" s="39">
        <v>3440</v>
      </c>
      <c r="C39" s="39">
        <v>3745</v>
      </c>
      <c r="D39" s="39">
        <v>3270</v>
      </c>
      <c r="E39" s="39">
        <v>2648</v>
      </c>
      <c r="F39" s="39">
        <v>2103</v>
      </c>
      <c r="G39" s="39">
        <v>2343</v>
      </c>
      <c r="H39" s="39">
        <v>3264</v>
      </c>
      <c r="I39" s="39">
        <v>2287</v>
      </c>
      <c r="J39" s="39">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62</v>
      </c>
      <c r="AE39" s="28">
        <v>3490</v>
      </c>
      <c r="AF39">
        <v>18684</v>
      </c>
      <c r="AG39">
        <v>4073</v>
      </c>
      <c r="AH39">
        <v>21724</v>
      </c>
    </row>
    <row r="40" spans="1:34" hidden="1">
      <c r="A40" s="39" t="s">
        <v>860</v>
      </c>
      <c r="B40" s="39">
        <v>520</v>
      </c>
      <c r="C40" s="39">
        <v>405</v>
      </c>
      <c r="D40" s="39">
        <v>397</v>
      </c>
      <c r="E40" s="39">
        <v>425</v>
      </c>
      <c r="F40" s="39">
        <v>312</v>
      </c>
      <c r="G40" s="39">
        <v>227</v>
      </c>
      <c r="H40" s="39">
        <v>265</v>
      </c>
      <c r="I40" s="39">
        <v>201</v>
      </c>
      <c r="J40" s="39">
        <v>246</v>
      </c>
      <c r="K40">
        <v>185</v>
      </c>
      <c r="L40">
        <v>164</v>
      </c>
      <c r="M40">
        <v>187</v>
      </c>
      <c r="N40">
        <v>236</v>
      </c>
      <c r="O40">
        <v>196</v>
      </c>
      <c r="P40">
        <v>143</v>
      </c>
      <c r="Q40">
        <v>172</v>
      </c>
      <c r="R40">
        <v>176</v>
      </c>
      <c r="S40">
        <v>158</v>
      </c>
      <c r="T40">
        <v>116</v>
      </c>
      <c r="U40">
        <v>173</v>
      </c>
      <c r="V40">
        <v>144</v>
      </c>
      <c r="W40">
        <v>126</v>
      </c>
      <c r="X40">
        <v>125</v>
      </c>
      <c r="Y40">
        <v>104</v>
      </c>
      <c r="Z40">
        <v>90</v>
      </c>
      <c r="AA40">
        <v>143</v>
      </c>
      <c r="AD40" t="s">
        <v>152</v>
      </c>
      <c r="AE40" s="28">
        <v>973</v>
      </c>
      <c r="AF40">
        <v>4096</v>
      </c>
      <c r="AH40">
        <v>0</v>
      </c>
    </row>
    <row r="41" spans="1:34" hidden="1">
      <c r="A41" s="39" t="s">
        <v>128</v>
      </c>
      <c r="B41" s="39">
        <v>4037</v>
      </c>
      <c r="C41" s="39">
        <v>3903</v>
      </c>
      <c r="D41" s="39">
        <v>3419</v>
      </c>
      <c r="E41" s="39">
        <v>3701</v>
      </c>
      <c r="F41" s="39">
        <v>2603</v>
      </c>
      <c r="G41" s="39">
        <v>2448</v>
      </c>
      <c r="H41" s="39">
        <v>2013</v>
      </c>
      <c r="I41" s="39">
        <v>1537</v>
      </c>
      <c r="J41" s="39">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475</v>
      </c>
      <c r="AE41" s="28">
        <v>1611</v>
      </c>
      <c r="AF41">
        <v>4335</v>
      </c>
      <c r="AG41">
        <v>1357</v>
      </c>
      <c r="AH41">
        <v>2617</v>
      </c>
    </row>
    <row r="42" spans="1:34" hidden="1">
      <c r="A42" s="39" t="s">
        <v>760</v>
      </c>
      <c r="B42" s="39">
        <v>2406</v>
      </c>
      <c r="C42" s="39">
        <v>2851</v>
      </c>
      <c r="D42" s="39">
        <v>2786</v>
      </c>
      <c r="E42" s="39">
        <v>2649</v>
      </c>
      <c r="F42" s="39">
        <v>2343</v>
      </c>
      <c r="G42" s="39">
        <v>2072</v>
      </c>
      <c r="H42" s="39">
        <v>1866</v>
      </c>
      <c r="I42" s="39">
        <v>1847</v>
      </c>
      <c r="J42" s="39">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649</v>
      </c>
      <c r="AE42" s="28">
        <v>2321</v>
      </c>
      <c r="AF42">
        <v>21220</v>
      </c>
      <c r="AG42">
        <v>2515</v>
      </c>
      <c r="AH42">
        <v>18482</v>
      </c>
    </row>
    <row r="43" spans="1:34" hidden="1">
      <c r="A43" s="39" t="s">
        <v>864</v>
      </c>
      <c r="B43" s="39">
        <v>639</v>
      </c>
      <c r="C43" s="39">
        <v>656</v>
      </c>
      <c r="D43" s="39">
        <v>555</v>
      </c>
      <c r="E43" s="39">
        <v>594</v>
      </c>
      <c r="F43" s="39">
        <v>550</v>
      </c>
      <c r="G43" s="39">
        <v>465</v>
      </c>
      <c r="H43" s="39">
        <v>502</v>
      </c>
      <c r="I43" s="39">
        <v>452</v>
      </c>
      <c r="J43" s="39">
        <v>383</v>
      </c>
      <c r="K43">
        <v>524</v>
      </c>
      <c r="L43">
        <v>338</v>
      </c>
      <c r="M43">
        <v>450</v>
      </c>
      <c r="N43">
        <v>692</v>
      </c>
      <c r="O43">
        <v>169</v>
      </c>
      <c r="P43">
        <v>177</v>
      </c>
      <c r="Q43">
        <v>168</v>
      </c>
      <c r="R43">
        <v>156</v>
      </c>
      <c r="S43">
        <v>200</v>
      </c>
      <c r="T43">
        <v>169</v>
      </c>
      <c r="U43">
        <v>159</v>
      </c>
      <c r="V43">
        <v>145</v>
      </c>
      <c r="W43">
        <v>136</v>
      </c>
      <c r="X43">
        <v>167</v>
      </c>
      <c r="Y43">
        <v>115</v>
      </c>
      <c r="Z43">
        <v>138</v>
      </c>
      <c r="AA43">
        <v>208</v>
      </c>
      <c r="AD43" t="s">
        <v>106</v>
      </c>
      <c r="AE43" s="28">
        <v>2223</v>
      </c>
      <c r="AF43">
        <v>12395</v>
      </c>
      <c r="AG43">
        <v>2088</v>
      </c>
      <c r="AH43">
        <v>12498</v>
      </c>
    </row>
    <row r="44" spans="1:34" hidden="1">
      <c r="A44" s="39" t="s">
        <v>978</v>
      </c>
      <c r="B44" s="39">
        <v>775</v>
      </c>
      <c r="C44" s="39">
        <v>731</v>
      </c>
      <c r="D44" s="39">
        <v>667</v>
      </c>
      <c r="E44" s="39">
        <v>630</v>
      </c>
      <c r="F44" s="39">
        <v>391</v>
      </c>
      <c r="G44" s="39">
        <v>443</v>
      </c>
      <c r="H44" s="39">
        <v>465</v>
      </c>
      <c r="I44" s="39">
        <v>548</v>
      </c>
      <c r="J44" s="39">
        <v>560</v>
      </c>
      <c r="K44">
        <v>541</v>
      </c>
      <c r="L44">
        <v>589</v>
      </c>
      <c r="M44">
        <v>603</v>
      </c>
      <c r="N44">
        <v>566</v>
      </c>
      <c r="O44">
        <v>225</v>
      </c>
      <c r="P44">
        <v>224</v>
      </c>
      <c r="Q44">
        <v>209</v>
      </c>
      <c r="R44">
        <v>214</v>
      </c>
      <c r="S44">
        <v>176</v>
      </c>
      <c r="T44">
        <v>185</v>
      </c>
      <c r="U44">
        <v>200</v>
      </c>
      <c r="V44">
        <v>235</v>
      </c>
      <c r="W44">
        <v>241</v>
      </c>
      <c r="X44">
        <v>223</v>
      </c>
      <c r="Y44">
        <v>285</v>
      </c>
      <c r="Z44">
        <v>224</v>
      </c>
      <c r="AA44">
        <v>287</v>
      </c>
      <c r="AD44" t="s">
        <v>352</v>
      </c>
      <c r="AE44" s="28">
        <v>741</v>
      </c>
      <c r="AF44">
        <v>2337</v>
      </c>
      <c r="AG44">
        <v>580</v>
      </c>
      <c r="AH44">
        <v>1736</v>
      </c>
    </row>
    <row r="45" spans="1:34" hidden="1">
      <c r="A45" s="39" t="s">
        <v>733</v>
      </c>
      <c r="B45" s="39">
        <v>4597</v>
      </c>
      <c r="C45" s="39">
        <v>4821</v>
      </c>
      <c r="D45" s="39">
        <v>4592</v>
      </c>
      <c r="E45" s="39">
        <v>4863</v>
      </c>
      <c r="F45" s="39">
        <v>4459</v>
      </c>
      <c r="G45" s="39">
        <v>3738</v>
      </c>
      <c r="H45" s="39">
        <v>3250</v>
      </c>
      <c r="I45" s="39">
        <v>2725</v>
      </c>
      <c r="J45" s="39">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242</v>
      </c>
      <c r="AE45" s="28">
        <v>1931</v>
      </c>
      <c r="AF45">
        <v>6561</v>
      </c>
      <c r="AG45">
        <v>890</v>
      </c>
      <c r="AH45">
        <v>2945</v>
      </c>
    </row>
    <row r="46" spans="1:34" hidden="1">
      <c r="A46" s="39" t="s">
        <v>826</v>
      </c>
      <c r="B46" s="39">
        <v>1517</v>
      </c>
      <c r="C46" s="39">
        <v>1163</v>
      </c>
      <c r="D46" s="39">
        <v>772</v>
      </c>
      <c r="E46" s="39">
        <v>568</v>
      </c>
      <c r="F46" s="39">
        <v>433</v>
      </c>
      <c r="G46" s="39">
        <v>366</v>
      </c>
      <c r="H46" s="39">
        <v>467</v>
      </c>
      <c r="I46" s="39">
        <v>512</v>
      </c>
      <c r="J46" s="39">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386</v>
      </c>
      <c r="AE46" s="28">
        <v>1390</v>
      </c>
      <c r="AF46">
        <v>8504</v>
      </c>
      <c r="AH46">
        <v>0</v>
      </c>
    </row>
    <row r="47" spans="1:34" hidden="1">
      <c r="A47" s="39" t="s">
        <v>575</v>
      </c>
      <c r="B47" s="39">
        <v>2202</v>
      </c>
      <c r="C47" s="39">
        <v>2261</v>
      </c>
      <c r="D47" s="39">
        <v>2587</v>
      </c>
      <c r="E47" s="39">
        <v>1966</v>
      </c>
      <c r="F47" s="39">
        <v>1833</v>
      </c>
      <c r="G47" s="39">
        <v>1661</v>
      </c>
      <c r="H47" s="39">
        <v>1989</v>
      </c>
      <c r="I47" s="39">
        <v>2059</v>
      </c>
      <c r="J47" s="39">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7" t="s">
        <v>493</v>
      </c>
      <c r="AE47" s="28">
        <v>940</v>
      </c>
      <c r="AF47">
        <v>3810</v>
      </c>
      <c r="AG47">
        <v>1019</v>
      </c>
      <c r="AH47">
        <v>5786</v>
      </c>
    </row>
    <row r="48" spans="1:34" hidden="1">
      <c r="A48" s="39" t="s">
        <v>427</v>
      </c>
      <c r="B48" s="39">
        <v>1165</v>
      </c>
      <c r="C48" s="39">
        <v>1108</v>
      </c>
      <c r="D48" s="39">
        <v>2964</v>
      </c>
      <c r="E48" s="39">
        <v>8</v>
      </c>
      <c r="F48" s="39">
        <v>0</v>
      </c>
      <c r="G48" s="39">
        <v>626</v>
      </c>
      <c r="H48" s="39">
        <v>1040</v>
      </c>
      <c r="I48" s="39">
        <v>1161</v>
      </c>
      <c r="J48" s="39">
        <v>1011</v>
      </c>
      <c r="K48">
        <v>943</v>
      </c>
      <c r="L48">
        <v>618</v>
      </c>
      <c r="M48">
        <v>631</v>
      </c>
      <c r="N48">
        <v>782</v>
      </c>
      <c r="O48">
        <v>202</v>
      </c>
      <c r="P48">
        <v>180</v>
      </c>
      <c r="Q48">
        <v>610</v>
      </c>
      <c r="R48">
        <v>1</v>
      </c>
      <c r="S48">
        <v>0</v>
      </c>
      <c r="T48">
        <v>85</v>
      </c>
      <c r="U48">
        <v>240</v>
      </c>
      <c r="V48">
        <v>226</v>
      </c>
      <c r="W48">
        <v>214</v>
      </c>
      <c r="X48">
        <v>176</v>
      </c>
      <c r="Y48">
        <v>105</v>
      </c>
      <c r="Z48">
        <v>149</v>
      </c>
      <c r="AA48">
        <v>156</v>
      </c>
      <c r="AD48" t="s">
        <v>605</v>
      </c>
      <c r="AE48" s="28">
        <v>3488</v>
      </c>
      <c r="AF48">
        <v>16265</v>
      </c>
      <c r="AH48">
        <v>0</v>
      </c>
    </row>
    <row r="49" spans="1:34" hidden="1">
      <c r="A49" s="39" t="s">
        <v>993</v>
      </c>
      <c r="B49" s="39">
        <v>789</v>
      </c>
      <c r="C49" s="39">
        <v>638</v>
      </c>
      <c r="D49" s="39">
        <v>560</v>
      </c>
      <c r="E49" s="39">
        <v>595</v>
      </c>
      <c r="F49" s="39">
        <v>668</v>
      </c>
      <c r="G49" s="39">
        <v>611</v>
      </c>
      <c r="H49" s="39">
        <v>761</v>
      </c>
      <c r="I49" s="39">
        <v>780</v>
      </c>
      <c r="J49" s="39">
        <v>653</v>
      </c>
      <c r="K49">
        <v>783</v>
      </c>
      <c r="L49">
        <v>937</v>
      </c>
      <c r="M49">
        <v>780</v>
      </c>
      <c r="N49">
        <v>968</v>
      </c>
      <c r="O49">
        <v>275</v>
      </c>
      <c r="P49">
        <v>276</v>
      </c>
      <c r="Q49">
        <v>276</v>
      </c>
      <c r="R49">
        <v>278</v>
      </c>
      <c r="S49">
        <v>308</v>
      </c>
      <c r="T49">
        <v>290</v>
      </c>
      <c r="U49">
        <v>378</v>
      </c>
      <c r="V49">
        <v>367</v>
      </c>
      <c r="W49">
        <v>315</v>
      </c>
      <c r="X49">
        <v>403</v>
      </c>
      <c r="Y49">
        <v>498</v>
      </c>
      <c r="Z49">
        <v>410</v>
      </c>
      <c r="AA49">
        <v>531</v>
      </c>
      <c r="AD49" t="s">
        <v>166</v>
      </c>
      <c r="AE49" s="28">
        <v>5377</v>
      </c>
      <c r="AF49">
        <v>25769</v>
      </c>
      <c r="AG49">
        <v>5780</v>
      </c>
      <c r="AH49">
        <v>29652</v>
      </c>
    </row>
    <row r="50" spans="1:34" hidden="1">
      <c r="A50" s="39" t="s">
        <v>805</v>
      </c>
      <c r="B50" s="39">
        <v>598</v>
      </c>
      <c r="C50" s="39">
        <v>376</v>
      </c>
      <c r="D50" s="39">
        <v>314</v>
      </c>
      <c r="E50" s="39">
        <v>285</v>
      </c>
      <c r="F50" s="39">
        <v>298</v>
      </c>
      <c r="G50" s="39">
        <v>282</v>
      </c>
      <c r="H50" s="39">
        <v>327</v>
      </c>
      <c r="I50" s="39">
        <v>376</v>
      </c>
      <c r="J50" s="39">
        <v>344</v>
      </c>
      <c r="K50">
        <v>251</v>
      </c>
      <c r="L50">
        <v>288</v>
      </c>
      <c r="M50">
        <v>269</v>
      </c>
      <c r="N50">
        <v>411</v>
      </c>
      <c r="O50">
        <v>210</v>
      </c>
      <c r="P50">
        <v>147</v>
      </c>
      <c r="Q50">
        <v>148</v>
      </c>
      <c r="R50">
        <v>123</v>
      </c>
      <c r="S50">
        <v>135</v>
      </c>
      <c r="T50">
        <v>114</v>
      </c>
      <c r="U50">
        <v>137</v>
      </c>
      <c r="V50">
        <v>182</v>
      </c>
      <c r="W50">
        <v>167</v>
      </c>
      <c r="X50">
        <v>139</v>
      </c>
      <c r="Y50">
        <v>132</v>
      </c>
      <c r="Z50">
        <v>114</v>
      </c>
      <c r="AA50">
        <v>159</v>
      </c>
      <c r="AD50" t="s">
        <v>471</v>
      </c>
      <c r="AE50" s="28">
        <v>633</v>
      </c>
      <c r="AF50">
        <v>2757</v>
      </c>
      <c r="AH50">
        <v>0</v>
      </c>
    </row>
    <row r="51" spans="1:34" hidden="1">
      <c r="A51" s="39" t="s">
        <v>80</v>
      </c>
      <c r="B51" s="39">
        <v>3107</v>
      </c>
      <c r="C51" s="39">
        <v>2997</v>
      </c>
      <c r="D51" s="39">
        <v>6966</v>
      </c>
      <c r="E51" s="39">
        <v>2340</v>
      </c>
      <c r="F51" s="39">
        <v>1935</v>
      </c>
      <c r="G51" s="39">
        <v>2093</v>
      </c>
      <c r="H51" s="39">
        <v>1135</v>
      </c>
      <c r="I51" s="39">
        <v>2075</v>
      </c>
      <c r="J51" s="39">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192</v>
      </c>
      <c r="AE51" s="28">
        <v>1412</v>
      </c>
      <c r="AF51">
        <v>5438</v>
      </c>
      <c r="AG51">
        <v>1615</v>
      </c>
      <c r="AH51">
        <v>5779</v>
      </c>
    </row>
    <row r="52" spans="1:34" hidden="1">
      <c r="A52" s="39" t="s">
        <v>316</v>
      </c>
      <c r="B52" s="39">
        <v>1714</v>
      </c>
      <c r="C52" s="39">
        <v>1951</v>
      </c>
      <c r="D52" s="39">
        <v>1431</v>
      </c>
      <c r="E52" s="39">
        <v>1568</v>
      </c>
      <c r="F52" s="39">
        <v>1278</v>
      </c>
      <c r="G52" s="39">
        <v>880</v>
      </c>
      <c r="H52" s="39">
        <v>971</v>
      </c>
      <c r="I52" s="39">
        <v>712</v>
      </c>
      <c r="J52" s="39">
        <v>1022</v>
      </c>
      <c r="K52">
        <v>904</v>
      </c>
      <c r="L52">
        <v>845</v>
      </c>
      <c r="M52">
        <v>764</v>
      </c>
      <c r="N52">
        <v>962</v>
      </c>
      <c r="O52">
        <v>290</v>
      </c>
      <c r="P52">
        <v>329</v>
      </c>
      <c r="Q52">
        <v>287</v>
      </c>
      <c r="R52">
        <v>267</v>
      </c>
      <c r="S52">
        <v>216</v>
      </c>
      <c r="T52">
        <v>192</v>
      </c>
      <c r="U52">
        <v>240</v>
      </c>
      <c r="V52">
        <v>217</v>
      </c>
      <c r="W52">
        <v>204</v>
      </c>
      <c r="X52">
        <v>234</v>
      </c>
      <c r="Y52">
        <v>239</v>
      </c>
      <c r="Z52">
        <v>213</v>
      </c>
      <c r="AA52">
        <v>274</v>
      </c>
      <c r="AD52" t="s">
        <v>336</v>
      </c>
      <c r="AE52" s="28">
        <v>829</v>
      </c>
      <c r="AF52">
        <v>3547</v>
      </c>
      <c r="AH52">
        <v>0</v>
      </c>
    </row>
    <row r="53" spans="1:34" hidden="1">
      <c r="A53" s="39" t="s">
        <v>192</v>
      </c>
      <c r="B53" s="39">
        <v>0</v>
      </c>
      <c r="C53" s="39">
        <v>0</v>
      </c>
      <c r="D53" s="39">
        <v>0</v>
      </c>
      <c r="E53" s="39">
        <v>0</v>
      </c>
      <c r="F53" s="39">
        <v>1346</v>
      </c>
      <c r="G53" s="39">
        <v>1294</v>
      </c>
      <c r="H53" s="39">
        <v>1208</v>
      </c>
      <c r="I53" s="39">
        <v>1210</v>
      </c>
      <c r="J53" s="39">
        <v>1161</v>
      </c>
      <c r="K53">
        <v>1136</v>
      </c>
      <c r="L53">
        <v>1060</v>
      </c>
      <c r="M53">
        <v>912</v>
      </c>
      <c r="N53">
        <v>1478</v>
      </c>
      <c r="O53">
        <v>0</v>
      </c>
      <c r="P53">
        <v>0</v>
      </c>
      <c r="Q53">
        <v>0</v>
      </c>
      <c r="R53">
        <v>0</v>
      </c>
      <c r="S53">
        <v>389</v>
      </c>
      <c r="T53">
        <v>384</v>
      </c>
      <c r="U53">
        <v>323</v>
      </c>
      <c r="V53">
        <v>350</v>
      </c>
      <c r="W53">
        <v>336</v>
      </c>
      <c r="X53">
        <v>331</v>
      </c>
      <c r="Y53">
        <v>309</v>
      </c>
      <c r="Z53">
        <v>267</v>
      </c>
      <c r="AA53">
        <v>409</v>
      </c>
      <c r="AD53" t="s">
        <v>28</v>
      </c>
      <c r="AE53" s="28">
        <v>3176</v>
      </c>
      <c r="AF53">
        <v>14241</v>
      </c>
      <c r="AG53">
        <v>2909</v>
      </c>
      <c r="AH53">
        <v>12706</v>
      </c>
    </row>
    <row r="54" spans="1:34" hidden="1">
      <c r="A54" s="39" t="s">
        <v>421</v>
      </c>
      <c r="B54" s="39">
        <v>1713</v>
      </c>
      <c r="C54" s="39">
        <v>2945</v>
      </c>
      <c r="D54" s="39">
        <v>4035</v>
      </c>
      <c r="E54" s="39">
        <v>1162</v>
      </c>
      <c r="F54" s="39">
        <v>888</v>
      </c>
      <c r="G54" s="39">
        <v>964</v>
      </c>
      <c r="H54" s="39">
        <v>928</v>
      </c>
      <c r="I54" s="39">
        <v>975</v>
      </c>
      <c r="J54" s="39">
        <v>957</v>
      </c>
      <c r="K54">
        <v>893</v>
      </c>
      <c r="L54">
        <v>838</v>
      </c>
      <c r="M54">
        <v>850</v>
      </c>
      <c r="N54">
        <v>1169</v>
      </c>
      <c r="O54">
        <v>321</v>
      </c>
      <c r="P54">
        <v>480</v>
      </c>
      <c r="Q54">
        <v>520</v>
      </c>
      <c r="R54">
        <v>342</v>
      </c>
      <c r="S54">
        <v>289</v>
      </c>
      <c r="T54">
        <v>244</v>
      </c>
      <c r="U54">
        <v>235</v>
      </c>
      <c r="V54">
        <v>308</v>
      </c>
      <c r="W54">
        <v>285</v>
      </c>
      <c r="X54">
        <v>268</v>
      </c>
      <c r="Y54">
        <v>233</v>
      </c>
      <c r="Z54">
        <v>263</v>
      </c>
      <c r="AA54">
        <v>365</v>
      </c>
      <c r="AD54" t="s">
        <v>176</v>
      </c>
      <c r="AE54" s="28">
        <v>775</v>
      </c>
      <c r="AF54">
        <v>3944</v>
      </c>
      <c r="AH54">
        <v>0</v>
      </c>
    </row>
    <row r="55" spans="1:34" hidden="1">
      <c r="A55" s="39" t="s">
        <v>1375</v>
      </c>
      <c r="B55" s="39">
        <v>0</v>
      </c>
      <c r="C55" s="39">
        <v>0</v>
      </c>
      <c r="D55" s="39">
        <v>0</v>
      </c>
      <c r="E55" s="39">
        <v>0</v>
      </c>
      <c r="F55" s="39">
        <v>0</v>
      </c>
      <c r="G55" s="39">
        <v>0</v>
      </c>
      <c r="H55" s="39">
        <v>0</v>
      </c>
      <c r="I55" s="39">
        <v>0</v>
      </c>
      <c r="J55" s="39">
        <v>0</v>
      </c>
      <c r="K55">
        <v>692</v>
      </c>
      <c r="L55">
        <v>130</v>
      </c>
      <c r="M55">
        <v>487</v>
      </c>
      <c r="N55">
        <v>78</v>
      </c>
      <c r="O55">
        <v>0</v>
      </c>
      <c r="P55">
        <v>0</v>
      </c>
      <c r="Q55">
        <v>0</v>
      </c>
      <c r="R55">
        <v>0</v>
      </c>
      <c r="S55">
        <v>0</v>
      </c>
      <c r="T55">
        <v>0</v>
      </c>
      <c r="U55">
        <v>0</v>
      </c>
      <c r="V55">
        <v>0</v>
      </c>
      <c r="W55">
        <v>0</v>
      </c>
      <c r="X55">
        <v>2</v>
      </c>
      <c r="Y55">
        <v>27</v>
      </c>
      <c r="Z55">
        <v>45</v>
      </c>
      <c r="AA55">
        <v>1</v>
      </c>
      <c r="AD55" t="s">
        <v>411</v>
      </c>
      <c r="AE55" s="28">
        <v>652</v>
      </c>
      <c r="AF55">
        <v>4042</v>
      </c>
      <c r="AG55">
        <v>684</v>
      </c>
      <c r="AH55">
        <v>4399</v>
      </c>
    </row>
    <row r="56" spans="1:34" hidden="1">
      <c r="A56" s="39" t="s">
        <v>809</v>
      </c>
      <c r="B56" s="39">
        <v>705</v>
      </c>
      <c r="C56" s="39">
        <v>778</v>
      </c>
      <c r="D56" s="39">
        <v>1098</v>
      </c>
      <c r="E56" s="39">
        <v>862</v>
      </c>
      <c r="F56" s="39">
        <v>999</v>
      </c>
      <c r="G56" s="39">
        <v>968</v>
      </c>
      <c r="H56" s="39">
        <v>794</v>
      </c>
      <c r="I56" s="39">
        <v>740</v>
      </c>
      <c r="J56" s="39">
        <v>644</v>
      </c>
      <c r="K56">
        <v>526</v>
      </c>
      <c r="L56">
        <v>629</v>
      </c>
      <c r="M56">
        <v>505</v>
      </c>
      <c r="N56">
        <v>505</v>
      </c>
      <c r="O56">
        <v>218</v>
      </c>
      <c r="P56">
        <v>267</v>
      </c>
      <c r="Q56">
        <v>238</v>
      </c>
      <c r="R56">
        <v>239</v>
      </c>
      <c r="S56">
        <v>315</v>
      </c>
      <c r="T56">
        <v>281</v>
      </c>
      <c r="U56">
        <v>270</v>
      </c>
      <c r="V56">
        <v>279</v>
      </c>
      <c r="W56">
        <v>243</v>
      </c>
      <c r="X56">
        <v>213</v>
      </c>
      <c r="Y56">
        <v>273</v>
      </c>
      <c r="Z56">
        <v>212</v>
      </c>
      <c r="AA56">
        <v>257</v>
      </c>
      <c r="AD56" t="s">
        <v>22</v>
      </c>
      <c r="AE56" s="28">
        <v>7423</v>
      </c>
      <c r="AF56">
        <v>30685</v>
      </c>
      <c r="AG56">
        <v>9541</v>
      </c>
      <c r="AH56">
        <v>38305</v>
      </c>
    </row>
    <row r="57" spans="1:34" hidden="1">
      <c r="A57" s="39" t="s">
        <v>752</v>
      </c>
      <c r="B57" s="39">
        <v>1649</v>
      </c>
      <c r="C57" s="39">
        <v>812</v>
      </c>
      <c r="D57" s="39">
        <v>0</v>
      </c>
      <c r="E57" s="39">
        <v>2488</v>
      </c>
      <c r="F57" s="39">
        <v>1265</v>
      </c>
      <c r="G57" s="39">
        <v>1119</v>
      </c>
      <c r="H57" s="39">
        <v>1033</v>
      </c>
      <c r="I57" s="39">
        <v>1417</v>
      </c>
      <c r="J57" s="39">
        <v>1890</v>
      </c>
      <c r="K57">
        <v>1181</v>
      </c>
      <c r="L57">
        <v>1588</v>
      </c>
      <c r="M57">
        <v>1385</v>
      </c>
      <c r="N57">
        <v>2365</v>
      </c>
      <c r="O57">
        <v>272</v>
      </c>
      <c r="P57">
        <v>58</v>
      </c>
      <c r="Q57">
        <v>0</v>
      </c>
      <c r="R57">
        <v>136</v>
      </c>
      <c r="S57">
        <v>69</v>
      </c>
      <c r="T57">
        <v>121</v>
      </c>
      <c r="U57">
        <v>601</v>
      </c>
      <c r="V57">
        <v>357</v>
      </c>
      <c r="W57">
        <v>927</v>
      </c>
      <c r="X57">
        <v>405</v>
      </c>
      <c r="Y57">
        <v>941</v>
      </c>
      <c r="Z57">
        <v>778</v>
      </c>
      <c r="AA57">
        <v>1179</v>
      </c>
      <c r="AD57" t="s">
        <v>409</v>
      </c>
      <c r="AE57" s="28">
        <v>1327</v>
      </c>
      <c r="AF57">
        <v>11643</v>
      </c>
      <c r="AG57">
        <v>1380</v>
      </c>
      <c r="AH57">
        <v>10923</v>
      </c>
    </row>
    <row r="58" spans="1:34" hidden="1">
      <c r="A58" s="39" t="s">
        <v>999</v>
      </c>
      <c r="B58" s="39">
        <v>600</v>
      </c>
      <c r="C58" s="39">
        <v>710</v>
      </c>
      <c r="D58" s="39">
        <v>611</v>
      </c>
      <c r="E58" s="39">
        <v>504</v>
      </c>
      <c r="F58" s="39">
        <v>427</v>
      </c>
      <c r="G58" s="39">
        <v>647</v>
      </c>
      <c r="H58" s="39">
        <v>517</v>
      </c>
      <c r="I58" s="39">
        <v>693</v>
      </c>
      <c r="J58" s="39">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288</v>
      </c>
      <c r="AE58" s="28">
        <v>932</v>
      </c>
      <c r="AF58">
        <v>4545</v>
      </c>
      <c r="AH58">
        <v>0</v>
      </c>
    </row>
    <row r="59" spans="1:34" hidden="1">
      <c r="A59" s="39" t="s">
        <v>164</v>
      </c>
      <c r="B59" s="39">
        <v>6904</v>
      </c>
      <c r="C59" s="39">
        <v>6392</v>
      </c>
      <c r="D59" s="39">
        <v>5424</v>
      </c>
      <c r="E59" s="39">
        <v>5782</v>
      </c>
      <c r="F59" s="39">
        <v>5396</v>
      </c>
      <c r="G59" s="39">
        <v>5490</v>
      </c>
      <c r="H59" s="39">
        <v>4963</v>
      </c>
      <c r="I59" s="39">
        <v>6007</v>
      </c>
      <c r="J59" s="39">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238</v>
      </c>
      <c r="AE59" s="28">
        <v>1214</v>
      </c>
      <c r="AF59">
        <v>4168</v>
      </c>
      <c r="AH59">
        <v>0</v>
      </c>
    </row>
    <row r="60" spans="1:34" hidden="1">
      <c r="A60" s="39" t="s">
        <v>1003</v>
      </c>
      <c r="B60" s="39">
        <v>1711</v>
      </c>
      <c r="C60" s="39">
        <v>1416</v>
      </c>
      <c r="D60" s="39">
        <v>900</v>
      </c>
      <c r="E60" s="39">
        <v>932</v>
      </c>
      <c r="F60" s="39">
        <v>700</v>
      </c>
      <c r="G60" s="39">
        <v>565</v>
      </c>
      <c r="H60" s="39">
        <v>1216</v>
      </c>
      <c r="I60" s="39">
        <v>1004</v>
      </c>
      <c r="J60" s="39">
        <v>972</v>
      </c>
      <c r="K60">
        <v>613</v>
      </c>
      <c r="L60">
        <v>602</v>
      </c>
      <c r="M60">
        <v>649</v>
      </c>
      <c r="N60">
        <v>1002</v>
      </c>
      <c r="O60">
        <v>621</v>
      </c>
      <c r="P60">
        <v>579</v>
      </c>
      <c r="Q60">
        <v>398</v>
      </c>
      <c r="R60">
        <v>453</v>
      </c>
      <c r="S60">
        <v>393</v>
      </c>
      <c r="T60">
        <v>319</v>
      </c>
      <c r="U60">
        <v>885</v>
      </c>
      <c r="V60">
        <v>469</v>
      </c>
      <c r="W60">
        <v>437</v>
      </c>
      <c r="X60">
        <v>346</v>
      </c>
      <c r="Y60">
        <v>294</v>
      </c>
      <c r="Z60">
        <v>315</v>
      </c>
      <c r="AA60">
        <v>432</v>
      </c>
      <c r="AD60" t="s">
        <v>497</v>
      </c>
      <c r="AE60" s="28">
        <v>1982</v>
      </c>
      <c r="AF60">
        <v>4535</v>
      </c>
      <c r="AG60">
        <v>1664</v>
      </c>
      <c r="AH60">
        <v>3195</v>
      </c>
    </row>
    <row r="61" spans="1:34" hidden="1">
      <c r="A61" s="39" t="s">
        <v>1015</v>
      </c>
      <c r="B61" s="39">
        <v>2915</v>
      </c>
      <c r="C61" s="39">
        <v>1681</v>
      </c>
      <c r="D61" s="39">
        <v>1501</v>
      </c>
      <c r="E61" s="39">
        <v>1123</v>
      </c>
      <c r="F61" s="39">
        <v>1016</v>
      </c>
      <c r="G61" s="39">
        <v>1109</v>
      </c>
      <c r="H61" s="39">
        <v>1044</v>
      </c>
      <c r="I61" s="39">
        <v>1063</v>
      </c>
      <c r="J61" s="39">
        <v>1121</v>
      </c>
      <c r="K61">
        <v>969</v>
      </c>
      <c r="L61">
        <v>941</v>
      </c>
      <c r="M61">
        <v>776</v>
      </c>
      <c r="N61">
        <v>1013</v>
      </c>
      <c r="O61">
        <v>711</v>
      </c>
      <c r="P61">
        <v>395</v>
      </c>
      <c r="Q61">
        <v>379</v>
      </c>
      <c r="R61">
        <v>335</v>
      </c>
      <c r="S61">
        <v>335</v>
      </c>
      <c r="T61">
        <v>385</v>
      </c>
      <c r="U61">
        <v>318</v>
      </c>
      <c r="V61">
        <v>379</v>
      </c>
      <c r="W61">
        <v>354</v>
      </c>
      <c r="X61">
        <v>342</v>
      </c>
      <c r="Y61">
        <v>353</v>
      </c>
      <c r="Z61">
        <v>276</v>
      </c>
      <c r="AA61">
        <v>385</v>
      </c>
      <c r="AD61" s="27" t="s">
        <v>302</v>
      </c>
      <c r="AE61" s="28">
        <v>1254</v>
      </c>
      <c r="AF61">
        <v>8932</v>
      </c>
      <c r="AG61">
        <v>767</v>
      </c>
      <c r="AH61">
        <v>5607</v>
      </c>
    </row>
    <row r="62" spans="1:34" hidden="1">
      <c r="A62" s="39" t="s">
        <v>136</v>
      </c>
      <c r="B62" s="39">
        <v>2151</v>
      </c>
      <c r="C62" s="39">
        <v>2594</v>
      </c>
      <c r="D62" s="39">
        <v>6699</v>
      </c>
      <c r="E62" s="39">
        <v>2080</v>
      </c>
      <c r="F62" s="39">
        <v>2415</v>
      </c>
      <c r="G62" s="39">
        <v>2029</v>
      </c>
      <c r="H62" s="39">
        <v>2033</v>
      </c>
      <c r="I62" s="39">
        <v>2191</v>
      </c>
      <c r="J62" s="39">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431</v>
      </c>
      <c r="AE62" s="28">
        <v>971</v>
      </c>
      <c r="AF62">
        <v>5979</v>
      </c>
      <c r="AG62">
        <v>844</v>
      </c>
      <c r="AH62">
        <v>5430</v>
      </c>
    </row>
    <row r="63" spans="1:34" hidden="1">
      <c r="A63" s="39" t="s">
        <v>290</v>
      </c>
      <c r="B63" s="39">
        <v>1075</v>
      </c>
      <c r="C63" s="39">
        <v>1310</v>
      </c>
      <c r="D63" s="39">
        <v>1452</v>
      </c>
      <c r="E63" s="39">
        <v>1196</v>
      </c>
      <c r="F63" s="39">
        <v>1309</v>
      </c>
      <c r="G63" s="39">
        <v>912</v>
      </c>
      <c r="H63" s="39">
        <v>937</v>
      </c>
      <c r="I63" s="39">
        <v>918</v>
      </c>
      <c r="J63" s="39">
        <v>765</v>
      </c>
      <c r="K63">
        <v>547</v>
      </c>
      <c r="L63">
        <v>687</v>
      </c>
      <c r="M63">
        <v>727</v>
      </c>
      <c r="N63">
        <v>1318</v>
      </c>
      <c r="O63">
        <v>183</v>
      </c>
      <c r="P63">
        <v>235</v>
      </c>
      <c r="Q63">
        <v>261</v>
      </c>
      <c r="R63">
        <v>189</v>
      </c>
      <c r="S63">
        <v>244</v>
      </c>
      <c r="T63">
        <v>198</v>
      </c>
      <c r="U63">
        <v>167</v>
      </c>
      <c r="V63">
        <v>205</v>
      </c>
      <c r="W63">
        <v>149</v>
      </c>
      <c r="X63">
        <v>119</v>
      </c>
      <c r="Y63">
        <v>124</v>
      </c>
      <c r="Z63">
        <v>169</v>
      </c>
      <c r="AA63">
        <v>206</v>
      </c>
      <c r="AD63" t="s">
        <v>585</v>
      </c>
      <c r="AE63" s="28">
        <v>3925</v>
      </c>
      <c r="AF63">
        <v>15541</v>
      </c>
      <c r="AG63">
        <v>3954</v>
      </c>
      <c r="AH63">
        <v>14023</v>
      </c>
    </row>
    <row r="64" spans="1:34" hidden="1">
      <c r="A64" s="39" t="s">
        <v>260</v>
      </c>
      <c r="B64" s="39">
        <v>1071</v>
      </c>
      <c r="C64" s="39">
        <v>1232</v>
      </c>
      <c r="D64" s="39">
        <v>1079</v>
      </c>
      <c r="E64" s="39">
        <v>1252</v>
      </c>
      <c r="F64" s="39">
        <v>968</v>
      </c>
      <c r="G64" s="39">
        <v>924</v>
      </c>
      <c r="H64" s="39">
        <v>867</v>
      </c>
      <c r="I64" s="39">
        <v>710</v>
      </c>
      <c r="J64" s="39">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372</v>
      </c>
      <c r="AE64" s="28">
        <v>470</v>
      </c>
      <c r="AF64">
        <v>1786</v>
      </c>
      <c r="AH64">
        <v>0</v>
      </c>
    </row>
    <row r="65" spans="1:34" hidden="1">
      <c r="A65" s="39" t="s">
        <v>591</v>
      </c>
      <c r="B65" s="39">
        <v>4762</v>
      </c>
      <c r="C65" s="39">
        <v>5839</v>
      </c>
      <c r="D65" s="39">
        <v>5526</v>
      </c>
      <c r="E65" s="39">
        <v>12099</v>
      </c>
      <c r="F65" s="39">
        <v>5977</v>
      </c>
      <c r="G65" s="39">
        <v>9576</v>
      </c>
      <c r="H65" s="39">
        <v>13936</v>
      </c>
      <c r="I65" s="39">
        <v>8649</v>
      </c>
      <c r="J65" s="39">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358</v>
      </c>
      <c r="AE65" s="28">
        <v>2026</v>
      </c>
      <c r="AF65">
        <v>10626</v>
      </c>
      <c r="AG65">
        <v>1840</v>
      </c>
      <c r="AH65">
        <v>7932</v>
      </c>
    </row>
    <row r="66" spans="1:34" hidden="1">
      <c r="A66" s="39" t="s">
        <v>154</v>
      </c>
      <c r="B66" s="39">
        <v>0</v>
      </c>
      <c r="C66" s="39">
        <v>0</v>
      </c>
      <c r="D66" s="39">
        <v>441</v>
      </c>
      <c r="E66" s="39">
        <v>1139</v>
      </c>
      <c r="F66" s="39">
        <v>932</v>
      </c>
      <c r="G66" s="39">
        <v>832</v>
      </c>
      <c r="H66" s="39">
        <v>1086</v>
      </c>
      <c r="I66" s="39">
        <v>954</v>
      </c>
      <c r="J66" s="39">
        <v>834</v>
      </c>
      <c r="K66">
        <v>1064</v>
      </c>
      <c r="L66">
        <v>1104</v>
      </c>
      <c r="M66">
        <v>1099</v>
      </c>
      <c r="N66">
        <v>1295</v>
      </c>
      <c r="O66">
        <v>0</v>
      </c>
      <c r="P66">
        <v>0</v>
      </c>
      <c r="Q66">
        <v>115</v>
      </c>
      <c r="R66">
        <v>298</v>
      </c>
      <c r="S66">
        <v>212</v>
      </c>
      <c r="T66">
        <v>205</v>
      </c>
      <c r="U66">
        <v>240</v>
      </c>
      <c r="V66">
        <v>221</v>
      </c>
      <c r="W66">
        <v>219</v>
      </c>
      <c r="X66">
        <v>292</v>
      </c>
      <c r="Y66">
        <v>273</v>
      </c>
      <c r="Z66">
        <v>242</v>
      </c>
      <c r="AA66">
        <v>338</v>
      </c>
      <c r="AD66" t="s">
        <v>340</v>
      </c>
      <c r="AE66" s="28">
        <v>2247</v>
      </c>
      <c r="AF66">
        <v>9320</v>
      </c>
      <c r="AG66">
        <v>2293</v>
      </c>
      <c r="AH66">
        <v>8955</v>
      </c>
    </row>
    <row r="67" spans="1:34" hidden="1">
      <c r="A67" s="39" t="s">
        <v>1376</v>
      </c>
      <c r="B67" s="39">
        <v>1074</v>
      </c>
      <c r="C67" s="39">
        <v>995</v>
      </c>
      <c r="D67" s="39">
        <v>1182</v>
      </c>
      <c r="E67" s="39">
        <v>780</v>
      </c>
      <c r="F67" s="39">
        <v>771</v>
      </c>
      <c r="G67" s="39">
        <v>652</v>
      </c>
      <c r="H67" s="39">
        <v>675</v>
      </c>
      <c r="I67" s="39">
        <v>672</v>
      </c>
      <c r="J67" s="39">
        <v>676</v>
      </c>
      <c r="K67">
        <v>0</v>
      </c>
      <c r="L67">
        <v>0</v>
      </c>
      <c r="M67">
        <v>0</v>
      </c>
      <c r="N67">
        <v>0</v>
      </c>
      <c r="O67">
        <v>182</v>
      </c>
      <c r="P67">
        <v>154</v>
      </c>
      <c r="Q67">
        <v>206</v>
      </c>
      <c r="R67">
        <v>133</v>
      </c>
      <c r="S67">
        <v>166</v>
      </c>
      <c r="T67">
        <v>137</v>
      </c>
      <c r="U67">
        <v>137</v>
      </c>
      <c r="V67">
        <v>137</v>
      </c>
      <c r="W67">
        <v>143</v>
      </c>
      <c r="X67">
        <v>1</v>
      </c>
      <c r="Y67">
        <v>0</v>
      </c>
      <c r="Z67">
        <v>0</v>
      </c>
      <c r="AA67">
        <v>0</v>
      </c>
      <c r="AD67" t="s">
        <v>555</v>
      </c>
      <c r="AE67" s="28">
        <v>2514</v>
      </c>
      <c r="AF67">
        <v>14408</v>
      </c>
      <c r="AG67">
        <v>2314</v>
      </c>
      <c r="AH67">
        <v>9966</v>
      </c>
    </row>
    <row r="68" spans="1:34" hidden="1">
      <c r="A68" s="39" t="s">
        <v>342</v>
      </c>
      <c r="B68" s="39">
        <v>2356</v>
      </c>
      <c r="C68" s="39">
        <v>4166</v>
      </c>
      <c r="D68" s="39">
        <v>4947</v>
      </c>
      <c r="E68" s="39">
        <v>1743</v>
      </c>
      <c r="F68" s="39">
        <v>2316</v>
      </c>
      <c r="G68" s="39">
        <v>535</v>
      </c>
      <c r="H68" s="39">
        <v>1144</v>
      </c>
      <c r="I68" s="39">
        <v>1118</v>
      </c>
      <c r="J68" s="39">
        <v>892</v>
      </c>
      <c r="K68">
        <v>691</v>
      </c>
      <c r="L68">
        <v>583</v>
      </c>
      <c r="M68">
        <v>612</v>
      </c>
      <c r="N68">
        <v>1172</v>
      </c>
      <c r="O68">
        <v>405</v>
      </c>
      <c r="P68">
        <v>438</v>
      </c>
      <c r="Q68">
        <v>614</v>
      </c>
      <c r="R68">
        <v>437</v>
      </c>
      <c r="S68">
        <v>515</v>
      </c>
      <c r="T68">
        <v>70</v>
      </c>
      <c r="U68">
        <v>306</v>
      </c>
      <c r="V68">
        <v>283</v>
      </c>
      <c r="W68">
        <v>319</v>
      </c>
      <c r="X68">
        <v>248</v>
      </c>
      <c r="Y68">
        <v>190</v>
      </c>
      <c r="Z68">
        <v>193</v>
      </c>
      <c r="AA68">
        <v>367</v>
      </c>
      <c r="AD68" t="s">
        <v>310</v>
      </c>
      <c r="AE68" s="28">
        <v>666</v>
      </c>
      <c r="AF68">
        <v>3291</v>
      </c>
      <c r="AH68">
        <v>0</v>
      </c>
    </row>
    <row r="69" spans="1:34" hidden="1">
      <c r="A69" s="39" t="s">
        <v>929</v>
      </c>
      <c r="B69" s="39">
        <v>842</v>
      </c>
      <c r="C69" s="39">
        <v>638</v>
      </c>
      <c r="D69" s="39">
        <v>426</v>
      </c>
      <c r="E69" s="39">
        <v>403</v>
      </c>
      <c r="F69" s="39">
        <v>359</v>
      </c>
      <c r="G69" s="39">
        <v>317</v>
      </c>
      <c r="H69" s="39">
        <v>310</v>
      </c>
      <c r="I69" s="39">
        <v>362</v>
      </c>
      <c r="J69" s="39">
        <v>322</v>
      </c>
      <c r="K69">
        <v>435</v>
      </c>
      <c r="L69">
        <v>490</v>
      </c>
      <c r="M69">
        <v>312</v>
      </c>
      <c r="N69">
        <v>424</v>
      </c>
      <c r="O69">
        <v>359</v>
      </c>
      <c r="P69">
        <v>265</v>
      </c>
      <c r="Q69">
        <v>199</v>
      </c>
      <c r="R69">
        <v>236</v>
      </c>
      <c r="S69">
        <v>248</v>
      </c>
      <c r="T69">
        <v>210</v>
      </c>
      <c r="U69">
        <v>199</v>
      </c>
      <c r="V69">
        <v>217</v>
      </c>
      <c r="W69">
        <v>221</v>
      </c>
      <c r="X69">
        <v>270</v>
      </c>
      <c r="Y69">
        <v>297</v>
      </c>
      <c r="Z69">
        <v>204</v>
      </c>
      <c r="AA69">
        <v>289</v>
      </c>
      <c r="AD69" t="s">
        <v>559</v>
      </c>
      <c r="AE69" s="28">
        <v>2677</v>
      </c>
      <c r="AF69">
        <v>7629</v>
      </c>
      <c r="AG69">
        <v>3124</v>
      </c>
      <c r="AH69">
        <v>9860</v>
      </c>
    </row>
    <row r="70" spans="1:34" hidden="1">
      <c r="A70" s="39" t="s">
        <v>980</v>
      </c>
      <c r="B70" s="39">
        <v>806</v>
      </c>
      <c r="C70" s="39">
        <v>802</v>
      </c>
      <c r="D70" s="39">
        <v>1030</v>
      </c>
      <c r="E70" s="39">
        <v>913</v>
      </c>
      <c r="F70" s="39">
        <v>725</v>
      </c>
      <c r="G70" s="39">
        <v>689</v>
      </c>
      <c r="H70" s="39">
        <v>571</v>
      </c>
      <c r="I70" s="39">
        <v>568</v>
      </c>
      <c r="J70" s="39">
        <v>586</v>
      </c>
      <c r="K70">
        <v>672</v>
      </c>
      <c r="L70">
        <v>591</v>
      </c>
      <c r="M70">
        <v>557</v>
      </c>
      <c r="N70">
        <v>651</v>
      </c>
      <c r="O70">
        <v>256</v>
      </c>
      <c r="P70">
        <v>313</v>
      </c>
      <c r="Q70">
        <v>304</v>
      </c>
      <c r="R70">
        <v>283</v>
      </c>
      <c r="S70">
        <v>282</v>
      </c>
      <c r="T70">
        <v>268</v>
      </c>
      <c r="U70">
        <v>256</v>
      </c>
      <c r="V70">
        <v>260</v>
      </c>
      <c r="W70">
        <v>290</v>
      </c>
      <c r="X70">
        <v>304</v>
      </c>
      <c r="Y70">
        <v>256</v>
      </c>
      <c r="Z70">
        <v>241</v>
      </c>
      <c r="AA70">
        <v>279</v>
      </c>
      <c r="AD70" t="s">
        <v>637</v>
      </c>
      <c r="AE70" s="28">
        <v>1267</v>
      </c>
      <c r="AF70">
        <v>6553</v>
      </c>
      <c r="AG70">
        <v>1252</v>
      </c>
      <c r="AH70">
        <v>6536</v>
      </c>
    </row>
    <row r="71" spans="1:34" hidden="1">
      <c r="A71" s="39" t="s">
        <v>906</v>
      </c>
      <c r="B71" s="39">
        <v>308</v>
      </c>
      <c r="C71" s="39">
        <v>509</v>
      </c>
      <c r="D71" s="39">
        <v>351</v>
      </c>
      <c r="E71" s="39">
        <v>429</v>
      </c>
      <c r="F71" s="39">
        <v>224</v>
      </c>
      <c r="G71" s="39">
        <v>241</v>
      </c>
      <c r="H71" s="39">
        <v>274</v>
      </c>
      <c r="I71" s="39">
        <v>272</v>
      </c>
      <c r="J71" s="39">
        <v>311</v>
      </c>
      <c r="K71">
        <v>348</v>
      </c>
      <c r="L71">
        <v>386</v>
      </c>
      <c r="M71">
        <v>287</v>
      </c>
      <c r="N71">
        <v>355</v>
      </c>
      <c r="O71">
        <v>122</v>
      </c>
      <c r="P71">
        <v>139</v>
      </c>
      <c r="Q71">
        <v>99</v>
      </c>
      <c r="R71">
        <v>142</v>
      </c>
      <c r="S71">
        <v>80</v>
      </c>
      <c r="T71">
        <v>87</v>
      </c>
      <c r="U71">
        <v>97</v>
      </c>
      <c r="V71">
        <v>105</v>
      </c>
      <c r="W71">
        <v>116</v>
      </c>
      <c r="X71">
        <v>109</v>
      </c>
      <c r="Y71">
        <v>171</v>
      </c>
      <c r="Z71">
        <v>103</v>
      </c>
      <c r="AA71">
        <v>169</v>
      </c>
      <c r="AD71" t="s">
        <v>449</v>
      </c>
      <c r="AE71" s="28">
        <v>1937</v>
      </c>
      <c r="AF71">
        <v>8681</v>
      </c>
      <c r="AG71">
        <v>1898</v>
      </c>
      <c r="AH71">
        <v>8948</v>
      </c>
    </row>
    <row r="72" spans="1:34" hidden="1">
      <c r="A72" s="39" t="s">
        <v>726</v>
      </c>
      <c r="B72" s="39">
        <v>2377</v>
      </c>
      <c r="C72" s="39">
        <v>2225</v>
      </c>
      <c r="D72" s="39">
        <v>1589</v>
      </c>
      <c r="E72" s="39">
        <v>1287</v>
      </c>
      <c r="F72" s="39">
        <v>883</v>
      </c>
      <c r="G72" s="39">
        <v>1077</v>
      </c>
      <c r="H72" s="39">
        <v>1580</v>
      </c>
      <c r="I72" s="39">
        <v>1922</v>
      </c>
      <c r="J72" s="39">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577</v>
      </c>
      <c r="AE72" s="28">
        <v>898</v>
      </c>
      <c r="AF72">
        <v>2535</v>
      </c>
      <c r="AH72">
        <v>0</v>
      </c>
    </row>
    <row r="73" spans="1:34" hidden="1">
      <c r="A73" s="39" t="s">
        <v>567</v>
      </c>
      <c r="B73" s="39">
        <v>2161</v>
      </c>
      <c r="C73" s="39">
        <v>2173</v>
      </c>
      <c r="D73" s="39">
        <v>1377</v>
      </c>
      <c r="E73" s="39">
        <v>1420</v>
      </c>
      <c r="F73" s="39">
        <v>169</v>
      </c>
      <c r="G73" s="39">
        <v>1268</v>
      </c>
      <c r="H73" s="39">
        <v>1048</v>
      </c>
      <c r="I73" s="39">
        <v>1075</v>
      </c>
      <c r="J73" s="39">
        <v>1192</v>
      </c>
      <c r="K73">
        <v>1118</v>
      </c>
      <c r="L73">
        <v>1058</v>
      </c>
      <c r="M73">
        <v>944</v>
      </c>
      <c r="N73">
        <v>1539</v>
      </c>
      <c r="O73">
        <v>410</v>
      </c>
      <c r="P73">
        <v>407</v>
      </c>
      <c r="Q73">
        <v>425</v>
      </c>
      <c r="R73">
        <v>428</v>
      </c>
      <c r="S73">
        <v>7</v>
      </c>
      <c r="T73">
        <v>353</v>
      </c>
      <c r="U73">
        <v>315</v>
      </c>
      <c r="V73">
        <v>306</v>
      </c>
      <c r="W73">
        <v>361</v>
      </c>
      <c r="X73">
        <v>360</v>
      </c>
      <c r="Y73">
        <v>356</v>
      </c>
      <c r="Z73">
        <v>293</v>
      </c>
      <c r="AA73">
        <v>451</v>
      </c>
      <c r="AD73" t="s">
        <v>368</v>
      </c>
      <c r="AE73" s="28">
        <v>866</v>
      </c>
      <c r="AF73">
        <v>4550</v>
      </c>
      <c r="AH73">
        <v>0</v>
      </c>
    </row>
    <row r="74" spans="1:34" hidden="1">
      <c r="A74" s="39" t="s">
        <v>148</v>
      </c>
      <c r="B74" s="39">
        <v>2210</v>
      </c>
      <c r="C74" s="39">
        <v>3028</v>
      </c>
      <c r="D74" s="39">
        <v>3623</v>
      </c>
      <c r="E74" s="39">
        <v>3181</v>
      </c>
      <c r="F74" s="39">
        <v>2203</v>
      </c>
      <c r="G74" s="39">
        <v>2217</v>
      </c>
      <c r="H74" s="39">
        <v>2451</v>
      </c>
      <c r="I74" s="39">
        <v>2601</v>
      </c>
      <c r="J74" s="39">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7" t="s">
        <v>627</v>
      </c>
      <c r="AE74" s="28">
        <v>1675</v>
      </c>
      <c r="AF74">
        <v>10426</v>
      </c>
      <c r="AG74">
        <v>2155</v>
      </c>
      <c r="AH74">
        <v>11551</v>
      </c>
    </row>
    <row r="75" spans="1:34" hidden="1">
      <c r="A75" s="39" t="s">
        <v>685</v>
      </c>
      <c r="B75" s="39">
        <v>7420</v>
      </c>
      <c r="C75" s="39">
        <v>9064</v>
      </c>
      <c r="D75" s="39">
        <v>7113</v>
      </c>
      <c r="E75" s="39">
        <v>7511</v>
      </c>
      <c r="F75" s="39">
        <v>10781</v>
      </c>
      <c r="G75" s="39">
        <v>6137</v>
      </c>
      <c r="H75" s="39">
        <v>4806</v>
      </c>
      <c r="I75" s="39">
        <v>4603</v>
      </c>
      <c r="J75" s="39">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94</v>
      </c>
      <c r="AE75" s="28">
        <v>821</v>
      </c>
      <c r="AF75">
        <v>3505</v>
      </c>
      <c r="AH75">
        <v>0</v>
      </c>
    </row>
    <row r="76" spans="1:34" hidden="1">
      <c r="A76" s="39" t="s">
        <v>703</v>
      </c>
      <c r="B76" s="39">
        <v>14958</v>
      </c>
      <c r="C76" s="39">
        <v>14790</v>
      </c>
      <c r="D76" s="39">
        <v>32925</v>
      </c>
      <c r="E76" s="39">
        <v>57954</v>
      </c>
      <c r="F76" s="39">
        <v>81282</v>
      </c>
      <c r="G76" s="39">
        <v>59715</v>
      </c>
      <c r="H76" s="39">
        <v>27814</v>
      </c>
      <c r="I76" s="39">
        <v>24145</v>
      </c>
      <c r="J76" s="39">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376</v>
      </c>
      <c r="AE76" s="28">
        <v>472</v>
      </c>
      <c r="AF76">
        <v>1955</v>
      </c>
      <c r="AH76">
        <v>0</v>
      </c>
    </row>
    <row r="77" spans="1:34" hidden="1">
      <c r="A77" s="39" t="s">
        <v>483</v>
      </c>
      <c r="B77" s="39">
        <v>784</v>
      </c>
      <c r="C77" s="39">
        <v>894</v>
      </c>
      <c r="D77" s="39">
        <v>1045</v>
      </c>
      <c r="E77" s="39">
        <v>822</v>
      </c>
      <c r="F77" s="39">
        <v>652</v>
      </c>
      <c r="G77" s="39">
        <v>715</v>
      </c>
      <c r="H77" s="39">
        <v>843</v>
      </c>
      <c r="I77" s="39">
        <v>803</v>
      </c>
      <c r="J77" s="39">
        <v>1022</v>
      </c>
      <c r="K77">
        <v>907</v>
      </c>
      <c r="L77">
        <v>734</v>
      </c>
      <c r="M77">
        <v>775</v>
      </c>
      <c r="N77">
        <v>1187</v>
      </c>
      <c r="O77">
        <v>377</v>
      </c>
      <c r="P77">
        <v>441</v>
      </c>
      <c r="Q77">
        <v>437</v>
      </c>
      <c r="R77">
        <v>408</v>
      </c>
      <c r="S77">
        <v>361</v>
      </c>
      <c r="T77">
        <v>403</v>
      </c>
      <c r="U77">
        <v>438</v>
      </c>
      <c r="V77">
        <v>424</v>
      </c>
      <c r="W77">
        <v>514</v>
      </c>
      <c r="X77">
        <v>494</v>
      </c>
      <c r="Y77">
        <v>463</v>
      </c>
      <c r="Z77">
        <v>385</v>
      </c>
      <c r="AA77">
        <v>536</v>
      </c>
      <c r="AD77" t="s">
        <v>284</v>
      </c>
      <c r="AE77" s="28">
        <v>525</v>
      </c>
      <c r="AF77">
        <v>1914</v>
      </c>
      <c r="AH77">
        <v>0</v>
      </c>
    </row>
    <row r="78" spans="1:34" hidden="1">
      <c r="A78" s="39" t="s">
        <v>393</v>
      </c>
      <c r="B78" s="39">
        <v>800</v>
      </c>
      <c r="C78" s="39">
        <v>768</v>
      </c>
      <c r="D78" s="39">
        <v>939</v>
      </c>
      <c r="E78" s="39">
        <v>644</v>
      </c>
      <c r="F78" s="39">
        <v>589</v>
      </c>
      <c r="G78" s="39">
        <v>693</v>
      </c>
      <c r="H78" s="39">
        <v>820</v>
      </c>
      <c r="I78" s="39">
        <v>492</v>
      </c>
      <c r="J78" s="39">
        <v>431</v>
      </c>
      <c r="K78">
        <v>442</v>
      </c>
      <c r="L78">
        <v>378</v>
      </c>
      <c r="M78">
        <v>412</v>
      </c>
      <c r="N78">
        <v>671</v>
      </c>
      <c r="O78">
        <v>139</v>
      </c>
      <c r="P78">
        <v>143</v>
      </c>
      <c r="Q78">
        <v>124</v>
      </c>
      <c r="R78">
        <v>105</v>
      </c>
      <c r="S78">
        <v>94</v>
      </c>
      <c r="T78">
        <v>132</v>
      </c>
      <c r="U78">
        <v>131</v>
      </c>
      <c r="V78">
        <v>96</v>
      </c>
      <c r="W78">
        <v>102</v>
      </c>
      <c r="X78">
        <v>80</v>
      </c>
      <c r="Y78">
        <v>95</v>
      </c>
      <c r="Z78">
        <v>87</v>
      </c>
      <c r="AA78">
        <v>136</v>
      </c>
      <c r="AD78" t="s">
        <v>461</v>
      </c>
      <c r="AE78" s="28">
        <v>901</v>
      </c>
      <c r="AF78">
        <v>2044</v>
      </c>
      <c r="AH78">
        <v>0</v>
      </c>
    </row>
    <row r="79" spans="1:34" hidden="1">
      <c r="A79" s="39" t="s">
        <v>78</v>
      </c>
      <c r="B79" s="39">
        <v>2815</v>
      </c>
      <c r="C79" s="39">
        <v>1982</v>
      </c>
      <c r="D79" s="39">
        <v>1912</v>
      </c>
      <c r="E79" s="39">
        <v>1912</v>
      </c>
      <c r="F79" s="39">
        <v>1533</v>
      </c>
      <c r="G79" s="39">
        <v>1405</v>
      </c>
      <c r="H79" s="39">
        <v>1810</v>
      </c>
      <c r="I79" s="39">
        <v>1581</v>
      </c>
      <c r="J79" s="39">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507</v>
      </c>
      <c r="AE79" s="28">
        <v>2428</v>
      </c>
      <c r="AF79">
        <v>7026</v>
      </c>
      <c r="AG79">
        <v>2713</v>
      </c>
      <c r="AH79">
        <v>9376</v>
      </c>
    </row>
    <row r="80" spans="1:34" hidden="1">
      <c r="A80" s="39" t="s">
        <v>475</v>
      </c>
      <c r="B80" s="39">
        <v>1231</v>
      </c>
      <c r="C80" s="39">
        <v>1312</v>
      </c>
      <c r="D80" s="39">
        <v>956</v>
      </c>
      <c r="E80" s="39">
        <v>752</v>
      </c>
      <c r="F80" s="39">
        <v>805</v>
      </c>
      <c r="G80" s="39">
        <v>765</v>
      </c>
      <c r="H80" s="39">
        <v>897</v>
      </c>
      <c r="I80" s="39">
        <v>836</v>
      </c>
      <c r="J80" s="39">
        <v>715</v>
      </c>
      <c r="K80">
        <v>852</v>
      </c>
      <c r="L80">
        <v>672</v>
      </c>
      <c r="M80">
        <v>597</v>
      </c>
      <c r="N80">
        <v>2995</v>
      </c>
      <c r="O80">
        <v>428</v>
      </c>
      <c r="P80">
        <v>480</v>
      </c>
      <c r="Q80">
        <v>449</v>
      </c>
      <c r="R80">
        <v>362</v>
      </c>
      <c r="S80">
        <v>375</v>
      </c>
      <c r="T80">
        <v>330</v>
      </c>
      <c r="U80">
        <v>344</v>
      </c>
      <c r="V80">
        <v>339</v>
      </c>
      <c r="W80">
        <v>370</v>
      </c>
      <c r="X80">
        <v>417</v>
      </c>
      <c r="Y80">
        <v>373</v>
      </c>
      <c r="Z80">
        <v>329</v>
      </c>
      <c r="AA80">
        <v>565</v>
      </c>
      <c r="AD80" t="s">
        <v>226</v>
      </c>
      <c r="AE80" s="28">
        <v>1476</v>
      </c>
      <c r="AF80">
        <v>4569</v>
      </c>
      <c r="AH80">
        <v>0</v>
      </c>
    </row>
    <row r="81" spans="1:34" hidden="1">
      <c r="A81" s="39" t="s">
        <v>82</v>
      </c>
      <c r="B81" s="39">
        <v>4947</v>
      </c>
      <c r="C81" s="39">
        <v>5221</v>
      </c>
      <c r="D81" s="39">
        <v>5089</v>
      </c>
      <c r="E81" s="39">
        <v>5351</v>
      </c>
      <c r="F81" s="39">
        <v>4403</v>
      </c>
      <c r="G81" s="39">
        <v>4309</v>
      </c>
      <c r="H81" s="39">
        <v>4807</v>
      </c>
      <c r="I81" s="39">
        <v>4661</v>
      </c>
      <c r="J81" s="39">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178</v>
      </c>
      <c r="AE81" s="28">
        <v>978</v>
      </c>
      <c r="AF81">
        <v>5143</v>
      </c>
      <c r="AH81">
        <v>0</v>
      </c>
    </row>
    <row r="82" spans="1:34" hidden="1">
      <c r="A82" s="39" t="s">
        <v>912</v>
      </c>
      <c r="B82" s="39">
        <v>624</v>
      </c>
      <c r="C82" s="39">
        <v>693</v>
      </c>
      <c r="D82" s="39">
        <v>602</v>
      </c>
      <c r="E82" s="39">
        <v>594</v>
      </c>
      <c r="F82" s="39">
        <v>501</v>
      </c>
      <c r="G82" s="39">
        <v>410</v>
      </c>
      <c r="H82" s="39">
        <v>476</v>
      </c>
      <c r="I82" s="39">
        <v>463</v>
      </c>
      <c r="J82" s="39">
        <v>458</v>
      </c>
      <c r="K82">
        <v>468</v>
      </c>
      <c r="L82">
        <v>509</v>
      </c>
      <c r="M82">
        <v>414</v>
      </c>
      <c r="N82">
        <v>890</v>
      </c>
      <c r="O82">
        <v>212</v>
      </c>
      <c r="P82">
        <v>226</v>
      </c>
      <c r="Q82">
        <v>221</v>
      </c>
      <c r="R82">
        <v>210</v>
      </c>
      <c r="S82">
        <v>210</v>
      </c>
      <c r="T82">
        <v>186</v>
      </c>
      <c r="U82">
        <v>209</v>
      </c>
      <c r="V82">
        <v>192</v>
      </c>
      <c r="W82">
        <v>206</v>
      </c>
      <c r="X82">
        <v>225</v>
      </c>
      <c r="Y82">
        <v>243</v>
      </c>
      <c r="Z82">
        <v>179</v>
      </c>
      <c r="AA82">
        <v>263</v>
      </c>
      <c r="AD82" t="s">
        <v>290</v>
      </c>
      <c r="AE82" s="28">
        <v>952</v>
      </c>
      <c r="AF82">
        <v>5221</v>
      </c>
      <c r="AG82">
        <v>883</v>
      </c>
      <c r="AH82">
        <v>5063</v>
      </c>
    </row>
    <row r="83" spans="1:34" hidden="1">
      <c r="A83" s="39" t="s">
        <v>777</v>
      </c>
      <c r="B83" s="39">
        <v>1634</v>
      </c>
      <c r="C83" s="39">
        <v>510</v>
      </c>
      <c r="D83" s="39">
        <v>569</v>
      </c>
      <c r="E83" s="39">
        <v>304</v>
      </c>
      <c r="F83" s="39">
        <v>647</v>
      </c>
      <c r="G83" s="39">
        <v>771</v>
      </c>
      <c r="H83" s="39">
        <v>706</v>
      </c>
      <c r="I83" s="39">
        <v>1038</v>
      </c>
      <c r="J83" s="39">
        <v>1047</v>
      </c>
      <c r="K83">
        <v>834</v>
      </c>
      <c r="L83">
        <v>695</v>
      </c>
      <c r="M83">
        <v>550</v>
      </c>
      <c r="N83">
        <v>835</v>
      </c>
      <c r="O83">
        <v>215</v>
      </c>
      <c r="P83">
        <v>40</v>
      </c>
      <c r="Q83">
        <v>102</v>
      </c>
      <c r="R83">
        <v>103</v>
      </c>
      <c r="S83">
        <v>169</v>
      </c>
      <c r="T83">
        <v>176</v>
      </c>
      <c r="U83">
        <v>175</v>
      </c>
      <c r="V83">
        <v>205</v>
      </c>
      <c r="W83">
        <v>181</v>
      </c>
      <c r="X83">
        <v>174</v>
      </c>
      <c r="Y83">
        <v>180</v>
      </c>
      <c r="Z83">
        <v>131</v>
      </c>
      <c r="AA83">
        <v>173</v>
      </c>
      <c r="AD83" t="s">
        <v>280</v>
      </c>
      <c r="AE83" s="28">
        <v>1631</v>
      </c>
      <c r="AF83">
        <v>7645</v>
      </c>
      <c r="AG83">
        <v>1902</v>
      </c>
      <c r="AH83">
        <v>9147</v>
      </c>
    </row>
    <row r="84" spans="1:34" hidden="1">
      <c r="A84" s="39" t="s">
        <v>597</v>
      </c>
      <c r="B84" s="39">
        <v>0</v>
      </c>
      <c r="C84" s="39">
        <v>829</v>
      </c>
      <c r="D84" s="39">
        <v>3224</v>
      </c>
      <c r="E84" s="39">
        <v>3573</v>
      </c>
      <c r="F84" s="39">
        <v>56</v>
      </c>
      <c r="G84" s="39">
        <v>1278</v>
      </c>
      <c r="H84" s="39">
        <v>2263</v>
      </c>
      <c r="I84" s="39">
        <v>1919</v>
      </c>
      <c r="J84" s="39">
        <v>1664</v>
      </c>
      <c r="K84">
        <v>1472</v>
      </c>
      <c r="L84">
        <v>1940</v>
      </c>
      <c r="M84">
        <v>1434</v>
      </c>
      <c r="N84">
        <v>1612</v>
      </c>
      <c r="O84">
        <v>0</v>
      </c>
      <c r="P84">
        <v>203</v>
      </c>
      <c r="Q84">
        <v>360</v>
      </c>
      <c r="R84">
        <v>442</v>
      </c>
      <c r="S84">
        <v>1</v>
      </c>
      <c r="T84">
        <v>89</v>
      </c>
      <c r="U84">
        <v>156</v>
      </c>
      <c r="V84">
        <v>208</v>
      </c>
      <c r="W84">
        <v>185</v>
      </c>
      <c r="X84">
        <v>214</v>
      </c>
      <c r="Y84">
        <v>389</v>
      </c>
      <c r="Z84">
        <v>184</v>
      </c>
      <c r="AA84">
        <v>282</v>
      </c>
      <c r="AD84" t="s">
        <v>218</v>
      </c>
      <c r="AE84" s="28">
        <v>602</v>
      </c>
      <c r="AF84">
        <v>3783</v>
      </c>
      <c r="AH84">
        <v>0</v>
      </c>
    </row>
    <row r="85" spans="1:34" hidden="1">
      <c r="A85" s="39" t="s">
        <v>854</v>
      </c>
      <c r="B85" s="39">
        <v>235</v>
      </c>
      <c r="C85" s="39">
        <v>211</v>
      </c>
      <c r="D85" s="39">
        <v>226</v>
      </c>
      <c r="E85" s="39">
        <v>165</v>
      </c>
      <c r="F85" s="39">
        <v>188</v>
      </c>
      <c r="G85" s="39">
        <v>143</v>
      </c>
      <c r="H85" s="39">
        <v>158</v>
      </c>
      <c r="I85" s="39">
        <v>155</v>
      </c>
      <c r="J85" s="39">
        <v>164</v>
      </c>
      <c r="K85">
        <v>173</v>
      </c>
      <c r="L85">
        <v>138</v>
      </c>
      <c r="M85">
        <v>151</v>
      </c>
      <c r="N85">
        <v>259</v>
      </c>
      <c r="O85">
        <v>53</v>
      </c>
      <c r="P85">
        <v>61</v>
      </c>
      <c r="Q85">
        <v>70</v>
      </c>
      <c r="R85">
        <v>53</v>
      </c>
      <c r="S85">
        <v>64</v>
      </c>
      <c r="T85">
        <v>43</v>
      </c>
      <c r="U85">
        <v>71</v>
      </c>
      <c r="V85">
        <v>63</v>
      </c>
      <c r="W85">
        <v>76</v>
      </c>
      <c r="X85">
        <v>66</v>
      </c>
      <c r="Y85">
        <v>69</v>
      </c>
      <c r="Z85">
        <v>69</v>
      </c>
      <c r="AA85">
        <v>102</v>
      </c>
      <c r="AD85" t="s">
        <v>220</v>
      </c>
      <c r="AE85" s="28">
        <v>1231</v>
      </c>
      <c r="AF85">
        <v>4891</v>
      </c>
      <c r="AG85">
        <v>1385</v>
      </c>
      <c r="AH85">
        <v>5413</v>
      </c>
    </row>
    <row r="86" spans="1:34" hidden="1">
      <c r="A86" s="39" t="s">
        <v>1377</v>
      </c>
      <c r="B86" s="39">
        <v>2417</v>
      </c>
      <c r="C86" s="39">
        <v>2300</v>
      </c>
      <c r="D86" s="39">
        <v>1974</v>
      </c>
      <c r="E86" s="39">
        <v>1692</v>
      </c>
      <c r="F86" s="39">
        <v>1407</v>
      </c>
      <c r="G86" s="39">
        <v>1118</v>
      </c>
      <c r="H86" s="39">
        <v>888</v>
      </c>
      <c r="I86" s="39">
        <v>1165</v>
      </c>
      <c r="J86" s="39">
        <v>847</v>
      </c>
      <c r="K86">
        <v>433</v>
      </c>
      <c r="L86">
        <v>400</v>
      </c>
      <c r="M86">
        <v>0</v>
      </c>
      <c r="N86">
        <v>0</v>
      </c>
      <c r="O86">
        <v>333</v>
      </c>
      <c r="P86">
        <v>385</v>
      </c>
      <c r="Q86">
        <v>273</v>
      </c>
      <c r="R86">
        <v>289</v>
      </c>
      <c r="S86">
        <v>249</v>
      </c>
      <c r="T86">
        <v>197</v>
      </c>
      <c r="U86">
        <v>150</v>
      </c>
      <c r="V86">
        <v>197</v>
      </c>
      <c r="W86">
        <v>143</v>
      </c>
      <c r="X86">
        <v>122</v>
      </c>
      <c r="Y86">
        <v>101</v>
      </c>
      <c r="Z86">
        <v>2</v>
      </c>
      <c r="AA86">
        <v>0</v>
      </c>
      <c r="AD86" t="s">
        <v>116</v>
      </c>
      <c r="AE86" s="28">
        <v>1672</v>
      </c>
      <c r="AF86">
        <v>9371</v>
      </c>
      <c r="AG86">
        <v>1619</v>
      </c>
      <c r="AH86">
        <v>9686</v>
      </c>
    </row>
    <row r="87" spans="1:34" hidden="1">
      <c r="A87" s="39" t="s">
        <v>1378</v>
      </c>
      <c r="B87" s="39">
        <v>98</v>
      </c>
      <c r="C87" s="39">
        <v>97</v>
      </c>
      <c r="D87" s="39">
        <v>88</v>
      </c>
      <c r="E87" s="39">
        <v>73</v>
      </c>
      <c r="F87" s="39">
        <v>70</v>
      </c>
      <c r="G87" s="39">
        <v>64</v>
      </c>
      <c r="H87" s="39">
        <v>70</v>
      </c>
      <c r="I87" s="39">
        <v>73</v>
      </c>
      <c r="J87" s="39">
        <v>61</v>
      </c>
      <c r="K87">
        <v>57</v>
      </c>
      <c r="L87">
        <v>60</v>
      </c>
      <c r="M87">
        <v>85</v>
      </c>
      <c r="N87">
        <v>84</v>
      </c>
      <c r="O87">
        <v>56</v>
      </c>
      <c r="P87">
        <v>38</v>
      </c>
      <c r="Q87">
        <v>27</v>
      </c>
      <c r="R87">
        <v>25</v>
      </c>
      <c r="S87">
        <v>39</v>
      </c>
      <c r="T87">
        <v>26</v>
      </c>
      <c r="U87">
        <v>34</v>
      </c>
      <c r="V87">
        <v>27</v>
      </c>
      <c r="W87">
        <v>31</v>
      </c>
      <c r="X87">
        <v>28</v>
      </c>
      <c r="Y87">
        <v>21</v>
      </c>
      <c r="Z87">
        <v>40</v>
      </c>
      <c r="AA87">
        <v>21</v>
      </c>
      <c r="AD87" t="s">
        <v>184</v>
      </c>
      <c r="AE87" s="28">
        <v>662</v>
      </c>
      <c r="AF87">
        <v>2203</v>
      </c>
      <c r="AG87">
        <v>660</v>
      </c>
      <c r="AH87">
        <v>2078</v>
      </c>
    </row>
    <row r="88" spans="1:34" hidden="1">
      <c r="A88" s="39" t="s">
        <v>1276</v>
      </c>
      <c r="B88" s="39">
        <v>5274</v>
      </c>
      <c r="C88" s="39">
        <v>957</v>
      </c>
      <c r="D88" s="39">
        <v>2180</v>
      </c>
      <c r="E88" s="39">
        <v>3131</v>
      </c>
      <c r="F88" s="39">
        <v>2602</v>
      </c>
      <c r="G88" s="39">
        <v>2583</v>
      </c>
      <c r="H88" s="39">
        <v>2693</v>
      </c>
      <c r="I88" s="39">
        <v>3088</v>
      </c>
      <c r="J88" s="39">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344</v>
      </c>
      <c r="AE88" s="28">
        <v>423</v>
      </c>
      <c r="AF88">
        <v>2735</v>
      </c>
      <c r="AG88">
        <v>560</v>
      </c>
      <c r="AH88">
        <v>3270</v>
      </c>
    </row>
    <row r="89" spans="1:34" hidden="1">
      <c r="A89" s="39" t="s">
        <v>1379</v>
      </c>
      <c r="B89" s="39">
        <v>1401</v>
      </c>
      <c r="C89" s="39">
        <v>1191</v>
      </c>
      <c r="D89" s="39">
        <v>565</v>
      </c>
      <c r="E89" s="39">
        <v>259</v>
      </c>
      <c r="F89" s="39">
        <v>29</v>
      </c>
      <c r="G89" s="39">
        <v>0</v>
      </c>
      <c r="H89" s="39">
        <v>0</v>
      </c>
      <c r="I89" s="39">
        <v>0</v>
      </c>
      <c r="J89" s="39">
        <v>0</v>
      </c>
      <c r="K89">
        <v>104</v>
      </c>
      <c r="L89">
        <v>0</v>
      </c>
      <c r="M89">
        <v>602</v>
      </c>
      <c r="N89">
        <v>994</v>
      </c>
      <c r="O89">
        <v>366</v>
      </c>
      <c r="P89">
        <v>306</v>
      </c>
      <c r="Q89">
        <v>143</v>
      </c>
      <c r="R89">
        <v>88</v>
      </c>
      <c r="S89">
        <v>3</v>
      </c>
      <c r="T89">
        <v>0</v>
      </c>
      <c r="U89">
        <v>0</v>
      </c>
      <c r="V89">
        <v>0</v>
      </c>
      <c r="W89">
        <v>0</v>
      </c>
      <c r="X89">
        <v>18</v>
      </c>
      <c r="Y89">
        <v>0</v>
      </c>
      <c r="Z89">
        <v>102</v>
      </c>
      <c r="AA89">
        <v>116</v>
      </c>
      <c r="AD89" t="s">
        <v>294</v>
      </c>
      <c r="AE89" s="28">
        <v>431</v>
      </c>
      <c r="AF89">
        <v>2578</v>
      </c>
      <c r="AH89">
        <v>0</v>
      </c>
    </row>
    <row r="90" spans="1:34" hidden="1">
      <c r="A90" s="39" t="s">
        <v>1144</v>
      </c>
      <c r="B90" s="39">
        <v>539</v>
      </c>
      <c r="C90" s="39">
        <v>362</v>
      </c>
      <c r="D90" s="39">
        <v>249</v>
      </c>
      <c r="E90" s="39">
        <v>229</v>
      </c>
      <c r="F90" s="39">
        <v>207</v>
      </c>
      <c r="G90" s="39">
        <v>220</v>
      </c>
      <c r="H90" s="39">
        <v>297</v>
      </c>
      <c r="I90" s="39">
        <v>137</v>
      </c>
      <c r="J90" s="39">
        <v>96</v>
      </c>
      <c r="K90">
        <v>140</v>
      </c>
      <c r="L90">
        <v>0</v>
      </c>
      <c r="M90">
        <v>134</v>
      </c>
      <c r="N90">
        <v>222</v>
      </c>
      <c r="O90">
        <v>72</v>
      </c>
      <c r="P90">
        <v>117</v>
      </c>
      <c r="Q90">
        <v>63</v>
      </c>
      <c r="R90">
        <v>80</v>
      </c>
      <c r="S90">
        <v>84</v>
      </c>
      <c r="T90">
        <v>75</v>
      </c>
      <c r="U90">
        <v>144</v>
      </c>
      <c r="V90">
        <v>60</v>
      </c>
      <c r="W90">
        <v>46</v>
      </c>
      <c r="X90">
        <v>75</v>
      </c>
      <c r="Y90">
        <v>0</v>
      </c>
      <c r="Z90">
        <v>40</v>
      </c>
      <c r="AA90">
        <v>56</v>
      </c>
      <c r="AD90" t="s">
        <v>1380</v>
      </c>
      <c r="AE90" s="28">
        <v>208</v>
      </c>
      <c r="AF90">
        <v>1108</v>
      </c>
      <c r="AH90">
        <v>0</v>
      </c>
    </row>
    <row r="91" spans="1:34" hidden="1">
      <c r="A91" s="39" t="s">
        <v>30</v>
      </c>
      <c r="B91" s="39">
        <v>2661</v>
      </c>
      <c r="C91" s="39">
        <v>3561</v>
      </c>
      <c r="D91" s="39">
        <v>3146</v>
      </c>
      <c r="E91" s="39">
        <v>3133</v>
      </c>
      <c r="F91" s="39">
        <v>2990</v>
      </c>
      <c r="G91" s="39">
        <v>5395</v>
      </c>
      <c r="H91" s="39">
        <v>3136</v>
      </c>
      <c r="I91" s="39">
        <v>2754</v>
      </c>
      <c r="J91" s="39">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356</v>
      </c>
      <c r="AE91" s="28">
        <v>427</v>
      </c>
      <c r="AF91">
        <v>2097</v>
      </c>
      <c r="AH91">
        <v>0</v>
      </c>
    </row>
    <row r="92" spans="1:34" hidden="1">
      <c r="A92" s="39" t="s">
        <v>497</v>
      </c>
      <c r="B92" s="39">
        <v>1256</v>
      </c>
      <c r="C92" s="39">
        <v>916</v>
      </c>
      <c r="D92" s="39">
        <v>731</v>
      </c>
      <c r="E92" s="39">
        <v>867</v>
      </c>
      <c r="F92" s="39">
        <v>838</v>
      </c>
      <c r="G92" s="39">
        <v>745</v>
      </c>
      <c r="H92" s="39">
        <v>692</v>
      </c>
      <c r="I92" s="39">
        <v>721</v>
      </c>
      <c r="J92" s="39">
        <v>652</v>
      </c>
      <c r="K92">
        <v>690</v>
      </c>
      <c r="L92">
        <v>597</v>
      </c>
      <c r="M92">
        <v>459</v>
      </c>
      <c r="N92">
        <v>2757</v>
      </c>
      <c r="O92">
        <v>210</v>
      </c>
      <c r="P92">
        <v>211</v>
      </c>
      <c r="Q92">
        <v>211</v>
      </c>
      <c r="R92">
        <v>334</v>
      </c>
      <c r="S92">
        <v>290</v>
      </c>
      <c r="T92">
        <v>296</v>
      </c>
      <c r="U92">
        <v>258</v>
      </c>
      <c r="V92">
        <v>260</v>
      </c>
      <c r="W92">
        <v>254</v>
      </c>
      <c r="X92">
        <v>376</v>
      </c>
      <c r="Y92">
        <v>333</v>
      </c>
      <c r="Z92">
        <v>293</v>
      </c>
      <c r="AA92">
        <v>669</v>
      </c>
      <c r="AD92" t="s">
        <v>595</v>
      </c>
      <c r="AE92" s="28">
        <v>6857</v>
      </c>
      <c r="AF92">
        <v>24329</v>
      </c>
      <c r="AG92">
        <v>6633</v>
      </c>
      <c r="AH92">
        <v>23253</v>
      </c>
    </row>
    <row r="93" spans="1:34" hidden="1">
      <c r="A93" s="39" t="s">
        <v>184</v>
      </c>
      <c r="B93" s="39">
        <v>0</v>
      </c>
      <c r="C93" s="39">
        <v>400</v>
      </c>
      <c r="D93" s="39">
        <v>321</v>
      </c>
      <c r="E93" s="39">
        <v>270</v>
      </c>
      <c r="F93" s="39">
        <v>345</v>
      </c>
      <c r="G93" s="39">
        <v>165</v>
      </c>
      <c r="H93" s="39">
        <v>426</v>
      </c>
      <c r="I93" s="39">
        <v>412</v>
      </c>
      <c r="J93" s="39">
        <v>372</v>
      </c>
      <c r="K93">
        <v>346</v>
      </c>
      <c r="L93">
        <v>504</v>
      </c>
      <c r="M93">
        <v>410</v>
      </c>
      <c r="N93">
        <v>650</v>
      </c>
      <c r="O93">
        <v>0</v>
      </c>
      <c r="P93">
        <v>73</v>
      </c>
      <c r="Q93">
        <v>49</v>
      </c>
      <c r="R93">
        <v>76</v>
      </c>
      <c r="S93">
        <v>101</v>
      </c>
      <c r="T93">
        <v>32</v>
      </c>
      <c r="U93">
        <v>102</v>
      </c>
      <c r="V93">
        <v>89</v>
      </c>
      <c r="W93">
        <v>105</v>
      </c>
      <c r="X93">
        <v>83</v>
      </c>
      <c r="Y93">
        <v>121</v>
      </c>
      <c r="Z93">
        <v>85</v>
      </c>
      <c r="AA93">
        <v>160</v>
      </c>
      <c r="AD93" t="s">
        <v>154</v>
      </c>
      <c r="AE93" s="28">
        <v>1277</v>
      </c>
      <c r="AF93">
        <v>5528</v>
      </c>
      <c r="AG93">
        <v>1354</v>
      </c>
      <c r="AH93">
        <v>5274</v>
      </c>
    </row>
    <row r="94" spans="1:34" hidden="1">
      <c r="A94" s="39" t="s">
        <v>1136</v>
      </c>
      <c r="B94" s="39">
        <v>1047</v>
      </c>
      <c r="C94" s="39">
        <v>1003</v>
      </c>
      <c r="D94" s="39">
        <v>1070</v>
      </c>
      <c r="E94" s="39">
        <v>936</v>
      </c>
      <c r="F94" s="39">
        <v>532</v>
      </c>
      <c r="G94" s="39">
        <v>490</v>
      </c>
      <c r="H94" s="39">
        <v>575</v>
      </c>
      <c r="I94" s="39">
        <v>466</v>
      </c>
      <c r="J94" s="39">
        <v>438</v>
      </c>
      <c r="K94">
        <v>373</v>
      </c>
      <c r="L94">
        <v>350</v>
      </c>
      <c r="M94">
        <v>403</v>
      </c>
      <c r="N94">
        <v>547</v>
      </c>
      <c r="O94">
        <v>200</v>
      </c>
      <c r="P94">
        <v>193</v>
      </c>
      <c r="Q94">
        <v>158</v>
      </c>
      <c r="R94">
        <v>172</v>
      </c>
      <c r="S94">
        <v>135</v>
      </c>
      <c r="T94">
        <v>145</v>
      </c>
      <c r="U94">
        <v>167</v>
      </c>
      <c r="V94">
        <v>149</v>
      </c>
      <c r="W94">
        <v>118</v>
      </c>
      <c r="X94">
        <v>137</v>
      </c>
      <c r="Y94">
        <v>141</v>
      </c>
      <c r="Z94">
        <v>138</v>
      </c>
      <c r="AA94">
        <v>119</v>
      </c>
      <c r="AD94" t="s">
        <v>316</v>
      </c>
      <c r="AE94" s="28">
        <v>1046</v>
      </c>
      <c r="AF94">
        <v>4252</v>
      </c>
      <c r="AG94">
        <v>963</v>
      </c>
      <c r="AH94">
        <v>3558</v>
      </c>
    </row>
    <row r="95" spans="1:34" hidden="1">
      <c r="A95" s="39" t="s">
        <v>1163</v>
      </c>
      <c r="B95" s="39">
        <v>569</v>
      </c>
      <c r="C95" s="39">
        <v>464</v>
      </c>
      <c r="D95" s="39">
        <v>413</v>
      </c>
      <c r="E95" s="39">
        <v>490</v>
      </c>
      <c r="F95" s="39">
        <v>388</v>
      </c>
      <c r="G95" s="39">
        <v>490</v>
      </c>
      <c r="H95" s="39">
        <v>570</v>
      </c>
      <c r="I95" s="39">
        <v>520</v>
      </c>
      <c r="J95" s="39">
        <v>455</v>
      </c>
      <c r="K95">
        <v>471</v>
      </c>
      <c r="L95">
        <v>330</v>
      </c>
      <c r="M95">
        <v>395</v>
      </c>
      <c r="N95">
        <v>623</v>
      </c>
      <c r="O95">
        <v>153</v>
      </c>
      <c r="P95">
        <v>131</v>
      </c>
      <c r="Q95">
        <v>113</v>
      </c>
      <c r="R95">
        <v>125</v>
      </c>
      <c r="S95">
        <v>141</v>
      </c>
      <c r="T95">
        <v>188</v>
      </c>
      <c r="U95">
        <v>215</v>
      </c>
      <c r="V95">
        <v>209</v>
      </c>
      <c r="W95">
        <v>181</v>
      </c>
      <c r="X95">
        <v>203</v>
      </c>
      <c r="Y95">
        <v>135</v>
      </c>
      <c r="Z95">
        <v>170</v>
      </c>
      <c r="AA95">
        <v>233</v>
      </c>
      <c r="AD95" t="s">
        <v>330</v>
      </c>
      <c r="AE95" s="28">
        <v>577</v>
      </c>
      <c r="AF95">
        <v>2249</v>
      </c>
      <c r="AH95">
        <v>0</v>
      </c>
    </row>
    <row r="96" spans="1:34" hidden="1">
      <c r="A96" s="39" t="s">
        <v>1125</v>
      </c>
      <c r="B96" s="39">
        <v>4013</v>
      </c>
      <c r="C96" s="39">
        <v>2760</v>
      </c>
      <c r="D96" s="39">
        <v>1710</v>
      </c>
      <c r="E96" s="39">
        <v>2229</v>
      </c>
      <c r="F96" s="39">
        <v>2199</v>
      </c>
      <c r="G96" s="39">
        <v>2033</v>
      </c>
      <c r="H96" s="39">
        <v>2284</v>
      </c>
      <c r="I96" s="39">
        <v>2387</v>
      </c>
      <c r="J96" s="39">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254</v>
      </c>
      <c r="AE96" s="28">
        <v>576</v>
      </c>
      <c r="AF96">
        <v>1593</v>
      </c>
      <c r="AH96">
        <v>0</v>
      </c>
    </row>
    <row r="97" spans="1:34" hidden="1">
      <c r="A97" s="39" t="s">
        <v>1040</v>
      </c>
      <c r="B97" s="39">
        <v>4430</v>
      </c>
      <c r="C97" s="39">
        <v>4077</v>
      </c>
      <c r="D97" s="39">
        <v>4073</v>
      </c>
      <c r="E97" s="39">
        <v>5819</v>
      </c>
      <c r="F97" s="39">
        <v>4803</v>
      </c>
      <c r="G97" s="39">
        <v>3465</v>
      </c>
      <c r="H97" s="39">
        <v>2984</v>
      </c>
      <c r="I97" s="39">
        <v>3286</v>
      </c>
      <c r="J97" s="39">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423</v>
      </c>
      <c r="AE97" s="28">
        <v>752</v>
      </c>
      <c r="AF97">
        <v>2822</v>
      </c>
      <c r="AH97">
        <v>0</v>
      </c>
    </row>
    <row r="98" spans="1:34" hidden="1">
      <c r="A98" s="39" t="s">
        <v>856</v>
      </c>
      <c r="B98" s="39">
        <v>877</v>
      </c>
      <c r="C98" s="39">
        <v>834</v>
      </c>
      <c r="D98" s="39">
        <v>498</v>
      </c>
      <c r="E98" s="39">
        <v>593</v>
      </c>
      <c r="F98" s="39">
        <v>469</v>
      </c>
      <c r="G98" s="39">
        <v>364</v>
      </c>
      <c r="H98" s="39">
        <v>309</v>
      </c>
      <c r="I98" s="39">
        <v>310</v>
      </c>
      <c r="J98" s="39">
        <v>325</v>
      </c>
      <c r="K98">
        <v>292</v>
      </c>
      <c r="L98">
        <v>306</v>
      </c>
      <c r="M98">
        <v>409</v>
      </c>
      <c r="N98">
        <v>568</v>
      </c>
      <c r="O98">
        <v>335</v>
      </c>
      <c r="P98">
        <v>274</v>
      </c>
      <c r="Q98">
        <v>156</v>
      </c>
      <c r="R98">
        <v>169</v>
      </c>
      <c r="S98">
        <v>168</v>
      </c>
      <c r="T98">
        <v>105</v>
      </c>
      <c r="U98">
        <v>180</v>
      </c>
      <c r="V98">
        <v>157</v>
      </c>
      <c r="W98">
        <v>145</v>
      </c>
      <c r="X98">
        <v>211</v>
      </c>
      <c r="Y98">
        <v>159</v>
      </c>
      <c r="Z98">
        <v>204</v>
      </c>
      <c r="AA98">
        <v>269</v>
      </c>
      <c r="AD98" t="s">
        <v>186</v>
      </c>
      <c r="AE98" s="28">
        <v>613</v>
      </c>
      <c r="AF98">
        <v>10530</v>
      </c>
      <c r="AG98">
        <v>503</v>
      </c>
      <c r="AH98">
        <v>7597</v>
      </c>
    </row>
    <row r="99" spans="1:34" hidden="1">
      <c r="A99" s="39" t="s">
        <v>705</v>
      </c>
      <c r="B99" s="39">
        <v>8670</v>
      </c>
      <c r="C99" s="39">
        <v>10909</v>
      </c>
      <c r="D99" s="39">
        <v>20029</v>
      </c>
      <c r="E99" s="39">
        <v>36832</v>
      </c>
      <c r="F99" s="39">
        <v>48074</v>
      </c>
      <c r="G99" s="39">
        <v>8569</v>
      </c>
      <c r="H99" s="39">
        <v>38597</v>
      </c>
      <c r="I99" s="39">
        <v>35871</v>
      </c>
      <c r="J99" s="39">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298</v>
      </c>
      <c r="AE99" s="28">
        <v>1880</v>
      </c>
      <c r="AF99">
        <v>18081</v>
      </c>
      <c r="AG99">
        <v>1564</v>
      </c>
      <c r="AH99">
        <v>15682</v>
      </c>
    </row>
    <row r="100" spans="1:34" hidden="1">
      <c r="A100" s="39" t="s">
        <v>300</v>
      </c>
      <c r="B100" s="39">
        <v>760</v>
      </c>
      <c r="C100" s="39">
        <v>617</v>
      </c>
      <c r="D100" s="39">
        <v>797</v>
      </c>
      <c r="E100" s="39">
        <v>929</v>
      </c>
      <c r="F100" s="39">
        <v>661</v>
      </c>
      <c r="G100" s="39">
        <v>307</v>
      </c>
      <c r="H100" s="39">
        <v>441</v>
      </c>
      <c r="I100" s="39">
        <v>360</v>
      </c>
      <c r="J100" s="39">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401</v>
      </c>
      <c r="AE100" s="28">
        <v>513</v>
      </c>
      <c r="AF100">
        <v>2211</v>
      </c>
      <c r="AH100">
        <v>0</v>
      </c>
    </row>
    <row r="101" spans="1:34" hidden="1">
      <c r="A101" s="39" t="s">
        <v>258</v>
      </c>
      <c r="B101" s="39">
        <v>632</v>
      </c>
      <c r="C101" s="39">
        <v>1062</v>
      </c>
      <c r="D101" s="39">
        <v>1126</v>
      </c>
      <c r="E101" s="39">
        <v>1227</v>
      </c>
      <c r="F101" s="39">
        <v>713</v>
      </c>
      <c r="G101" s="39">
        <v>320</v>
      </c>
      <c r="H101" s="39">
        <v>544</v>
      </c>
      <c r="I101" s="39">
        <v>581</v>
      </c>
      <c r="J101" s="39">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204</v>
      </c>
      <c r="AE101" s="28">
        <v>196</v>
      </c>
      <c r="AF101">
        <v>1176</v>
      </c>
      <c r="AH101">
        <v>0</v>
      </c>
    </row>
    <row r="102" spans="1:34" hidden="1">
      <c r="A102" s="39" t="s">
        <v>389</v>
      </c>
      <c r="B102" s="39">
        <v>417</v>
      </c>
      <c r="C102" s="39">
        <v>369</v>
      </c>
      <c r="D102" s="39">
        <v>427</v>
      </c>
      <c r="E102" s="39">
        <v>482</v>
      </c>
      <c r="F102" s="39">
        <v>418</v>
      </c>
      <c r="G102" s="39">
        <v>408</v>
      </c>
      <c r="H102" s="39">
        <v>412</v>
      </c>
      <c r="I102" s="39">
        <v>489</v>
      </c>
      <c r="J102" s="39">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433</v>
      </c>
      <c r="AE102" s="28">
        <v>707</v>
      </c>
      <c r="AF102">
        <v>3766</v>
      </c>
      <c r="AH102">
        <v>0</v>
      </c>
    </row>
    <row r="103" spans="1:34" hidden="1">
      <c r="A103" s="39" t="s">
        <v>673</v>
      </c>
      <c r="B103" s="39">
        <v>1416</v>
      </c>
      <c r="C103" s="39">
        <v>1319</v>
      </c>
      <c r="D103" s="39">
        <v>1252</v>
      </c>
      <c r="E103" s="39">
        <v>1470</v>
      </c>
      <c r="F103" s="39">
        <v>1502</v>
      </c>
      <c r="G103" s="39">
        <v>1536</v>
      </c>
      <c r="H103" s="39">
        <v>1132</v>
      </c>
      <c r="I103" s="39">
        <v>1296</v>
      </c>
      <c r="J103" s="39">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597</v>
      </c>
      <c r="AE103" s="28">
        <v>1594</v>
      </c>
      <c r="AF103">
        <v>8161</v>
      </c>
      <c r="AG103">
        <v>1148</v>
      </c>
      <c r="AH103">
        <v>7643</v>
      </c>
    </row>
    <row r="104" spans="1:34" hidden="1">
      <c r="A104" s="39" t="s">
        <v>334</v>
      </c>
      <c r="B104" s="39">
        <v>2658</v>
      </c>
      <c r="C104" s="39">
        <v>1941</v>
      </c>
      <c r="D104" s="39">
        <v>1600</v>
      </c>
      <c r="E104" s="39">
        <v>2850</v>
      </c>
      <c r="F104" s="39">
        <v>2049</v>
      </c>
      <c r="G104" s="39">
        <v>1591</v>
      </c>
      <c r="H104" s="39">
        <v>1100</v>
      </c>
      <c r="I104" s="39">
        <v>1282</v>
      </c>
      <c r="J104" s="39">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619</v>
      </c>
      <c r="AE104" s="28">
        <v>2511</v>
      </c>
      <c r="AF104">
        <v>12700</v>
      </c>
      <c r="AG104">
        <v>2624</v>
      </c>
      <c r="AH104">
        <v>11543</v>
      </c>
    </row>
    <row r="105" spans="1:34" hidden="1">
      <c r="A105" s="39" t="s">
        <v>340</v>
      </c>
      <c r="B105" s="39">
        <v>1711</v>
      </c>
      <c r="C105" s="39">
        <v>1517</v>
      </c>
      <c r="D105" s="39">
        <v>1607</v>
      </c>
      <c r="E105" s="39">
        <v>1913</v>
      </c>
      <c r="F105" s="39">
        <v>1166</v>
      </c>
      <c r="G105" s="39">
        <v>1267</v>
      </c>
      <c r="H105" s="39">
        <v>1273</v>
      </c>
      <c r="I105" s="39">
        <v>1016</v>
      </c>
      <c r="J105" s="39">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403</v>
      </c>
      <c r="AE105" s="28">
        <v>1114</v>
      </c>
      <c r="AF105">
        <v>6172</v>
      </c>
      <c r="AG105">
        <v>1024</v>
      </c>
      <c r="AH105">
        <v>5169</v>
      </c>
    </row>
    <row r="106" spans="1:34" hidden="1">
      <c r="A106" s="39" t="s">
        <v>1058</v>
      </c>
      <c r="B106" s="39">
        <v>1350</v>
      </c>
      <c r="C106" s="39">
        <v>1288</v>
      </c>
      <c r="D106" s="39">
        <v>1007</v>
      </c>
      <c r="E106" s="39">
        <v>920</v>
      </c>
      <c r="F106" s="39">
        <v>747</v>
      </c>
      <c r="G106" s="39">
        <v>676</v>
      </c>
      <c r="H106" s="39">
        <v>705</v>
      </c>
      <c r="I106" s="39">
        <v>751</v>
      </c>
      <c r="J106" s="39">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443</v>
      </c>
      <c r="AE106" s="28">
        <v>950</v>
      </c>
      <c r="AF106">
        <v>2213</v>
      </c>
      <c r="AH106">
        <v>0</v>
      </c>
    </row>
    <row r="107" spans="1:34" hidden="1">
      <c r="A107" s="39" t="s">
        <v>1381</v>
      </c>
      <c r="B107" s="39">
        <v>0</v>
      </c>
      <c r="C107" s="39">
        <v>0</v>
      </c>
      <c r="D107" s="39">
        <v>0</v>
      </c>
      <c r="E107" s="39">
        <v>0</v>
      </c>
      <c r="F107" s="39">
        <v>0</v>
      </c>
      <c r="G107" s="39">
        <v>0</v>
      </c>
      <c r="H107" s="39">
        <v>208</v>
      </c>
      <c r="I107" s="39">
        <v>163</v>
      </c>
      <c r="J107" s="39">
        <v>136</v>
      </c>
      <c r="K107">
        <v>90</v>
      </c>
      <c r="L107">
        <v>112</v>
      </c>
      <c r="M107">
        <v>98</v>
      </c>
      <c r="N107">
        <v>107</v>
      </c>
      <c r="O107">
        <v>0</v>
      </c>
      <c r="P107">
        <v>0</v>
      </c>
      <c r="Q107">
        <v>0</v>
      </c>
      <c r="R107">
        <v>0</v>
      </c>
      <c r="S107">
        <v>0</v>
      </c>
      <c r="T107">
        <v>0</v>
      </c>
      <c r="U107">
        <v>53</v>
      </c>
      <c r="V107">
        <v>0</v>
      </c>
      <c r="W107">
        <v>89</v>
      </c>
      <c r="X107">
        <v>76</v>
      </c>
      <c r="Y107">
        <v>65</v>
      </c>
      <c r="Z107">
        <v>59</v>
      </c>
      <c r="AA107">
        <v>71</v>
      </c>
      <c r="AD107" t="s">
        <v>240</v>
      </c>
      <c r="AE107" s="28">
        <v>756</v>
      </c>
      <c r="AF107">
        <v>2872</v>
      </c>
      <c r="AH107">
        <v>0</v>
      </c>
    </row>
    <row r="108" spans="1:34" hidden="1">
      <c r="A108" s="39" t="s">
        <v>1159</v>
      </c>
      <c r="B108" s="39">
        <v>974</v>
      </c>
      <c r="C108" s="39">
        <v>1095</v>
      </c>
      <c r="D108" s="39">
        <v>2094</v>
      </c>
      <c r="E108" s="39">
        <v>1713</v>
      </c>
      <c r="F108" s="39">
        <v>1063</v>
      </c>
      <c r="G108" s="39">
        <v>7926</v>
      </c>
      <c r="H108" s="39">
        <v>1635</v>
      </c>
      <c r="I108" s="39">
        <v>895</v>
      </c>
      <c r="J108" s="39">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268</v>
      </c>
      <c r="AE108" s="28">
        <v>535</v>
      </c>
      <c r="AF108">
        <v>2720</v>
      </c>
      <c r="AH108">
        <v>0</v>
      </c>
    </row>
    <row r="109" spans="1:34" hidden="1">
      <c r="A109" s="39" t="s">
        <v>1231</v>
      </c>
      <c r="B109" s="39">
        <v>3177</v>
      </c>
      <c r="C109" s="39">
        <v>2464</v>
      </c>
      <c r="D109" s="39">
        <v>2763</v>
      </c>
      <c r="E109" s="39">
        <v>1976</v>
      </c>
      <c r="F109" s="39">
        <v>1821</v>
      </c>
      <c r="G109" s="39">
        <v>2050</v>
      </c>
      <c r="H109" s="39">
        <v>1848</v>
      </c>
      <c r="I109" s="39">
        <v>3303</v>
      </c>
      <c r="J109" s="39">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557</v>
      </c>
      <c r="AE109" s="28">
        <v>1992</v>
      </c>
      <c r="AF109">
        <v>4809</v>
      </c>
      <c r="AG109">
        <v>1876</v>
      </c>
      <c r="AH109">
        <v>4381</v>
      </c>
    </row>
    <row r="110" spans="1:34" hidden="1">
      <c r="A110" s="39" t="s">
        <v>523</v>
      </c>
      <c r="B110" s="39">
        <v>1558</v>
      </c>
      <c r="C110" s="39">
        <v>1634</v>
      </c>
      <c r="D110" s="39">
        <v>1646</v>
      </c>
      <c r="E110" s="39">
        <v>1521</v>
      </c>
      <c r="F110" s="39">
        <v>1323</v>
      </c>
      <c r="G110" s="39">
        <v>1390</v>
      </c>
      <c r="H110" s="39">
        <v>1297</v>
      </c>
      <c r="I110" s="39">
        <v>1409</v>
      </c>
      <c r="J110" s="39">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7" t="s">
        <v>140</v>
      </c>
      <c r="AE110" s="28">
        <v>910</v>
      </c>
      <c r="AF110">
        <v>4186</v>
      </c>
      <c r="AG110">
        <v>683</v>
      </c>
      <c r="AH110">
        <v>5958</v>
      </c>
    </row>
    <row r="111" spans="1:34" hidden="1">
      <c r="A111" s="39" t="s">
        <v>613</v>
      </c>
      <c r="B111" s="39">
        <v>1299</v>
      </c>
      <c r="C111" s="39">
        <v>1499</v>
      </c>
      <c r="D111" s="39">
        <v>1816</v>
      </c>
      <c r="E111" s="39">
        <v>1430</v>
      </c>
      <c r="F111" s="39">
        <v>1165</v>
      </c>
      <c r="G111" s="39">
        <v>1127</v>
      </c>
      <c r="H111" s="39">
        <v>1156</v>
      </c>
      <c r="I111" s="39">
        <v>1195</v>
      </c>
      <c r="J111" s="39">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338</v>
      </c>
      <c r="AE111" s="28">
        <v>991</v>
      </c>
      <c r="AF111">
        <v>4900</v>
      </c>
      <c r="AH111">
        <v>0</v>
      </c>
    </row>
    <row r="112" spans="1:34" hidden="1">
      <c r="A112" s="39" t="s">
        <v>1155</v>
      </c>
      <c r="B112" s="39">
        <v>1354</v>
      </c>
      <c r="C112" s="39">
        <v>1035</v>
      </c>
      <c r="D112" s="39">
        <v>988</v>
      </c>
      <c r="E112" s="39">
        <v>832</v>
      </c>
      <c r="F112" s="39">
        <v>578</v>
      </c>
      <c r="G112" s="39">
        <v>641</v>
      </c>
      <c r="H112" s="39">
        <v>495</v>
      </c>
      <c r="I112" s="39">
        <v>449</v>
      </c>
      <c r="J112" s="39">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276</v>
      </c>
      <c r="AE112" s="28">
        <v>1070</v>
      </c>
      <c r="AF112">
        <v>4644</v>
      </c>
      <c r="AG112">
        <v>1149</v>
      </c>
      <c r="AH112">
        <v>4926</v>
      </c>
    </row>
    <row r="113" spans="1:34" hidden="1">
      <c r="A113" s="39" t="s">
        <v>1382</v>
      </c>
      <c r="B113" s="39">
        <v>2000</v>
      </c>
      <c r="C113" s="39">
        <v>2085</v>
      </c>
      <c r="D113" s="39">
        <v>1899</v>
      </c>
      <c r="E113" s="39">
        <v>1650</v>
      </c>
      <c r="F113" s="39">
        <v>382</v>
      </c>
      <c r="G113" s="39">
        <v>0</v>
      </c>
      <c r="H113" s="39">
        <v>22</v>
      </c>
      <c r="I113" s="39">
        <v>12</v>
      </c>
      <c r="J113" s="39">
        <v>0</v>
      </c>
      <c r="K113">
        <v>6</v>
      </c>
      <c r="L113">
        <v>0</v>
      </c>
      <c r="M113">
        <v>0</v>
      </c>
      <c r="N113">
        <v>0</v>
      </c>
      <c r="O113">
        <v>746</v>
      </c>
      <c r="P113">
        <v>797</v>
      </c>
      <c r="Q113">
        <v>748</v>
      </c>
      <c r="R113">
        <v>696</v>
      </c>
      <c r="S113">
        <v>44</v>
      </c>
      <c r="T113">
        <v>0</v>
      </c>
      <c r="U113">
        <v>6</v>
      </c>
      <c r="V113">
        <v>2</v>
      </c>
      <c r="W113">
        <v>0</v>
      </c>
      <c r="X113">
        <v>1</v>
      </c>
      <c r="Y113">
        <v>0</v>
      </c>
      <c r="Z113">
        <v>0</v>
      </c>
      <c r="AA113">
        <v>0</v>
      </c>
      <c r="AD113" t="s">
        <v>216</v>
      </c>
      <c r="AE113" s="28">
        <v>269</v>
      </c>
      <c r="AF113">
        <v>1012</v>
      </c>
      <c r="AH113">
        <v>0</v>
      </c>
    </row>
    <row r="114" spans="1:34" hidden="1">
      <c r="A114" s="39" t="s">
        <v>1284</v>
      </c>
      <c r="B114" s="39">
        <v>485</v>
      </c>
      <c r="C114" s="39">
        <v>784</v>
      </c>
      <c r="D114" s="39">
        <v>1103</v>
      </c>
      <c r="E114" s="39">
        <v>586</v>
      </c>
      <c r="F114" s="39">
        <v>489</v>
      </c>
      <c r="G114" s="39">
        <v>498</v>
      </c>
      <c r="H114" s="39">
        <v>519</v>
      </c>
      <c r="I114" s="39">
        <v>491</v>
      </c>
      <c r="J114" s="39">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389</v>
      </c>
      <c r="AE114" s="28">
        <v>366</v>
      </c>
      <c r="AF114">
        <v>2376</v>
      </c>
      <c r="AG114">
        <v>335</v>
      </c>
      <c r="AH114">
        <v>2573</v>
      </c>
    </row>
    <row r="115" spans="1:34" hidden="1">
      <c r="A115" s="39" t="s">
        <v>1197</v>
      </c>
      <c r="B115" s="39">
        <v>1192</v>
      </c>
      <c r="C115" s="39">
        <v>1048</v>
      </c>
      <c r="D115" s="39">
        <v>821</v>
      </c>
      <c r="E115" s="39">
        <v>1049</v>
      </c>
      <c r="F115" s="39">
        <v>657</v>
      </c>
      <c r="G115" s="39">
        <v>569</v>
      </c>
      <c r="H115" s="39">
        <v>676</v>
      </c>
      <c r="I115" s="39">
        <v>751</v>
      </c>
      <c r="J115" s="39">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517</v>
      </c>
      <c r="AE115" s="28">
        <v>2113</v>
      </c>
      <c r="AF115">
        <v>5392</v>
      </c>
      <c r="AG115">
        <v>1765</v>
      </c>
      <c r="AH115">
        <v>4661</v>
      </c>
    </row>
    <row r="116" spans="1:34" hidden="1">
      <c r="A116" s="39" t="s">
        <v>1118</v>
      </c>
      <c r="B116" s="39">
        <v>1214</v>
      </c>
      <c r="C116" s="39">
        <v>674</v>
      </c>
      <c r="D116" s="39">
        <v>89</v>
      </c>
      <c r="E116" s="39">
        <v>820</v>
      </c>
      <c r="F116" s="39">
        <v>684</v>
      </c>
      <c r="G116" s="39">
        <v>594</v>
      </c>
      <c r="H116" s="39">
        <v>649</v>
      </c>
      <c r="I116" s="39">
        <v>840</v>
      </c>
      <c r="J116" s="39">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150</v>
      </c>
      <c r="AE116" s="28">
        <v>1161</v>
      </c>
      <c r="AF116">
        <v>5011</v>
      </c>
      <c r="AG116">
        <v>1486</v>
      </c>
      <c r="AH116">
        <v>6808</v>
      </c>
    </row>
    <row r="117" spans="1:34" hidden="1">
      <c r="A117" s="39" t="s">
        <v>1383</v>
      </c>
      <c r="B117" s="39">
        <v>128</v>
      </c>
      <c r="C117" s="39">
        <v>112</v>
      </c>
      <c r="D117" s="39">
        <v>69</v>
      </c>
      <c r="E117" s="39">
        <v>74</v>
      </c>
      <c r="F117" s="39">
        <v>64</v>
      </c>
      <c r="G117" s="39">
        <v>77</v>
      </c>
      <c r="H117" s="39">
        <v>86</v>
      </c>
      <c r="I117" s="39">
        <v>74</v>
      </c>
      <c r="J117" s="39">
        <v>72</v>
      </c>
      <c r="K117">
        <v>67</v>
      </c>
      <c r="L117">
        <v>63</v>
      </c>
      <c r="M117">
        <v>67</v>
      </c>
      <c r="N117">
        <v>263</v>
      </c>
      <c r="O117">
        <v>33</v>
      </c>
      <c r="P117">
        <v>29</v>
      </c>
      <c r="Q117">
        <v>23</v>
      </c>
      <c r="R117">
        <v>29</v>
      </c>
      <c r="S117">
        <v>18</v>
      </c>
      <c r="T117">
        <v>31</v>
      </c>
      <c r="U117">
        <v>36</v>
      </c>
      <c r="V117">
        <v>23</v>
      </c>
      <c r="W117">
        <v>33</v>
      </c>
      <c r="X117">
        <v>40</v>
      </c>
      <c r="Y117">
        <v>26</v>
      </c>
      <c r="Z117">
        <v>28</v>
      </c>
      <c r="AA117">
        <v>88</v>
      </c>
      <c r="AD117" t="s">
        <v>469</v>
      </c>
      <c r="AE117" s="28">
        <v>690</v>
      </c>
      <c r="AF117">
        <v>1755</v>
      </c>
      <c r="AH117">
        <v>0</v>
      </c>
    </row>
    <row r="118" spans="1:34" hidden="1">
      <c r="A118" s="39" t="s">
        <v>787</v>
      </c>
      <c r="B118" s="39">
        <v>198</v>
      </c>
      <c r="C118" s="39">
        <v>302</v>
      </c>
      <c r="D118" s="39">
        <v>84</v>
      </c>
      <c r="E118" s="39">
        <v>72</v>
      </c>
      <c r="F118" s="39">
        <v>53</v>
      </c>
      <c r="G118" s="39">
        <v>62</v>
      </c>
      <c r="H118" s="39">
        <v>107</v>
      </c>
      <c r="I118" s="39">
        <v>137</v>
      </c>
      <c r="J118" s="39">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286</v>
      </c>
      <c r="AE118" s="28">
        <v>1115</v>
      </c>
      <c r="AF118">
        <v>4213</v>
      </c>
      <c r="AG118">
        <v>995</v>
      </c>
      <c r="AH118">
        <v>3952</v>
      </c>
    </row>
    <row r="119" spans="1:34" hidden="1">
      <c r="A119" s="39" t="s">
        <v>1384</v>
      </c>
      <c r="B119" s="39">
        <v>28</v>
      </c>
      <c r="C119" s="39">
        <v>33</v>
      </c>
      <c r="D119" s="39">
        <v>39</v>
      </c>
      <c r="E119" s="39">
        <v>35</v>
      </c>
      <c r="F119" s="39">
        <v>36</v>
      </c>
      <c r="G119" s="39">
        <v>26</v>
      </c>
      <c r="H119" s="39">
        <v>51</v>
      </c>
      <c r="I119" s="39">
        <v>43</v>
      </c>
      <c r="J119" s="39">
        <v>53</v>
      </c>
      <c r="K119">
        <v>67</v>
      </c>
      <c r="L119">
        <v>59</v>
      </c>
      <c r="M119">
        <v>63</v>
      </c>
      <c r="N119">
        <v>73</v>
      </c>
      <c r="O119">
        <v>20</v>
      </c>
      <c r="P119">
        <v>13</v>
      </c>
      <c r="Q119">
        <v>18</v>
      </c>
      <c r="R119">
        <v>17</v>
      </c>
      <c r="S119">
        <v>21</v>
      </c>
      <c r="T119">
        <v>21</v>
      </c>
      <c r="U119">
        <v>23</v>
      </c>
      <c r="V119">
        <v>20</v>
      </c>
      <c r="W119">
        <v>30</v>
      </c>
      <c r="X119">
        <v>29</v>
      </c>
      <c r="Y119">
        <v>33</v>
      </c>
      <c r="Z119">
        <v>23</v>
      </c>
      <c r="AA119">
        <v>29</v>
      </c>
      <c r="AD119" t="s">
        <v>200</v>
      </c>
      <c r="AE119" s="28">
        <v>1273</v>
      </c>
      <c r="AF119">
        <v>4614</v>
      </c>
      <c r="AG119">
        <v>1509</v>
      </c>
      <c r="AH119">
        <v>5326</v>
      </c>
    </row>
    <row r="120" spans="1:34" hidden="1">
      <c r="A120" s="39" t="s">
        <v>811</v>
      </c>
      <c r="B120" s="39">
        <v>1002</v>
      </c>
      <c r="C120" s="39">
        <v>1034</v>
      </c>
      <c r="D120" s="39">
        <v>660</v>
      </c>
      <c r="E120" s="39">
        <v>563</v>
      </c>
      <c r="F120" s="39">
        <v>480</v>
      </c>
      <c r="G120" s="39">
        <v>479</v>
      </c>
      <c r="H120" s="39">
        <v>567</v>
      </c>
      <c r="I120" s="39">
        <v>408</v>
      </c>
      <c r="J120" s="39">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467</v>
      </c>
      <c r="AE120" s="28">
        <v>1003</v>
      </c>
      <c r="AF120">
        <v>5089</v>
      </c>
      <c r="AG120">
        <v>1135</v>
      </c>
      <c r="AH120">
        <v>6127</v>
      </c>
    </row>
    <row r="121" spans="1:34" hidden="1">
      <c r="A121" s="39" t="s">
        <v>200</v>
      </c>
      <c r="B121" s="39">
        <v>556</v>
      </c>
      <c r="C121" s="39">
        <v>644</v>
      </c>
      <c r="D121" s="39">
        <v>668</v>
      </c>
      <c r="E121" s="39">
        <v>708</v>
      </c>
      <c r="F121" s="39">
        <v>563</v>
      </c>
      <c r="G121" s="39">
        <v>598</v>
      </c>
      <c r="H121" s="39">
        <v>612</v>
      </c>
      <c r="I121" s="39">
        <v>598</v>
      </c>
      <c r="J121" s="39">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435</v>
      </c>
      <c r="AE121" s="28">
        <v>425</v>
      </c>
      <c r="AF121">
        <v>1216</v>
      </c>
      <c r="AH121">
        <v>0</v>
      </c>
    </row>
    <row r="122" spans="1:34" hidden="1">
      <c r="A122" s="39" t="s">
        <v>441</v>
      </c>
      <c r="B122" s="39">
        <v>1013</v>
      </c>
      <c r="C122" s="39">
        <v>1382</v>
      </c>
      <c r="D122" s="39">
        <v>1449</v>
      </c>
      <c r="E122" s="39">
        <v>2537</v>
      </c>
      <c r="F122" s="39">
        <v>1852</v>
      </c>
      <c r="G122" s="39">
        <v>1365</v>
      </c>
      <c r="H122" s="39">
        <v>998</v>
      </c>
      <c r="I122" s="39">
        <v>1016</v>
      </c>
      <c r="J122" s="39">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308</v>
      </c>
      <c r="AE122" s="28">
        <v>457</v>
      </c>
      <c r="AF122">
        <v>2842</v>
      </c>
      <c r="AH122">
        <v>0</v>
      </c>
    </row>
    <row r="123" spans="1:34" hidden="1">
      <c r="A123" s="39" t="s">
        <v>405</v>
      </c>
      <c r="B123" s="39">
        <v>426</v>
      </c>
      <c r="C123" s="39">
        <v>462</v>
      </c>
      <c r="D123" s="39">
        <v>516</v>
      </c>
      <c r="E123" s="39">
        <v>557</v>
      </c>
      <c r="F123" s="39">
        <v>514</v>
      </c>
      <c r="G123" s="39">
        <v>606</v>
      </c>
      <c r="H123" s="39">
        <v>431</v>
      </c>
      <c r="I123" s="39">
        <v>496</v>
      </c>
      <c r="J123" s="39">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190</v>
      </c>
      <c r="AE123" s="28">
        <v>396</v>
      </c>
      <c r="AF123">
        <v>1089</v>
      </c>
      <c r="AH123">
        <v>0</v>
      </c>
    </row>
    <row r="124" spans="1:34" hidden="1">
      <c r="A124" s="39" t="s">
        <v>114</v>
      </c>
      <c r="B124" s="39">
        <v>2274</v>
      </c>
      <c r="C124" s="39">
        <v>2856</v>
      </c>
      <c r="D124" s="39">
        <v>3377</v>
      </c>
      <c r="E124" s="39">
        <v>5031</v>
      </c>
      <c r="F124" s="39">
        <v>5590</v>
      </c>
      <c r="G124" s="39">
        <v>4851</v>
      </c>
      <c r="H124" s="39">
        <v>4649</v>
      </c>
      <c r="I124" s="39">
        <v>6101</v>
      </c>
      <c r="J124" s="39">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292</v>
      </c>
      <c r="AE124" s="28">
        <v>374</v>
      </c>
      <c r="AF124">
        <v>1383</v>
      </c>
      <c r="AH124">
        <v>0</v>
      </c>
    </row>
    <row r="125" spans="1:34" hidden="1">
      <c r="A125" s="39" t="s">
        <v>593</v>
      </c>
      <c r="B125" s="39">
        <v>879</v>
      </c>
      <c r="C125" s="39">
        <v>1082</v>
      </c>
      <c r="D125" s="39">
        <v>983</v>
      </c>
      <c r="E125" s="39">
        <v>1031</v>
      </c>
      <c r="F125" s="39">
        <v>927</v>
      </c>
      <c r="G125" s="39">
        <v>974</v>
      </c>
      <c r="H125" s="39">
        <v>1011</v>
      </c>
      <c r="I125" s="39">
        <v>1156</v>
      </c>
      <c r="J125" s="39">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250</v>
      </c>
      <c r="AE125" s="28">
        <v>2024</v>
      </c>
      <c r="AF125">
        <v>10130</v>
      </c>
      <c r="AG125">
        <v>2145</v>
      </c>
      <c r="AH125">
        <v>9967</v>
      </c>
    </row>
    <row r="126" spans="1:34" hidden="1">
      <c r="A126" s="39" t="s">
        <v>1217</v>
      </c>
      <c r="B126" s="39">
        <v>1634</v>
      </c>
      <c r="C126" s="39">
        <v>1088</v>
      </c>
      <c r="D126" s="39">
        <v>1379</v>
      </c>
      <c r="E126" s="39">
        <v>1401</v>
      </c>
      <c r="F126" s="39">
        <v>1057</v>
      </c>
      <c r="G126" s="39">
        <v>1155</v>
      </c>
      <c r="H126" s="39">
        <v>1143</v>
      </c>
      <c r="I126" s="39">
        <v>1093</v>
      </c>
      <c r="J126" s="39">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407</v>
      </c>
      <c r="AE126" s="28">
        <v>444</v>
      </c>
      <c r="AF126">
        <v>1903</v>
      </c>
      <c r="AH126">
        <v>0</v>
      </c>
    </row>
    <row r="127" spans="1:34" hidden="1">
      <c r="A127" s="39" t="s">
        <v>1385</v>
      </c>
      <c r="B127" s="39">
        <v>550</v>
      </c>
      <c r="C127" s="39">
        <v>528</v>
      </c>
      <c r="D127" s="39">
        <v>327</v>
      </c>
      <c r="E127" s="39">
        <v>306</v>
      </c>
      <c r="F127" s="39">
        <v>296</v>
      </c>
      <c r="G127" s="39">
        <v>241</v>
      </c>
      <c r="H127" s="39">
        <v>257</v>
      </c>
      <c r="I127" s="39">
        <v>382</v>
      </c>
      <c r="J127" s="39">
        <v>0</v>
      </c>
      <c r="K127">
        <v>2</v>
      </c>
      <c r="L127">
        <v>0</v>
      </c>
      <c r="M127">
        <v>0</v>
      </c>
      <c r="N127">
        <v>0</v>
      </c>
      <c r="O127">
        <v>164</v>
      </c>
      <c r="P127">
        <v>142</v>
      </c>
      <c r="Q127">
        <v>146</v>
      </c>
      <c r="R127">
        <v>116</v>
      </c>
      <c r="S127">
        <v>130</v>
      </c>
      <c r="T127">
        <v>118</v>
      </c>
      <c r="U127">
        <v>138</v>
      </c>
      <c r="V127">
        <v>136</v>
      </c>
      <c r="W127">
        <v>0</v>
      </c>
      <c r="X127">
        <v>2</v>
      </c>
      <c r="Y127">
        <v>0</v>
      </c>
      <c r="Z127">
        <v>0</v>
      </c>
      <c r="AA127">
        <v>0</v>
      </c>
      <c r="AD127" t="s">
        <v>415</v>
      </c>
      <c r="AE127" s="28">
        <v>384</v>
      </c>
      <c r="AF127">
        <v>1342</v>
      </c>
      <c r="AH127">
        <v>0</v>
      </c>
    </row>
    <row r="128" spans="1:34" hidden="1">
      <c r="A128" s="39" t="s">
        <v>445</v>
      </c>
      <c r="B128" s="39">
        <v>0</v>
      </c>
      <c r="C128" s="39">
        <v>687</v>
      </c>
      <c r="D128" s="39">
        <v>1065</v>
      </c>
      <c r="E128" s="39">
        <v>1231</v>
      </c>
      <c r="F128" s="39">
        <v>754</v>
      </c>
      <c r="G128" s="39">
        <v>682</v>
      </c>
      <c r="H128" s="39">
        <v>1047</v>
      </c>
      <c r="I128" s="39">
        <v>797</v>
      </c>
      <c r="J128" s="39">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114</v>
      </c>
      <c r="AE128" s="28">
        <v>4667</v>
      </c>
      <c r="AF128">
        <v>17712</v>
      </c>
      <c r="AG128">
        <v>4531</v>
      </c>
      <c r="AH128">
        <v>24486</v>
      </c>
    </row>
    <row r="129" spans="1:34" hidden="1">
      <c r="A129" s="39" t="s">
        <v>771</v>
      </c>
      <c r="B129" s="39">
        <v>109</v>
      </c>
      <c r="C129" s="39">
        <v>64</v>
      </c>
      <c r="D129" s="39">
        <v>94</v>
      </c>
      <c r="E129" s="39">
        <v>63</v>
      </c>
      <c r="F129" s="39">
        <v>86</v>
      </c>
      <c r="G129" s="39">
        <v>93</v>
      </c>
      <c r="H129" s="39">
        <v>96</v>
      </c>
      <c r="I129" s="39">
        <v>208</v>
      </c>
      <c r="J129" s="39">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569</v>
      </c>
      <c r="AE129" s="28">
        <v>2577</v>
      </c>
      <c r="AF129">
        <v>9416</v>
      </c>
      <c r="AG129">
        <v>2224</v>
      </c>
      <c r="AH129">
        <v>8107</v>
      </c>
    </row>
    <row r="130" spans="1:34" hidden="1">
      <c r="A130" s="39" t="s">
        <v>1047</v>
      </c>
      <c r="B130" s="39">
        <v>4323</v>
      </c>
      <c r="C130" s="39">
        <v>3717</v>
      </c>
      <c r="D130" s="39">
        <v>6969</v>
      </c>
      <c r="E130" s="39">
        <v>12230</v>
      </c>
      <c r="F130" s="39">
        <v>8131</v>
      </c>
      <c r="G130" s="39">
        <v>5322</v>
      </c>
      <c r="H130" s="39">
        <v>3436</v>
      </c>
      <c r="I130" s="39">
        <v>3161</v>
      </c>
      <c r="J130" s="39">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553</v>
      </c>
      <c r="AE130" s="28">
        <v>2165</v>
      </c>
      <c r="AF130">
        <v>5383</v>
      </c>
      <c r="AG130">
        <v>2320</v>
      </c>
      <c r="AH130">
        <v>5350</v>
      </c>
    </row>
    <row r="131" spans="1:34" hidden="1">
      <c r="A131" s="39" t="s">
        <v>1184</v>
      </c>
      <c r="B131" s="39">
        <v>1450</v>
      </c>
      <c r="C131" s="39">
        <v>1559</v>
      </c>
      <c r="D131" s="39">
        <v>1228</v>
      </c>
      <c r="E131" s="39">
        <v>1388</v>
      </c>
      <c r="F131" s="39">
        <v>1438</v>
      </c>
      <c r="G131" s="39">
        <v>1443</v>
      </c>
      <c r="H131" s="39">
        <v>1497</v>
      </c>
      <c r="I131" s="39">
        <v>1915</v>
      </c>
      <c r="J131" s="39">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172</v>
      </c>
      <c r="AE131" s="28">
        <v>1108</v>
      </c>
      <c r="AF131">
        <v>5115</v>
      </c>
      <c r="AG131">
        <v>971</v>
      </c>
      <c r="AH131">
        <v>4608</v>
      </c>
    </row>
    <row r="132" spans="1:34" hidden="1">
      <c r="A132" s="39" t="s">
        <v>1051</v>
      </c>
      <c r="B132" s="39">
        <v>1100</v>
      </c>
      <c r="C132" s="39">
        <v>860</v>
      </c>
      <c r="D132" s="39">
        <v>863</v>
      </c>
      <c r="E132" s="39">
        <v>884</v>
      </c>
      <c r="F132" s="39">
        <v>902</v>
      </c>
      <c r="G132" s="39">
        <v>813</v>
      </c>
      <c r="H132" s="39">
        <v>690</v>
      </c>
      <c r="I132" s="39">
        <v>871</v>
      </c>
      <c r="J132" s="39">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575</v>
      </c>
      <c r="AE132" s="28">
        <v>2302</v>
      </c>
      <c r="AF132">
        <v>10218</v>
      </c>
      <c r="AG132">
        <v>2189</v>
      </c>
      <c r="AH132">
        <v>9526</v>
      </c>
    </row>
    <row r="133" spans="1:34" hidden="1">
      <c r="A133" s="39" t="s">
        <v>1066</v>
      </c>
      <c r="B133" s="39">
        <v>310</v>
      </c>
      <c r="C133" s="39">
        <v>322</v>
      </c>
      <c r="D133" s="39">
        <v>924</v>
      </c>
      <c r="E133" s="39">
        <v>1220</v>
      </c>
      <c r="F133" s="39">
        <v>1061</v>
      </c>
      <c r="G133" s="39">
        <v>741</v>
      </c>
      <c r="H133" s="39">
        <v>669</v>
      </c>
      <c r="I133" s="39">
        <v>633</v>
      </c>
      <c r="J133" s="39">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593</v>
      </c>
      <c r="AE133" s="28">
        <v>2047</v>
      </c>
      <c r="AF133">
        <v>7282</v>
      </c>
      <c r="AG133">
        <v>1788</v>
      </c>
      <c r="AH133">
        <v>6367</v>
      </c>
    </row>
    <row r="134" spans="1:34" hidden="1">
      <c r="A134" s="39" t="s">
        <v>1151</v>
      </c>
      <c r="B134" s="39">
        <v>21</v>
      </c>
      <c r="C134" s="39">
        <v>23</v>
      </c>
      <c r="D134" s="39">
        <v>38</v>
      </c>
      <c r="E134" s="39">
        <v>47</v>
      </c>
      <c r="F134" s="39">
        <v>34</v>
      </c>
      <c r="G134" s="39">
        <v>33</v>
      </c>
      <c r="H134" s="39">
        <v>22</v>
      </c>
      <c r="I134" s="39">
        <v>28</v>
      </c>
      <c r="J134" s="39">
        <v>39</v>
      </c>
      <c r="K134">
        <v>30</v>
      </c>
      <c r="L134">
        <v>28</v>
      </c>
      <c r="M134">
        <v>24</v>
      </c>
      <c r="N134">
        <v>56</v>
      </c>
      <c r="O134">
        <v>3</v>
      </c>
      <c r="P134">
        <v>4</v>
      </c>
      <c r="Q134">
        <v>4</v>
      </c>
      <c r="R134">
        <v>3</v>
      </c>
      <c r="S134">
        <v>5</v>
      </c>
      <c r="T134">
        <v>1</v>
      </c>
      <c r="U134">
        <v>1</v>
      </c>
      <c r="V134">
        <v>2</v>
      </c>
      <c r="W134">
        <v>4</v>
      </c>
      <c r="X134">
        <v>1</v>
      </c>
      <c r="Y134">
        <v>6</v>
      </c>
      <c r="Z134">
        <v>3</v>
      </c>
      <c r="AA134">
        <v>6</v>
      </c>
      <c r="AD134" t="s">
        <v>90</v>
      </c>
      <c r="AE134" s="28">
        <v>760</v>
      </c>
      <c r="AF134">
        <v>2586</v>
      </c>
      <c r="AG134">
        <v>654</v>
      </c>
      <c r="AH134">
        <v>2486</v>
      </c>
    </row>
    <row r="135" spans="1:34" hidden="1">
      <c r="A135" s="39" t="s">
        <v>1132</v>
      </c>
      <c r="B135" s="39">
        <v>66</v>
      </c>
      <c r="C135" s="39">
        <v>134</v>
      </c>
      <c r="D135" s="39">
        <v>267</v>
      </c>
      <c r="E135" s="39">
        <v>141</v>
      </c>
      <c r="F135" s="39">
        <v>86</v>
      </c>
      <c r="G135" s="39">
        <v>77</v>
      </c>
      <c r="H135" s="39">
        <v>87</v>
      </c>
      <c r="I135" s="39">
        <v>169</v>
      </c>
      <c r="J135" s="39">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78</v>
      </c>
      <c r="AE135" s="28">
        <v>1249</v>
      </c>
      <c r="AF135">
        <v>5495</v>
      </c>
      <c r="AG135">
        <v>1127</v>
      </c>
      <c r="AH135">
        <v>5014</v>
      </c>
    </row>
    <row r="136" spans="1:34" hidden="1">
      <c r="A136" s="39" t="s">
        <v>693</v>
      </c>
      <c r="B136" s="39">
        <v>5320</v>
      </c>
      <c r="C136" s="39">
        <v>3011</v>
      </c>
      <c r="D136" s="39">
        <v>1145</v>
      </c>
      <c r="E136" s="39">
        <v>3689</v>
      </c>
      <c r="F136" s="39">
        <v>2504</v>
      </c>
      <c r="G136" s="39">
        <v>2187</v>
      </c>
      <c r="H136" s="39">
        <v>2306</v>
      </c>
      <c r="I136" s="39">
        <v>2366</v>
      </c>
      <c r="J136" s="39">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8">
        <v>0</v>
      </c>
      <c r="AF136">
        <v>0</v>
      </c>
    </row>
    <row r="137" spans="1:34" hidden="1">
      <c r="A137" s="39" t="s">
        <v>280</v>
      </c>
      <c r="B137" s="39">
        <v>1619</v>
      </c>
      <c r="C137" s="39">
        <v>1633</v>
      </c>
      <c r="D137" s="39">
        <v>717</v>
      </c>
      <c r="E137" s="39">
        <v>826</v>
      </c>
      <c r="F137" s="39">
        <v>650</v>
      </c>
      <c r="G137" s="39">
        <v>725</v>
      </c>
      <c r="H137" s="39">
        <v>777</v>
      </c>
      <c r="I137" s="39">
        <v>962</v>
      </c>
      <c r="J137" s="39">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8">
        <v>0</v>
      </c>
      <c r="AF137">
        <v>0</v>
      </c>
    </row>
    <row r="138" spans="1:34" hidden="1">
      <c r="A138" s="39" t="s">
        <v>248</v>
      </c>
      <c r="B138" s="39">
        <v>2361</v>
      </c>
      <c r="C138" s="39">
        <v>2605</v>
      </c>
      <c r="D138" s="39">
        <v>2688</v>
      </c>
      <c r="E138" s="39">
        <v>3554</v>
      </c>
      <c r="F138" s="39">
        <v>3657</v>
      </c>
      <c r="G138" s="39">
        <v>3360</v>
      </c>
      <c r="H138" s="39">
        <v>3137</v>
      </c>
      <c r="I138" s="39">
        <v>3454</v>
      </c>
      <c r="J138" s="39">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8">
        <v>0</v>
      </c>
      <c r="AF138">
        <v>0</v>
      </c>
    </row>
    <row r="139" spans="1:34" hidden="1">
      <c r="A139" s="39" t="s">
        <v>449</v>
      </c>
      <c r="B139" s="39">
        <v>1476</v>
      </c>
      <c r="C139" s="39">
        <v>1945</v>
      </c>
      <c r="D139" s="39">
        <v>2127</v>
      </c>
      <c r="E139" s="39">
        <v>2420</v>
      </c>
      <c r="F139" s="39">
        <v>2366</v>
      </c>
      <c r="G139" s="39">
        <v>2349</v>
      </c>
      <c r="H139" s="39">
        <v>2432</v>
      </c>
      <c r="I139" s="39">
        <v>2364</v>
      </c>
      <c r="J139" s="39">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8">
        <v>0</v>
      </c>
      <c r="AF139">
        <v>0</v>
      </c>
    </row>
    <row r="140" spans="1:34" hidden="1">
      <c r="A140" s="39" t="s">
        <v>22</v>
      </c>
      <c r="B140" s="39">
        <v>5127</v>
      </c>
      <c r="C140" s="39">
        <v>2691</v>
      </c>
      <c r="D140" s="39">
        <v>3374</v>
      </c>
      <c r="E140" s="39">
        <v>5722</v>
      </c>
      <c r="F140" s="39">
        <v>4410</v>
      </c>
      <c r="G140" s="39">
        <v>4656</v>
      </c>
      <c r="H140" s="39">
        <v>5272</v>
      </c>
      <c r="I140" s="39">
        <v>3944</v>
      </c>
      <c r="J140" s="39">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8">
        <v>0</v>
      </c>
      <c r="AF140">
        <v>0</v>
      </c>
    </row>
    <row r="141" spans="1:34" hidden="1">
      <c r="A141" s="39" t="s">
        <v>481</v>
      </c>
      <c r="B141" s="39">
        <v>5383</v>
      </c>
      <c r="C141" s="39">
        <v>4790</v>
      </c>
      <c r="D141" s="39">
        <v>3916</v>
      </c>
      <c r="E141" s="39">
        <v>3315</v>
      </c>
      <c r="F141" s="39">
        <v>2791</v>
      </c>
      <c r="G141" s="39">
        <v>2696</v>
      </c>
      <c r="H141" s="39">
        <v>2057</v>
      </c>
      <c r="I141" s="39">
        <v>3008</v>
      </c>
      <c r="J141" s="39">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8">
        <v>0</v>
      </c>
      <c r="AF141">
        <v>0</v>
      </c>
    </row>
    <row r="142" spans="1:34" hidden="1">
      <c r="A142" s="39" t="s">
        <v>206</v>
      </c>
      <c r="B142" s="39">
        <v>0</v>
      </c>
      <c r="C142" s="39">
        <v>2098</v>
      </c>
      <c r="D142" s="39">
        <v>2243</v>
      </c>
      <c r="E142" s="39">
        <v>2036</v>
      </c>
      <c r="F142" s="39">
        <v>1818</v>
      </c>
      <c r="G142" s="39">
        <v>2072</v>
      </c>
      <c r="H142" s="39">
        <v>1235</v>
      </c>
      <c r="I142" s="39">
        <v>1323</v>
      </c>
      <c r="J142" s="39">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393</v>
      </c>
      <c r="AE142" s="28">
        <v>477</v>
      </c>
      <c r="AF142">
        <v>2478</v>
      </c>
      <c r="AG142">
        <v>475</v>
      </c>
      <c r="AH142">
        <v>2376</v>
      </c>
    </row>
    <row r="143" spans="1:34" hidden="1">
      <c r="A143" s="39" t="s">
        <v>397</v>
      </c>
      <c r="B143" s="39">
        <v>762</v>
      </c>
      <c r="C143" s="39">
        <v>1141</v>
      </c>
      <c r="D143" s="39">
        <v>996</v>
      </c>
      <c r="E143" s="39">
        <v>2175</v>
      </c>
      <c r="F143" s="39">
        <v>1366</v>
      </c>
      <c r="G143" s="39">
        <v>2724</v>
      </c>
      <c r="H143" s="39">
        <v>1011</v>
      </c>
      <c r="I143" s="39">
        <v>1058</v>
      </c>
      <c r="J143" s="39">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7" t="s">
        <v>525</v>
      </c>
      <c r="AE143" s="28">
        <v>732</v>
      </c>
      <c r="AF143">
        <v>3414</v>
      </c>
      <c r="AG143">
        <v>738</v>
      </c>
      <c r="AH143">
        <v>3203</v>
      </c>
    </row>
    <row r="144" spans="1:34" hidden="1">
      <c r="A144" s="39" t="s">
        <v>437</v>
      </c>
      <c r="B144" s="39">
        <v>1491</v>
      </c>
      <c r="C144" s="39">
        <v>1436</v>
      </c>
      <c r="D144" s="39">
        <v>1225</v>
      </c>
      <c r="E144" s="39">
        <v>1684</v>
      </c>
      <c r="F144" s="39">
        <v>1462</v>
      </c>
      <c r="G144" s="39">
        <v>1782</v>
      </c>
      <c r="H144" s="39">
        <v>1906</v>
      </c>
      <c r="I144" s="39">
        <v>1800</v>
      </c>
      <c r="J144" s="39">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156</v>
      </c>
      <c r="AE144" s="28">
        <v>807</v>
      </c>
      <c r="AF144">
        <v>3474</v>
      </c>
      <c r="AG144">
        <v>685</v>
      </c>
      <c r="AH144">
        <v>3403</v>
      </c>
    </row>
    <row r="145" spans="1:34" hidden="1">
      <c r="A145" s="39" t="s">
        <v>1072</v>
      </c>
      <c r="B145" s="39">
        <v>1434</v>
      </c>
      <c r="C145" s="39">
        <v>1037</v>
      </c>
      <c r="D145" s="39">
        <v>643</v>
      </c>
      <c r="E145" s="39">
        <v>560</v>
      </c>
      <c r="F145" s="39">
        <v>454</v>
      </c>
      <c r="G145" s="39">
        <v>513</v>
      </c>
      <c r="H145" s="39">
        <v>583</v>
      </c>
      <c r="I145" s="39">
        <v>404</v>
      </c>
      <c r="J145" s="39">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260</v>
      </c>
      <c r="AE145" s="28">
        <v>1176</v>
      </c>
      <c r="AF145">
        <v>4928</v>
      </c>
      <c r="AG145">
        <v>1070</v>
      </c>
      <c r="AH145">
        <v>3829</v>
      </c>
    </row>
    <row r="146" spans="1:34" hidden="1">
      <c r="A146" s="39" t="s">
        <v>1386</v>
      </c>
      <c r="B146" s="39">
        <v>602</v>
      </c>
      <c r="C146" s="39">
        <v>454</v>
      </c>
      <c r="D146" s="39">
        <v>98</v>
      </c>
      <c r="E146" s="39">
        <v>417</v>
      </c>
      <c r="F146" s="39">
        <v>336</v>
      </c>
      <c r="G146" s="39">
        <v>285</v>
      </c>
      <c r="H146" s="39">
        <v>926</v>
      </c>
      <c r="I146" s="39">
        <v>289</v>
      </c>
      <c r="J146" s="39">
        <v>0</v>
      </c>
      <c r="K146">
        <v>4</v>
      </c>
      <c r="L146">
        <v>2</v>
      </c>
      <c r="M146">
        <v>0</v>
      </c>
      <c r="N146">
        <v>0</v>
      </c>
      <c r="O146">
        <v>175</v>
      </c>
      <c r="P146">
        <v>91</v>
      </c>
      <c r="Q146">
        <v>0</v>
      </c>
      <c r="R146">
        <v>160</v>
      </c>
      <c r="S146">
        <v>111</v>
      </c>
      <c r="T146">
        <v>111</v>
      </c>
      <c r="U146">
        <v>399</v>
      </c>
      <c r="V146">
        <v>61</v>
      </c>
      <c r="W146">
        <v>1</v>
      </c>
      <c r="X146">
        <v>2</v>
      </c>
      <c r="Y146">
        <v>1</v>
      </c>
      <c r="Z146">
        <v>0</v>
      </c>
      <c r="AA146">
        <v>0</v>
      </c>
      <c r="AD146" t="s">
        <v>258</v>
      </c>
      <c r="AE146" s="28">
        <v>485</v>
      </c>
      <c r="AF146">
        <v>1503</v>
      </c>
      <c r="AG146">
        <v>600</v>
      </c>
      <c r="AH146">
        <v>2244</v>
      </c>
    </row>
    <row r="147" spans="1:34" hidden="1">
      <c r="A147" s="39" t="s">
        <v>1387</v>
      </c>
      <c r="B147" s="39">
        <v>511</v>
      </c>
      <c r="C147" s="39">
        <v>0</v>
      </c>
      <c r="D147" s="39">
        <v>0</v>
      </c>
      <c r="E147" s="39">
        <v>0</v>
      </c>
      <c r="F147" s="39">
        <v>0</v>
      </c>
      <c r="G147" s="39">
        <v>0</v>
      </c>
      <c r="H147" s="39">
        <v>0</v>
      </c>
      <c r="I147" s="39">
        <v>0</v>
      </c>
      <c r="J147" s="39">
        <v>107</v>
      </c>
      <c r="K147">
        <v>0</v>
      </c>
      <c r="L147">
        <v>127</v>
      </c>
      <c r="M147">
        <v>22</v>
      </c>
      <c r="N147">
        <v>51</v>
      </c>
      <c r="O147">
        <v>153</v>
      </c>
      <c r="P147">
        <v>0</v>
      </c>
      <c r="Q147">
        <v>0</v>
      </c>
      <c r="R147">
        <v>0</v>
      </c>
      <c r="S147">
        <v>0</v>
      </c>
      <c r="T147">
        <v>0</v>
      </c>
      <c r="U147">
        <v>0</v>
      </c>
      <c r="V147">
        <v>0</v>
      </c>
      <c r="W147">
        <v>21</v>
      </c>
      <c r="X147">
        <v>1</v>
      </c>
      <c r="Y147">
        <v>25</v>
      </c>
      <c r="Z147">
        <v>1</v>
      </c>
      <c r="AA147">
        <v>9</v>
      </c>
      <c r="AD147" t="s">
        <v>76</v>
      </c>
      <c r="AE147" s="28">
        <v>1603</v>
      </c>
      <c r="AF147">
        <v>5425</v>
      </c>
      <c r="AG147">
        <v>1488</v>
      </c>
      <c r="AH147">
        <v>5220</v>
      </c>
    </row>
    <row r="148" spans="1:34" hidden="1">
      <c r="A148" s="39" t="s">
        <v>1180</v>
      </c>
      <c r="B148" s="39">
        <v>446</v>
      </c>
      <c r="C148" s="39">
        <v>408</v>
      </c>
      <c r="D148" s="39">
        <v>328</v>
      </c>
      <c r="E148" s="39">
        <v>346</v>
      </c>
      <c r="F148" s="39">
        <v>332</v>
      </c>
      <c r="G148" s="39">
        <v>369</v>
      </c>
      <c r="H148" s="39">
        <v>428</v>
      </c>
      <c r="I148" s="39">
        <v>522</v>
      </c>
      <c r="J148" s="39">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515</v>
      </c>
      <c r="AE148" s="28">
        <v>5633</v>
      </c>
      <c r="AF148">
        <v>24131</v>
      </c>
      <c r="AG148">
        <v>5006</v>
      </c>
      <c r="AH148">
        <v>20579</v>
      </c>
    </row>
    <row r="149" spans="1:34" hidden="1">
      <c r="A149" s="39" t="s">
        <v>1201</v>
      </c>
      <c r="B149" s="39">
        <v>198</v>
      </c>
      <c r="C149" s="39">
        <v>149</v>
      </c>
      <c r="D149" s="39">
        <v>200</v>
      </c>
      <c r="E149" s="39">
        <v>244</v>
      </c>
      <c r="F149" s="39">
        <v>134</v>
      </c>
      <c r="G149" s="39">
        <v>153</v>
      </c>
      <c r="H149" s="39">
        <v>155</v>
      </c>
      <c r="I149" s="39">
        <v>204</v>
      </c>
      <c r="J149" s="39">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98</v>
      </c>
      <c r="AE149" s="28">
        <v>3162</v>
      </c>
      <c r="AF149">
        <v>14680</v>
      </c>
      <c r="AG149">
        <v>3141</v>
      </c>
      <c r="AH149">
        <v>14722</v>
      </c>
    </row>
    <row r="150" spans="1:34" hidden="1">
      <c r="A150" s="39" t="s">
        <v>793</v>
      </c>
      <c r="B150" s="39">
        <v>336</v>
      </c>
      <c r="C150" s="39">
        <v>468</v>
      </c>
      <c r="D150" s="39">
        <v>470</v>
      </c>
      <c r="E150" s="39">
        <v>532</v>
      </c>
      <c r="F150" s="39">
        <v>375</v>
      </c>
      <c r="G150" s="39">
        <v>397</v>
      </c>
      <c r="H150" s="39">
        <v>488</v>
      </c>
      <c r="I150" s="39">
        <v>590</v>
      </c>
      <c r="J150" s="39">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1388</v>
      </c>
      <c r="AE150" s="28">
        <v>401</v>
      </c>
      <c r="AF150">
        <v>2749</v>
      </c>
      <c r="AH150">
        <v>0</v>
      </c>
    </row>
    <row r="151" spans="1:34" hidden="1">
      <c r="A151" s="39" t="s">
        <v>1389</v>
      </c>
      <c r="B151" s="39">
        <v>0</v>
      </c>
      <c r="C151" s="39">
        <v>298</v>
      </c>
      <c r="D151" s="39">
        <v>1106</v>
      </c>
      <c r="E151" s="39">
        <v>743</v>
      </c>
      <c r="F151" s="39">
        <v>683</v>
      </c>
      <c r="G151" s="39">
        <v>854</v>
      </c>
      <c r="H151" s="39">
        <v>562</v>
      </c>
      <c r="I151" s="39">
        <v>553</v>
      </c>
      <c r="J151" s="39">
        <v>893</v>
      </c>
      <c r="K151">
        <v>3</v>
      </c>
      <c r="L151">
        <v>0</v>
      </c>
      <c r="M151">
        <v>0</v>
      </c>
      <c r="N151">
        <v>0</v>
      </c>
      <c r="O151">
        <v>0</v>
      </c>
      <c r="P151">
        <v>24</v>
      </c>
      <c r="Q151">
        <v>100</v>
      </c>
      <c r="R151">
        <v>73</v>
      </c>
      <c r="S151">
        <v>72</v>
      </c>
      <c r="T151">
        <v>110</v>
      </c>
      <c r="U151">
        <v>69</v>
      </c>
      <c r="V151">
        <v>65</v>
      </c>
      <c r="W151">
        <v>103</v>
      </c>
      <c r="X151">
        <v>2</v>
      </c>
      <c r="Y151">
        <v>0</v>
      </c>
      <c r="Z151">
        <v>0</v>
      </c>
      <c r="AA151">
        <v>0</v>
      </c>
      <c r="AD151" t="s">
        <v>360</v>
      </c>
      <c r="AE151" s="28">
        <v>1430</v>
      </c>
      <c r="AF151">
        <v>3218</v>
      </c>
      <c r="AG151">
        <v>1479</v>
      </c>
      <c r="AH151">
        <v>2963</v>
      </c>
    </row>
    <row r="152" spans="1:34" hidden="1">
      <c r="A152" s="39" t="s">
        <v>1153</v>
      </c>
      <c r="B152" s="39">
        <v>637</v>
      </c>
      <c r="C152" s="39">
        <v>380</v>
      </c>
      <c r="D152" s="39">
        <v>776</v>
      </c>
      <c r="E152" s="39">
        <v>625</v>
      </c>
      <c r="F152" s="39">
        <v>736</v>
      </c>
      <c r="G152" s="39">
        <v>1280</v>
      </c>
      <c r="H152" s="39">
        <v>1008</v>
      </c>
      <c r="I152" s="39">
        <v>646</v>
      </c>
      <c r="J152" s="39">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519</v>
      </c>
      <c r="AE152" s="28">
        <v>751</v>
      </c>
      <c r="AF152">
        <v>2346</v>
      </c>
      <c r="AH152">
        <v>0</v>
      </c>
    </row>
    <row r="153" spans="1:34" hidden="1">
      <c r="A153" s="39" t="s">
        <v>1390</v>
      </c>
      <c r="B153" s="39">
        <v>260</v>
      </c>
      <c r="C153" s="39">
        <v>216</v>
      </c>
      <c r="D153" s="39">
        <v>283</v>
      </c>
      <c r="E153" s="39">
        <v>204</v>
      </c>
      <c r="F153" s="39">
        <v>165</v>
      </c>
      <c r="G153" s="39">
        <v>228</v>
      </c>
      <c r="H153" s="39">
        <v>208</v>
      </c>
      <c r="I153" s="39">
        <v>201</v>
      </c>
      <c r="J153" s="39">
        <v>173</v>
      </c>
      <c r="K153">
        <v>160</v>
      </c>
      <c r="L153">
        <v>141</v>
      </c>
      <c r="M153">
        <v>148</v>
      </c>
      <c r="N153">
        <v>0</v>
      </c>
      <c r="O153">
        <v>88</v>
      </c>
      <c r="P153">
        <v>71</v>
      </c>
      <c r="Q153">
        <v>60</v>
      </c>
      <c r="R153">
        <v>72</v>
      </c>
      <c r="S153">
        <v>73</v>
      </c>
      <c r="T153">
        <v>84</v>
      </c>
      <c r="U153">
        <v>68</v>
      </c>
      <c r="V153">
        <v>81</v>
      </c>
      <c r="W153">
        <v>89</v>
      </c>
      <c r="X153">
        <v>56</v>
      </c>
      <c r="Y153">
        <v>72</v>
      </c>
      <c r="Z153">
        <v>63</v>
      </c>
      <c r="AA153">
        <v>0</v>
      </c>
      <c r="AD153" t="s">
        <v>477</v>
      </c>
      <c r="AE153" s="28">
        <v>696</v>
      </c>
      <c r="AF153">
        <v>1647</v>
      </c>
      <c r="AH153">
        <v>0</v>
      </c>
    </row>
    <row r="154" spans="1:34" hidden="1">
      <c r="A154" s="39" t="s">
        <v>870</v>
      </c>
      <c r="B154" s="39">
        <v>404</v>
      </c>
      <c r="C154" s="39">
        <v>496</v>
      </c>
      <c r="D154" s="39">
        <v>401</v>
      </c>
      <c r="E154" s="39">
        <v>381</v>
      </c>
      <c r="F154" s="39">
        <v>413</v>
      </c>
      <c r="G154" s="39">
        <v>334</v>
      </c>
      <c r="H154" s="39">
        <v>330</v>
      </c>
      <c r="I154" s="39">
        <v>340</v>
      </c>
      <c r="J154" s="39">
        <v>279</v>
      </c>
      <c r="K154">
        <v>18</v>
      </c>
      <c r="L154">
        <v>0</v>
      </c>
      <c r="M154">
        <v>3</v>
      </c>
      <c r="N154">
        <v>0</v>
      </c>
      <c r="O154">
        <v>111</v>
      </c>
      <c r="P154">
        <v>203</v>
      </c>
      <c r="Q154">
        <v>114</v>
      </c>
      <c r="R154">
        <v>201</v>
      </c>
      <c r="S154">
        <v>108</v>
      </c>
      <c r="T154">
        <v>98</v>
      </c>
      <c r="U154">
        <v>89</v>
      </c>
      <c r="V154">
        <v>101</v>
      </c>
      <c r="W154">
        <v>118</v>
      </c>
      <c r="X154">
        <v>6</v>
      </c>
      <c r="Y154">
        <v>0</v>
      </c>
      <c r="Z154">
        <v>0</v>
      </c>
      <c r="AA154">
        <v>0</v>
      </c>
      <c r="AD154" t="s">
        <v>370</v>
      </c>
      <c r="AE154" s="28">
        <v>1272</v>
      </c>
      <c r="AF154">
        <v>3593</v>
      </c>
      <c r="AG154">
        <v>1083</v>
      </c>
      <c r="AH154">
        <v>3121</v>
      </c>
    </row>
    <row r="155" spans="1:34" hidden="1">
      <c r="A155" s="39" t="s">
        <v>945</v>
      </c>
      <c r="B155" s="39">
        <v>1239</v>
      </c>
      <c r="C155" s="39">
        <v>1315</v>
      </c>
      <c r="D155" s="39">
        <v>1112</v>
      </c>
      <c r="E155" s="39">
        <v>1316</v>
      </c>
      <c r="F155" s="39">
        <v>1188</v>
      </c>
      <c r="G155" s="39">
        <v>1019</v>
      </c>
      <c r="H155" s="39">
        <v>1042</v>
      </c>
      <c r="I155" s="39">
        <v>1211</v>
      </c>
      <c r="J155" s="39">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7" t="s">
        <v>366</v>
      </c>
      <c r="AE155" s="28">
        <v>924</v>
      </c>
      <c r="AF155">
        <v>5069</v>
      </c>
      <c r="AG155">
        <v>968</v>
      </c>
      <c r="AH155">
        <v>5496</v>
      </c>
    </row>
    <row r="156" spans="1:34" hidden="1">
      <c r="A156" s="39" t="s">
        <v>1265</v>
      </c>
      <c r="B156" s="39">
        <v>0</v>
      </c>
      <c r="C156" s="39">
        <v>334</v>
      </c>
      <c r="D156" s="39">
        <v>746</v>
      </c>
      <c r="E156" s="39">
        <v>755</v>
      </c>
      <c r="F156" s="39">
        <v>764</v>
      </c>
      <c r="G156" s="39">
        <v>776</v>
      </c>
      <c r="H156" s="39">
        <v>736</v>
      </c>
      <c r="I156" s="39">
        <v>863</v>
      </c>
      <c r="J156" s="39">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1377</v>
      </c>
      <c r="AE156" s="28">
        <v>3</v>
      </c>
      <c r="AF156">
        <v>134</v>
      </c>
      <c r="AG156">
        <v>11</v>
      </c>
      <c r="AH156">
        <v>171</v>
      </c>
    </row>
    <row r="157" spans="1:34" hidden="1">
      <c r="A157" s="39" t="s">
        <v>1074</v>
      </c>
      <c r="B157" s="39">
        <v>715</v>
      </c>
      <c r="C157" s="39">
        <v>979</v>
      </c>
      <c r="D157" s="39">
        <v>854</v>
      </c>
      <c r="E157" s="39">
        <v>785</v>
      </c>
      <c r="F157" s="39">
        <v>626</v>
      </c>
      <c r="G157" s="39">
        <v>719</v>
      </c>
      <c r="H157" s="39">
        <v>373</v>
      </c>
      <c r="I157" s="39">
        <v>642</v>
      </c>
      <c r="J157" s="39">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499</v>
      </c>
      <c r="AE157" s="28">
        <v>654</v>
      </c>
      <c r="AF157">
        <v>2670</v>
      </c>
      <c r="AG157">
        <v>562</v>
      </c>
      <c r="AH157">
        <v>2401</v>
      </c>
    </row>
    <row r="158" spans="1:34" hidden="1">
      <c r="A158" s="39" t="s">
        <v>1140</v>
      </c>
      <c r="B158" s="39">
        <v>1369</v>
      </c>
      <c r="C158" s="39">
        <v>297</v>
      </c>
      <c r="D158" s="39">
        <v>0</v>
      </c>
      <c r="E158" s="39">
        <v>848</v>
      </c>
      <c r="F158" s="39">
        <v>772</v>
      </c>
      <c r="G158" s="39">
        <v>797</v>
      </c>
      <c r="H158" s="39">
        <v>491</v>
      </c>
      <c r="I158" s="39">
        <v>684</v>
      </c>
      <c r="J158" s="39">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1391</v>
      </c>
      <c r="AE158" s="28">
        <v>272</v>
      </c>
      <c r="AF158">
        <v>858</v>
      </c>
      <c r="AH158">
        <v>0</v>
      </c>
    </row>
    <row r="159" spans="1:34" hidden="1">
      <c r="A159" s="39" t="s">
        <v>1093</v>
      </c>
      <c r="B159" s="39">
        <v>819</v>
      </c>
      <c r="C159" s="39">
        <v>1055</v>
      </c>
      <c r="D159" s="39">
        <v>723</v>
      </c>
      <c r="E159" s="39">
        <v>644</v>
      </c>
      <c r="F159" s="39">
        <v>477</v>
      </c>
      <c r="G159" s="39">
        <v>469</v>
      </c>
      <c r="H159" s="39">
        <v>483</v>
      </c>
      <c r="I159" s="39">
        <v>630</v>
      </c>
      <c r="J159" s="39">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1392</v>
      </c>
      <c r="AE159" s="28">
        <v>8</v>
      </c>
      <c r="AF159">
        <v>68</v>
      </c>
      <c r="AH159">
        <v>0</v>
      </c>
    </row>
    <row r="160" spans="1:34" hidden="1">
      <c r="A160" s="39" t="s">
        <v>1104</v>
      </c>
      <c r="B160" s="39">
        <v>2153</v>
      </c>
      <c r="C160" s="39">
        <v>2493</v>
      </c>
      <c r="D160" s="39">
        <v>2220</v>
      </c>
      <c r="E160" s="39">
        <v>2376</v>
      </c>
      <c r="F160" s="39">
        <v>1752</v>
      </c>
      <c r="G160" s="39">
        <v>1787</v>
      </c>
      <c r="H160" s="39">
        <v>1888</v>
      </c>
      <c r="I160" s="39">
        <v>2022</v>
      </c>
      <c r="J160" s="39">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222</v>
      </c>
      <c r="AE160" s="28">
        <v>460</v>
      </c>
      <c r="AF160">
        <v>2947</v>
      </c>
      <c r="AH160">
        <v>0</v>
      </c>
    </row>
    <row r="161" spans="1:34" hidden="1">
      <c r="A161" s="39" t="s">
        <v>1169</v>
      </c>
      <c r="B161" s="39">
        <v>0</v>
      </c>
      <c r="C161" s="39">
        <v>0</v>
      </c>
      <c r="D161" s="39">
        <v>0</v>
      </c>
      <c r="E161" s="39">
        <v>36</v>
      </c>
      <c r="F161" s="39">
        <v>172</v>
      </c>
      <c r="G161" s="39">
        <v>179</v>
      </c>
      <c r="H161" s="39">
        <v>394</v>
      </c>
      <c r="I161" s="39">
        <v>608</v>
      </c>
      <c r="J161" s="39">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613</v>
      </c>
      <c r="AE161" s="28">
        <v>1605</v>
      </c>
      <c r="AF161">
        <v>4839</v>
      </c>
      <c r="AG161">
        <v>1480</v>
      </c>
      <c r="AH161">
        <v>4715</v>
      </c>
    </row>
    <row r="162" spans="1:34" hidden="1">
      <c r="A162" s="39" t="s">
        <v>939</v>
      </c>
      <c r="B162" s="39">
        <v>558</v>
      </c>
      <c r="C162" s="39">
        <v>624</v>
      </c>
      <c r="D162" s="39">
        <v>980</v>
      </c>
      <c r="E162" s="39">
        <v>460</v>
      </c>
      <c r="F162" s="39">
        <v>324</v>
      </c>
      <c r="G162" s="39">
        <v>407</v>
      </c>
      <c r="H162" s="39">
        <v>537</v>
      </c>
      <c r="I162" s="39">
        <v>403</v>
      </c>
      <c r="J162" s="39">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236</v>
      </c>
      <c r="AE162" s="28">
        <v>906</v>
      </c>
      <c r="AF162">
        <v>2927</v>
      </c>
      <c r="AG162">
        <v>951</v>
      </c>
      <c r="AH162">
        <v>3156</v>
      </c>
    </row>
    <row r="163" spans="1:34" hidden="1">
      <c r="A163" s="39" t="s">
        <v>1005</v>
      </c>
      <c r="B163" s="39">
        <v>424</v>
      </c>
      <c r="C163" s="39">
        <v>475</v>
      </c>
      <c r="D163" s="39">
        <v>420</v>
      </c>
      <c r="E163" s="39">
        <v>447</v>
      </c>
      <c r="F163" s="39">
        <v>461</v>
      </c>
      <c r="G163" s="39">
        <v>434</v>
      </c>
      <c r="H163" s="39">
        <v>476</v>
      </c>
      <c r="I163" s="39">
        <v>441</v>
      </c>
      <c r="J163" s="39">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1393</v>
      </c>
      <c r="AE163" s="28">
        <v>2</v>
      </c>
      <c r="AF163">
        <v>10</v>
      </c>
      <c r="AH163">
        <v>0</v>
      </c>
    </row>
    <row r="164" spans="1:34" hidden="1">
      <c r="A164" s="39" t="s">
        <v>1100</v>
      </c>
      <c r="B164" s="39">
        <v>3418</v>
      </c>
      <c r="C164" s="39">
        <v>372</v>
      </c>
      <c r="D164" s="39">
        <v>1874</v>
      </c>
      <c r="E164" s="39">
        <v>2165</v>
      </c>
      <c r="F164" s="39">
        <v>1222</v>
      </c>
      <c r="G164" s="39">
        <v>918</v>
      </c>
      <c r="H164" s="39">
        <v>2617</v>
      </c>
      <c r="I164" s="39">
        <v>1522</v>
      </c>
      <c r="J164" s="39">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459</v>
      </c>
      <c r="AE164" s="28">
        <v>910</v>
      </c>
      <c r="AF164">
        <v>2491</v>
      </c>
      <c r="AG164">
        <v>794</v>
      </c>
      <c r="AH164">
        <v>2329</v>
      </c>
    </row>
    <row r="165" spans="1:34" hidden="1">
      <c r="A165" s="39" t="s">
        <v>1149</v>
      </c>
      <c r="B165" s="39">
        <v>985</v>
      </c>
      <c r="C165" s="39">
        <v>847</v>
      </c>
      <c r="D165" s="39">
        <v>817</v>
      </c>
      <c r="E165" s="39">
        <v>688</v>
      </c>
      <c r="F165" s="39">
        <v>499</v>
      </c>
      <c r="G165" s="39">
        <v>442</v>
      </c>
      <c r="H165" s="39">
        <v>445</v>
      </c>
      <c r="I165" s="39">
        <v>515</v>
      </c>
      <c r="J165" s="39">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673</v>
      </c>
      <c r="AE165" s="28">
        <v>2224</v>
      </c>
      <c r="AF165">
        <v>6292</v>
      </c>
      <c r="AG165">
        <v>2171</v>
      </c>
      <c r="AH165">
        <v>6267</v>
      </c>
    </row>
    <row r="166" spans="1:34" hidden="1">
      <c r="A166" s="39" t="s">
        <v>968</v>
      </c>
      <c r="B166" s="39">
        <v>2497</v>
      </c>
      <c r="C166" s="39">
        <v>1850</v>
      </c>
      <c r="D166" s="39">
        <v>1991</v>
      </c>
      <c r="E166" s="39">
        <v>2772</v>
      </c>
      <c r="F166" s="39">
        <v>2176</v>
      </c>
      <c r="G166" s="39">
        <v>1501</v>
      </c>
      <c r="H166" s="39">
        <v>1366</v>
      </c>
      <c r="I166" s="39">
        <v>1596</v>
      </c>
      <c r="J166" s="39">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445</v>
      </c>
      <c r="AE166" s="28">
        <v>739</v>
      </c>
      <c r="AF166">
        <v>3285</v>
      </c>
      <c r="AG166">
        <v>766</v>
      </c>
      <c r="AH166">
        <v>3874</v>
      </c>
    </row>
    <row r="167" spans="1:34" hidden="1">
      <c r="A167" s="39" t="s">
        <v>150</v>
      </c>
      <c r="B167" s="39">
        <v>1688</v>
      </c>
      <c r="C167" s="39">
        <v>1053</v>
      </c>
      <c r="D167" s="39">
        <v>946</v>
      </c>
      <c r="E167" s="39">
        <v>928</v>
      </c>
      <c r="F167" s="39">
        <v>934</v>
      </c>
      <c r="G167" s="39">
        <v>895</v>
      </c>
      <c r="H167" s="39">
        <v>975</v>
      </c>
      <c r="I167" s="39">
        <v>944</v>
      </c>
      <c r="J167" s="39">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1394</v>
      </c>
      <c r="AE167" s="28">
        <v>189</v>
      </c>
      <c r="AF167">
        <v>685</v>
      </c>
      <c r="AH167">
        <v>0</v>
      </c>
    </row>
    <row r="168" spans="1:34" hidden="1">
      <c r="A168" s="39" t="s">
        <v>1027</v>
      </c>
      <c r="B168" s="39">
        <v>7650</v>
      </c>
      <c r="C168" s="39">
        <v>13806</v>
      </c>
      <c r="D168" s="39">
        <v>6603</v>
      </c>
      <c r="E168" s="39">
        <v>5324</v>
      </c>
      <c r="F168" s="39">
        <v>5917</v>
      </c>
      <c r="G168" s="39">
        <v>5980</v>
      </c>
      <c r="H168" s="39">
        <v>3818</v>
      </c>
      <c r="I168" s="39">
        <v>7142</v>
      </c>
      <c r="J168" s="39">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1395</v>
      </c>
      <c r="AE168" s="28">
        <v>131</v>
      </c>
      <c r="AF168">
        <v>710</v>
      </c>
      <c r="AH168">
        <v>0</v>
      </c>
    </row>
    <row r="169" spans="1:34" hidden="1">
      <c r="A169" s="39" t="s">
        <v>850</v>
      </c>
      <c r="B169" s="39">
        <v>670</v>
      </c>
      <c r="C169" s="39">
        <v>116</v>
      </c>
      <c r="D169" s="39">
        <v>398</v>
      </c>
      <c r="E169" s="39">
        <v>445</v>
      </c>
      <c r="F169" s="39">
        <v>359</v>
      </c>
      <c r="G169" s="39">
        <v>355</v>
      </c>
      <c r="H169" s="39">
        <v>239</v>
      </c>
      <c r="I169" s="39">
        <v>322</v>
      </c>
      <c r="J169" s="39">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455</v>
      </c>
      <c r="AE169" s="29">
        <v>241</v>
      </c>
      <c r="AF169">
        <v>1588</v>
      </c>
      <c r="AG169">
        <v>264</v>
      </c>
      <c r="AH169">
        <v>1608</v>
      </c>
    </row>
    <row r="170" spans="1:34" hidden="1">
      <c r="A170" s="39" t="s">
        <v>242</v>
      </c>
      <c r="B170" s="39">
        <v>416</v>
      </c>
      <c r="C170" s="39">
        <v>1739</v>
      </c>
      <c r="D170" s="39">
        <v>1284</v>
      </c>
      <c r="E170" s="39">
        <v>1175</v>
      </c>
      <c r="F170" s="39">
        <v>1221</v>
      </c>
      <c r="G170" s="39">
        <v>1495</v>
      </c>
      <c r="H170" s="39">
        <v>657</v>
      </c>
      <c r="I170" s="39">
        <v>1287</v>
      </c>
      <c r="J170" s="39">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148</v>
      </c>
      <c r="AE170" s="28">
        <v>2823</v>
      </c>
      <c r="AF170">
        <v>12738</v>
      </c>
      <c r="AG170">
        <v>2583</v>
      </c>
      <c r="AH170">
        <v>13375</v>
      </c>
    </row>
    <row r="171" spans="1:34" hidden="1">
      <c r="A171" s="39" t="s">
        <v>1295</v>
      </c>
      <c r="B171" s="39">
        <v>0</v>
      </c>
      <c r="C171" s="39">
        <v>0</v>
      </c>
      <c r="D171" s="39">
        <v>0</v>
      </c>
      <c r="E171" s="39">
        <v>0</v>
      </c>
      <c r="F171" s="39">
        <v>0</v>
      </c>
      <c r="G171" s="39">
        <v>144</v>
      </c>
      <c r="H171" s="39">
        <v>2461</v>
      </c>
      <c r="I171" s="39">
        <v>2491</v>
      </c>
      <c r="J171" s="39">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252</v>
      </c>
      <c r="AE171" s="28">
        <v>1428</v>
      </c>
      <c r="AF171">
        <v>3763</v>
      </c>
      <c r="AG171">
        <v>1354</v>
      </c>
      <c r="AH171">
        <v>3424</v>
      </c>
    </row>
    <row r="172" spans="1:34" hidden="1">
      <c r="A172" s="39" t="s">
        <v>62</v>
      </c>
      <c r="B172" s="39">
        <v>4005</v>
      </c>
      <c r="C172" s="39">
        <v>3935</v>
      </c>
      <c r="D172" s="39">
        <v>4402</v>
      </c>
      <c r="E172" s="39">
        <v>4192</v>
      </c>
      <c r="F172" s="39">
        <v>3156</v>
      </c>
      <c r="G172" s="39">
        <v>3022</v>
      </c>
      <c r="H172" s="39">
        <v>3527</v>
      </c>
      <c r="I172" s="39">
        <v>3401</v>
      </c>
      <c r="J172" s="39">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306</v>
      </c>
      <c r="AE172" s="28">
        <v>623</v>
      </c>
      <c r="AF172">
        <v>2903</v>
      </c>
      <c r="AG172">
        <v>624</v>
      </c>
      <c r="AH172">
        <v>2785</v>
      </c>
    </row>
    <row r="173" spans="1:34" hidden="1">
      <c r="A173" s="39" t="s">
        <v>1272</v>
      </c>
      <c r="B173" s="39">
        <v>1177</v>
      </c>
      <c r="C173" s="39">
        <v>669</v>
      </c>
      <c r="D173" s="39">
        <v>478</v>
      </c>
      <c r="E173" s="39">
        <v>414</v>
      </c>
      <c r="F173" s="39">
        <v>676</v>
      </c>
      <c r="G173" s="39">
        <v>792</v>
      </c>
      <c r="H173" s="39">
        <v>567</v>
      </c>
      <c r="I173" s="39">
        <v>1795</v>
      </c>
      <c r="J173" s="39">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300</v>
      </c>
      <c r="AE173" s="28">
        <v>787</v>
      </c>
      <c r="AF173">
        <v>2041</v>
      </c>
      <c r="AG173">
        <v>864</v>
      </c>
      <c r="AH173">
        <v>2251</v>
      </c>
    </row>
    <row r="174" spans="1:34" hidden="1">
      <c r="A174" s="39" t="s">
        <v>1142</v>
      </c>
      <c r="B174" s="39">
        <v>420</v>
      </c>
      <c r="C174" s="39">
        <v>905</v>
      </c>
      <c r="D174" s="39">
        <v>0</v>
      </c>
      <c r="E174" s="39">
        <v>0</v>
      </c>
      <c r="F174" s="39">
        <v>243</v>
      </c>
      <c r="G174" s="39">
        <v>230</v>
      </c>
      <c r="H174" s="39">
        <v>245</v>
      </c>
      <c r="I174" s="39">
        <v>313</v>
      </c>
      <c r="J174" s="39">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489</v>
      </c>
      <c r="AE174" s="28">
        <v>626</v>
      </c>
      <c r="AF174">
        <v>2805</v>
      </c>
      <c r="AG174">
        <v>606</v>
      </c>
      <c r="AH174">
        <v>2642</v>
      </c>
    </row>
    <row r="175" spans="1:34" hidden="1">
      <c r="A175" s="39" t="s">
        <v>637</v>
      </c>
      <c r="B175" s="39">
        <v>1339</v>
      </c>
      <c r="C175" s="39">
        <v>1142</v>
      </c>
      <c r="D175" s="39">
        <v>1084</v>
      </c>
      <c r="E175" s="39">
        <v>933</v>
      </c>
      <c r="F175" s="39">
        <v>792</v>
      </c>
      <c r="G175" s="39">
        <v>1046</v>
      </c>
      <c r="H175" s="39">
        <v>1128</v>
      </c>
      <c r="I175" s="39">
        <v>1509</v>
      </c>
      <c r="J175" s="39">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427</v>
      </c>
      <c r="AE175" s="28">
        <v>685</v>
      </c>
      <c r="AF175">
        <v>3289</v>
      </c>
      <c r="AG175">
        <v>567</v>
      </c>
      <c r="AH175">
        <v>2661</v>
      </c>
    </row>
    <row r="176" spans="1:34" hidden="1">
      <c r="A176" s="39" t="s">
        <v>858</v>
      </c>
      <c r="B176" s="39">
        <v>265</v>
      </c>
      <c r="C176" s="39">
        <v>246</v>
      </c>
      <c r="D176" s="39">
        <v>232</v>
      </c>
      <c r="E176" s="39">
        <v>236</v>
      </c>
      <c r="F176" s="39">
        <v>206</v>
      </c>
      <c r="G176" s="39">
        <v>182</v>
      </c>
      <c r="H176" s="39">
        <v>226</v>
      </c>
      <c r="I176" s="39">
        <v>213</v>
      </c>
      <c r="J176" s="39">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342</v>
      </c>
      <c r="AE176" s="28">
        <v>1328</v>
      </c>
      <c r="AF176">
        <v>4299</v>
      </c>
      <c r="AG176">
        <v>1212</v>
      </c>
      <c r="AH176">
        <v>3861</v>
      </c>
    </row>
    <row r="177" spans="1:34" hidden="1">
      <c r="A177" s="39" t="s">
        <v>976</v>
      </c>
      <c r="B177" s="39">
        <v>2923</v>
      </c>
      <c r="C177" s="39">
        <v>1362</v>
      </c>
      <c r="D177" s="39">
        <v>2460</v>
      </c>
      <c r="E177" s="39">
        <v>3056</v>
      </c>
      <c r="F177" s="39">
        <v>2721</v>
      </c>
      <c r="G177" s="39">
        <v>1512</v>
      </c>
      <c r="H177" s="39">
        <v>1170</v>
      </c>
      <c r="I177" s="39">
        <v>1378</v>
      </c>
      <c r="J177" s="39">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7" t="s">
        <v>118</v>
      </c>
      <c r="AE177" s="28">
        <v>668</v>
      </c>
      <c r="AF177">
        <v>7767</v>
      </c>
      <c r="AG177">
        <v>1143</v>
      </c>
      <c r="AH177">
        <v>10440</v>
      </c>
    </row>
    <row r="178" spans="1:34" hidden="1">
      <c r="A178" s="39" t="s">
        <v>166</v>
      </c>
      <c r="B178" s="39">
        <v>6001</v>
      </c>
      <c r="C178" s="39">
        <v>12082</v>
      </c>
      <c r="D178" s="39">
        <v>8755</v>
      </c>
      <c r="E178" s="39">
        <v>13184</v>
      </c>
      <c r="F178" s="39">
        <v>12988</v>
      </c>
      <c r="G178" s="39">
        <v>6562</v>
      </c>
      <c r="H178" s="39">
        <v>7094</v>
      </c>
      <c r="I178" s="39">
        <v>7373</v>
      </c>
      <c r="J178" s="39">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421</v>
      </c>
      <c r="AE178" s="28">
        <v>1208</v>
      </c>
      <c r="AF178">
        <v>4295</v>
      </c>
      <c r="AG178">
        <v>1090</v>
      </c>
      <c r="AH178">
        <v>3763</v>
      </c>
    </row>
    <row r="179" spans="1:34" hidden="1">
      <c r="A179" s="39" t="s">
        <v>681</v>
      </c>
      <c r="B179" s="39">
        <v>4791</v>
      </c>
      <c r="C179" s="39">
        <v>7626</v>
      </c>
      <c r="D179" s="39">
        <v>2539</v>
      </c>
      <c r="E179" s="39">
        <v>3770</v>
      </c>
      <c r="F179" s="39">
        <v>2839</v>
      </c>
      <c r="G179" s="39">
        <v>2086</v>
      </c>
      <c r="H179" s="39">
        <v>1005</v>
      </c>
      <c r="I179" s="39">
        <v>1990</v>
      </c>
      <c r="J179" s="39">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20</v>
      </c>
      <c r="AE179" s="28">
        <v>1509</v>
      </c>
      <c r="AF179">
        <v>9133</v>
      </c>
      <c r="AG179">
        <v>1433</v>
      </c>
      <c r="AH179">
        <v>8539</v>
      </c>
    </row>
    <row r="180" spans="1:34" hidden="1">
      <c r="A180" s="39" t="s">
        <v>1171</v>
      </c>
      <c r="B180" s="39">
        <v>0</v>
      </c>
      <c r="C180" s="39">
        <v>0</v>
      </c>
      <c r="D180" s="39">
        <v>0</v>
      </c>
      <c r="E180" s="39">
        <v>0</v>
      </c>
      <c r="F180" s="39">
        <v>0</v>
      </c>
      <c r="G180" s="39">
        <v>15</v>
      </c>
      <c r="H180" s="39">
        <v>156</v>
      </c>
      <c r="I180" s="39">
        <v>386</v>
      </c>
      <c r="J180" s="39">
        <v>397</v>
      </c>
      <c r="K180">
        <v>168</v>
      </c>
      <c r="L180">
        <v>292</v>
      </c>
      <c r="M180">
        <v>335</v>
      </c>
      <c r="N180">
        <v>522</v>
      </c>
      <c r="O180">
        <v>0</v>
      </c>
      <c r="P180">
        <v>0</v>
      </c>
      <c r="Q180">
        <v>0</v>
      </c>
      <c r="R180">
        <v>0</v>
      </c>
      <c r="S180">
        <v>0</v>
      </c>
      <c r="T180">
        <v>0</v>
      </c>
      <c r="U180">
        <v>14</v>
      </c>
      <c r="V180">
        <v>3</v>
      </c>
      <c r="W180">
        <v>44</v>
      </c>
      <c r="X180">
        <v>18</v>
      </c>
      <c r="Y180">
        <v>37</v>
      </c>
      <c r="Z180">
        <v>29</v>
      </c>
      <c r="AA180">
        <v>77</v>
      </c>
      <c r="AD180" t="s">
        <v>545</v>
      </c>
      <c r="AE180" s="28">
        <v>3022</v>
      </c>
      <c r="AF180">
        <v>9157</v>
      </c>
      <c r="AG180">
        <v>3472</v>
      </c>
      <c r="AH180">
        <v>9708</v>
      </c>
    </row>
    <row r="181" spans="1:34" hidden="1">
      <c r="A181" s="39" t="s">
        <v>910</v>
      </c>
      <c r="B181" s="39">
        <v>2331</v>
      </c>
      <c r="C181" s="39">
        <v>2258</v>
      </c>
      <c r="D181" s="39">
        <v>2009</v>
      </c>
      <c r="E181" s="39">
        <v>1233</v>
      </c>
      <c r="F181" s="39">
        <v>987</v>
      </c>
      <c r="G181" s="39">
        <v>1447</v>
      </c>
      <c r="H181" s="39">
        <v>3227</v>
      </c>
      <c r="I181" s="39">
        <v>1849</v>
      </c>
      <c r="J181" s="39">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244</v>
      </c>
      <c r="AE181" s="28">
        <v>1145</v>
      </c>
      <c r="AF181">
        <v>4679</v>
      </c>
      <c r="AG181">
        <v>696</v>
      </c>
      <c r="AH181">
        <v>3009</v>
      </c>
    </row>
    <row r="182" spans="1:34" hidden="1">
      <c r="A182" s="39" t="s">
        <v>138</v>
      </c>
      <c r="B182" s="39">
        <v>6166</v>
      </c>
      <c r="C182" s="39">
        <v>18443</v>
      </c>
      <c r="D182" s="39">
        <v>18111</v>
      </c>
      <c r="E182" s="39">
        <v>43927</v>
      </c>
      <c r="F182" s="39">
        <v>45214</v>
      </c>
      <c r="G182" s="39">
        <v>42221</v>
      </c>
      <c r="H182" s="39">
        <v>32418</v>
      </c>
      <c r="I182" s="39">
        <v>43067</v>
      </c>
      <c r="J182" s="39">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565</v>
      </c>
      <c r="AE182" s="28">
        <v>1394</v>
      </c>
      <c r="AF182">
        <v>5524</v>
      </c>
      <c r="AG182">
        <v>1299</v>
      </c>
      <c r="AH182">
        <v>5554</v>
      </c>
    </row>
    <row r="183" spans="1:34" hidden="1">
      <c r="A183" s="39" t="s">
        <v>847</v>
      </c>
      <c r="B183" s="39">
        <v>2775</v>
      </c>
      <c r="C183" s="39">
        <v>5453</v>
      </c>
      <c r="D183" s="39">
        <v>3575</v>
      </c>
      <c r="E183" s="39">
        <v>939</v>
      </c>
      <c r="F183" s="39">
        <v>1665</v>
      </c>
      <c r="G183" s="39">
        <v>1015</v>
      </c>
      <c r="H183" s="39">
        <v>1447</v>
      </c>
      <c r="I183" s="39">
        <v>1250</v>
      </c>
      <c r="J183" s="39">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705</v>
      </c>
      <c r="AE183" s="28">
        <v>33472</v>
      </c>
      <c r="AF183">
        <v>138011</v>
      </c>
      <c r="AG183">
        <v>30123</v>
      </c>
      <c r="AH183">
        <v>128160</v>
      </c>
    </row>
    <row r="184" spans="1:34" hidden="1">
      <c r="A184" s="39" t="s">
        <v>1108</v>
      </c>
      <c r="B184" s="39">
        <v>772</v>
      </c>
      <c r="C184" s="39">
        <v>752</v>
      </c>
      <c r="D184" s="39">
        <v>882</v>
      </c>
      <c r="E184" s="39">
        <v>751</v>
      </c>
      <c r="F184" s="39">
        <v>516</v>
      </c>
      <c r="G184" s="39">
        <v>729</v>
      </c>
      <c r="H184" s="39">
        <v>560</v>
      </c>
      <c r="I184" s="39">
        <v>630</v>
      </c>
      <c r="J184" s="39">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334</v>
      </c>
      <c r="AE184" s="28">
        <v>1079</v>
      </c>
      <c r="AF184">
        <v>6617</v>
      </c>
      <c r="AG184">
        <v>1129</v>
      </c>
      <c r="AH184">
        <v>6537</v>
      </c>
    </row>
    <row r="185" spans="1:34" hidden="1">
      <c r="A185" s="39" t="s">
        <v>1192</v>
      </c>
      <c r="B185" s="39">
        <v>3362</v>
      </c>
      <c r="C185" s="39">
        <v>5362</v>
      </c>
      <c r="D185" s="39">
        <v>4587</v>
      </c>
      <c r="E185" s="39">
        <v>3398</v>
      </c>
      <c r="F185" s="39">
        <v>2881</v>
      </c>
      <c r="G185" s="39">
        <v>3856</v>
      </c>
      <c r="H185" s="39">
        <v>4317</v>
      </c>
      <c r="I185" s="39">
        <v>3115</v>
      </c>
      <c r="J185" s="39">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7" t="s">
        <v>583</v>
      </c>
      <c r="AE185" s="29">
        <v>1417</v>
      </c>
      <c r="AF185">
        <v>8552</v>
      </c>
      <c r="AG185">
        <v>1530</v>
      </c>
      <c r="AH185">
        <v>8951</v>
      </c>
    </row>
    <row r="186" spans="1:34" hidden="1">
      <c r="A186" s="39" t="s">
        <v>1110</v>
      </c>
      <c r="B186" s="39">
        <v>490</v>
      </c>
      <c r="C186" s="39">
        <v>818</v>
      </c>
      <c r="D186" s="39">
        <v>604</v>
      </c>
      <c r="E186" s="39">
        <v>782</v>
      </c>
      <c r="F186" s="39">
        <v>746</v>
      </c>
      <c r="G186" s="39">
        <v>684</v>
      </c>
      <c r="H186" s="39">
        <v>1002</v>
      </c>
      <c r="I186" s="39">
        <v>1213</v>
      </c>
      <c r="J186" s="39">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312</v>
      </c>
      <c r="AE186" s="28">
        <v>834</v>
      </c>
      <c r="AF186">
        <v>3151</v>
      </c>
      <c r="AG186">
        <v>740</v>
      </c>
      <c r="AH186">
        <v>2672</v>
      </c>
    </row>
    <row r="187" spans="1:34" hidden="1">
      <c r="A187" s="39" t="s">
        <v>922</v>
      </c>
      <c r="B187" s="39">
        <v>0</v>
      </c>
      <c r="C187" s="39">
        <v>0</v>
      </c>
      <c r="D187" s="39">
        <v>0</v>
      </c>
      <c r="E187" s="39">
        <v>0</v>
      </c>
      <c r="F187" s="39">
        <v>0</v>
      </c>
      <c r="G187" s="39">
        <v>0</v>
      </c>
      <c r="H187" s="39">
        <v>0</v>
      </c>
      <c r="I187" s="39">
        <v>1279</v>
      </c>
      <c r="J187" s="39">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567</v>
      </c>
      <c r="AE187" s="28">
        <v>1625</v>
      </c>
      <c r="AF187">
        <v>5322</v>
      </c>
      <c r="AG187">
        <v>1697</v>
      </c>
      <c r="AH187">
        <v>6038</v>
      </c>
    </row>
    <row r="188" spans="1:34" hidden="1">
      <c r="A188" s="39" t="s">
        <v>828</v>
      </c>
      <c r="B188" s="39">
        <v>803</v>
      </c>
      <c r="C188" s="39">
        <v>744</v>
      </c>
      <c r="D188" s="39">
        <v>538</v>
      </c>
      <c r="E188" s="39">
        <v>968</v>
      </c>
      <c r="F188" s="39">
        <v>1086</v>
      </c>
      <c r="G188" s="39">
        <v>1251</v>
      </c>
      <c r="H188" s="39">
        <v>1003</v>
      </c>
      <c r="I188" s="39">
        <v>1410</v>
      </c>
      <c r="J188" s="39">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266</v>
      </c>
      <c r="AE188" s="28">
        <v>1102</v>
      </c>
      <c r="AF188">
        <v>5414</v>
      </c>
      <c r="AG188">
        <v>1212</v>
      </c>
      <c r="AH188">
        <v>6482</v>
      </c>
    </row>
    <row r="189" spans="1:34" hidden="1">
      <c r="A189" s="39" t="s">
        <v>1037</v>
      </c>
      <c r="B189" s="39">
        <v>8044</v>
      </c>
      <c r="C189" s="39">
        <v>7125</v>
      </c>
      <c r="D189" s="39">
        <v>5755</v>
      </c>
      <c r="E189" s="39">
        <v>6160</v>
      </c>
      <c r="F189" s="39">
        <v>5552</v>
      </c>
      <c r="G189" s="39">
        <v>5251</v>
      </c>
      <c r="H189" s="39">
        <v>4817</v>
      </c>
      <c r="I189" s="39">
        <v>5169</v>
      </c>
      <c r="J189" s="39">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641</v>
      </c>
      <c r="AE189" s="28">
        <v>2369</v>
      </c>
      <c r="AF189">
        <v>7209</v>
      </c>
      <c r="AG189">
        <v>1913</v>
      </c>
      <c r="AH189">
        <v>5327</v>
      </c>
    </row>
    <row r="190" spans="1:34" hidden="1">
      <c r="A190" s="39" t="s">
        <v>1255</v>
      </c>
      <c r="B190" s="39">
        <v>1959</v>
      </c>
      <c r="C190" s="39">
        <v>1940</v>
      </c>
      <c r="D190" s="39">
        <v>1506</v>
      </c>
      <c r="E190" s="39">
        <v>1606</v>
      </c>
      <c r="F190" s="39">
        <v>1689</v>
      </c>
      <c r="G190" s="39">
        <v>1668</v>
      </c>
      <c r="H190" s="39">
        <v>1723</v>
      </c>
      <c r="I190" s="39">
        <v>3158</v>
      </c>
      <c r="J190" s="39">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158</v>
      </c>
      <c r="AE190" s="28">
        <v>399</v>
      </c>
      <c r="AF190">
        <v>1384</v>
      </c>
      <c r="AG190">
        <v>351</v>
      </c>
      <c r="AH190">
        <v>1247</v>
      </c>
    </row>
    <row r="191" spans="1:34" hidden="1">
      <c r="A191" s="39" t="s">
        <v>1128</v>
      </c>
      <c r="B191" s="39">
        <v>0</v>
      </c>
      <c r="C191" s="39">
        <v>0</v>
      </c>
      <c r="D191" s="39">
        <v>0</v>
      </c>
      <c r="E191" s="39">
        <v>0</v>
      </c>
      <c r="F191" s="39">
        <v>0</v>
      </c>
      <c r="G191" s="39">
        <v>0</v>
      </c>
      <c r="H191" s="39">
        <v>0</v>
      </c>
      <c r="I191" s="39">
        <v>0</v>
      </c>
      <c r="J191" s="39">
        <v>638</v>
      </c>
      <c r="K191">
        <v>1403</v>
      </c>
      <c r="L191">
        <v>422</v>
      </c>
      <c r="M191">
        <v>727</v>
      </c>
      <c r="N191">
        <v>698</v>
      </c>
      <c r="O191">
        <v>0</v>
      </c>
      <c r="P191">
        <v>0</v>
      </c>
      <c r="Q191">
        <v>0</v>
      </c>
      <c r="R191">
        <v>0</v>
      </c>
      <c r="S191">
        <v>0</v>
      </c>
      <c r="T191">
        <v>0</v>
      </c>
      <c r="U191">
        <v>0</v>
      </c>
      <c r="V191">
        <v>0</v>
      </c>
      <c r="W191">
        <v>237</v>
      </c>
      <c r="X191">
        <v>204</v>
      </c>
      <c r="Y191">
        <v>165</v>
      </c>
      <c r="Z191">
        <v>174</v>
      </c>
      <c r="AA191">
        <v>189</v>
      </c>
      <c r="AD191" s="37" t="s">
        <v>34</v>
      </c>
      <c r="AE191" s="28">
        <v>2274</v>
      </c>
      <c r="AF191">
        <v>14366</v>
      </c>
      <c r="AG191">
        <v>1868</v>
      </c>
      <c r="AH191">
        <v>10981</v>
      </c>
    </row>
    <row r="192" spans="1:34" hidden="1">
      <c r="A192" s="39" t="s">
        <v>1114</v>
      </c>
      <c r="B192" s="39">
        <v>34</v>
      </c>
      <c r="C192" s="39">
        <v>25</v>
      </c>
      <c r="D192" s="39">
        <v>24</v>
      </c>
      <c r="E192" s="39">
        <v>24</v>
      </c>
      <c r="F192" s="39">
        <v>23</v>
      </c>
      <c r="G192" s="39">
        <v>17</v>
      </c>
      <c r="H192" s="39">
        <v>19</v>
      </c>
      <c r="I192" s="39">
        <v>20</v>
      </c>
      <c r="J192" s="39">
        <v>20</v>
      </c>
      <c r="K192">
        <v>22</v>
      </c>
      <c r="L192">
        <v>24</v>
      </c>
      <c r="M192">
        <v>19</v>
      </c>
      <c r="N192">
        <v>16</v>
      </c>
      <c r="O192">
        <v>2</v>
      </c>
      <c r="P192">
        <v>1</v>
      </c>
      <c r="Q192">
        <v>8</v>
      </c>
      <c r="R192">
        <v>4</v>
      </c>
      <c r="S192">
        <v>3</v>
      </c>
      <c r="T192">
        <v>4</v>
      </c>
      <c r="U192">
        <v>6</v>
      </c>
      <c r="V192">
        <v>9</v>
      </c>
      <c r="W192">
        <v>3</v>
      </c>
      <c r="X192">
        <v>4</v>
      </c>
      <c r="Y192">
        <v>8</v>
      </c>
      <c r="Z192">
        <v>8</v>
      </c>
      <c r="AA192">
        <v>4</v>
      </c>
      <c r="AD192" t="s">
        <v>208</v>
      </c>
      <c r="AE192" s="28">
        <v>15</v>
      </c>
      <c r="AF192">
        <v>246</v>
      </c>
      <c r="AG192">
        <v>15</v>
      </c>
      <c r="AH192">
        <v>139</v>
      </c>
    </row>
    <row r="193" spans="1:34" hidden="1">
      <c r="A193" s="39" t="s">
        <v>866</v>
      </c>
      <c r="B193" s="39">
        <v>243</v>
      </c>
      <c r="C193" s="39">
        <v>0</v>
      </c>
      <c r="D193" s="39">
        <v>379</v>
      </c>
      <c r="E193" s="39">
        <v>196</v>
      </c>
      <c r="F193" s="39">
        <v>201</v>
      </c>
      <c r="G193" s="39">
        <v>212</v>
      </c>
      <c r="H193" s="39">
        <v>110</v>
      </c>
      <c r="I193" s="39">
        <v>239</v>
      </c>
      <c r="J193" s="39">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581</v>
      </c>
      <c r="AE193" s="28">
        <v>1363</v>
      </c>
      <c r="AF193">
        <v>4949</v>
      </c>
      <c r="AG193">
        <v>1260</v>
      </c>
      <c r="AH193">
        <v>4741</v>
      </c>
    </row>
    <row r="194" spans="1:34" hidden="1">
      <c r="A194" s="39" t="s">
        <v>144</v>
      </c>
      <c r="B194" s="39">
        <v>2807</v>
      </c>
      <c r="C194" s="39">
        <v>3308</v>
      </c>
      <c r="D194" s="39">
        <v>2318</v>
      </c>
      <c r="E194" s="39">
        <v>1462</v>
      </c>
      <c r="F194" s="39">
        <v>1432</v>
      </c>
      <c r="G194" s="39">
        <v>1427</v>
      </c>
      <c r="H194" s="39">
        <v>1178</v>
      </c>
      <c r="I194" s="39">
        <v>1374</v>
      </c>
      <c r="J194" s="39">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437</v>
      </c>
      <c r="AE194" s="28">
        <v>3262</v>
      </c>
      <c r="AF194">
        <v>9770</v>
      </c>
      <c r="AG194">
        <v>3190</v>
      </c>
      <c r="AH194">
        <v>9222</v>
      </c>
    </row>
    <row r="195" spans="1:34" hidden="1">
      <c r="A195" s="39" t="s">
        <v>789</v>
      </c>
      <c r="B195" s="39">
        <v>1489</v>
      </c>
      <c r="C195" s="39">
        <v>1414</v>
      </c>
      <c r="D195" s="39">
        <v>1815</v>
      </c>
      <c r="E195" s="39">
        <v>1285</v>
      </c>
      <c r="F195" s="39">
        <v>1025</v>
      </c>
      <c r="G195" s="39">
        <v>1202</v>
      </c>
      <c r="H195" s="39">
        <v>1602</v>
      </c>
      <c r="I195" s="39">
        <v>1525</v>
      </c>
      <c r="J195" s="39">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473</v>
      </c>
      <c r="AE195" s="28">
        <v>1048</v>
      </c>
      <c r="AF195">
        <v>4779</v>
      </c>
      <c r="AG195">
        <v>1064</v>
      </c>
      <c r="AH195">
        <v>4496</v>
      </c>
    </row>
    <row r="196" spans="1:34" hidden="1">
      <c r="A196" s="39" t="s">
        <v>824</v>
      </c>
      <c r="B196" s="39">
        <v>944</v>
      </c>
      <c r="C196" s="39">
        <v>1028</v>
      </c>
      <c r="D196" s="39">
        <v>907</v>
      </c>
      <c r="E196" s="39">
        <v>912</v>
      </c>
      <c r="F196" s="39">
        <v>577</v>
      </c>
      <c r="G196" s="39">
        <v>850</v>
      </c>
      <c r="H196" s="39">
        <v>494</v>
      </c>
      <c r="I196" s="39">
        <v>552</v>
      </c>
      <c r="J196" s="39">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230</v>
      </c>
      <c r="AE196" s="28">
        <v>1647</v>
      </c>
      <c r="AF196">
        <v>5378</v>
      </c>
      <c r="AG196">
        <v>1530</v>
      </c>
      <c r="AH196">
        <v>5058</v>
      </c>
    </row>
    <row r="197" spans="1:34" hidden="1">
      <c r="A197" s="39" t="s">
        <v>884</v>
      </c>
      <c r="B197" s="39">
        <v>1615</v>
      </c>
      <c r="C197" s="39">
        <v>1381</v>
      </c>
      <c r="D197" s="39">
        <v>982</v>
      </c>
      <c r="E197" s="39">
        <v>920</v>
      </c>
      <c r="F197" s="39">
        <v>824</v>
      </c>
      <c r="G197" s="39">
        <v>771</v>
      </c>
      <c r="H197" s="39">
        <v>667</v>
      </c>
      <c r="I197" s="39">
        <v>757</v>
      </c>
      <c r="J197" s="39">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405</v>
      </c>
      <c r="AE197" s="28">
        <v>704</v>
      </c>
      <c r="AF197">
        <v>2761</v>
      </c>
      <c r="AG197">
        <v>830</v>
      </c>
      <c r="AH197">
        <v>3002</v>
      </c>
    </row>
    <row r="198" spans="1:34" hidden="1">
      <c r="A198" s="39" t="s">
        <v>742</v>
      </c>
      <c r="B198" s="39">
        <v>2755</v>
      </c>
      <c r="C198" s="39">
        <v>2732</v>
      </c>
      <c r="D198" s="39">
        <v>3730</v>
      </c>
      <c r="E198" s="39">
        <v>2782</v>
      </c>
      <c r="F198" s="39">
        <v>2268</v>
      </c>
      <c r="G198" s="39">
        <v>2521</v>
      </c>
      <c r="H198" s="39">
        <v>2102</v>
      </c>
      <c r="I198" s="39">
        <v>2669</v>
      </c>
      <c r="J198" s="39">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7" t="s">
        <v>234</v>
      </c>
      <c r="AE198" s="28">
        <v>1322</v>
      </c>
      <c r="AF198">
        <v>6586</v>
      </c>
      <c r="AG198">
        <v>1285</v>
      </c>
      <c r="AH198">
        <v>6266</v>
      </c>
    </row>
    <row r="199" spans="1:34" hidden="1">
      <c r="A199" s="39" t="s">
        <v>958</v>
      </c>
      <c r="B199" s="39">
        <v>1109</v>
      </c>
      <c r="C199" s="39">
        <v>944</v>
      </c>
      <c r="D199" s="39">
        <v>927</v>
      </c>
      <c r="E199" s="39">
        <v>989</v>
      </c>
      <c r="F199" s="39">
        <v>1019</v>
      </c>
      <c r="G199" s="39">
        <v>945</v>
      </c>
      <c r="H199" s="39">
        <v>963</v>
      </c>
      <c r="I199" s="39">
        <v>934</v>
      </c>
      <c r="J199" s="39">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441</v>
      </c>
      <c r="AE199" s="28">
        <v>1858</v>
      </c>
      <c r="AF199">
        <v>4998</v>
      </c>
      <c r="AG199">
        <v>1799</v>
      </c>
      <c r="AH199">
        <v>4894</v>
      </c>
    </row>
    <row r="200" spans="1:34" hidden="1">
      <c r="A200" s="39" t="s">
        <v>984</v>
      </c>
      <c r="B200" s="39">
        <v>788</v>
      </c>
      <c r="C200" s="39">
        <v>1486</v>
      </c>
      <c r="D200" s="39">
        <v>760</v>
      </c>
      <c r="E200" s="39">
        <v>625</v>
      </c>
      <c r="F200" s="39">
        <v>615</v>
      </c>
      <c r="G200" s="39">
        <v>631</v>
      </c>
      <c r="H200" s="39">
        <v>485</v>
      </c>
      <c r="I200" s="39">
        <v>978</v>
      </c>
      <c r="J200" s="39">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439</v>
      </c>
      <c r="AE200" s="28">
        <v>1829</v>
      </c>
      <c r="AF200">
        <v>9027</v>
      </c>
      <c r="AG200">
        <v>1855</v>
      </c>
      <c r="AH200">
        <v>7726</v>
      </c>
    </row>
    <row r="201" spans="1:34" hidden="1">
      <c r="A201" s="39" t="s">
        <v>473</v>
      </c>
      <c r="B201" s="39">
        <v>1756</v>
      </c>
      <c r="C201" s="39">
        <v>2130</v>
      </c>
      <c r="D201" s="39">
        <v>4704</v>
      </c>
      <c r="E201" s="39">
        <v>2398</v>
      </c>
      <c r="F201" s="39">
        <v>2991</v>
      </c>
      <c r="G201" s="39">
        <v>1792</v>
      </c>
      <c r="H201" s="39">
        <v>1099</v>
      </c>
      <c r="I201" s="39">
        <v>4398</v>
      </c>
      <c r="J201" s="39">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397</v>
      </c>
      <c r="AE201" s="28">
        <v>1488</v>
      </c>
      <c r="AF201">
        <v>6357</v>
      </c>
      <c r="AG201">
        <v>1363</v>
      </c>
      <c r="AH201">
        <v>5727</v>
      </c>
    </row>
    <row r="202" spans="1:34" hidden="1">
      <c r="A202" s="39" t="s">
        <v>1087</v>
      </c>
      <c r="B202" s="39">
        <v>1769</v>
      </c>
      <c r="C202" s="39">
        <v>891</v>
      </c>
      <c r="D202" s="39">
        <v>46</v>
      </c>
      <c r="E202" s="39">
        <v>1060</v>
      </c>
      <c r="F202" s="39">
        <v>1496</v>
      </c>
      <c r="G202" s="39">
        <v>1484</v>
      </c>
      <c r="H202" s="39">
        <v>1170</v>
      </c>
      <c r="I202" s="39">
        <v>1548</v>
      </c>
      <c r="J202" s="39">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681</v>
      </c>
      <c r="AE202" s="28">
        <v>4708</v>
      </c>
      <c r="AF202">
        <v>13533</v>
      </c>
      <c r="AG202">
        <v>4276</v>
      </c>
      <c r="AH202">
        <v>10352</v>
      </c>
    </row>
    <row r="203" spans="1:34" hidden="1">
      <c r="A203" s="39" t="s">
        <v>1195</v>
      </c>
      <c r="B203" s="39">
        <v>1169</v>
      </c>
      <c r="C203" s="39">
        <v>1287</v>
      </c>
      <c r="D203" s="39">
        <v>1659</v>
      </c>
      <c r="E203" s="39">
        <v>1409</v>
      </c>
      <c r="F203" s="39">
        <v>1673</v>
      </c>
      <c r="G203" s="39">
        <v>1641</v>
      </c>
      <c r="H203" s="39">
        <v>1234</v>
      </c>
      <c r="I203" s="39">
        <v>1346</v>
      </c>
      <c r="J203" s="39">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589</v>
      </c>
      <c r="AE203" s="28">
        <v>1863</v>
      </c>
      <c r="AF203">
        <v>7779</v>
      </c>
      <c r="AG203">
        <v>1886</v>
      </c>
      <c r="AH203">
        <v>7731</v>
      </c>
    </row>
    <row r="204" spans="1:34" hidden="1">
      <c r="A204" s="39" t="s">
        <v>1253</v>
      </c>
      <c r="B204" s="39">
        <v>2223</v>
      </c>
      <c r="C204" s="39">
        <v>2498</v>
      </c>
      <c r="D204" s="39">
        <v>2104</v>
      </c>
      <c r="E204" s="39">
        <v>2020</v>
      </c>
      <c r="F204" s="39">
        <v>1803</v>
      </c>
      <c r="G204" s="39">
        <v>1278</v>
      </c>
      <c r="H204" s="39">
        <v>1057</v>
      </c>
      <c r="I204" s="39">
        <v>1016</v>
      </c>
      <c r="J204" s="39">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232</v>
      </c>
      <c r="AE204" s="28">
        <v>872</v>
      </c>
      <c r="AF204">
        <v>2950</v>
      </c>
      <c r="AH204">
        <v>0</v>
      </c>
    </row>
    <row r="205" spans="1:34" hidden="1">
      <c r="A205" s="39" t="s">
        <v>1121</v>
      </c>
      <c r="B205" s="39">
        <v>1237</v>
      </c>
      <c r="C205" s="39">
        <v>833</v>
      </c>
      <c r="D205" s="39">
        <v>804</v>
      </c>
      <c r="E205" s="39">
        <v>2592</v>
      </c>
      <c r="F205" s="39">
        <v>984</v>
      </c>
      <c r="G205" s="39">
        <v>1591</v>
      </c>
      <c r="H205" s="39">
        <v>966</v>
      </c>
      <c r="I205" s="39">
        <v>1220</v>
      </c>
      <c r="J205" s="39">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206</v>
      </c>
      <c r="AE205" s="28">
        <v>881</v>
      </c>
      <c r="AF205">
        <v>4215</v>
      </c>
      <c r="AG205">
        <v>883</v>
      </c>
      <c r="AH205">
        <v>4039</v>
      </c>
    </row>
    <row r="206" spans="1:34" hidden="1">
      <c r="A206" s="39" t="s">
        <v>1068</v>
      </c>
      <c r="B206" s="39">
        <v>1768</v>
      </c>
      <c r="C206" s="39">
        <v>1586</v>
      </c>
      <c r="D206" s="39">
        <v>1711</v>
      </c>
      <c r="E206" s="39">
        <v>2105</v>
      </c>
      <c r="F206" s="39">
        <v>1778</v>
      </c>
      <c r="G206" s="39">
        <v>3232</v>
      </c>
      <c r="H206" s="39">
        <v>1148</v>
      </c>
      <c r="I206" s="39">
        <v>1287</v>
      </c>
      <c r="J206" s="39">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96</v>
      </c>
      <c r="AE206" s="28">
        <v>1829</v>
      </c>
      <c r="AF206">
        <v>5765</v>
      </c>
      <c r="AG206">
        <v>1757</v>
      </c>
      <c r="AH206">
        <v>5305</v>
      </c>
    </row>
    <row r="207" spans="1:34" hidden="1">
      <c r="A207" s="39" t="s">
        <v>1098</v>
      </c>
      <c r="B207" s="39">
        <v>1118</v>
      </c>
      <c r="C207" s="39">
        <v>1244</v>
      </c>
      <c r="D207" s="39">
        <v>1200</v>
      </c>
      <c r="E207" s="39">
        <v>1279</v>
      </c>
      <c r="F207" s="39">
        <v>1042</v>
      </c>
      <c r="G207" s="39">
        <v>1108</v>
      </c>
      <c r="H207" s="39">
        <v>981</v>
      </c>
      <c r="I207" s="39">
        <v>1299</v>
      </c>
      <c r="J207" s="39">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1396</v>
      </c>
      <c r="AE207" s="28">
        <v>0</v>
      </c>
      <c r="AF207">
        <v>0</v>
      </c>
      <c r="AH207">
        <v>0</v>
      </c>
    </row>
    <row r="208" spans="1:34" hidden="1">
      <c r="A208" s="39" t="s">
        <v>1130</v>
      </c>
      <c r="B208" s="39">
        <v>1120</v>
      </c>
      <c r="C208" s="39">
        <v>1188</v>
      </c>
      <c r="D208" s="39">
        <v>573</v>
      </c>
      <c r="E208" s="39">
        <v>556</v>
      </c>
      <c r="F208" s="39">
        <v>816</v>
      </c>
      <c r="G208" s="39">
        <v>832</v>
      </c>
      <c r="H208" s="39">
        <v>1186</v>
      </c>
      <c r="I208" s="39">
        <v>1343</v>
      </c>
      <c r="J208" s="39">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48</v>
      </c>
      <c r="AE208" s="28">
        <v>3661</v>
      </c>
      <c r="AF208">
        <v>22624</v>
      </c>
      <c r="AG208">
        <v>4033</v>
      </c>
      <c r="AH208">
        <v>23512</v>
      </c>
    </row>
    <row r="209" spans="1:34" hidden="1">
      <c r="A209" s="39" t="s">
        <v>1227</v>
      </c>
      <c r="B209" s="39">
        <v>0</v>
      </c>
      <c r="C209" s="39">
        <v>0</v>
      </c>
      <c r="D209" s="39">
        <v>0</v>
      </c>
      <c r="E209" s="39">
        <v>1898</v>
      </c>
      <c r="F209" s="39">
        <v>1728</v>
      </c>
      <c r="G209" s="39">
        <v>1394</v>
      </c>
      <c r="H209" s="39">
        <v>1405</v>
      </c>
      <c r="I209" s="39">
        <v>934</v>
      </c>
      <c r="J209" s="39">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382</v>
      </c>
      <c r="AE209" s="28">
        <v>941</v>
      </c>
      <c r="AF209">
        <v>5236</v>
      </c>
      <c r="AG209">
        <v>989</v>
      </c>
      <c r="AH209">
        <v>5612</v>
      </c>
    </row>
    <row r="210" spans="1:34" hidden="1">
      <c r="A210" s="39" t="s">
        <v>1397</v>
      </c>
      <c r="B210" s="39">
        <v>0</v>
      </c>
      <c r="C210" s="39">
        <v>5</v>
      </c>
      <c r="D210" s="39">
        <v>0</v>
      </c>
      <c r="E210" s="39">
        <v>0</v>
      </c>
      <c r="F210" s="39">
        <v>0</v>
      </c>
      <c r="G210" s="39">
        <v>0</v>
      </c>
      <c r="H210" s="39">
        <v>0</v>
      </c>
      <c r="I210" s="39">
        <v>0</v>
      </c>
      <c r="J210" s="39">
        <v>0</v>
      </c>
      <c r="K210">
        <v>154</v>
      </c>
      <c r="L210">
        <v>0</v>
      </c>
      <c r="M210">
        <v>0</v>
      </c>
      <c r="N210">
        <v>0</v>
      </c>
      <c r="O210">
        <v>0</v>
      </c>
      <c r="P210">
        <v>2</v>
      </c>
      <c r="Q210">
        <v>0</v>
      </c>
      <c r="R210">
        <v>0</v>
      </c>
      <c r="S210">
        <v>0</v>
      </c>
      <c r="T210">
        <v>0</v>
      </c>
      <c r="U210">
        <v>0</v>
      </c>
      <c r="V210">
        <v>0</v>
      </c>
      <c r="W210">
        <v>0</v>
      </c>
      <c r="X210">
        <v>15</v>
      </c>
      <c r="Y210">
        <v>0</v>
      </c>
      <c r="Z210">
        <v>0</v>
      </c>
      <c r="AA210">
        <v>0</v>
      </c>
      <c r="AD210" t="s">
        <v>214</v>
      </c>
      <c r="AE210" s="28">
        <v>1614</v>
      </c>
      <c r="AF210">
        <v>9176</v>
      </c>
      <c r="AG210">
        <v>1395</v>
      </c>
      <c r="AH210">
        <v>8238</v>
      </c>
    </row>
    <row r="211" spans="1:34" hidden="1">
      <c r="A211" s="39" t="s">
        <v>1243</v>
      </c>
      <c r="B211" s="39">
        <v>1237</v>
      </c>
      <c r="C211" s="39">
        <v>2363</v>
      </c>
      <c r="D211" s="39">
        <v>1303</v>
      </c>
      <c r="E211" s="39">
        <v>1272</v>
      </c>
      <c r="F211" s="39">
        <v>966</v>
      </c>
      <c r="G211" s="39">
        <v>979</v>
      </c>
      <c r="H211" s="39">
        <v>1008</v>
      </c>
      <c r="I211" s="39">
        <v>952</v>
      </c>
      <c r="J211" s="39">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274</v>
      </c>
      <c r="AE211" s="28">
        <v>627</v>
      </c>
      <c r="AF211">
        <v>2213</v>
      </c>
      <c r="AG211">
        <v>57</v>
      </c>
      <c r="AH211">
        <v>143</v>
      </c>
    </row>
    <row r="212" spans="1:34" hidden="1">
      <c r="A212" s="39" t="s">
        <v>1210</v>
      </c>
      <c r="B212" s="39">
        <v>635</v>
      </c>
      <c r="C212" s="39">
        <v>544</v>
      </c>
      <c r="D212" s="39">
        <v>394</v>
      </c>
      <c r="E212" s="39">
        <v>374</v>
      </c>
      <c r="F212" s="39">
        <v>247</v>
      </c>
      <c r="G212" s="39">
        <v>361</v>
      </c>
      <c r="H212" s="39">
        <v>1056</v>
      </c>
      <c r="I212" s="39">
        <v>749</v>
      </c>
      <c r="J212" s="39">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142</v>
      </c>
      <c r="AE212" s="28">
        <v>1753</v>
      </c>
      <c r="AF212">
        <v>6030</v>
      </c>
      <c r="AG212">
        <v>1659</v>
      </c>
      <c r="AH212">
        <v>4782</v>
      </c>
    </row>
    <row r="213" spans="1:34" hidden="1">
      <c r="A213" s="39" t="s">
        <v>360</v>
      </c>
      <c r="B213" s="39">
        <v>0</v>
      </c>
      <c r="C213" s="39">
        <v>639</v>
      </c>
      <c r="D213" s="39">
        <v>547</v>
      </c>
      <c r="E213" s="39">
        <v>724</v>
      </c>
      <c r="F213" s="39">
        <v>597</v>
      </c>
      <c r="G213" s="39">
        <v>623</v>
      </c>
      <c r="H213" s="39">
        <v>573</v>
      </c>
      <c r="I213" s="39">
        <v>591</v>
      </c>
      <c r="J213" s="39">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160</v>
      </c>
      <c r="AE213" s="28">
        <v>1376</v>
      </c>
      <c r="AF213">
        <v>6277</v>
      </c>
      <c r="AG213">
        <v>1364</v>
      </c>
      <c r="AH213">
        <v>5971</v>
      </c>
    </row>
    <row r="214" spans="1:34" hidden="1">
      <c r="A214" s="39" t="s">
        <v>370</v>
      </c>
      <c r="B214" s="39">
        <v>597</v>
      </c>
      <c r="C214" s="39">
        <v>557</v>
      </c>
      <c r="D214" s="39">
        <v>571</v>
      </c>
      <c r="E214" s="39">
        <v>571</v>
      </c>
      <c r="F214" s="39">
        <v>514</v>
      </c>
      <c r="G214" s="39">
        <v>590</v>
      </c>
      <c r="H214" s="39">
        <v>601</v>
      </c>
      <c r="I214" s="39">
        <v>587</v>
      </c>
      <c r="J214" s="39">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228</v>
      </c>
      <c r="AE214" s="28">
        <v>351</v>
      </c>
      <c r="AF214">
        <v>1660</v>
      </c>
      <c r="AG214">
        <v>871</v>
      </c>
      <c r="AH214">
        <v>2942</v>
      </c>
    </row>
    <row r="215" spans="1:34" hidden="1">
      <c r="A215" s="39" t="s">
        <v>58</v>
      </c>
      <c r="B215" s="39">
        <v>1712</v>
      </c>
      <c r="C215" s="39">
        <v>1625</v>
      </c>
      <c r="D215" s="39">
        <v>1508</v>
      </c>
      <c r="E215" s="39">
        <v>2088</v>
      </c>
      <c r="F215" s="39">
        <v>2519</v>
      </c>
      <c r="G215" s="39">
        <v>1783</v>
      </c>
      <c r="H215" s="39">
        <v>1946</v>
      </c>
      <c r="I215" s="39">
        <v>1727</v>
      </c>
      <c r="J215" s="39">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653</v>
      </c>
      <c r="AE215" s="28">
        <v>4617</v>
      </c>
      <c r="AF215">
        <v>30049</v>
      </c>
      <c r="AG215">
        <v>3650</v>
      </c>
      <c r="AH215">
        <v>25130</v>
      </c>
    </row>
    <row r="216" spans="1:34" hidden="1">
      <c r="A216" s="39" t="s">
        <v>304</v>
      </c>
      <c r="B216" s="39">
        <v>779</v>
      </c>
      <c r="C216" s="39">
        <v>580</v>
      </c>
      <c r="D216" s="39">
        <v>444</v>
      </c>
      <c r="E216" s="39">
        <v>479</v>
      </c>
      <c r="F216" s="39">
        <v>360</v>
      </c>
      <c r="G216" s="39">
        <v>449</v>
      </c>
      <c r="H216" s="39">
        <v>378</v>
      </c>
      <c r="I216" s="39">
        <v>741</v>
      </c>
      <c r="J216" s="39">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136</v>
      </c>
      <c r="AE216" s="28">
        <v>3350</v>
      </c>
      <c r="AF216">
        <v>13606</v>
      </c>
      <c r="AG216">
        <v>2931</v>
      </c>
      <c r="AH216">
        <v>11927</v>
      </c>
    </row>
    <row r="217" spans="1:34" hidden="1">
      <c r="A217" s="39" t="s">
        <v>64</v>
      </c>
      <c r="B217" s="39">
        <v>2633</v>
      </c>
      <c r="C217" s="39">
        <v>3011</v>
      </c>
      <c r="D217" s="39">
        <v>2255</v>
      </c>
      <c r="E217" s="39">
        <v>2706</v>
      </c>
      <c r="F217" s="39">
        <v>2629</v>
      </c>
      <c r="G217" s="39">
        <v>2994</v>
      </c>
      <c r="H217" s="39">
        <v>2355</v>
      </c>
      <c r="I217" s="39">
        <v>2124</v>
      </c>
      <c r="J217" s="39">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513</v>
      </c>
      <c r="AE217" s="28">
        <v>1866</v>
      </c>
      <c r="AF217">
        <v>6089</v>
      </c>
      <c r="AG217">
        <v>1815</v>
      </c>
      <c r="AH217">
        <v>6215</v>
      </c>
    </row>
    <row r="218" spans="1:34" hidden="1">
      <c r="A218" s="39" t="s">
        <v>699</v>
      </c>
      <c r="B218" s="39">
        <v>4738</v>
      </c>
      <c r="C218" s="39">
        <v>4476</v>
      </c>
      <c r="D218" s="39">
        <v>4408</v>
      </c>
      <c r="E218" s="39">
        <v>4991</v>
      </c>
      <c r="F218" s="39">
        <v>0</v>
      </c>
      <c r="G218" s="39">
        <v>18476</v>
      </c>
      <c r="H218" s="39">
        <v>4034</v>
      </c>
      <c r="I218" s="39">
        <v>12946</v>
      </c>
      <c r="J218" s="39">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505</v>
      </c>
      <c r="AE218" s="28">
        <v>1077</v>
      </c>
      <c r="AF218">
        <v>6667</v>
      </c>
      <c r="AG218">
        <v>881</v>
      </c>
      <c r="AH218">
        <v>8278</v>
      </c>
    </row>
    <row r="219" spans="1:34" hidden="1">
      <c r="A219" s="39" t="s">
        <v>962</v>
      </c>
      <c r="B219" s="39">
        <v>1830</v>
      </c>
      <c r="C219" s="39">
        <v>2841</v>
      </c>
      <c r="D219" s="39">
        <v>3914</v>
      </c>
      <c r="E219" s="39">
        <v>5183</v>
      </c>
      <c r="F219" s="39">
        <v>1988</v>
      </c>
      <c r="G219" s="39">
        <v>1740</v>
      </c>
      <c r="H219" s="39">
        <v>1307</v>
      </c>
      <c r="I219" s="39">
        <v>1032</v>
      </c>
      <c r="J219" s="39">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264</v>
      </c>
      <c r="AE219" s="28">
        <v>746</v>
      </c>
      <c r="AF219">
        <v>3743</v>
      </c>
      <c r="AH219">
        <v>0</v>
      </c>
    </row>
    <row r="220" spans="1:34" hidden="1">
      <c r="A220" s="39" t="s">
        <v>1062</v>
      </c>
      <c r="B220" s="39">
        <v>859</v>
      </c>
      <c r="C220" s="39">
        <v>993</v>
      </c>
      <c r="D220" s="39">
        <v>921</v>
      </c>
      <c r="E220" s="39">
        <v>1014</v>
      </c>
      <c r="F220" s="39">
        <v>985</v>
      </c>
      <c r="G220" s="39">
        <v>907</v>
      </c>
      <c r="H220" s="39">
        <v>1104</v>
      </c>
      <c r="I220" s="39">
        <v>1503</v>
      </c>
      <c r="J220" s="39">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629</v>
      </c>
      <c r="AE220" s="28">
        <v>1508</v>
      </c>
      <c r="AF220">
        <v>5344</v>
      </c>
      <c r="AG220">
        <v>1937</v>
      </c>
      <c r="AH220">
        <v>7566</v>
      </c>
    </row>
    <row r="221" spans="1:34" hidden="1">
      <c r="A221" s="39" t="s">
        <v>832</v>
      </c>
      <c r="B221" s="39">
        <v>0</v>
      </c>
      <c r="C221" s="39">
        <v>262</v>
      </c>
      <c r="D221" s="39">
        <v>1302</v>
      </c>
      <c r="E221" s="39">
        <v>1630</v>
      </c>
      <c r="F221" s="39">
        <v>1087</v>
      </c>
      <c r="G221" s="39">
        <v>967</v>
      </c>
      <c r="H221" s="39">
        <v>1199</v>
      </c>
      <c r="I221" s="39">
        <v>1971</v>
      </c>
      <c r="J221" s="39">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304</v>
      </c>
      <c r="AE221" s="28">
        <v>1031</v>
      </c>
      <c r="AF221">
        <v>2567</v>
      </c>
      <c r="AG221">
        <v>796</v>
      </c>
      <c r="AH221">
        <v>1997</v>
      </c>
    </row>
    <row r="222" spans="1:34" hidden="1">
      <c r="A222" s="39" t="s">
        <v>818</v>
      </c>
      <c r="B222" s="39">
        <v>2136</v>
      </c>
      <c r="C222" s="39">
        <v>2353</v>
      </c>
      <c r="D222" s="39">
        <v>1497</v>
      </c>
      <c r="E222" s="39">
        <v>1319</v>
      </c>
      <c r="F222" s="39">
        <v>1243</v>
      </c>
      <c r="G222" s="39">
        <v>1281</v>
      </c>
      <c r="H222" s="39">
        <v>1054</v>
      </c>
      <c r="I222" s="39">
        <v>1336</v>
      </c>
      <c r="J222" s="39">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511</v>
      </c>
      <c r="AE222" s="28">
        <v>4286</v>
      </c>
      <c r="AF222">
        <v>16357</v>
      </c>
      <c r="AG222">
        <v>4089</v>
      </c>
      <c r="AH222">
        <v>14561</v>
      </c>
    </row>
    <row r="223" spans="1:34" hidden="1">
      <c r="A223" s="39" t="s">
        <v>916</v>
      </c>
      <c r="B223" s="39">
        <v>1728</v>
      </c>
      <c r="C223" s="39">
        <v>813</v>
      </c>
      <c r="D223" s="39">
        <v>816</v>
      </c>
      <c r="E223" s="39">
        <v>1103</v>
      </c>
      <c r="F223" s="39">
        <v>891</v>
      </c>
      <c r="G223" s="39">
        <v>694</v>
      </c>
      <c r="H223" s="39">
        <v>648</v>
      </c>
      <c r="I223" s="39">
        <v>694</v>
      </c>
      <c r="J223" s="39">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481</v>
      </c>
      <c r="AE223" s="28">
        <v>5987</v>
      </c>
      <c r="AF223">
        <v>17769</v>
      </c>
      <c r="AG223">
        <v>4693</v>
      </c>
      <c r="AH223">
        <v>11762</v>
      </c>
    </row>
    <row r="224" spans="1:34" hidden="1">
      <c r="A224" s="39" t="s">
        <v>1398</v>
      </c>
      <c r="B224" s="39">
        <v>0</v>
      </c>
      <c r="C224" s="39">
        <v>0</v>
      </c>
      <c r="D224" s="39">
        <v>0</v>
      </c>
      <c r="E224" s="39">
        <v>0</v>
      </c>
      <c r="F224" s="39">
        <v>0</v>
      </c>
      <c r="G224" s="39">
        <v>0</v>
      </c>
      <c r="H224" s="39">
        <v>0</v>
      </c>
      <c r="I224" s="39">
        <v>0</v>
      </c>
      <c r="J224" s="39">
        <v>320</v>
      </c>
      <c r="K224">
        <v>1016</v>
      </c>
      <c r="L224">
        <v>435</v>
      </c>
      <c r="M224">
        <v>670</v>
      </c>
      <c r="N224">
        <v>683</v>
      </c>
      <c r="O224">
        <v>0</v>
      </c>
      <c r="P224">
        <v>0</v>
      </c>
      <c r="Q224">
        <v>0</v>
      </c>
      <c r="R224">
        <v>0</v>
      </c>
      <c r="S224">
        <v>0</v>
      </c>
      <c r="T224">
        <v>0</v>
      </c>
      <c r="U224">
        <v>0</v>
      </c>
      <c r="V224">
        <v>0</v>
      </c>
      <c r="W224">
        <v>91</v>
      </c>
      <c r="X224">
        <v>283</v>
      </c>
      <c r="Y224">
        <v>119</v>
      </c>
      <c r="Z224">
        <v>141</v>
      </c>
      <c r="AA224">
        <v>167</v>
      </c>
      <c r="AD224" t="s">
        <v>591</v>
      </c>
      <c r="AE224" s="28">
        <v>2067</v>
      </c>
      <c r="AF224">
        <v>8979</v>
      </c>
      <c r="AG224">
        <v>1894</v>
      </c>
      <c r="AH224">
        <v>6815</v>
      </c>
    </row>
    <row r="225" spans="1:34" hidden="1">
      <c r="A225" s="39" t="s">
        <v>722</v>
      </c>
      <c r="B225" s="39">
        <v>6790</v>
      </c>
      <c r="C225" s="39">
        <v>6625</v>
      </c>
      <c r="D225" s="39">
        <v>4246</v>
      </c>
      <c r="E225" s="39">
        <v>3787</v>
      </c>
      <c r="F225" s="39">
        <v>4239</v>
      </c>
      <c r="G225" s="39">
        <v>3515</v>
      </c>
      <c r="H225" s="39">
        <v>3929</v>
      </c>
      <c r="I225" s="39">
        <v>3313</v>
      </c>
      <c r="J225" s="39">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685</v>
      </c>
      <c r="AE225" s="28">
        <v>3090</v>
      </c>
      <c r="AF225">
        <v>13684</v>
      </c>
      <c r="AG225">
        <v>2906</v>
      </c>
      <c r="AH225">
        <v>11295</v>
      </c>
    </row>
    <row r="226" spans="1:34" hidden="1">
      <c r="A226" s="39" t="s">
        <v>1229</v>
      </c>
      <c r="B226" s="39">
        <v>1353</v>
      </c>
      <c r="C226" s="39">
        <v>1212</v>
      </c>
      <c r="D226" s="39">
        <v>1254</v>
      </c>
      <c r="E226" s="39">
        <v>1058</v>
      </c>
      <c r="F226" s="39">
        <v>1069</v>
      </c>
      <c r="G226" s="39">
        <v>992</v>
      </c>
      <c r="H226" s="39">
        <v>1002</v>
      </c>
      <c r="I226" s="39">
        <v>1015</v>
      </c>
      <c r="J226" s="39">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587</v>
      </c>
      <c r="AE226" s="28">
        <v>1664</v>
      </c>
      <c r="AF226">
        <v>9255</v>
      </c>
      <c r="AG226">
        <v>1604</v>
      </c>
      <c r="AH226">
        <v>7391</v>
      </c>
    </row>
    <row r="227" spans="1:34" hidden="1">
      <c r="A227" s="39" t="s">
        <v>735</v>
      </c>
      <c r="B227" s="39">
        <v>2428</v>
      </c>
      <c r="C227" s="39">
        <v>2992</v>
      </c>
      <c r="D227" s="39">
        <v>3055</v>
      </c>
      <c r="E227" s="39">
        <v>2948</v>
      </c>
      <c r="F227" s="39">
        <v>2517</v>
      </c>
      <c r="G227" s="39">
        <v>2548</v>
      </c>
      <c r="H227" s="39">
        <v>2539</v>
      </c>
      <c r="I227" s="39">
        <v>2879</v>
      </c>
      <c r="J227" s="39">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262</v>
      </c>
      <c r="AE227" s="28">
        <v>124</v>
      </c>
      <c r="AF227">
        <v>519</v>
      </c>
      <c r="AG227">
        <v>412</v>
      </c>
      <c r="AH227">
        <v>1805</v>
      </c>
    </row>
    <row r="228" spans="1:34" hidden="1">
      <c r="A228" s="39" t="s">
        <v>1399</v>
      </c>
      <c r="B228" s="39">
        <v>2330</v>
      </c>
      <c r="C228" s="39">
        <v>1555</v>
      </c>
      <c r="D228" s="39">
        <v>2367</v>
      </c>
      <c r="E228" s="39">
        <v>1074</v>
      </c>
      <c r="F228" s="39">
        <v>585</v>
      </c>
      <c r="G228" s="39">
        <v>770</v>
      </c>
      <c r="H228" s="39">
        <v>721</v>
      </c>
      <c r="I228" s="39">
        <v>685</v>
      </c>
      <c r="J228" s="39">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1400</v>
      </c>
      <c r="AE228" s="28">
        <v>64</v>
      </c>
      <c r="AF228">
        <v>405</v>
      </c>
      <c r="AH228">
        <v>0</v>
      </c>
    </row>
    <row r="229" spans="1:34" hidden="1">
      <c r="A229" s="39" t="s">
        <v>1138</v>
      </c>
      <c r="B229" s="39">
        <v>641</v>
      </c>
      <c r="C229" s="39">
        <v>615</v>
      </c>
      <c r="D229" s="39">
        <v>441</v>
      </c>
      <c r="E229" s="39">
        <v>252</v>
      </c>
      <c r="F229" s="39">
        <v>319</v>
      </c>
      <c r="G229" s="39">
        <v>283</v>
      </c>
      <c r="H229" s="39">
        <v>127</v>
      </c>
      <c r="I229" s="39">
        <v>344</v>
      </c>
      <c r="J229" s="39">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128</v>
      </c>
      <c r="AE229" s="28">
        <v>1664</v>
      </c>
      <c r="AF229">
        <v>6998</v>
      </c>
      <c r="AG229">
        <v>1595</v>
      </c>
      <c r="AH229">
        <v>6871</v>
      </c>
    </row>
    <row r="230" spans="1:34" hidden="1">
      <c r="A230" s="39" t="s">
        <v>1091</v>
      </c>
      <c r="B230" s="39">
        <v>1539</v>
      </c>
      <c r="C230" s="39">
        <v>925</v>
      </c>
      <c r="D230" s="39">
        <v>921</v>
      </c>
      <c r="E230" s="39">
        <v>740</v>
      </c>
      <c r="F230" s="39">
        <v>659</v>
      </c>
      <c r="G230" s="39">
        <v>582</v>
      </c>
      <c r="H230" s="39">
        <v>467</v>
      </c>
      <c r="I230" s="39">
        <v>616</v>
      </c>
      <c r="J230" s="39">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533</v>
      </c>
      <c r="AE230" s="28">
        <v>1145</v>
      </c>
      <c r="AF230">
        <v>5474</v>
      </c>
      <c r="AG230">
        <v>928</v>
      </c>
      <c r="AH230">
        <v>4468</v>
      </c>
    </row>
    <row r="231" spans="1:34" hidden="1">
      <c r="A231" s="39" t="s">
        <v>1219</v>
      </c>
      <c r="B231" s="39">
        <v>2507</v>
      </c>
      <c r="C231" s="39">
        <v>2195</v>
      </c>
      <c r="D231" s="39">
        <v>5543</v>
      </c>
      <c r="E231" s="39">
        <v>2949</v>
      </c>
      <c r="F231" s="39">
        <v>4757</v>
      </c>
      <c r="G231" s="39">
        <v>2710</v>
      </c>
      <c r="H231" s="39">
        <v>2773</v>
      </c>
      <c r="I231" s="39">
        <v>2627</v>
      </c>
      <c r="J231" s="39">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270</v>
      </c>
      <c r="AE231" s="28">
        <v>1134</v>
      </c>
      <c r="AF231">
        <v>6878</v>
      </c>
      <c r="AG231">
        <v>1112</v>
      </c>
      <c r="AH231">
        <v>6349</v>
      </c>
    </row>
    <row r="232" spans="1:34" hidden="1">
      <c r="A232" s="39" t="s">
        <v>1116</v>
      </c>
      <c r="B232" s="39">
        <v>1053</v>
      </c>
      <c r="C232" s="39">
        <v>1148</v>
      </c>
      <c r="D232" s="39">
        <v>826</v>
      </c>
      <c r="E232" s="39">
        <v>993</v>
      </c>
      <c r="F232" s="39">
        <v>685</v>
      </c>
      <c r="G232" s="39">
        <v>806</v>
      </c>
      <c r="H232" s="39">
        <v>602</v>
      </c>
      <c r="I232" s="39">
        <v>1053</v>
      </c>
      <c r="J232" s="39">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639</v>
      </c>
      <c r="AE232" s="28">
        <v>38</v>
      </c>
      <c r="AF232">
        <v>780</v>
      </c>
      <c r="AG232">
        <v>951</v>
      </c>
      <c r="AH232">
        <v>3312</v>
      </c>
    </row>
    <row r="233" spans="1:34" hidden="1">
      <c r="A233" s="39" t="s">
        <v>1292</v>
      </c>
      <c r="B233" s="39">
        <v>5762</v>
      </c>
      <c r="C233" s="39">
        <v>4959</v>
      </c>
      <c r="D233" s="39">
        <v>5692</v>
      </c>
      <c r="E233" s="39">
        <v>5409</v>
      </c>
      <c r="F233" s="39">
        <v>4892</v>
      </c>
      <c r="G233" s="39">
        <v>4067</v>
      </c>
      <c r="H233" s="39">
        <v>2818</v>
      </c>
      <c r="I233" s="39">
        <v>2952</v>
      </c>
      <c r="J233" s="39">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102</v>
      </c>
      <c r="AE233" s="28">
        <v>4242</v>
      </c>
      <c r="AF233">
        <v>16553</v>
      </c>
      <c r="AG233">
        <v>4087</v>
      </c>
      <c r="AH233">
        <v>16799</v>
      </c>
    </row>
    <row r="234" spans="1:34" hidden="1">
      <c r="A234" s="39" t="s">
        <v>1270</v>
      </c>
      <c r="B234" s="39">
        <v>651</v>
      </c>
      <c r="C234" s="39">
        <v>722</v>
      </c>
      <c r="D234" s="39">
        <v>660</v>
      </c>
      <c r="E234" s="39">
        <v>708</v>
      </c>
      <c r="F234" s="39">
        <v>570</v>
      </c>
      <c r="G234" s="39">
        <v>553</v>
      </c>
      <c r="H234" s="39">
        <v>472</v>
      </c>
      <c r="I234" s="39">
        <v>615</v>
      </c>
      <c r="J234" s="39">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675</v>
      </c>
      <c r="AE234" s="28">
        <v>6399</v>
      </c>
      <c r="AF234">
        <v>28292</v>
      </c>
      <c r="AG234">
        <v>5244</v>
      </c>
      <c r="AH234">
        <v>21070</v>
      </c>
    </row>
    <row r="235" spans="1:34" hidden="1">
      <c r="A235" s="39" t="s">
        <v>1274</v>
      </c>
      <c r="B235" s="39">
        <v>981</v>
      </c>
      <c r="C235" s="39">
        <v>927</v>
      </c>
      <c r="D235" s="39">
        <v>872</v>
      </c>
      <c r="E235" s="39">
        <v>773</v>
      </c>
      <c r="F235" s="39">
        <v>884</v>
      </c>
      <c r="G235" s="39">
        <v>1202</v>
      </c>
      <c r="H235" s="39">
        <v>852</v>
      </c>
      <c r="I235" s="39">
        <v>1061</v>
      </c>
      <c r="J235" s="39">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138</v>
      </c>
      <c r="AE235" s="28">
        <v>18410</v>
      </c>
      <c r="AF235">
        <v>95635</v>
      </c>
      <c r="AG235">
        <v>15225</v>
      </c>
      <c r="AH235">
        <v>72670</v>
      </c>
    </row>
    <row r="236" spans="1:34" hidden="1">
      <c r="A236" s="39" t="s">
        <v>1241</v>
      </c>
      <c r="B236" s="39">
        <v>1446</v>
      </c>
      <c r="C236" s="39">
        <v>1145</v>
      </c>
      <c r="D236" s="39">
        <v>785</v>
      </c>
      <c r="E236" s="39">
        <v>592</v>
      </c>
      <c r="F236" s="39">
        <v>634</v>
      </c>
      <c r="G236" s="39">
        <v>737</v>
      </c>
      <c r="H236" s="39">
        <v>690</v>
      </c>
      <c r="I236" s="39">
        <v>906</v>
      </c>
      <c r="J236" s="39">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746</v>
      </c>
      <c r="AE236" s="19">
        <v>7632</v>
      </c>
      <c r="AF236">
        <v>7844</v>
      </c>
      <c r="AG236">
        <v>5313</v>
      </c>
      <c r="AH236">
        <v>25511</v>
      </c>
    </row>
    <row r="237" spans="1:34" hidden="1">
      <c r="A237" s="39" t="s">
        <v>1288</v>
      </c>
      <c r="B237" s="39">
        <v>408</v>
      </c>
      <c r="C237" s="39">
        <v>0</v>
      </c>
      <c r="D237" s="39">
        <v>1257</v>
      </c>
      <c r="E237" s="39">
        <v>888</v>
      </c>
      <c r="F237" s="39">
        <v>826</v>
      </c>
      <c r="G237" s="39">
        <v>882</v>
      </c>
      <c r="H237" s="39">
        <v>725</v>
      </c>
      <c r="I237" s="39">
        <v>862</v>
      </c>
      <c r="J237" s="39">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722</v>
      </c>
      <c r="AE237" s="19">
        <v>3762</v>
      </c>
      <c r="AF237">
        <v>12737</v>
      </c>
      <c r="AG237">
        <v>3578</v>
      </c>
      <c r="AH237">
        <v>11786</v>
      </c>
    </row>
    <row r="238" spans="1:34" hidden="1">
      <c r="A238" s="39" t="s">
        <v>1079</v>
      </c>
      <c r="B238" s="39">
        <v>1417</v>
      </c>
      <c r="C238" s="39">
        <v>1243</v>
      </c>
      <c r="D238" s="39">
        <v>1246</v>
      </c>
      <c r="E238" s="39">
        <v>1187</v>
      </c>
      <c r="F238" s="39">
        <v>654</v>
      </c>
      <c r="G238" s="39">
        <v>666</v>
      </c>
      <c r="H238" s="39">
        <v>596</v>
      </c>
      <c r="I238" s="39">
        <v>553</v>
      </c>
      <c r="J238" s="39">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760</v>
      </c>
      <c r="AE238" s="19">
        <v>3048</v>
      </c>
      <c r="AF238">
        <v>13735</v>
      </c>
      <c r="AG238">
        <v>3102</v>
      </c>
      <c r="AH238">
        <v>13480</v>
      </c>
    </row>
    <row r="239" spans="1:34" hidden="1">
      <c r="A239" s="39" t="s">
        <v>1173</v>
      </c>
      <c r="B239" s="39">
        <v>0</v>
      </c>
      <c r="C239" s="39">
        <v>0</v>
      </c>
      <c r="D239" s="39">
        <v>0</v>
      </c>
      <c r="E239" s="39">
        <v>0</v>
      </c>
      <c r="F239" s="39">
        <v>0</v>
      </c>
      <c r="G239" s="39">
        <v>0</v>
      </c>
      <c r="H239" s="39">
        <v>0</v>
      </c>
      <c r="I239" s="39">
        <v>0</v>
      </c>
      <c r="J239" s="39">
        <v>96</v>
      </c>
      <c r="K239">
        <v>306</v>
      </c>
      <c r="L239">
        <v>290</v>
      </c>
      <c r="M239">
        <v>605</v>
      </c>
      <c r="N239">
        <v>930</v>
      </c>
      <c r="O239">
        <v>0</v>
      </c>
      <c r="P239">
        <v>0</v>
      </c>
      <c r="Q239">
        <v>0</v>
      </c>
      <c r="R239">
        <v>0</v>
      </c>
      <c r="S239">
        <v>0</v>
      </c>
      <c r="T239">
        <v>0</v>
      </c>
      <c r="U239">
        <v>0</v>
      </c>
      <c r="V239">
        <v>0</v>
      </c>
      <c r="W239">
        <v>33</v>
      </c>
      <c r="X239">
        <v>76</v>
      </c>
      <c r="Y239">
        <v>76</v>
      </c>
      <c r="Z239">
        <v>191</v>
      </c>
      <c r="AA239">
        <v>280</v>
      </c>
      <c r="AD239" t="s">
        <v>730</v>
      </c>
      <c r="AE239" s="19">
        <v>3637</v>
      </c>
      <c r="AF239">
        <v>12674</v>
      </c>
      <c r="AG239">
        <v>3318</v>
      </c>
      <c r="AH239">
        <v>12658</v>
      </c>
    </row>
    <row r="240" spans="1:34" hidden="1">
      <c r="A240" s="39" t="s">
        <v>1106</v>
      </c>
      <c r="B240" s="39">
        <v>1361</v>
      </c>
      <c r="C240" s="39">
        <v>1065</v>
      </c>
      <c r="D240" s="39">
        <v>1044</v>
      </c>
      <c r="E240" s="39">
        <v>1095</v>
      </c>
      <c r="F240" s="39">
        <v>1296</v>
      </c>
      <c r="G240" s="39">
        <v>920</v>
      </c>
      <c r="H240" s="39">
        <v>616</v>
      </c>
      <c r="I240" s="39">
        <v>591</v>
      </c>
      <c r="J240" s="39">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3" t="s">
        <v>1017</v>
      </c>
      <c r="AE240" s="19">
        <v>4317</v>
      </c>
      <c r="AF240">
        <v>25101</v>
      </c>
      <c r="AG240">
        <v>3155</v>
      </c>
      <c r="AH240">
        <v>15732</v>
      </c>
    </row>
    <row r="241" spans="1:34" hidden="1">
      <c r="A241" s="39" t="s">
        <v>986</v>
      </c>
      <c r="B241" s="39">
        <v>557</v>
      </c>
      <c r="C241" s="39">
        <v>580</v>
      </c>
      <c r="D241" s="39">
        <v>483</v>
      </c>
      <c r="E241" s="39">
        <v>472</v>
      </c>
      <c r="F241" s="39">
        <v>709</v>
      </c>
      <c r="G241" s="39">
        <v>656</v>
      </c>
      <c r="H241" s="39">
        <v>715</v>
      </c>
      <c r="I241" s="39">
        <v>797</v>
      </c>
      <c r="J241" s="39">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735</v>
      </c>
      <c r="AE241" s="19">
        <v>5550</v>
      </c>
      <c r="AF241">
        <v>12512</v>
      </c>
      <c r="AG241">
        <v>5622</v>
      </c>
      <c r="AH241">
        <v>13227</v>
      </c>
    </row>
    <row r="242" spans="1:34" hidden="1">
      <c r="A242" s="39" t="s">
        <v>569</v>
      </c>
      <c r="B242" s="39">
        <v>1577</v>
      </c>
      <c r="C242" s="39">
        <v>1264</v>
      </c>
      <c r="D242" s="39">
        <v>1436</v>
      </c>
      <c r="E242" s="39">
        <v>1633</v>
      </c>
      <c r="F242" s="39">
        <v>1407</v>
      </c>
      <c r="G242" s="39">
        <v>2169</v>
      </c>
      <c r="H242" s="39">
        <v>1557</v>
      </c>
      <c r="I242" s="39">
        <v>1783</v>
      </c>
      <c r="J242" s="39">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898</v>
      </c>
      <c r="AE242" s="19">
        <v>972</v>
      </c>
      <c r="AF242">
        <v>5298</v>
      </c>
      <c r="AG242">
        <v>1185</v>
      </c>
      <c r="AH242">
        <v>5678</v>
      </c>
    </row>
    <row r="243" spans="1:34" hidden="1">
      <c r="A243" s="39" t="s">
        <v>559</v>
      </c>
      <c r="B243" s="39">
        <v>3284</v>
      </c>
      <c r="C243" s="39">
        <v>4751</v>
      </c>
      <c r="D243" s="39">
        <v>2584</v>
      </c>
      <c r="E243" s="39">
        <v>1839</v>
      </c>
      <c r="F243" s="39">
        <v>1830</v>
      </c>
      <c r="G243" s="39">
        <v>1937</v>
      </c>
      <c r="H243" s="39">
        <v>1357</v>
      </c>
      <c r="I243" s="39">
        <v>1615</v>
      </c>
      <c r="J243" s="39">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828</v>
      </c>
      <c r="AE243" s="19">
        <v>1894</v>
      </c>
      <c r="AF243">
        <v>4996</v>
      </c>
      <c r="AG243">
        <v>1618</v>
      </c>
      <c r="AH243">
        <v>4244</v>
      </c>
    </row>
    <row r="244" spans="1:34" hidden="1">
      <c r="A244" s="39" t="s">
        <v>286</v>
      </c>
      <c r="B244" s="39">
        <v>1110</v>
      </c>
      <c r="C244" s="39">
        <v>1155</v>
      </c>
      <c r="D244" s="39">
        <v>999</v>
      </c>
      <c r="E244" s="39">
        <v>915</v>
      </c>
      <c r="F244" s="39">
        <v>1005</v>
      </c>
      <c r="G244" s="39">
        <v>1661</v>
      </c>
      <c r="H244" s="39">
        <v>989</v>
      </c>
      <c r="I244" s="39">
        <v>1000</v>
      </c>
      <c r="J244" s="39">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1401</v>
      </c>
      <c r="AE244" s="19">
        <v>2</v>
      </c>
      <c r="AF244">
        <v>13</v>
      </c>
      <c r="AG244">
        <v>1</v>
      </c>
      <c r="AH244">
        <v>14</v>
      </c>
    </row>
    <row r="245" spans="1:34" hidden="1">
      <c r="A245" s="39" t="s">
        <v>272</v>
      </c>
      <c r="B245" s="39">
        <v>1780</v>
      </c>
      <c r="C245" s="39">
        <v>1869</v>
      </c>
      <c r="D245" s="39">
        <v>1656</v>
      </c>
      <c r="E245" s="39">
        <v>1440</v>
      </c>
      <c r="F245" s="39">
        <v>1081</v>
      </c>
      <c r="G245" s="39">
        <v>1009</v>
      </c>
      <c r="H245" s="39">
        <v>981</v>
      </c>
      <c r="I245" s="39">
        <v>1397</v>
      </c>
      <c r="J245" s="39">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968</v>
      </c>
      <c r="AE245" s="19">
        <v>3398</v>
      </c>
      <c r="AF245">
        <v>8739</v>
      </c>
      <c r="AG245">
        <v>3242</v>
      </c>
      <c r="AH245">
        <v>7441</v>
      </c>
    </row>
    <row r="246" spans="1:34" hidden="1">
      <c r="A246" s="39" t="s">
        <v>619</v>
      </c>
      <c r="B246" s="39">
        <v>3612</v>
      </c>
      <c r="C246" s="39">
        <v>3948</v>
      </c>
      <c r="D246" s="39">
        <v>3511</v>
      </c>
      <c r="E246" s="39">
        <v>61</v>
      </c>
      <c r="F246" s="39">
        <v>10706</v>
      </c>
      <c r="G246" s="39">
        <v>6300</v>
      </c>
      <c r="H246" s="39">
        <v>2733</v>
      </c>
      <c r="I246" s="39">
        <v>2931</v>
      </c>
      <c r="J246" s="39">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742</v>
      </c>
      <c r="AE246" s="19">
        <v>5137</v>
      </c>
      <c r="AF246">
        <v>8651</v>
      </c>
      <c r="AG246">
        <v>4951</v>
      </c>
      <c r="AH246">
        <v>8352</v>
      </c>
    </row>
    <row r="247" spans="1:34" hidden="1">
      <c r="A247" s="39" t="s">
        <v>641</v>
      </c>
      <c r="B247" s="39">
        <v>2451</v>
      </c>
      <c r="C247" s="39">
        <v>3313</v>
      </c>
      <c r="D247" s="39">
        <v>1362</v>
      </c>
      <c r="E247" s="39">
        <v>1958</v>
      </c>
      <c r="F247" s="39">
        <v>1726</v>
      </c>
      <c r="G247" s="39">
        <v>1144</v>
      </c>
      <c r="H247" s="39">
        <v>1378</v>
      </c>
      <c r="I247" s="39">
        <v>1174</v>
      </c>
      <c r="J247" s="39">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939</v>
      </c>
      <c r="AE247" s="19">
        <v>711</v>
      </c>
      <c r="AF247">
        <v>1902</v>
      </c>
      <c r="AG247">
        <v>742</v>
      </c>
      <c r="AH247">
        <v>1678</v>
      </c>
    </row>
    <row r="248" spans="1:34" hidden="1">
      <c r="A248" s="39" t="s">
        <v>96</v>
      </c>
      <c r="B248" s="39">
        <v>1233</v>
      </c>
      <c r="C248" s="39">
        <v>1416</v>
      </c>
      <c r="D248" s="39">
        <v>1396</v>
      </c>
      <c r="E248" s="39">
        <v>1992</v>
      </c>
      <c r="F248" s="39">
        <v>1444</v>
      </c>
      <c r="G248" s="39">
        <v>1030</v>
      </c>
      <c r="H248" s="39">
        <v>1037</v>
      </c>
      <c r="I248" s="39">
        <v>1802</v>
      </c>
      <c r="J248" s="39">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839</v>
      </c>
      <c r="AE248" s="19">
        <v>2183</v>
      </c>
      <c r="AF248">
        <v>8750</v>
      </c>
      <c r="AG248">
        <v>2311</v>
      </c>
      <c r="AH248">
        <v>8895</v>
      </c>
    </row>
    <row r="249" spans="1:34" hidden="1">
      <c r="A249" s="39" t="s">
        <v>1102</v>
      </c>
      <c r="B249" s="39">
        <v>703</v>
      </c>
      <c r="C249" s="39">
        <v>542</v>
      </c>
      <c r="D249" s="39">
        <v>644</v>
      </c>
      <c r="E249" s="39">
        <v>682</v>
      </c>
      <c r="F249" s="39">
        <v>771</v>
      </c>
      <c r="G249" s="39">
        <v>775</v>
      </c>
      <c r="H249" s="39">
        <v>879</v>
      </c>
      <c r="I249" s="39">
        <v>731</v>
      </c>
      <c r="J249" s="39">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818</v>
      </c>
      <c r="AE249" s="19">
        <v>1995</v>
      </c>
      <c r="AF249">
        <v>6914</v>
      </c>
      <c r="AG249">
        <v>1664</v>
      </c>
      <c r="AH249">
        <v>5240</v>
      </c>
    </row>
    <row r="250" spans="1:34" hidden="1">
      <c r="A250" s="39" t="s">
        <v>754</v>
      </c>
      <c r="B250" s="39">
        <v>1663</v>
      </c>
      <c r="C250" s="39">
        <v>2104</v>
      </c>
      <c r="D250" s="39">
        <v>1680</v>
      </c>
      <c r="E250" s="39">
        <v>2200</v>
      </c>
      <c r="F250" s="39">
        <v>1696</v>
      </c>
      <c r="G250" s="39">
        <v>1276</v>
      </c>
      <c r="H250" s="39">
        <v>777</v>
      </c>
      <c r="I250" s="39">
        <v>609</v>
      </c>
      <c r="J250" s="39">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7" t="s">
        <v>1009</v>
      </c>
      <c r="AE250" s="19">
        <v>1870</v>
      </c>
      <c r="AF250">
        <v>7749</v>
      </c>
      <c r="AG250">
        <v>1643</v>
      </c>
      <c r="AH250">
        <v>7204</v>
      </c>
    </row>
    <row r="251" spans="1:34" hidden="1">
      <c r="A251" s="39" t="s">
        <v>1049</v>
      </c>
      <c r="B251" s="39">
        <v>230</v>
      </c>
      <c r="C251" s="39">
        <v>222</v>
      </c>
      <c r="D251" s="39">
        <v>763</v>
      </c>
      <c r="E251" s="39">
        <v>688</v>
      </c>
      <c r="F251" s="39">
        <v>494</v>
      </c>
      <c r="G251" s="39">
        <v>492</v>
      </c>
      <c r="H251" s="39">
        <v>526</v>
      </c>
      <c r="I251" s="39">
        <v>726</v>
      </c>
      <c r="J251" s="39">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1003</v>
      </c>
      <c r="AE251" s="19">
        <v>1727</v>
      </c>
      <c r="AF251">
        <v>4094</v>
      </c>
      <c r="AG251">
        <v>1618</v>
      </c>
      <c r="AH251">
        <v>3721</v>
      </c>
    </row>
    <row r="252" spans="1:34" hidden="1">
      <c r="A252" s="39" t="s">
        <v>1402</v>
      </c>
      <c r="B252" s="39">
        <v>128</v>
      </c>
      <c r="C252" s="39">
        <v>78</v>
      </c>
      <c r="D252" s="39">
        <v>65</v>
      </c>
      <c r="E252" s="39">
        <v>130</v>
      </c>
      <c r="F252" s="39">
        <v>99</v>
      </c>
      <c r="G252" s="39">
        <v>115</v>
      </c>
      <c r="H252" s="39">
        <v>164</v>
      </c>
      <c r="I252" s="39">
        <v>153</v>
      </c>
      <c r="J252" s="39">
        <v>63</v>
      </c>
      <c r="K252">
        <v>69</v>
      </c>
      <c r="L252">
        <v>130</v>
      </c>
      <c r="M252">
        <v>60</v>
      </c>
      <c r="N252">
        <v>102</v>
      </c>
      <c r="O252">
        <v>0</v>
      </c>
      <c r="P252">
        <v>0</v>
      </c>
      <c r="Q252">
        <v>0</v>
      </c>
      <c r="R252">
        <v>0</v>
      </c>
      <c r="S252">
        <v>0</v>
      </c>
      <c r="T252">
        <v>0</v>
      </c>
      <c r="U252">
        <v>0</v>
      </c>
      <c r="V252">
        <v>0</v>
      </c>
      <c r="W252">
        <v>0</v>
      </c>
      <c r="X252">
        <v>0</v>
      </c>
      <c r="Y252">
        <v>0</v>
      </c>
      <c r="Z252">
        <v>0</v>
      </c>
      <c r="AA252">
        <v>0</v>
      </c>
      <c r="AD252" t="s">
        <v>719</v>
      </c>
      <c r="AE252" s="19">
        <v>40373</v>
      </c>
      <c r="AF252">
        <v>136848</v>
      </c>
      <c r="AG252">
        <v>34307</v>
      </c>
      <c r="AH252">
        <v>108902</v>
      </c>
    </row>
    <row r="253" spans="1:34" hidden="1">
      <c r="A253" s="39" t="s">
        <v>1403</v>
      </c>
      <c r="B253" s="39">
        <v>66</v>
      </c>
      <c r="C253" s="39">
        <v>96</v>
      </c>
      <c r="D253" s="39">
        <v>90</v>
      </c>
      <c r="E253" s="39">
        <v>104</v>
      </c>
      <c r="F253" s="39">
        <v>99</v>
      </c>
      <c r="G253" s="39">
        <v>183</v>
      </c>
      <c r="H253" s="39">
        <v>113</v>
      </c>
      <c r="I253" s="39">
        <v>91</v>
      </c>
      <c r="J253" s="39">
        <v>51</v>
      </c>
      <c r="K253">
        <v>76</v>
      </c>
      <c r="L253">
        <v>76</v>
      </c>
      <c r="M253">
        <v>60</v>
      </c>
      <c r="N253">
        <v>68</v>
      </c>
      <c r="O253">
        <v>0</v>
      </c>
      <c r="P253">
        <v>0</v>
      </c>
      <c r="Q253">
        <v>0</v>
      </c>
      <c r="R253">
        <v>0</v>
      </c>
      <c r="S253">
        <v>0</v>
      </c>
      <c r="T253">
        <v>0</v>
      </c>
      <c r="U253">
        <v>0</v>
      </c>
      <c r="V253">
        <v>0</v>
      </c>
      <c r="W253">
        <v>0</v>
      </c>
      <c r="X253">
        <v>0</v>
      </c>
      <c r="Y253">
        <v>0</v>
      </c>
      <c r="Z253">
        <v>0</v>
      </c>
      <c r="AA253">
        <v>0</v>
      </c>
      <c r="AD253" t="s">
        <v>832</v>
      </c>
      <c r="AE253" s="19">
        <v>1614</v>
      </c>
      <c r="AF253">
        <v>5004</v>
      </c>
      <c r="AG253">
        <v>1873</v>
      </c>
      <c r="AH253">
        <v>5650</v>
      </c>
    </row>
    <row r="254" spans="1:34" hidden="1">
      <c r="A254" s="39" t="s">
        <v>1404</v>
      </c>
      <c r="B254" s="39">
        <v>249</v>
      </c>
      <c r="C254" s="39">
        <v>289</v>
      </c>
      <c r="D254" s="39">
        <v>262</v>
      </c>
      <c r="E254" s="39">
        <v>251</v>
      </c>
      <c r="F254" s="39">
        <v>279</v>
      </c>
      <c r="G254" s="39">
        <v>166</v>
      </c>
      <c r="H254" s="39">
        <v>128</v>
      </c>
      <c r="I254" s="39">
        <v>144</v>
      </c>
      <c r="J254" s="39">
        <v>118</v>
      </c>
      <c r="K254">
        <v>52</v>
      </c>
      <c r="L254">
        <v>82</v>
      </c>
      <c r="M254">
        <v>55</v>
      </c>
      <c r="N254">
        <v>59</v>
      </c>
      <c r="O254">
        <v>0</v>
      </c>
      <c r="P254">
        <v>0</v>
      </c>
      <c r="Q254">
        <v>0</v>
      </c>
      <c r="R254">
        <v>0</v>
      </c>
      <c r="S254">
        <v>0</v>
      </c>
      <c r="T254">
        <v>0</v>
      </c>
      <c r="U254">
        <v>0</v>
      </c>
      <c r="V254">
        <v>0</v>
      </c>
      <c r="W254">
        <v>0</v>
      </c>
      <c r="X254">
        <v>0</v>
      </c>
      <c r="Y254">
        <v>0</v>
      </c>
      <c r="Z254">
        <v>0</v>
      </c>
      <c r="AA254">
        <v>0</v>
      </c>
      <c r="AD254" t="s">
        <v>740</v>
      </c>
      <c r="AE254" s="19">
        <v>2721</v>
      </c>
      <c r="AF254">
        <v>7438</v>
      </c>
      <c r="AG254">
        <v>2794</v>
      </c>
      <c r="AH254">
        <v>7397</v>
      </c>
    </row>
    <row r="255" spans="1:34" hidden="1">
      <c r="A255" s="39" t="s">
        <v>995</v>
      </c>
      <c r="B255" s="39">
        <v>757</v>
      </c>
      <c r="C255" s="39">
        <v>792</v>
      </c>
      <c r="D255" s="39">
        <v>718</v>
      </c>
      <c r="E255" s="39">
        <v>777</v>
      </c>
      <c r="F255" s="39">
        <v>818</v>
      </c>
      <c r="G255" s="39">
        <v>763</v>
      </c>
      <c r="H255" s="39">
        <v>939</v>
      </c>
      <c r="I255" s="39">
        <v>613</v>
      </c>
      <c r="J255" s="39">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896</v>
      </c>
      <c r="AE255" s="19">
        <v>1207</v>
      </c>
      <c r="AF255">
        <v>3445</v>
      </c>
      <c r="AG255">
        <v>867</v>
      </c>
      <c r="AH255">
        <v>2558</v>
      </c>
    </row>
    <row r="256" spans="1:34" hidden="1">
      <c r="A256" s="39" t="s">
        <v>868</v>
      </c>
      <c r="B256" s="39">
        <v>0</v>
      </c>
      <c r="C256" s="39">
        <v>0</v>
      </c>
      <c r="D256" s="39">
        <v>0</v>
      </c>
      <c r="E256" s="39">
        <v>0</v>
      </c>
      <c r="F256" s="39">
        <v>0</v>
      </c>
      <c r="G256" s="39">
        <v>0</v>
      </c>
      <c r="H256" s="39">
        <v>0</v>
      </c>
      <c r="I256" s="39">
        <v>0</v>
      </c>
      <c r="J256" s="39">
        <v>18</v>
      </c>
      <c r="K256">
        <v>450</v>
      </c>
      <c r="L256">
        <v>539</v>
      </c>
      <c r="M256">
        <v>0</v>
      </c>
      <c r="N256">
        <v>630</v>
      </c>
      <c r="O256">
        <v>0</v>
      </c>
      <c r="P256">
        <v>0</v>
      </c>
      <c r="Q256">
        <v>0</v>
      </c>
      <c r="R256">
        <v>0</v>
      </c>
      <c r="S256">
        <v>0</v>
      </c>
      <c r="T256">
        <v>0</v>
      </c>
      <c r="U256">
        <v>0</v>
      </c>
      <c r="V256">
        <v>0</v>
      </c>
      <c r="W256">
        <v>0</v>
      </c>
      <c r="X256">
        <v>127</v>
      </c>
      <c r="Y256">
        <v>159</v>
      </c>
      <c r="Z256">
        <v>0</v>
      </c>
      <c r="AA256">
        <v>241</v>
      </c>
      <c r="AD256" s="37" t="s">
        <v>952</v>
      </c>
      <c r="AE256" s="19">
        <v>611</v>
      </c>
      <c r="AF256">
        <v>3692</v>
      </c>
      <c r="AG256">
        <v>699</v>
      </c>
      <c r="AH256">
        <v>3735</v>
      </c>
    </row>
    <row r="257" spans="1:34" hidden="1">
      <c r="A257" s="39" t="s">
        <v>1405</v>
      </c>
      <c r="B257" s="39">
        <v>415</v>
      </c>
      <c r="C257" s="39">
        <v>390</v>
      </c>
      <c r="D257" s="39">
        <v>389</v>
      </c>
      <c r="E257" s="39">
        <v>386</v>
      </c>
      <c r="F257" s="39">
        <v>247</v>
      </c>
      <c r="G257" s="39">
        <v>283</v>
      </c>
      <c r="H257" s="39">
        <v>275</v>
      </c>
      <c r="I257" s="39">
        <v>240</v>
      </c>
      <c r="J257" s="39">
        <v>132</v>
      </c>
      <c r="K257">
        <v>129</v>
      </c>
      <c r="L257">
        <v>130</v>
      </c>
      <c r="M257">
        <v>96</v>
      </c>
      <c r="N257">
        <v>181</v>
      </c>
      <c r="O257">
        <v>0</v>
      </c>
      <c r="P257">
        <v>0</v>
      </c>
      <c r="Q257">
        <v>0</v>
      </c>
      <c r="R257">
        <v>0</v>
      </c>
      <c r="S257">
        <v>0</v>
      </c>
      <c r="T257">
        <v>0</v>
      </c>
      <c r="U257">
        <v>0</v>
      </c>
      <c r="V257">
        <v>0</v>
      </c>
      <c r="W257">
        <v>0</v>
      </c>
      <c r="X257">
        <v>0</v>
      </c>
      <c r="Y257">
        <v>0</v>
      </c>
      <c r="Z257">
        <v>0</v>
      </c>
      <c r="AA257">
        <v>0</v>
      </c>
      <c r="AD257" t="s">
        <v>744</v>
      </c>
      <c r="AE257" s="19">
        <v>2751</v>
      </c>
      <c r="AF257">
        <v>6496</v>
      </c>
      <c r="AG257">
        <v>2353</v>
      </c>
      <c r="AH257">
        <v>5603</v>
      </c>
    </row>
    <row r="258" spans="1:34" hidden="1">
      <c r="A258" s="39" t="s">
        <v>989</v>
      </c>
      <c r="B258" s="39">
        <v>2526</v>
      </c>
      <c r="C258" s="39">
        <v>2812</v>
      </c>
      <c r="D258" s="39">
        <v>1885</v>
      </c>
      <c r="E258" s="39">
        <v>1859</v>
      </c>
      <c r="F258" s="39">
        <v>1363</v>
      </c>
      <c r="G258" s="39">
        <v>1537</v>
      </c>
      <c r="H258" s="39">
        <v>1028</v>
      </c>
      <c r="I258" s="39">
        <v>990</v>
      </c>
      <c r="J258" s="39">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39" t="s">
        <v>744</v>
      </c>
      <c r="B259" s="39">
        <v>6506</v>
      </c>
      <c r="C259" s="39">
        <v>1653</v>
      </c>
      <c r="D259" s="39">
        <v>1706</v>
      </c>
      <c r="E259" s="39">
        <v>3416</v>
      </c>
      <c r="F259" s="39">
        <v>2077</v>
      </c>
      <c r="G259" s="39">
        <v>1490</v>
      </c>
      <c r="H259" s="39">
        <v>1556</v>
      </c>
      <c r="I259" s="39">
        <v>1335</v>
      </c>
      <c r="J259" s="39">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791</v>
      </c>
      <c r="AE259" s="19">
        <v>1005</v>
      </c>
      <c r="AF259">
        <v>2708</v>
      </c>
      <c r="AG259">
        <v>899</v>
      </c>
      <c r="AH259">
        <v>2439</v>
      </c>
    </row>
    <row r="260" spans="1:34" hidden="1">
      <c r="A260" s="39" t="s">
        <v>1406</v>
      </c>
      <c r="B260" s="39">
        <v>174</v>
      </c>
      <c r="C260" s="39">
        <v>135</v>
      </c>
      <c r="D260" s="39">
        <v>92</v>
      </c>
      <c r="E260" s="39">
        <v>87</v>
      </c>
      <c r="F260" s="39">
        <v>54</v>
      </c>
      <c r="G260" s="39">
        <v>58</v>
      </c>
      <c r="H260" s="39">
        <v>62</v>
      </c>
      <c r="I260" s="39">
        <v>54</v>
      </c>
      <c r="J260" s="39">
        <v>44</v>
      </c>
      <c r="K260">
        <v>42</v>
      </c>
      <c r="L260">
        <v>58</v>
      </c>
      <c r="M260">
        <v>59</v>
      </c>
      <c r="N260">
        <v>44</v>
      </c>
      <c r="O260">
        <v>0</v>
      </c>
      <c r="P260">
        <v>0</v>
      </c>
      <c r="Q260">
        <v>0</v>
      </c>
      <c r="R260">
        <v>0</v>
      </c>
      <c r="S260">
        <v>0</v>
      </c>
      <c r="T260">
        <v>0</v>
      </c>
      <c r="U260">
        <v>0</v>
      </c>
      <c r="V260">
        <v>0</v>
      </c>
      <c r="W260">
        <v>0</v>
      </c>
      <c r="X260">
        <v>0</v>
      </c>
      <c r="Y260">
        <v>0</v>
      </c>
      <c r="Z260">
        <v>0</v>
      </c>
      <c r="AA260">
        <v>0</v>
      </c>
      <c r="AD260" t="s">
        <v>937</v>
      </c>
      <c r="AE260" s="19">
        <v>1039</v>
      </c>
      <c r="AF260">
        <v>4619</v>
      </c>
      <c r="AG260">
        <v>1048</v>
      </c>
      <c r="AH260">
        <v>4768</v>
      </c>
    </row>
    <row r="261" spans="1:34" hidden="1">
      <c r="A261" s="39" t="s">
        <v>1407</v>
      </c>
      <c r="B261" s="39">
        <v>469</v>
      </c>
      <c r="C261" s="39">
        <v>547</v>
      </c>
      <c r="D261" s="39">
        <v>493</v>
      </c>
      <c r="E261" s="39">
        <v>532</v>
      </c>
      <c r="F261" s="39">
        <v>375</v>
      </c>
      <c r="G261" s="39">
        <v>375</v>
      </c>
      <c r="H261" s="39">
        <v>334</v>
      </c>
      <c r="I261" s="39">
        <v>408</v>
      </c>
      <c r="J261" s="39">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754</v>
      </c>
      <c r="AE261" s="19">
        <v>1195</v>
      </c>
      <c r="AF261">
        <v>4657</v>
      </c>
      <c r="AG261">
        <v>1234</v>
      </c>
      <c r="AH261">
        <v>5817</v>
      </c>
    </row>
    <row r="262" spans="1:34" hidden="1">
      <c r="A262" s="39" t="s">
        <v>956</v>
      </c>
      <c r="B262" s="39">
        <v>1174</v>
      </c>
      <c r="C262" s="39">
        <v>1444</v>
      </c>
      <c r="D262" s="39">
        <v>894</v>
      </c>
      <c r="E262" s="39">
        <v>634</v>
      </c>
      <c r="F262" s="39">
        <v>688</v>
      </c>
      <c r="G262" s="39">
        <v>950</v>
      </c>
      <c r="H262" s="39">
        <v>795</v>
      </c>
      <c r="I262" s="39">
        <v>1036</v>
      </c>
      <c r="J262" s="39">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931</v>
      </c>
      <c r="AE262" s="19">
        <v>2263</v>
      </c>
      <c r="AF262">
        <v>9919</v>
      </c>
      <c r="AG262">
        <v>1449</v>
      </c>
      <c r="AH262">
        <v>6933</v>
      </c>
    </row>
    <row r="263" spans="1:34" hidden="1">
      <c r="A263" s="39" t="s">
        <v>740</v>
      </c>
      <c r="B263" s="39">
        <v>2377</v>
      </c>
      <c r="C263" s="39">
        <v>2724</v>
      </c>
      <c r="D263" s="39">
        <v>2647</v>
      </c>
      <c r="E263" s="39">
        <v>2129</v>
      </c>
      <c r="F263" s="39">
        <v>1557</v>
      </c>
      <c r="G263" s="39">
        <v>2007</v>
      </c>
      <c r="H263" s="39">
        <v>1624</v>
      </c>
      <c r="I263" s="39">
        <v>1818</v>
      </c>
      <c r="J263" s="39">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750</v>
      </c>
      <c r="AE263" s="19">
        <v>2201</v>
      </c>
      <c r="AF263">
        <v>4203</v>
      </c>
      <c r="AG263">
        <v>2213</v>
      </c>
      <c r="AH263">
        <v>4449</v>
      </c>
    </row>
    <row r="264" spans="1:34" hidden="1">
      <c r="A264" s="39" t="s">
        <v>1257</v>
      </c>
      <c r="B264" s="39">
        <v>5506</v>
      </c>
      <c r="C264" s="39">
        <v>6106</v>
      </c>
      <c r="D264" s="39">
        <v>7999</v>
      </c>
      <c r="E264" s="39">
        <v>9107</v>
      </c>
      <c r="F264" s="39">
        <v>5073</v>
      </c>
      <c r="G264" s="39">
        <v>15811</v>
      </c>
      <c r="H264" s="39">
        <v>7910</v>
      </c>
      <c r="I264" s="39">
        <v>2182</v>
      </c>
      <c r="J264" s="39">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781</v>
      </c>
      <c r="AE264" s="19">
        <v>1667</v>
      </c>
      <c r="AF264">
        <v>5879</v>
      </c>
      <c r="AG264">
        <v>1562</v>
      </c>
      <c r="AH264">
        <v>5830</v>
      </c>
    </row>
    <row r="265" spans="1:34" hidden="1">
      <c r="A265" s="39" t="s">
        <v>1146</v>
      </c>
      <c r="B265" s="39">
        <v>542</v>
      </c>
      <c r="C265" s="39">
        <v>447</v>
      </c>
      <c r="D265" s="39">
        <v>282</v>
      </c>
      <c r="E265" s="39">
        <v>395</v>
      </c>
      <c r="F265" s="39">
        <v>247</v>
      </c>
      <c r="G265" s="39">
        <v>312</v>
      </c>
      <c r="H265" s="39">
        <v>1053</v>
      </c>
      <c r="I265" s="39">
        <v>318</v>
      </c>
      <c r="J265" s="39">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752</v>
      </c>
      <c r="AE265" s="19">
        <v>4039</v>
      </c>
      <c r="AF265">
        <v>7601</v>
      </c>
      <c r="AG265">
        <v>3609</v>
      </c>
      <c r="AH265">
        <v>6505</v>
      </c>
    </row>
    <row r="266" spans="1:34" hidden="1">
      <c r="A266" s="39" t="s">
        <v>719</v>
      </c>
      <c r="B266" s="39">
        <v>10487</v>
      </c>
      <c r="C266" s="39">
        <v>11096</v>
      </c>
      <c r="D266" s="39">
        <v>9969</v>
      </c>
      <c r="E266" s="39">
        <v>12032</v>
      </c>
      <c r="F266" s="39">
        <v>10029</v>
      </c>
      <c r="G266" s="39">
        <v>8746</v>
      </c>
      <c r="H266" s="39">
        <v>7125</v>
      </c>
      <c r="I266" s="39">
        <v>8281</v>
      </c>
      <c r="J266" s="39">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1031</v>
      </c>
      <c r="AE266" s="19">
        <v>1372</v>
      </c>
      <c r="AF266">
        <v>4022</v>
      </c>
      <c r="AG266">
        <v>1251</v>
      </c>
      <c r="AH266">
        <v>3319</v>
      </c>
    </row>
    <row r="267" spans="1:34" hidden="1">
      <c r="A267" s="39" t="s">
        <v>459</v>
      </c>
      <c r="B267" s="39">
        <v>386</v>
      </c>
      <c r="C267" s="39">
        <v>647</v>
      </c>
      <c r="D267" s="39">
        <v>473</v>
      </c>
      <c r="E267" s="39">
        <v>454</v>
      </c>
      <c r="F267" s="39">
        <v>433</v>
      </c>
      <c r="G267" s="39">
        <v>448</v>
      </c>
      <c r="H267" s="39">
        <v>460</v>
      </c>
      <c r="I267" s="39">
        <v>491</v>
      </c>
      <c r="J267" s="39">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886</v>
      </c>
      <c r="AE267" s="19">
        <v>1220</v>
      </c>
      <c r="AF267">
        <v>3596</v>
      </c>
      <c r="AG267">
        <v>1315</v>
      </c>
      <c r="AH267">
        <v>3520</v>
      </c>
    </row>
    <row r="268" spans="1:34" hidden="1">
      <c r="A268" s="39" t="s">
        <v>1408</v>
      </c>
      <c r="B268" s="39">
        <v>445</v>
      </c>
      <c r="C268" s="39">
        <v>551</v>
      </c>
      <c r="D268" s="39">
        <v>534</v>
      </c>
      <c r="E268" s="39">
        <v>388</v>
      </c>
      <c r="F268" s="39">
        <v>262</v>
      </c>
      <c r="G268" s="39">
        <v>245</v>
      </c>
      <c r="H268" s="39">
        <v>228</v>
      </c>
      <c r="I268" s="39">
        <v>232</v>
      </c>
      <c r="J268" s="39">
        <v>134</v>
      </c>
      <c r="K268">
        <v>38</v>
      </c>
      <c r="L268">
        <v>0</v>
      </c>
      <c r="M268">
        <v>0</v>
      </c>
      <c r="N268">
        <v>0</v>
      </c>
      <c r="O268">
        <v>167</v>
      </c>
      <c r="P268">
        <v>239</v>
      </c>
      <c r="Q268">
        <v>240</v>
      </c>
      <c r="R268">
        <v>162</v>
      </c>
      <c r="S268">
        <v>123</v>
      </c>
      <c r="T268">
        <v>90</v>
      </c>
      <c r="U268">
        <v>96</v>
      </c>
      <c r="V268">
        <v>94</v>
      </c>
      <c r="W268">
        <v>50</v>
      </c>
      <c r="X268">
        <v>1</v>
      </c>
      <c r="Y268">
        <v>0</v>
      </c>
      <c r="Z268">
        <v>0</v>
      </c>
      <c r="AA268">
        <v>0</v>
      </c>
      <c r="AD268" t="s">
        <v>1390</v>
      </c>
      <c r="AE268" s="19">
        <v>3</v>
      </c>
      <c r="AF268">
        <v>17</v>
      </c>
      <c r="AH268">
        <v>0</v>
      </c>
    </row>
    <row r="269" spans="1:34" hidden="1">
      <c r="A269" s="39" t="s">
        <v>1203</v>
      </c>
      <c r="B269" s="39">
        <v>567</v>
      </c>
      <c r="C269" s="39">
        <v>717</v>
      </c>
      <c r="D269" s="39">
        <v>613</v>
      </c>
      <c r="E269" s="39">
        <v>721</v>
      </c>
      <c r="F269" s="39">
        <v>711</v>
      </c>
      <c r="G269" s="39">
        <v>650</v>
      </c>
      <c r="H269" s="39">
        <v>795</v>
      </c>
      <c r="I269" s="39">
        <v>643</v>
      </c>
      <c r="J269" s="39">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39" t="s">
        <v>1186</v>
      </c>
      <c r="B270" s="39">
        <v>776</v>
      </c>
      <c r="C270" s="39">
        <v>961</v>
      </c>
      <c r="D270" s="39">
        <v>1120</v>
      </c>
      <c r="E270" s="39">
        <v>2090</v>
      </c>
      <c r="F270" s="39">
        <v>1559</v>
      </c>
      <c r="G270" s="39">
        <v>1571</v>
      </c>
      <c r="H270" s="39">
        <v>1068</v>
      </c>
      <c r="I270" s="39">
        <v>1080</v>
      </c>
      <c r="J270" s="39">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7" t="s">
        <v>775</v>
      </c>
      <c r="AE270" s="19">
        <v>934</v>
      </c>
      <c r="AF270">
        <v>3630</v>
      </c>
      <c r="AG270">
        <v>1029</v>
      </c>
      <c r="AH270">
        <v>3531</v>
      </c>
    </row>
    <row r="271" spans="1:34" hidden="1">
      <c r="A271" s="39" t="s">
        <v>1083</v>
      </c>
      <c r="B271" s="39">
        <v>1071</v>
      </c>
      <c r="C271" s="39">
        <v>848</v>
      </c>
      <c r="D271" s="39">
        <v>759</v>
      </c>
      <c r="E271" s="39">
        <v>3829</v>
      </c>
      <c r="F271" s="39">
        <v>15</v>
      </c>
      <c r="G271" s="39">
        <v>466</v>
      </c>
      <c r="H271" s="39">
        <v>114</v>
      </c>
      <c r="I271" s="39">
        <v>1150</v>
      </c>
      <c r="J271" s="39">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793</v>
      </c>
      <c r="AE271" s="19">
        <v>1303</v>
      </c>
      <c r="AF271">
        <v>3252</v>
      </c>
      <c r="AG271">
        <v>1070</v>
      </c>
      <c r="AH271">
        <v>2853</v>
      </c>
    </row>
    <row r="272" spans="1:34" hidden="1">
      <c r="A272" s="39" t="s">
        <v>1409</v>
      </c>
      <c r="B272" s="39">
        <v>0</v>
      </c>
      <c r="C272" s="39">
        <v>0</v>
      </c>
      <c r="D272" s="39">
        <v>0</v>
      </c>
      <c r="E272" s="39">
        <v>7</v>
      </c>
      <c r="F272" s="39">
        <v>127</v>
      </c>
      <c r="G272" s="39">
        <v>250</v>
      </c>
      <c r="H272" s="39">
        <v>317</v>
      </c>
      <c r="I272" s="39">
        <v>232</v>
      </c>
      <c r="J272" s="39">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39" t="s">
        <v>1410</v>
      </c>
      <c r="B273" s="39">
        <v>0</v>
      </c>
      <c r="C273" s="39">
        <v>0</v>
      </c>
      <c r="D273" s="39">
        <v>0</v>
      </c>
      <c r="E273" s="39">
        <v>7</v>
      </c>
      <c r="F273" s="39">
        <v>78</v>
      </c>
      <c r="G273" s="39">
        <v>758</v>
      </c>
      <c r="H273" s="39">
        <v>617</v>
      </c>
      <c r="I273" s="39">
        <v>591</v>
      </c>
      <c r="J273" s="39">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864</v>
      </c>
      <c r="AE273" s="19">
        <v>706</v>
      </c>
      <c r="AF273">
        <v>2196</v>
      </c>
      <c r="AG273">
        <v>732</v>
      </c>
      <c r="AH273">
        <v>2397</v>
      </c>
    </row>
    <row r="274" spans="1:34" hidden="1">
      <c r="A274" s="39" t="s">
        <v>1267</v>
      </c>
      <c r="B274" s="39">
        <v>1376</v>
      </c>
      <c r="C274" s="39">
        <v>1490</v>
      </c>
      <c r="D274" s="39">
        <v>1633</v>
      </c>
      <c r="E274" s="39">
        <v>2115</v>
      </c>
      <c r="F274" s="39">
        <v>2313</v>
      </c>
      <c r="G274" s="39">
        <v>2024</v>
      </c>
      <c r="H274" s="39">
        <v>1534</v>
      </c>
      <c r="I274" s="39">
        <v>1289</v>
      </c>
      <c r="J274" s="39">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960</v>
      </c>
      <c r="AE274" s="19">
        <v>995</v>
      </c>
      <c r="AF274">
        <v>2538</v>
      </c>
      <c r="AG274">
        <v>871</v>
      </c>
      <c r="AH274">
        <v>2270</v>
      </c>
    </row>
    <row r="275" spans="1:34" hidden="1">
      <c r="A275" s="39" t="s">
        <v>1263</v>
      </c>
      <c r="B275" s="39">
        <v>1494</v>
      </c>
      <c r="C275" s="39">
        <v>1532</v>
      </c>
      <c r="D275" s="39">
        <v>901</v>
      </c>
      <c r="E275" s="39">
        <v>903</v>
      </c>
      <c r="F275" s="39">
        <v>880</v>
      </c>
      <c r="G275" s="39">
        <v>537</v>
      </c>
      <c r="H275" s="39">
        <v>563</v>
      </c>
      <c r="I275" s="39">
        <v>485</v>
      </c>
      <c r="J275" s="39">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868</v>
      </c>
      <c r="AE275" s="19">
        <v>942</v>
      </c>
      <c r="AF275">
        <v>2473</v>
      </c>
      <c r="AG275">
        <v>937</v>
      </c>
      <c r="AH275">
        <v>2832</v>
      </c>
    </row>
    <row r="276" spans="1:34" hidden="1">
      <c r="A276" s="39" t="s">
        <v>1161</v>
      </c>
      <c r="B276" s="39">
        <v>1023</v>
      </c>
      <c r="C276" s="39">
        <v>1283</v>
      </c>
      <c r="D276" s="39">
        <v>920</v>
      </c>
      <c r="E276" s="39">
        <v>1123</v>
      </c>
      <c r="F276" s="39">
        <v>615</v>
      </c>
      <c r="G276" s="39">
        <v>941</v>
      </c>
      <c r="H276" s="39">
        <v>626</v>
      </c>
      <c r="I276" s="39">
        <v>624</v>
      </c>
      <c r="J276" s="39">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805</v>
      </c>
      <c r="AE276" s="19">
        <v>697</v>
      </c>
      <c r="AF276">
        <v>1674</v>
      </c>
      <c r="AG276">
        <v>655</v>
      </c>
      <c r="AH276">
        <v>1477</v>
      </c>
    </row>
    <row r="277" spans="1:34" hidden="1">
      <c r="A277" s="39" t="s">
        <v>1411</v>
      </c>
      <c r="B277" s="39">
        <v>377</v>
      </c>
      <c r="C277" s="39">
        <v>285</v>
      </c>
      <c r="D277" s="39">
        <v>264</v>
      </c>
      <c r="E277" s="39">
        <v>244</v>
      </c>
      <c r="F277" s="39">
        <v>128</v>
      </c>
      <c r="G277" s="39">
        <v>161</v>
      </c>
      <c r="H277" s="39">
        <v>152</v>
      </c>
      <c r="I277" s="39">
        <v>126</v>
      </c>
      <c r="J277" s="39">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39" t="s">
        <v>1085</v>
      </c>
      <c r="B278" s="39">
        <v>3171</v>
      </c>
      <c r="C278" s="39">
        <v>4127</v>
      </c>
      <c r="D278" s="39">
        <v>3524</v>
      </c>
      <c r="E278" s="39">
        <v>3184</v>
      </c>
      <c r="F278" s="39">
        <v>2090</v>
      </c>
      <c r="G278" s="39">
        <v>2207</v>
      </c>
      <c r="H278" s="39">
        <v>2204</v>
      </c>
      <c r="I278" s="39">
        <v>1840</v>
      </c>
      <c r="J278" s="39">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756</v>
      </c>
      <c r="AE278" s="19">
        <v>1841</v>
      </c>
      <c r="AF278">
        <v>5613</v>
      </c>
      <c r="AG278">
        <v>1598</v>
      </c>
      <c r="AH278">
        <v>4088</v>
      </c>
    </row>
    <row r="279" spans="1:34" hidden="1">
      <c r="A279" s="39" t="s">
        <v>1215</v>
      </c>
      <c r="B279" s="39">
        <v>2072</v>
      </c>
      <c r="C279" s="39">
        <v>1791</v>
      </c>
      <c r="D279" s="39">
        <v>1421</v>
      </c>
      <c r="E279" s="39">
        <v>1912</v>
      </c>
      <c r="F279" s="39">
        <v>1584</v>
      </c>
      <c r="G279" s="39">
        <v>1583</v>
      </c>
      <c r="H279" s="39">
        <v>1623</v>
      </c>
      <c r="I279" s="39">
        <v>1306</v>
      </c>
      <c r="J279" s="39">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39" t="s">
        <v>1412</v>
      </c>
      <c r="B280" s="39">
        <v>187</v>
      </c>
      <c r="C280" s="39">
        <v>195</v>
      </c>
      <c r="D280" s="39">
        <v>162</v>
      </c>
      <c r="E280" s="39">
        <v>91</v>
      </c>
      <c r="F280" s="39">
        <v>296</v>
      </c>
      <c r="G280" s="39">
        <v>376</v>
      </c>
      <c r="H280" s="39">
        <v>287</v>
      </c>
      <c r="I280" s="39">
        <v>274</v>
      </c>
      <c r="J280" s="39">
        <v>175</v>
      </c>
      <c r="K280">
        <v>139</v>
      </c>
      <c r="L280">
        <v>142</v>
      </c>
      <c r="M280">
        <v>137</v>
      </c>
      <c r="N280">
        <v>269</v>
      </c>
      <c r="O280">
        <v>0</v>
      </c>
      <c r="P280">
        <v>0</v>
      </c>
      <c r="Q280">
        <v>0</v>
      </c>
      <c r="R280">
        <v>0</v>
      </c>
      <c r="S280">
        <v>0</v>
      </c>
      <c r="T280">
        <v>0</v>
      </c>
      <c r="U280">
        <v>0</v>
      </c>
      <c r="V280">
        <v>0</v>
      </c>
      <c r="W280">
        <v>0</v>
      </c>
      <c r="X280">
        <v>0</v>
      </c>
      <c r="Y280">
        <v>0</v>
      </c>
      <c r="Z280">
        <v>0</v>
      </c>
      <c r="AA280">
        <v>0</v>
      </c>
      <c r="AD280" t="s">
        <v>916</v>
      </c>
      <c r="AE280" s="19">
        <v>337</v>
      </c>
      <c r="AF280">
        <v>1555</v>
      </c>
      <c r="AG280">
        <v>605</v>
      </c>
      <c r="AH280">
        <v>2345</v>
      </c>
    </row>
    <row r="281" spans="1:34" hidden="1">
      <c r="A281" s="39" t="s">
        <v>565</v>
      </c>
      <c r="B281" s="39">
        <v>3502</v>
      </c>
      <c r="C281" s="39">
        <v>2908</v>
      </c>
      <c r="D281" s="39">
        <v>1916</v>
      </c>
      <c r="E281" s="39">
        <v>1345</v>
      </c>
      <c r="F281" s="39">
        <v>1184</v>
      </c>
      <c r="G281" s="39">
        <v>1013</v>
      </c>
      <c r="H281" s="39">
        <v>922</v>
      </c>
      <c r="I281" s="39">
        <v>1373</v>
      </c>
      <c r="J281" s="39">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850</v>
      </c>
      <c r="AE281" s="19">
        <v>456</v>
      </c>
      <c r="AF281">
        <v>1042</v>
      </c>
      <c r="AG281">
        <v>409</v>
      </c>
      <c r="AH281">
        <v>1124</v>
      </c>
    </row>
    <row r="282" spans="1:34" hidden="1">
      <c r="A282" s="39" t="s">
        <v>252</v>
      </c>
      <c r="B282" s="39">
        <v>955</v>
      </c>
      <c r="C282" s="39">
        <v>925</v>
      </c>
      <c r="D282" s="39">
        <v>790</v>
      </c>
      <c r="E282" s="39">
        <v>789</v>
      </c>
      <c r="F282" s="39">
        <v>679</v>
      </c>
      <c r="G282" s="39">
        <v>900</v>
      </c>
      <c r="H282" s="39">
        <v>740</v>
      </c>
      <c r="I282" s="39">
        <v>672</v>
      </c>
      <c r="J282" s="39">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884</v>
      </c>
      <c r="AE282" s="19">
        <v>1330</v>
      </c>
      <c r="AF282">
        <v>3293</v>
      </c>
      <c r="AG282">
        <v>1483</v>
      </c>
      <c r="AH282">
        <v>4447</v>
      </c>
    </row>
    <row r="283" spans="1:34" hidden="1">
      <c r="A283" s="39" t="s">
        <v>639</v>
      </c>
      <c r="B283" s="39">
        <v>926</v>
      </c>
      <c r="C283" s="39">
        <v>1037</v>
      </c>
      <c r="D283" s="39">
        <v>1105</v>
      </c>
      <c r="E283" s="39">
        <v>1299</v>
      </c>
      <c r="F283" s="39">
        <v>1069</v>
      </c>
      <c r="G283" s="39">
        <v>1267</v>
      </c>
      <c r="H283" s="39">
        <v>832</v>
      </c>
      <c r="I283" s="39">
        <v>1225</v>
      </c>
      <c r="J283" s="39">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777</v>
      </c>
      <c r="AE283" s="19">
        <v>736</v>
      </c>
      <c r="AF283">
        <v>3441</v>
      </c>
      <c r="AG283">
        <v>727</v>
      </c>
      <c r="AH283">
        <v>3537</v>
      </c>
    </row>
    <row r="284" spans="1:34" hidden="1">
      <c r="A284" s="39" t="s">
        <v>513</v>
      </c>
      <c r="B284" s="39">
        <v>3641</v>
      </c>
      <c r="C284" s="39">
        <v>2735</v>
      </c>
      <c r="D284" s="39">
        <v>3567</v>
      </c>
      <c r="E284" s="39">
        <v>2779</v>
      </c>
      <c r="F284" s="39">
        <v>2881</v>
      </c>
      <c r="G284" s="39">
        <v>2559</v>
      </c>
      <c r="H284" s="39">
        <v>2501</v>
      </c>
      <c r="I284" s="39">
        <v>2075</v>
      </c>
      <c r="J284" s="39">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39" t="s">
        <v>76</v>
      </c>
      <c r="B285" s="39">
        <v>1513</v>
      </c>
      <c r="C285" s="39">
        <v>1383</v>
      </c>
      <c r="D285" s="39">
        <v>1814</v>
      </c>
      <c r="E285" s="39">
        <v>2238</v>
      </c>
      <c r="F285" s="39">
        <v>1732</v>
      </c>
      <c r="G285" s="39">
        <v>1325</v>
      </c>
      <c r="H285" s="39">
        <v>1186</v>
      </c>
      <c r="I285" s="39">
        <v>5017</v>
      </c>
      <c r="J285" s="39">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7" t="s">
        <v>908</v>
      </c>
      <c r="AE285" s="19">
        <v>1391</v>
      </c>
      <c r="AF285">
        <v>4065</v>
      </c>
      <c r="AG285">
        <v>1341</v>
      </c>
      <c r="AH285">
        <v>3689</v>
      </c>
    </row>
    <row r="286" spans="1:34" hidden="1">
      <c r="A286" s="39" t="s">
        <v>545</v>
      </c>
      <c r="B286" s="39">
        <v>3781</v>
      </c>
      <c r="C286" s="39">
        <v>2038</v>
      </c>
      <c r="D286" s="39">
        <v>5905</v>
      </c>
      <c r="E286" s="39">
        <v>1004</v>
      </c>
      <c r="F286" s="39">
        <v>817</v>
      </c>
      <c r="G286" s="39">
        <v>984</v>
      </c>
      <c r="H286" s="39">
        <v>795</v>
      </c>
      <c r="I286" s="39">
        <v>1122</v>
      </c>
      <c r="J286" s="39">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841</v>
      </c>
      <c r="AE286" s="19">
        <v>1388</v>
      </c>
      <c r="AF286">
        <v>3467</v>
      </c>
      <c r="AG286">
        <v>1360</v>
      </c>
      <c r="AH286">
        <v>3409</v>
      </c>
    </row>
    <row r="287" spans="1:34" hidden="1">
      <c r="A287" s="39" t="s">
        <v>382</v>
      </c>
      <c r="B287" s="39">
        <v>2591</v>
      </c>
      <c r="C287" s="39">
        <v>5074</v>
      </c>
      <c r="D287" s="39">
        <v>3286</v>
      </c>
      <c r="E287" s="39">
        <v>4622</v>
      </c>
      <c r="F287" s="39">
        <v>4504</v>
      </c>
      <c r="G287" s="39">
        <v>2900</v>
      </c>
      <c r="H287" s="39">
        <v>1937</v>
      </c>
      <c r="I287" s="39">
        <v>2049</v>
      </c>
      <c r="J287" s="39">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7" t="s">
        <v>1025</v>
      </c>
      <c r="AE287" s="19">
        <v>2475</v>
      </c>
      <c r="AF287">
        <v>7874</v>
      </c>
      <c r="AG287">
        <v>3017</v>
      </c>
      <c r="AH287">
        <v>9520</v>
      </c>
    </row>
    <row r="288" spans="1:34" hidden="1">
      <c r="A288" s="39" t="s">
        <v>344</v>
      </c>
      <c r="B288" s="39">
        <v>0</v>
      </c>
      <c r="C288" s="39">
        <v>0</v>
      </c>
      <c r="D288" s="39">
        <v>0</v>
      </c>
      <c r="E288" s="39">
        <v>0</v>
      </c>
      <c r="F288" s="39">
        <v>0</v>
      </c>
      <c r="G288" s="39">
        <v>0</v>
      </c>
      <c r="H288" s="39">
        <v>44</v>
      </c>
      <c r="I288" s="39">
        <v>357</v>
      </c>
      <c r="J288" s="39">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39" t="s">
        <v>1157</v>
      </c>
      <c r="B289" s="39">
        <v>0</v>
      </c>
      <c r="C289" s="39">
        <v>0</v>
      </c>
      <c r="D289" s="39">
        <v>0</v>
      </c>
      <c r="E289" s="39">
        <v>0</v>
      </c>
      <c r="F289" s="39">
        <v>0</v>
      </c>
      <c r="G289" s="39">
        <v>0</v>
      </c>
      <c r="H289" s="39">
        <v>0</v>
      </c>
      <c r="I289" s="39">
        <v>0</v>
      </c>
      <c r="J289" s="39">
        <v>2</v>
      </c>
      <c r="K289">
        <v>203</v>
      </c>
      <c r="L289">
        <v>248</v>
      </c>
      <c r="M289">
        <v>614</v>
      </c>
      <c r="N289">
        <v>482</v>
      </c>
      <c r="O289">
        <v>0</v>
      </c>
      <c r="P289">
        <v>0</v>
      </c>
      <c r="Q289">
        <v>0</v>
      </c>
      <c r="R289">
        <v>0</v>
      </c>
      <c r="S289">
        <v>0</v>
      </c>
      <c r="T289">
        <v>0</v>
      </c>
      <c r="U289">
        <v>0</v>
      </c>
      <c r="V289">
        <v>0</v>
      </c>
      <c r="W289">
        <v>0</v>
      </c>
      <c r="X289">
        <v>89</v>
      </c>
      <c r="Y289">
        <v>52</v>
      </c>
      <c r="Z289">
        <v>106</v>
      </c>
      <c r="AA289">
        <v>93</v>
      </c>
      <c r="AD289" t="s">
        <v>862</v>
      </c>
      <c r="AE289" s="19">
        <v>2459</v>
      </c>
      <c r="AF289">
        <v>6009</v>
      </c>
      <c r="AG289">
        <v>935</v>
      </c>
      <c r="AH289">
        <v>3880</v>
      </c>
    </row>
    <row r="290" spans="1:34" hidden="1">
      <c r="A290" s="39" t="s">
        <v>1112</v>
      </c>
      <c r="B290" s="39">
        <v>1239</v>
      </c>
      <c r="C290" s="39">
        <v>1186</v>
      </c>
      <c r="D290" s="39">
        <v>1067</v>
      </c>
      <c r="E290" s="39">
        <v>1047</v>
      </c>
      <c r="F290" s="39">
        <v>773</v>
      </c>
      <c r="G290" s="39">
        <v>930</v>
      </c>
      <c r="H290" s="39">
        <v>776</v>
      </c>
      <c r="I290" s="39">
        <v>897</v>
      </c>
      <c r="J290" s="39">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958</v>
      </c>
      <c r="AE290" s="19">
        <v>1983</v>
      </c>
      <c r="AF290">
        <v>4570</v>
      </c>
      <c r="AG290">
        <v>2077</v>
      </c>
      <c r="AH290">
        <v>5047</v>
      </c>
    </row>
    <row r="291" spans="1:34" hidden="1">
      <c r="A291" s="39" t="s">
        <v>1060</v>
      </c>
      <c r="B291" s="39">
        <v>797</v>
      </c>
      <c r="C291" s="39">
        <v>765</v>
      </c>
      <c r="D291" s="39">
        <v>729</v>
      </c>
      <c r="E291" s="39">
        <v>1009</v>
      </c>
      <c r="F291" s="39">
        <v>1347</v>
      </c>
      <c r="G291" s="39">
        <v>818</v>
      </c>
      <c r="H291" s="39">
        <v>567</v>
      </c>
      <c r="I291" s="39">
        <v>633</v>
      </c>
      <c r="J291" s="39">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856</v>
      </c>
      <c r="AE291" s="19">
        <v>957</v>
      </c>
      <c r="AF291">
        <v>2138</v>
      </c>
      <c r="AG291">
        <v>828</v>
      </c>
      <c r="AH291">
        <v>1666</v>
      </c>
    </row>
    <row r="292" spans="1:34" hidden="1">
      <c r="A292" s="39" t="s">
        <v>1225</v>
      </c>
      <c r="B292" s="39">
        <v>0</v>
      </c>
      <c r="C292" s="39">
        <v>296</v>
      </c>
      <c r="D292" s="39">
        <v>624</v>
      </c>
      <c r="E292" s="39">
        <v>1056</v>
      </c>
      <c r="F292" s="39">
        <v>1062</v>
      </c>
      <c r="G292" s="39">
        <v>1368</v>
      </c>
      <c r="H292" s="39">
        <v>1293</v>
      </c>
      <c r="I292" s="39">
        <v>2189</v>
      </c>
      <c r="J292" s="39">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39" t="s">
        <v>1233</v>
      </c>
      <c r="B293" s="39">
        <v>636</v>
      </c>
      <c r="C293" s="39">
        <v>662</v>
      </c>
      <c r="D293" s="39">
        <v>750</v>
      </c>
      <c r="E293" s="39">
        <v>974</v>
      </c>
      <c r="F293" s="39">
        <v>821</v>
      </c>
      <c r="G293" s="39">
        <v>70</v>
      </c>
      <c r="H293" s="39">
        <v>0</v>
      </c>
      <c r="I293" s="39">
        <v>755</v>
      </c>
      <c r="J293" s="39">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39" t="s">
        <v>1261</v>
      </c>
      <c r="B294" s="39">
        <v>0</v>
      </c>
      <c r="C294" s="39">
        <v>905</v>
      </c>
      <c r="D294" s="39">
        <v>885</v>
      </c>
      <c r="E294" s="39">
        <v>1682</v>
      </c>
      <c r="F294" s="39">
        <v>1578</v>
      </c>
      <c r="G294" s="39">
        <v>1430</v>
      </c>
      <c r="H294" s="39">
        <v>1500</v>
      </c>
      <c r="I294" s="39">
        <v>1252</v>
      </c>
      <c r="J294" s="39">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811</v>
      </c>
      <c r="AE294" s="19">
        <v>671</v>
      </c>
      <c r="AF294">
        <v>1371</v>
      </c>
      <c r="AG294">
        <v>636</v>
      </c>
      <c r="AH294">
        <v>1517</v>
      </c>
    </row>
    <row r="295" spans="1:34" hidden="1">
      <c r="A295" s="39" t="s">
        <v>1045</v>
      </c>
      <c r="B295" s="39">
        <v>606</v>
      </c>
      <c r="C295" s="39">
        <v>1263</v>
      </c>
      <c r="D295" s="39">
        <v>721</v>
      </c>
      <c r="E295" s="39">
        <v>712</v>
      </c>
      <c r="F295" s="39">
        <v>903</v>
      </c>
      <c r="G295" s="39">
        <v>1130</v>
      </c>
      <c r="H295" s="39">
        <v>605</v>
      </c>
      <c r="I295" s="39">
        <v>2738</v>
      </c>
      <c r="J295" s="39">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39" t="s">
        <v>1247</v>
      </c>
      <c r="B296" s="39">
        <v>0</v>
      </c>
      <c r="C296" s="39">
        <v>181</v>
      </c>
      <c r="D296" s="39">
        <v>325</v>
      </c>
      <c r="E296" s="39">
        <v>325</v>
      </c>
      <c r="F296" s="39">
        <v>316</v>
      </c>
      <c r="G296" s="39">
        <v>407</v>
      </c>
      <c r="H296" s="39">
        <v>711</v>
      </c>
      <c r="I296" s="39">
        <v>844</v>
      </c>
      <c r="J296" s="39">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847</v>
      </c>
      <c r="AE296" s="19">
        <v>1810</v>
      </c>
      <c r="AF296">
        <v>6177</v>
      </c>
      <c r="AG296">
        <v>1031</v>
      </c>
      <c r="AH296">
        <v>5005</v>
      </c>
    </row>
    <row r="297" spans="1:34" hidden="1">
      <c r="A297" s="39" t="s">
        <v>1167</v>
      </c>
      <c r="B297" s="39">
        <v>987</v>
      </c>
      <c r="C297" s="39">
        <v>1274</v>
      </c>
      <c r="D297" s="39">
        <v>947</v>
      </c>
      <c r="E297" s="39">
        <v>936</v>
      </c>
      <c r="F297" s="39">
        <v>1075</v>
      </c>
      <c r="G297" s="39">
        <v>1129</v>
      </c>
      <c r="H297" s="39">
        <v>872</v>
      </c>
      <c r="I297" s="39">
        <v>773</v>
      </c>
      <c r="J297" s="39">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1378</v>
      </c>
      <c r="AE297" s="19">
        <v>130</v>
      </c>
      <c r="AF297">
        <v>303</v>
      </c>
      <c r="AG297">
        <v>136</v>
      </c>
      <c r="AH297">
        <v>282</v>
      </c>
    </row>
    <row r="298" spans="1:34" hidden="1">
      <c r="A298" s="39" t="s">
        <v>1259</v>
      </c>
      <c r="B298" s="39">
        <v>2112</v>
      </c>
      <c r="C298" s="39">
        <v>2248</v>
      </c>
      <c r="D298" s="39">
        <v>1592</v>
      </c>
      <c r="E298" s="39">
        <v>1693</v>
      </c>
      <c r="F298" s="39">
        <v>1282</v>
      </c>
      <c r="G298" s="39">
        <v>1242</v>
      </c>
      <c r="H298" s="39">
        <v>1323</v>
      </c>
      <c r="I298" s="39">
        <v>1508</v>
      </c>
      <c r="J298" s="39">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989</v>
      </c>
      <c r="AE298" s="19">
        <v>1461</v>
      </c>
      <c r="AF298">
        <v>4166</v>
      </c>
      <c r="AG298">
        <v>1563</v>
      </c>
      <c r="AH298">
        <v>4498</v>
      </c>
    </row>
    <row r="299" spans="1:34" hidden="1">
      <c r="A299" s="39" t="s">
        <v>1175</v>
      </c>
      <c r="B299" s="39">
        <v>182</v>
      </c>
      <c r="C299" s="39">
        <v>217</v>
      </c>
      <c r="D299" s="39">
        <v>215</v>
      </c>
      <c r="E299" s="39">
        <v>257</v>
      </c>
      <c r="F299" s="39">
        <v>519</v>
      </c>
      <c r="G299" s="39">
        <v>624</v>
      </c>
      <c r="H299" s="39">
        <v>229</v>
      </c>
      <c r="I299" s="39">
        <v>642</v>
      </c>
      <c r="J299" s="39">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39" t="s">
        <v>769</v>
      </c>
      <c r="B300" s="39">
        <v>0</v>
      </c>
      <c r="C300" s="39">
        <v>0</v>
      </c>
      <c r="D300" s="39">
        <v>0</v>
      </c>
      <c r="E300" s="39">
        <v>0</v>
      </c>
      <c r="F300" s="39">
        <v>0</v>
      </c>
      <c r="G300" s="39">
        <v>0</v>
      </c>
      <c r="H300" s="39">
        <v>0</v>
      </c>
      <c r="I300" s="39">
        <v>0</v>
      </c>
      <c r="J300" s="39">
        <v>41</v>
      </c>
      <c r="K300">
        <v>448</v>
      </c>
      <c r="L300">
        <v>475</v>
      </c>
      <c r="M300">
        <v>503</v>
      </c>
      <c r="N300">
        <v>596</v>
      </c>
      <c r="O300">
        <v>0</v>
      </c>
      <c r="P300">
        <v>0</v>
      </c>
      <c r="Q300">
        <v>0</v>
      </c>
      <c r="R300">
        <v>0</v>
      </c>
      <c r="S300">
        <v>0</v>
      </c>
      <c r="T300">
        <v>0</v>
      </c>
      <c r="U300">
        <v>0</v>
      </c>
      <c r="V300">
        <v>0</v>
      </c>
      <c r="W300">
        <v>12</v>
      </c>
      <c r="X300">
        <v>152</v>
      </c>
      <c r="Y300">
        <v>148</v>
      </c>
      <c r="Z300">
        <v>180</v>
      </c>
      <c r="AA300">
        <v>205</v>
      </c>
      <c r="AD300" t="s">
        <v>858</v>
      </c>
      <c r="AE300" s="19">
        <v>767</v>
      </c>
      <c r="AF300">
        <v>1139</v>
      </c>
      <c r="AG300">
        <v>636</v>
      </c>
      <c r="AH300">
        <v>987</v>
      </c>
    </row>
    <row r="301" spans="1:34" hidden="1">
      <c r="A301" s="39" t="s">
        <v>763</v>
      </c>
      <c r="B301" s="39">
        <v>0</v>
      </c>
      <c r="C301" s="39">
        <v>0</v>
      </c>
      <c r="D301" s="39">
        <v>0</v>
      </c>
      <c r="E301" s="39">
        <v>0</v>
      </c>
      <c r="F301" s="39">
        <v>0</v>
      </c>
      <c r="G301" s="39">
        <v>0</v>
      </c>
      <c r="H301" s="39">
        <v>0</v>
      </c>
      <c r="I301" s="39">
        <v>0</v>
      </c>
      <c r="J301" s="39">
        <v>0</v>
      </c>
      <c r="K301">
        <v>136</v>
      </c>
      <c r="L301">
        <v>240</v>
      </c>
      <c r="M301">
        <v>635</v>
      </c>
      <c r="N301">
        <v>979</v>
      </c>
      <c r="O301">
        <v>0</v>
      </c>
      <c r="P301">
        <v>0</v>
      </c>
      <c r="Q301">
        <v>0</v>
      </c>
      <c r="R301">
        <v>0</v>
      </c>
      <c r="S301">
        <v>0</v>
      </c>
      <c r="T301">
        <v>0</v>
      </c>
      <c r="U301">
        <v>0</v>
      </c>
      <c r="V301">
        <v>0</v>
      </c>
      <c r="W301">
        <v>0</v>
      </c>
      <c r="X301">
        <v>39</v>
      </c>
      <c r="Y301">
        <v>90</v>
      </c>
      <c r="Z301">
        <v>230</v>
      </c>
      <c r="AA301">
        <v>343</v>
      </c>
      <c r="AD301" t="s">
        <v>1005</v>
      </c>
      <c r="AE301" s="19">
        <v>1069</v>
      </c>
      <c r="AF301">
        <v>2732</v>
      </c>
      <c r="AG301">
        <v>1032</v>
      </c>
      <c r="AH301">
        <v>2212</v>
      </c>
    </row>
    <row r="302" spans="1:34" hidden="1">
      <c r="A302" s="39" t="s">
        <v>1033</v>
      </c>
      <c r="B302" s="39">
        <v>2315</v>
      </c>
      <c r="C302" s="39">
        <v>2405</v>
      </c>
      <c r="D302" s="39">
        <v>2006</v>
      </c>
      <c r="E302" s="39">
        <v>1413</v>
      </c>
      <c r="F302" s="39">
        <v>1434</v>
      </c>
      <c r="G302" s="39">
        <v>1782</v>
      </c>
      <c r="H302" s="39">
        <v>1669</v>
      </c>
      <c r="I302" s="39">
        <v>2225</v>
      </c>
      <c r="J302" s="39">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986</v>
      </c>
      <c r="AE302" s="19">
        <v>1050</v>
      </c>
      <c r="AF302">
        <v>3373</v>
      </c>
      <c r="AG302">
        <v>894</v>
      </c>
      <c r="AH302">
        <v>2989</v>
      </c>
    </row>
    <row r="303" spans="1:34" hidden="1">
      <c r="A303" s="39" t="s">
        <v>927</v>
      </c>
      <c r="B303" s="39">
        <v>980</v>
      </c>
      <c r="C303" s="39">
        <v>895</v>
      </c>
      <c r="D303" s="39">
        <v>759</v>
      </c>
      <c r="E303" s="39">
        <v>550</v>
      </c>
      <c r="F303" s="39">
        <v>545</v>
      </c>
      <c r="G303" s="39">
        <v>532</v>
      </c>
      <c r="H303" s="39">
        <v>726</v>
      </c>
      <c r="I303" s="39">
        <v>642</v>
      </c>
      <c r="J303" s="39">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922</v>
      </c>
      <c r="AE303" s="19">
        <v>1599</v>
      </c>
      <c r="AF303">
        <v>4378</v>
      </c>
      <c r="AG303">
        <v>1603</v>
      </c>
      <c r="AH303">
        <v>4702</v>
      </c>
    </row>
    <row r="304" spans="1:34" hidden="1">
      <c r="A304" s="39" t="s">
        <v>982</v>
      </c>
      <c r="B304" s="39">
        <v>1043</v>
      </c>
      <c r="C304" s="39">
        <v>1155</v>
      </c>
      <c r="D304" s="39">
        <v>1282</v>
      </c>
      <c r="E304" s="39">
        <v>1441</v>
      </c>
      <c r="F304" s="39">
        <v>883</v>
      </c>
      <c r="G304" s="39">
        <v>944</v>
      </c>
      <c r="H304" s="39">
        <v>800</v>
      </c>
      <c r="I304" s="39">
        <v>923</v>
      </c>
      <c r="J304" s="39">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912</v>
      </c>
      <c r="AE304" s="19">
        <v>986</v>
      </c>
      <c r="AF304">
        <v>3049</v>
      </c>
      <c r="AG304">
        <v>1006</v>
      </c>
      <c r="AH304">
        <v>2782</v>
      </c>
    </row>
    <row r="305" spans="1:34" hidden="1">
      <c r="A305" s="39" t="s">
        <v>1031</v>
      </c>
      <c r="B305" s="39">
        <v>565</v>
      </c>
      <c r="C305" s="39">
        <v>576</v>
      </c>
      <c r="D305" s="39">
        <v>298</v>
      </c>
      <c r="E305" s="39">
        <v>435</v>
      </c>
      <c r="F305" s="39">
        <v>442</v>
      </c>
      <c r="G305" s="39">
        <v>682</v>
      </c>
      <c r="H305" s="39">
        <v>1040</v>
      </c>
      <c r="I305" s="39">
        <v>1030</v>
      </c>
      <c r="J305" s="39">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966</v>
      </c>
      <c r="AE305" s="19">
        <v>1097</v>
      </c>
      <c r="AF305">
        <v>3777</v>
      </c>
      <c r="AG305">
        <v>1104</v>
      </c>
      <c r="AH305">
        <v>3937</v>
      </c>
    </row>
    <row r="306" spans="1:34" hidden="1">
      <c r="A306" s="39" t="s">
        <v>1023</v>
      </c>
      <c r="B306" s="39">
        <v>1662</v>
      </c>
      <c r="C306" s="39">
        <v>809</v>
      </c>
      <c r="D306" s="39">
        <v>1176</v>
      </c>
      <c r="E306" s="39">
        <v>2081</v>
      </c>
      <c r="F306" s="39">
        <v>901</v>
      </c>
      <c r="G306" s="39">
        <v>640</v>
      </c>
      <c r="H306" s="39">
        <v>90</v>
      </c>
      <c r="I306" s="39">
        <v>938</v>
      </c>
      <c r="J306" s="39">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1023</v>
      </c>
      <c r="AE306" s="19">
        <v>4451</v>
      </c>
      <c r="AF306">
        <v>16591</v>
      </c>
      <c r="AG306">
        <v>1697</v>
      </c>
      <c r="AH306">
        <v>7281</v>
      </c>
    </row>
    <row r="307" spans="1:34" hidden="1">
      <c r="A307" s="39" t="s">
        <v>1401</v>
      </c>
      <c r="B307" s="39">
        <v>859</v>
      </c>
      <c r="C307" s="39">
        <v>860</v>
      </c>
      <c r="D307" s="39">
        <v>1049</v>
      </c>
      <c r="E307" s="39">
        <v>459</v>
      </c>
      <c r="F307" s="39">
        <v>532</v>
      </c>
      <c r="G307" s="39">
        <v>1242</v>
      </c>
      <c r="H307" s="39">
        <v>1354</v>
      </c>
      <c r="I307" s="39">
        <v>1758</v>
      </c>
      <c r="J307" s="39">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978</v>
      </c>
      <c r="AE307" s="19">
        <v>1048</v>
      </c>
      <c r="AF307">
        <v>2416</v>
      </c>
      <c r="AG307">
        <v>1064</v>
      </c>
      <c r="AH307">
        <v>2389</v>
      </c>
    </row>
    <row r="308" spans="1:34" hidden="1">
      <c r="A308" s="39" t="s">
        <v>1392</v>
      </c>
      <c r="B308" s="39">
        <v>537</v>
      </c>
      <c r="C308" s="39">
        <v>546</v>
      </c>
      <c r="D308" s="39">
        <v>627</v>
      </c>
      <c r="E308" s="39">
        <v>794</v>
      </c>
      <c r="F308" s="39">
        <v>558</v>
      </c>
      <c r="G308" s="39">
        <v>390</v>
      </c>
      <c r="H308" s="39">
        <v>351</v>
      </c>
      <c r="I308" s="39">
        <v>339</v>
      </c>
      <c r="J308" s="39">
        <v>251</v>
      </c>
      <c r="K308">
        <v>0</v>
      </c>
      <c r="L308">
        <v>0</v>
      </c>
      <c r="M308">
        <v>0</v>
      </c>
      <c r="N308">
        <v>0</v>
      </c>
      <c r="O308">
        <v>145</v>
      </c>
      <c r="P308">
        <v>168</v>
      </c>
      <c r="Q308">
        <v>292</v>
      </c>
      <c r="R308">
        <v>397</v>
      </c>
      <c r="S308">
        <v>264</v>
      </c>
      <c r="T308">
        <v>166</v>
      </c>
      <c r="U308">
        <v>121</v>
      </c>
      <c r="V308">
        <v>130</v>
      </c>
      <c r="W308">
        <v>79</v>
      </c>
      <c r="X308">
        <v>2</v>
      </c>
      <c r="Y308">
        <v>1</v>
      </c>
      <c r="Z308">
        <v>0</v>
      </c>
      <c r="AA308">
        <v>0</v>
      </c>
      <c r="AD308" t="s">
        <v>1384</v>
      </c>
      <c r="AE308" s="19">
        <v>140</v>
      </c>
      <c r="AF308">
        <v>309</v>
      </c>
      <c r="AG308">
        <v>135</v>
      </c>
      <c r="AH308">
        <v>238</v>
      </c>
    </row>
    <row r="309" spans="1:34" hidden="1">
      <c r="A309" s="39" t="s">
        <v>515</v>
      </c>
      <c r="B309" s="39">
        <v>4641</v>
      </c>
      <c r="C309" s="39">
        <v>5402</v>
      </c>
      <c r="D309" s="39">
        <v>12968</v>
      </c>
      <c r="E309" s="39">
        <v>405</v>
      </c>
      <c r="F309" s="39">
        <v>4626</v>
      </c>
      <c r="G309" s="39">
        <v>14443</v>
      </c>
      <c r="H309" s="39">
        <v>9978</v>
      </c>
      <c r="I309" s="39">
        <v>9294</v>
      </c>
      <c r="J309" s="39">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824</v>
      </c>
      <c r="AE309" s="19">
        <v>931</v>
      </c>
      <c r="AF309">
        <v>1974</v>
      </c>
      <c r="AG309">
        <v>1129</v>
      </c>
      <c r="AH309">
        <v>1665</v>
      </c>
    </row>
    <row r="310" spans="1:34" hidden="1">
      <c r="A310" s="39" t="s">
        <v>399</v>
      </c>
      <c r="B310" s="39">
        <v>142</v>
      </c>
      <c r="C310" s="39">
        <v>784</v>
      </c>
      <c r="D310" s="39">
        <v>1453</v>
      </c>
      <c r="E310" s="39">
        <v>1497</v>
      </c>
      <c r="F310" s="39">
        <v>688</v>
      </c>
      <c r="G310" s="39">
        <v>965</v>
      </c>
      <c r="H310" s="39">
        <v>693</v>
      </c>
      <c r="I310" s="39">
        <v>706</v>
      </c>
      <c r="J310" s="39">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39" t="s">
        <v>48</v>
      </c>
      <c r="B311" s="39">
        <v>3132</v>
      </c>
      <c r="C311" s="39">
        <v>2039</v>
      </c>
      <c r="D311" s="39">
        <v>3023</v>
      </c>
      <c r="E311" s="39">
        <v>3663</v>
      </c>
      <c r="F311" s="39">
        <v>3838</v>
      </c>
      <c r="G311" s="39">
        <v>4391</v>
      </c>
      <c r="H311" s="39">
        <v>4888</v>
      </c>
      <c r="I311" s="39">
        <v>4759</v>
      </c>
      <c r="J311" s="39">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7" t="s">
        <v>807</v>
      </c>
      <c r="AE311" s="19">
        <v>1493</v>
      </c>
      <c r="AF311">
        <v>3832</v>
      </c>
      <c r="AG311">
        <v>874</v>
      </c>
      <c r="AH311">
        <v>2577</v>
      </c>
    </row>
    <row r="312" spans="1:34" hidden="1">
      <c r="A312" s="39" t="s">
        <v>220</v>
      </c>
      <c r="B312" s="39">
        <v>1659</v>
      </c>
      <c r="C312" s="39">
        <v>1434</v>
      </c>
      <c r="D312" s="39">
        <v>1562</v>
      </c>
      <c r="E312" s="39">
        <v>1244</v>
      </c>
      <c r="F312" s="39">
        <v>1149</v>
      </c>
      <c r="G312" s="39">
        <v>1155</v>
      </c>
      <c r="H312" s="39">
        <v>1334</v>
      </c>
      <c r="I312" s="39">
        <v>1368</v>
      </c>
      <c r="J312" s="39">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993</v>
      </c>
      <c r="AE312" s="19">
        <v>1954</v>
      </c>
      <c r="AF312">
        <v>3897</v>
      </c>
      <c r="AG312">
        <v>2114</v>
      </c>
      <c r="AH312">
        <v>4208</v>
      </c>
    </row>
    <row r="313" spans="1:34" hidden="1">
      <c r="A313" s="39" t="s">
        <v>104</v>
      </c>
      <c r="B313" s="39">
        <v>876</v>
      </c>
      <c r="C313" s="39">
        <v>860</v>
      </c>
      <c r="D313" s="39">
        <v>1105</v>
      </c>
      <c r="E313" s="39">
        <v>1072</v>
      </c>
      <c r="F313" s="39">
        <v>983</v>
      </c>
      <c r="G313" s="39">
        <v>1089</v>
      </c>
      <c r="H313" s="39">
        <v>848</v>
      </c>
      <c r="I313" s="39">
        <v>1287</v>
      </c>
      <c r="J313" s="39">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39" t="s">
        <v>886</v>
      </c>
      <c r="B314" s="39">
        <v>997</v>
      </c>
      <c r="C314" s="39">
        <v>1850</v>
      </c>
      <c r="D314" s="39">
        <v>1025</v>
      </c>
      <c r="E314" s="39">
        <v>799</v>
      </c>
      <c r="F314" s="39">
        <v>710</v>
      </c>
      <c r="G314" s="39">
        <v>691</v>
      </c>
      <c r="H314" s="39">
        <v>660</v>
      </c>
      <c r="I314" s="39">
        <v>770</v>
      </c>
      <c r="J314" s="39">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929</v>
      </c>
      <c r="AE314" s="19">
        <v>1003</v>
      </c>
      <c r="AF314">
        <v>1589</v>
      </c>
      <c r="AG314">
        <v>890</v>
      </c>
      <c r="AH314">
        <v>1398</v>
      </c>
    </row>
    <row r="315" spans="1:34" hidden="1">
      <c r="A315" s="39" t="s">
        <v>1007</v>
      </c>
      <c r="B315" s="39">
        <v>2355</v>
      </c>
      <c r="C315" s="39">
        <v>1934</v>
      </c>
      <c r="D315" s="39">
        <v>2039</v>
      </c>
      <c r="E315" s="39">
        <v>1536</v>
      </c>
      <c r="F315" s="39">
        <v>1410</v>
      </c>
      <c r="G315" s="39">
        <v>1279</v>
      </c>
      <c r="H315" s="39">
        <v>1075</v>
      </c>
      <c r="I315" s="39">
        <v>1303</v>
      </c>
      <c r="J315" s="39">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39" t="s">
        <v>781</v>
      </c>
      <c r="B316" s="39">
        <v>2621</v>
      </c>
      <c r="C316" s="39">
        <v>2019</v>
      </c>
      <c r="D316" s="39">
        <v>2673</v>
      </c>
      <c r="E316" s="39">
        <v>2544</v>
      </c>
      <c r="F316" s="39">
        <v>1653</v>
      </c>
      <c r="G316" s="39">
        <v>1577</v>
      </c>
      <c r="H316" s="39">
        <v>1246</v>
      </c>
      <c r="I316" s="39">
        <v>1403</v>
      </c>
      <c r="J316" s="39">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906</v>
      </c>
      <c r="AE316" s="19">
        <v>567</v>
      </c>
      <c r="AF316">
        <v>1504</v>
      </c>
      <c r="AG316">
        <v>580</v>
      </c>
      <c r="AH316">
        <v>1328</v>
      </c>
    </row>
    <row r="317" spans="1:34" hidden="1">
      <c r="A317" s="39" t="s">
        <v>841</v>
      </c>
      <c r="B317" s="39">
        <v>0</v>
      </c>
      <c r="C317" s="39">
        <v>0</v>
      </c>
      <c r="D317" s="39">
        <v>11</v>
      </c>
      <c r="E317" s="39">
        <v>1977</v>
      </c>
      <c r="F317" s="39">
        <v>2804</v>
      </c>
      <c r="G317" s="39">
        <v>1930</v>
      </c>
      <c r="H317" s="39">
        <v>863</v>
      </c>
      <c r="I317" s="39">
        <v>540</v>
      </c>
      <c r="J317" s="39">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1011</v>
      </c>
      <c r="AE317" s="19">
        <v>1221</v>
      </c>
      <c r="AF317">
        <v>4464</v>
      </c>
      <c r="AG317">
        <v>1315</v>
      </c>
      <c r="AH317">
        <v>4510</v>
      </c>
    </row>
    <row r="318" spans="1:34" hidden="1">
      <c r="A318" s="39" t="s">
        <v>1400</v>
      </c>
      <c r="B318" s="39">
        <v>0</v>
      </c>
      <c r="C318" s="39">
        <v>1336</v>
      </c>
      <c r="D318" s="39">
        <v>1505</v>
      </c>
      <c r="E318" s="39">
        <v>392</v>
      </c>
      <c r="F318" s="39">
        <v>847</v>
      </c>
      <c r="G318" s="39">
        <v>516</v>
      </c>
      <c r="H318" s="39">
        <v>980</v>
      </c>
      <c r="I318" s="39">
        <v>968</v>
      </c>
      <c r="J318" s="39">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39" t="s">
        <v>439</v>
      </c>
      <c r="B319" s="39">
        <v>1136</v>
      </c>
      <c r="C319" s="39">
        <v>1864</v>
      </c>
      <c r="D319" s="39">
        <v>4153</v>
      </c>
      <c r="E319" s="39">
        <v>4283</v>
      </c>
      <c r="F319" s="39">
        <v>4912</v>
      </c>
      <c r="G319" s="39">
        <v>2632</v>
      </c>
      <c r="H319" s="39">
        <v>1166</v>
      </c>
      <c r="I319" s="39">
        <v>4260</v>
      </c>
      <c r="J319" s="39">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878</v>
      </c>
      <c r="AE319" s="19">
        <v>1270</v>
      </c>
      <c r="AF319">
        <v>3786</v>
      </c>
      <c r="AG319">
        <v>1078</v>
      </c>
      <c r="AH319">
        <v>3372</v>
      </c>
    </row>
    <row r="320" spans="1:34" hidden="1">
      <c r="A320" s="39" t="s">
        <v>158</v>
      </c>
      <c r="B320" s="39">
        <v>0</v>
      </c>
      <c r="C320" s="39">
        <v>0</v>
      </c>
      <c r="D320" s="39">
        <v>0</v>
      </c>
      <c r="E320" s="39">
        <v>164</v>
      </c>
      <c r="F320" s="39">
        <v>53</v>
      </c>
      <c r="G320" s="39">
        <v>371</v>
      </c>
      <c r="H320" s="39">
        <v>517</v>
      </c>
      <c r="I320" s="39">
        <v>388</v>
      </c>
      <c r="J320" s="39">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765</v>
      </c>
      <c r="AE320" s="19">
        <v>3590</v>
      </c>
      <c r="AF320">
        <v>14550</v>
      </c>
      <c r="AG320">
        <v>3606</v>
      </c>
      <c r="AH320">
        <v>14106</v>
      </c>
    </row>
    <row r="321" spans="1:34" hidden="1">
      <c r="A321" s="39" t="s">
        <v>208</v>
      </c>
      <c r="B321" s="39">
        <v>0</v>
      </c>
      <c r="C321" s="39">
        <v>0</v>
      </c>
      <c r="D321" s="39">
        <v>0</v>
      </c>
      <c r="E321" s="39">
        <v>0</v>
      </c>
      <c r="F321" s="39">
        <v>0</v>
      </c>
      <c r="G321" s="39">
        <v>0</v>
      </c>
      <c r="H321" s="39">
        <v>1040</v>
      </c>
      <c r="I321" s="39">
        <v>0</v>
      </c>
      <c r="J321" s="39">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39" t="s">
        <v>244</v>
      </c>
      <c r="B322" s="39">
        <v>0</v>
      </c>
      <c r="C322" s="39">
        <v>435</v>
      </c>
      <c r="D322" s="39">
        <v>405</v>
      </c>
      <c r="E322" s="39">
        <v>972</v>
      </c>
      <c r="F322" s="39">
        <v>925</v>
      </c>
      <c r="G322" s="39">
        <v>761</v>
      </c>
      <c r="H322" s="39">
        <v>830</v>
      </c>
      <c r="I322" s="39">
        <v>1199</v>
      </c>
      <c r="J322" s="39">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982</v>
      </c>
      <c r="AE322" s="19">
        <v>1934</v>
      </c>
      <c r="AF322">
        <v>3707</v>
      </c>
      <c r="AG322">
        <v>1678</v>
      </c>
      <c r="AH322">
        <v>3103</v>
      </c>
    </row>
    <row r="323" spans="1:34" hidden="1">
      <c r="A323" s="39" t="s">
        <v>262</v>
      </c>
      <c r="B323" s="39">
        <v>0</v>
      </c>
      <c r="C323" s="39">
        <v>0</v>
      </c>
      <c r="D323" s="39">
        <v>356</v>
      </c>
      <c r="E323" s="39">
        <v>1037</v>
      </c>
      <c r="F323" s="39">
        <v>959</v>
      </c>
      <c r="G323" s="39">
        <v>880</v>
      </c>
      <c r="H323" s="39">
        <v>751</v>
      </c>
      <c r="I323" s="39">
        <v>1087</v>
      </c>
      <c r="J323" s="39">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7" t="s">
        <v>902</v>
      </c>
      <c r="AE323" s="19">
        <v>1019</v>
      </c>
      <c r="AF323">
        <v>4079</v>
      </c>
      <c r="AG323">
        <v>1135</v>
      </c>
      <c r="AH323">
        <v>4140</v>
      </c>
    </row>
    <row r="324" spans="1:34" hidden="1">
      <c r="A324" s="39" t="s">
        <v>102</v>
      </c>
      <c r="B324" s="39">
        <v>1577</v>
      </c>
      <c r="C324" s="39">
        <v>2979</v>
      </c>
      <c r="D324" s="39">
        <v>2259</v>
      </c>
      <c r="E324" s="39">
        <v>1840</v>
      </c>
      <c r="F324" s="39">
        <v>1839</v>
      </c>
      <c r="G324" s="39">
        <v>2765</v>
      </c>
      <c r="H324" s="39">
        <v>2954</v>
      </c>
      <c r="I324" s="39">
        <v>2655</v>
      </c>
      <c r="J324" s="39">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976</v>
      </c>
      <c r="AE324" s="19">
        <v>2100</v>
      </c>
      <c r="AF324">
        <v>5134</v>
      </c>
      <c r="AG324">
        <v>2163</v>
      </c>
      <c r="AH324">
        <v>4948</v>
      </c>
    </row>
    <row r="325" spans="1:34" hidden="1">
      <c r="A325" s="39" t="s">
        <v>274</v>
      </c>
      <c r="B325" s="39">
        <v>0</v>
      </c>
      <c r="C325" s="39">
        <v>0</v>
      </c>
      <c r="D325" s="39">
        <v>0</v>
      </c>
      <c r="E325" s="39">
        <v>104</v>
      </c>
      <c r="F325" s="39">
        <v>0</v>
      </c>
      <c r="G325" s="39">
        <v>815</v>
      </c>
      <c r="H325" s="39">
        <v>1012</v>
      </c>
      <c r="I325" s="39">
        <v>957</v>
      </c>
      <c r="J325" s="39">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1033</v>
      </c>
      <c r="AE325" s="19">
        <v>2322</v>
      </c>
      <c r="AF325">
        <v>7537</v>
      </c>
      <c r="AG325">
        <v>2139</v>
      </c>
      <c r="AH325">
        <v>6324</v>
      </c>
    </row>
    <row r="326" spans="1:34" hidden="1">
      <c r="A326" s="39" t="s">
        <v>352</v>
      </c>
      <c r="B326" s="39">
        <v>0</v>
      </c>
      <c r="C326" s="39">
        <v>123</v>
      </c>
      <c r="D326" s="39">
        <v>330</v>
      </c>
      <c r="E326" s="39">
        <v>372</v>
      </c>
      <c r="F326" s="39">
        <v>240</v>
      </c>
      <c r="G326" s="39">
        <v>375</v>
      </c>
      <c r="H326" s="39">
        <v>438</v>
      </c>
      <c r="I326" s="39">
        <v>591</v>
      </c>
      <c r="J326" s="39">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860</v>
      </c>
      <c r="AE326" s="19">
        <v>485</v>
      </c>
      <c r="AF326">
        <v>854</v>
      </c>
      <c r="AG326">
        <v>464</v>
      </c>
      <c r="AH326">
        <v>810</v>
      </c>
    </row>
    <row r="327" spans="1:34" hidden="1">
      <c r="A327" s="39" t="s">
        <v>499</v>
      </c>
      <c r="B327" s="39">
        <v>0</v>
      </c>
      <c r="C327" s="39">
        <v>0</v>
      </c>
      <c r="D327" s="39">
        <v>0</v>
      </c>
      <c r="E327" s="39">
        <v>0</v>
      </c>
      <c r="F327" s="39">
        <v>0</v>
      </c>
      <c r="G327" s="39">
        <v>0</v>
      </c>
      <c r="H327" s="39">
        <v>3</v>
      </c>
      <c r="I327" s="39">
        <v>285</v>
      </c>
      <c r="J327" s="39">
        <v>734</v>
      </c>
      <c r="K327">
        <v>788</v>
      </c>
      <c r="L327">
        <v>450</v>
      </c>
      <c r="M327">
        <v>417</v>
      </c>
      <c r="N327">
        <v>668</v>
      </c>
      <c r="O327">
        <v>0</v>
      </c>
      <c r="P327">
        <v>0</v>
      </c>
      <c r="Q327">
        <v>0</v>
      </c>
      <c r="R327">
        <v>0</v>
      </c>
      <c r="S327">
        <v>0</v>
      </c>
      <c r="T327">
        <v>0</v>
      </c>
      <c r="U327">
        <v>0</v>
      </c>
      <c r="V327">
        <v>56</v>
      </c>
      <c r="W327">
        <v>184</v>
      </c>
      <c r="X327">
        <v>193</v>
      </c>
      <c r="Y327">
        <v>82</v>
      </c>
      <c r="Z327">
        <v>146</v>
      </c>
      <c r="AA327">
        <v>155</v>
      </c>
      <c r="AD327" t="s">
        <v>910</v>
      </c>
      <c r="AE327" s="19">
        <v>1498</v>
      </c>
      <c r="AF327">
        <v>5370</v>
      </c>
      <c r="AG327">
        <v>1227</v>
      </c>
      <c r="AH327">
        <v>3936</v>
      </c>
    </row>
    <row r="328" spans="1:34" hidden="1">
      <c r="A328" s="39" t="s">
        <v>931</v>
      </c>
      <c r="B328" s="39">
        <v>0</v>
      </c>
      <c r="C328" s="39">
        <v>0</v>
      </c>
      <c r="D328" s="39">
        <v>822</v>
      </c>
      <c r="E328" s="39">
        <v>1928</v>
      </c>
      <c r="F328" s="39">
        <v>1563</v>
      </c>
      <c r="G328" s="39">
        <v>2064</v>
      </c>
      <c r="H328" s="39">
        <v>2099</v>
      </c>
      <c r="I328" s="39">
        <v>2454</v>
      </c>
      <c r="J328" s="39">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1027</v>
      </c>
      <c r="AE328" s="19">
        <v>10278</v>
      </c>
      <c r="AF328">
        <v>19771</v>
      </c>
      <c r="AG328">
        <v>8072</v>
      </c>
      <c r="AH328">
        <v>16361</v>
      </c>
    </row>
    <row r="329" spans="1:34" hidden="1">
      <c r="A329" s="39" t="s">
        <v>765</v>
      </c>
      <c r="B329" s="39">
        <v>1295</v>
      </c>
      <c r="C329" s="39">
        <v>3249</v>
      </c>
      <c r="D329" s="39">
        <v>2721</v>
      </c>
      <c r="E329" s="39">
        <v>2361</v>
      </c>
      <c r="F329" s="39">
        <v>2349</v>
      </c>
      <c r="G329" s="39">
        <v>1891</v>
      </c>
      <c r="H329" s="39">
        <v>2300</v>
      </c>
      <c r="I329" s="39">
        <v>1954</v>
      </c>
      <c r="J329" s="39">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1015</v>
      </c>
      <c r="AE329" s="19">
        <v>1468</v>
      </c>
      <c r="AF329">
        <v>3867</v>
      </c>
      <c r="AG329">
        <v>1315</v>
      </c>
      <c r="AH329">
        <v>3480</v>
      </c>
    </row>
    <row r="330" spans="1:34" hidden="1">
      <c r="A330" s="39" t="s">
        <v>950</v>
      </c>
      <c r="B330" s="39">
        <v>0</v>
      </c>
      <c r="C330" s="39">
        <v>0</v>
      </c>
      <c r="D330" s="39">
        <v>41</v>
      </c>
      <c r="E330" s="39">
        <v>419</v>
      </c>
      <c r="F330" s="39">
        <v>509</v>
      </c>
      <c r="G330" s="39">
        <v>582</v>
      </c>
      <c r="H330" s="39">
        <v>1850</v>
      </c>
      <c r="I330" s="39">
        <v>1334</v>
      </c>
      <c r="J330" s="39">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956</v>
      </c>
      <c r="AE330" s="19">
        <v>1079</v>
      </c>
      <c r="AF330">
        <v>2673</v>
      </c>
      <c r="AG330">
        <v>1148</v>
      </c>
      <c r="AH330">
        <v>2673</v>
      </c>
    </row>
    <row r="331" spans="1:34" hidden="1">
      <c r="A331" s="39" t="s">
        <v>756</v>
      </c>
      <c r="B331" s="39">
        <v>0</v>
      </c>
      <c r="C331" s="39">
        <v>0</v>
      </c>
      <c r="D331" s="39">
        <v>136</v>
      </c>
      <c r="E331" s="39">
        <v>1743</v>
      </c>
      <c r="F331" s="39">
        <v>962</v>
      </c>
      <c r="G331" s="39">
        <v>672</v>
      </c>
      <c r="H331" s="39">
        <v>854</v>
      </c>
      <c r="I331" s="39">
        <v>999</v>
      </c>
      <c r="J331" s="39">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39" t="s">
        <v>966</v>
      </c>
      <c r="B332" s="39">
        <v>0</v>
      </c>
      <c r="C332" s="39">
        <v>0</v>
      </c>
      <c r="D332" s="39">
        <v>1136</v>
      </c>
      <c r="E332" s="39">
        <v>1169</v>
      </c>
      <c r="F332" s="39">
        <v>907</v>
      </c>
      <c r="G332" s="39">
        <v>861</v>
      </c>
      <c r="H332" s="39">
        <v>710</v>
      </c>
      <c r="I332" s="39">
        <v>602</v>
      </c>
      <c r="J332" s="39">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852</v>
      </c>
      <c r="AE332" s="19">
        <v>1132</v>
      </c>
      <c r="AF332">
        <v>2219</v>
      </c>
      <c r="AG332">
        <v>746</v>
      </c>
      <c r="AH332">
        <v>1647</v>
      </c>
    </row>
    <row r="333" spans="1:34" hidden="1">
      <c r="A333" s="39" t="s">
        <v>896</v>
      </c>
      <c r="B333" s="39">
        <v>2010</v>
      </c>
      <c r="C333" s="39">
        <v>3174</v>
      </c>
      <c r="D333" s="39">
        <v>823</v>
      </c>
      <c r="E333" s="39">
        <v>3749</v>
      </c>
      <c r="F333" s="39">
        <v>2541</v>
      </c>
      <c r="G333" s="39">
        <v>2523</v>
      </c>
      <c r="H333" s="39">
        <v>1288</v>
      </c>
      <c r="I333" s="39">
        <v>3176</v>
      </c>
      <c r="J333" s="39">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7" t="s">
        <v>769</v>
      </c>
      <c r="AE333" s="19">
        <v>1142</v>
      </c>
      <c r="AF333">
        <v>2951</v>
      </c>
      <c r="AG333">
        <v>1087</v>
      </c>
      <c r="AH333">
        <v>2839</v>
      </c>
    </row>
    <row r="334" spans="1:34" hidden="1">
      <c r="A334" s="39" t="s">
        <v>116</v>
      </c>
      <c r="B334" s="39">
        <v>0</v>
      </c>
      <c r="C334" s="39">
        <v>0</v>
      </c>
      <c r="D334" s="39">
        <v>0</v>
      </c>
      <c r="E334" s="39">
        <v>0</v>
      </c>
      <c r="F334" s="39">
        <v>0</v>
      </c>
      <c r="G334" s="39">
        <v>0</v>
      </c>
      <c r="H334" s="39">
        <v>326</v>
      </c>
      <c r="I334" s="39">
        <v>736</v>
      </c>
      <c r="J334" s="39">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927</v>
      </c>
      <c r="AE334" s="19">
        <v>1001</v>
      </c>
      <c r="AF334">
        <v>1621</v>
      </c>
      <c r="AG334">
        <v>860</v>
      </c>
      <c r="AH334">
        <v>1427</v>
      </c>
    </row>
    <row r="335" spans="1:34" hidden="1">
      <c r="A335" s="39" t="s">
        <v>266</v>
      </c>
      <c r="B335" s="39">
        <v>0</v>
      </c>
      <c r="C335" s="39">
        <v>0</v>
      </c>
      <c r="D335" s="39">
        <v>0</v>
      </c>
      <c r="E335" s="39">
        <v>0</v>
      </c>
      <c r="F335" s="39">
        <v>0</v>
      </c>
      <c r="G335" s="39">
        <v>495</v>
      </c>
      <c r="H335" s="39">
        <v>934</v>
      </c>
      <c r="I335" s="39">
        <v>2236</v>
      </c>
      <c r="J335" s="39">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7" t="s">
        <v>888</v>
      </c>
      <c r="AE335" s="19">
        <v>1255</v>
      </c>
      <c r="AF335">
        <v>2585</v>
      </c>
      <c r="AG335">
        <v>994</v>
      </c>
      <c r="AH335">
        <v>2553</v>
      </c>
    </row>
    <row r="336" spans="1:34" hidden="1">
      <c r="A336" s="39" t="s">
        <v>214</v>
      </c>
      <c r="B336" s="39">
        <v>0</v>
      </c>
      <c r="C336" s="39">
        <v>0</v>
      </c>
      <c r="D336" s="39">
        <v>0</v>
      </c>
      <c r="E336" s="39">
        <v>0</v>
      </c>
      <c r="F336" s="39">
        <v>0</v>
      </c>
      <c r="G336" s="39">
        <v>145</v>
      </c>
      <c r="H336" s="39">
        <v>2954</v>
      </c>
      <c r="I336" s="39">
        <v>3011</v>
      </c>
      <c r="J336" s="39">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787</v>
      </c>
      <c r="AE336" s="19">
        <v>442</v>
      </c>
      <c r="AF336">
        <v>907</v>
      </c>
      <c r="AG336">
        <v>361</v>
      </c>
      <c r="AH336">
        <v>768</v>
      </c>
    </row>
    <row r="337" spans="1:34" hidden="1">
      <c r="A337" s="39" t="s">
        <v>653</v>
      </c>
      <c r="B337" s="39">
        <v>0</v>
      </c>
      <c r="C337" s="39">
        <v>0</v>
      </c>
      <c r="D337" s="39">
        <v>0</v>
      </c>
      <c r="E337" s="39">
        <v>0</v>
      </c>
      <c r="F337" s="39">
        <v>8530</v>
      </c>
      <c r="G337" s="39">
        <v>9175</v>
      </c>
      <c r="H337" s="39">
        <v>7003</v>
      </c>
      <c r="I337" s="39">
        <v>6856</v>
      </c>
      <c r="J337" s="39">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854</v>
      </c>
      <c r="AE337" s="19">
        <v>352</v>
      </c>
      <c r="AF337">
        <v>894</v>
      </c>
      <c r="AG337">
        <v>317</v>
      </c>
      <c r="AH337">
        <v>856</v>
      </c>
    </row>
    <row r="338" spans="1:34" hidden="1">
      <c r="A338" s="39" t="s">
        <v>306</v>
      </c>
      <c r="B338" s="39">
        <v>0</v>
      </c>
      <c r="C338" s="39">
        <v>0</v>
      </c>
      <c r="D338" s="39">
        <v>0</v>
      </c>
      <c r="E338" s="39">
        <v>0</v>
      </c>
      <c r="F338" s="39">
        <v>0</v>
      </c>
      <c r="G338" s="39">
        <v>334</v>
      </c>
      <c r="H338" s="39">
        <v>456</v>
      </c>
      <c r="I338" s="39">
        <v>562</v>
      </c>
      <c r="J338" s="39">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39" t="s">
        <v>90</v>
      </c>
      <c r="B339" s="39">
        <v>0</v>
      </c>
      <c r="C339" s="39">
        <v>0</v>
      </c>
      <c r="D339" s="39">
        <v>0</v>
      </c>
      <c r="E339" s="39">
        <v>0</v>
      </c>
      <c r="F339" s="39">
        <v>0</v>
      </c>
      <c r="G339" s="39">
        <v>212</v>
      </c>
      <c r="H339" s="39">
        <v>308</v>
      </c>
      <c r="I339" s="39">
        <v>326</v>
      </c>
      <c r="J339" s="39">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1383</v>
      </c>
      <c r="AE339" s="19">
        <v>304</v>
      </c>
      <c r="AF339">
        <v>744</v>
      </c>
      <c r="AG339">
        <v>254</v>
      </c>
      <c r="AH339">
        <v>671</v>
      </c>
    </row>
    <row r="340" spans="1:34" hidden="1">
      <c r="A340" s="39" t="s">
        <v>1413</v>
      </c>
      <c r="B340" s="39">
        <v>0</v>
      </c>
      <c r="C340" s="39">
        <v>0</v>
      </c>
      <c r="D340" s="39">
        <v>0</v>
      </c>
      <c r="E340" s="39">
        <v>0</v>
      </c>
      <c r="F340" s="39">
        <v>0</v>
      </c>
      <c r="G340" s="39">
        <v>0</v>
      </c>
      <c r="H340" s="39">
        <v>3140</v>
      </c>
      <c r="I340" s="39">
        <v>1959</v>
      </c>
      <c r="J340" s="39">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962</v>
      </c>
      <c r="AE340" s="19">
        <v>1773</v>
      </c>
      <c r="AF340">
        <v>3891</v>
      </c>
      <c r="AG340">
        <v>1766</v>
      </c>
      <c r="AH340">
        <v>4227</v>
      </c>
    </row>
    <row r="341" spans="1:34" hidden="1">
      <c r="A341" s="39" t="s">
        <v>28</v>
      </c>
      <c r="B341" s="39">
        <v>0</v>
      </c>
      <c r="C341" s="39">
        <v>0</v>
      </c>
      <c r="D341" s="39">
        <v>0</v>
      </c>
      <c r="E341" s="39">
        <v>0</v>
      </c>
      <c r="F341" s="39">
        <v>10326</v>
      </c>
      <c r="G341" s="39">
        <v>8337</v>
      </c>
      <c r="H341" s="39">
        <v>7328</v>
      </c>
      <c r="I341" s="39">
        <v>8243</v>
      </c>
      <c r="J341" s="39">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726</v>
      </c>
      <c r="AE341" s="19">
        <v>4088</v>
      </c>
      <c r="AF341">
        <v>8958</v>
      </c>
      <c r="AG341">
        <v>4072</v>
      </c>
      <c r="AH341">
        <v>8698</v>
      </c>
    </row>
    <row r="342" spans="1:34" hidden="1">
      <c r="A342" s="39" t="s">
        <v>555</v>
      </c>
      <c r="B342" s="39">
        <v>0</v>
      </c>
      <c r="C342" s="39">
        <v>0</v>
      </c>
      <c r="D342" s="39">
        <v>0</v>
      </c>
      <c r="E342" s="39">
        <v>0</v>
      </c>
      <c r="F342" s="39">
        <v>0</v>
      </c>
      <c r="G342" s="39">
        <v>0</v>
      </c>
      <c r="H342" s="39">
        <v>172</v>
      </c>
      <c r="I342" s="39">
        <v>1743</v>
      </c>
      <c r="J342" s="39">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866</v>
      </c>
      <c r="AE342" s="19">
        <v>307</v>
      </c>
      <c r="AF342">
        <v>913</v>
      </c>
      <c r="AG342">
        <v>303</v>
      </c>
      <c r="AH342">
        <v>791</v>
      </c>
    </row>
    <row r="343" spans="1:34" hidden="1">
      <c r="A343" s="39" t="s">
        <v>505</v>
      </c>
      <c r="B343" s="39">
        <v>0</v>
      </c>
      <c r="C343" s="39">
        <v>0</v>
      </c>
      <c r="D343" s="39">
        <v>0</v>
      </c>
      <c r="E343" s="39">
        <v>0</v>
      </c>
      <c r="F343" s="39">
        <v>8752</v>
      </c>
      <c r="G343" s="39">
        <v>12087</v>
      </c>
      <c r="H343" s="39">
        <v>10201</v>
      </c>
      <c r="I343" s="39">
        <v>8685</v>
      </c>
      <c r="J343" s="39">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950</v>
      </c>
      <c r="AE343" s="19">
        <v>1359</v>
      </c>
      <c r="AF343">
        <v>3067</v>
      </c>
      <c r="AG343">
        <v>1324</v>
      </c>
      <c r="AH343">
        <v>2917</v>
      </c>
    </row>
    <row r="344" spans="1:34" hidden="1">
      <c r="A344" s="39" t="s">
        <v>411</v>
      </c>
      <c r="B344" s="39">
        <v>0</v>
      </c>
      <c r="C344" s="39">
        <v>0</v>
      </c>
      <c r="D344" s="39">
        <v>0</v>
      </c>
      <c r="E344" s="39">
        <v>0</v>
      </c>
      <c r="F344" s="39">
        <v>0</v>
      </c>
      <c r="G344" s="39">
        <v>436</v>
      </c>
      <c r="H344" s="39">
        <v>0</v>
      </c>
      <c r="I344" s="39">
        <v>0</v>
      </c>
      <c r="J344" s="39">
        <v>564</v>
      </c>
      <c r="K344">
        <v>852</v>
      </c>
      <c r="L344">
        <v>648</v>
      </c>
      <c r="M344">
        <v>473</v>
      </c>
      <c r="N344">
        <v>828</v>
      </c>
      <c r="O344">
        <v>0</v>
      </c>
      <c r="P344">
        <v>0</v>
      </c>
      <c r="Q344">
        <v>0</v>
      </c>
      <c r="R344">
        <v>0</v>
      </c>
      <c r="S344">
        <v>0</v>
      </c>
      <c r="T344">
        <v>94</v>
      </c>
      <c r="U344">
        <v>0</v>
      </c>
      <c r="V344">
        <v>0</v>
      </c>
      <c r="W344">
        <v>68</v>
      </c>
      <c r="X344">
        <v>121</v>
      </c>
      <c r="Y344">
        <v>117</v>
      </c>
      <c r="Z344">
        <v>70</v>
      </c>
      <c r="AA344">
        <v>153</v>
      </c>
      <c r="AD344" t="s">
        <v>733</v>
      </c>
      <c r="AE344" s="19">
        <v>4341</v>
      </c>
      <c r="AF344">
        <v>9371</v>
      </c>
      <c r="AG344">
        <v>4145</v>
      </c>
      <c r="AH344">
        <v>9738</v>
      </c>
    </row>
    <row r="345" spans="1:34" hidden="1">
      <c r="A345" s="39" t="s">
        <v>839</v>
      </c>
      <c r="B345" s="39">
        <v>0</v>
      </c>
      <c r="C345" s="39">
        <v>0</v>
      </c>
      <c r="D345" s="39">
        <v>0</v>
      </c>
      <c r="E345" s="39">
        <v>0</v>
      </c>
      <c r="F345" s="39">
        <v>0</v>
      </c>
      <c r="G345" s="39">
        <v>390</v>
      </c>
      <c r="H345" s="39">
        <v>691</v>
      </c>
      <c r="I345" s="39">
        <v>1148</v>
      </c>
      <c r="J345" s="39">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1007</v>
      </c>
      <c r="AE345" s="19">
        <v>1730</v>
      </c>
      <c r="AF345">
        <v>5884</v>
      </c>
      <c r="AG345">
        <v>1880</v>
      </c>
      <c r="AH345">
        <v>5451</v>
      </c>
    </row>
    <row r="346" spans="1:34" hidden="1">
      <c r="A346" s="39" t="s">
        <v>878</v>
      </c>
      <c r="B346" s="39">
        <v>0</v>
      </c>
      <c r="C346" s="39">
        <v>0</v>
      </c>
      <c r="D346" s="39">
        <v>0</v>
      </c>
      <c r="E346" s="39">
        <v>0</v>
      </c>
      <c r="F346" s="39">
        <v>0</v>
      </c>
      <c r="G346" s="39">
        <v>739</v>
      </c>
      <c r="H346" s="39">
        <v>1555</v>
      </c>
      <c r="I346" s="39">
        <v>751</v>
      </c>
      <c r="J346" s="39">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799</v>
      </c>
      <c r="AE346" s="19">
        <v>2197</v>
      </c>
      <c r="AF346">
        <v>7621</v>
      </c>
      <c r="AG346">
        <v>2076</v>
      </c>
      <c r="AH346">
        <v>7276</v>
      </c>
    </row>
    <row r="347" spans="1:34" hidden="1">
      <c r="A347" s="39" t="s">
        <v>898</v>
      </c>
      <c r="B347" s="39">
        <v>0</v>
      </c>
      <c r="C347" s="39">
        <v>0</v>
      </c>
      <c r="D347" s="39">
        <v>0</v>
      </c>
      <c r="E347" s="39">
        <v>0</v>
      </c>
      <c r="F347" s="39">
        <v>98</v>
      </c>
      <c r="G347" s="39">
        <v>561</v>
      </c>
      <c r="H347" s="39">
        <v>584</v>
      </c>
      <c r="I347" s="39">
        <v>524</v>
      </c>
      <c r="J347" s="39">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822</v>
      </c>
      <c r="AE347" s="19">
        <v>680</v>
      </c>
      <c r="AF347">
        <v>1839</v>
      </c>
      <c r="AG347">
        <v>673</v>
      </c>
      <c r="AH347">
        <v>1900</v>
      </c>
    </row>
    <row r="348" spans="1:34" hidden="1">
      <c r="A348" s="39" t="s">
        <v>799</v>
      </c>
      <c r="B348" s="39">
        <v>0</v>
      </c>
      <c r="C348" s="39">
        <v>0</v>
      </c>
      <c r="D348" s="39">
        <v>0</v>
      </c>
      <c r="E348" s="39">
        <v>0</v>
      </c>
      <c r="F348" s="39">
        <v>0</v>
      </c>
      <c r="G348" s="39">
        <v>0</v>
      </c>
      <c r="H348" s="39">
        <v>393</v>
      </c>
      <c r="I348" s="39">
        <v>2532</v>
      </c>
      <c r="J348" s="39">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974</v>
      </c>
      <c r="AE348" s="19">
        <v>556</v>
      </c>
      <c r="AF348">
        <v>3328</v>
      </c>
      <c r="AG348">
        <v>492</v>
      </c>
      <c r="AH348">
        <v>2903</v>
      </c>
    </row>
    <row r="349" spans="1:34" hidden="1">
      <c r="A349" s="39" t="s">
        <v>583</v>
      </c>
      <c r="B349" s="39">
        <v>0</v>
      </c>
      <c r="C349" s="39">
        <v>0</v>
      </c>
      <c r="D349" s="39">
        <v>0</v>
      </c>
      <c r="E349" s="39">
        <v>0</v>
      </c>
      <c r="F349" s="39">
        <v>0</v>
      </c>
      <c r="G349" s="39">
        <v>0</v>
      </c>
      <c r="H349" s="39">
        <v>0</v>
      </c>
      <c r="I349" s="39">
        <v>0</v>
      </c>
      <c r="J349" s="39">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809</v>
      </c>
      <c r="AE349" s="19">
        <v>709</v>
      </c>
      <c r="AF349">
        <v>1617</v>
      </c>
      <c r="AG349">
        <v>780</v>
      </c>
      <c r="AH349">
        <v>1828</v>
      </c>
    </row>
    <row r="350" spans="1:34" hidden="1">
      <c r="A350" s="39" t="s">
        <v>974</v>
      </c>
      <c r="B350" s="39">
        <v>0</v>
      </c>
      <c r="C350" s="39">
        <v>0</v>
      </c>
      <c r="D350" s="39">
        <v>0</v>
      </c>
      <c r="E350" s="39">
        <v>0</v>
      </c>
      <c r="F350" s="39">
        <v>0</v>
      </c>
      <c r="G350" s="39">
        <v>12</v>
      </c>
      <c r="H350" s="39">
        <v>279</v>
      </c>
      <c r="I350" s="39">
        <v>1318</v>
      </c>
      <c r="J350" s="39">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789</v>
      </c>
      <c r="AE350" s="19">
        <v>1391</v>
      </c>
      <c r="AF350">
        <v>6386</v>
      </c>
      <c r="AG350">
        <v>1391</v>
      </c>
      <c r="AH350">
        <v>6380</v>
      </c>
    </row>
    <row r="351" spans="1:34" hidden="1">
      <c r="A351" s="39" t="s">
        <v>728</v>
      </c>
      <c r="B351" s="39">
        <v>0</v>
      </c>
      <c r="C351" s="39">
        <v>0</v>
      </c>
      <c r="D351" s="39">
        <v>0</v>
      </c>
      <c r="E351" s="39">
        <v>0</v>
      </c>
      <c r="F351" s="39">
        <v>0</v>
      </c>
      <c r="G351" s="39">
        <v>0</v>
      </c>
      <c r="H351" s="39">
        <v>160</v>
      </c>
      <c r="I351" s="39">
        <v>1483</v>
      </c>
      <c r="J351" s="39">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995</v>
      </c>
      <c r="AE351" s="19">
        <v>1104</v>
      </c>
      <c r="AF351">
        <v>3041</v>
      </c>
      <c r="AG351">
        <v>1124</v>
      </c>
      <c r="AH351">
        <v>3196</v>
      </c>
    </row>
    <row r="352" spans="1:34" hidden="1">
      <c r="A352" s="39" t="s">
        <v>785</v>
      </c>
      <c r="B352" s="39">
        <v>0</v>
      </c>
      <c r="C352" s="39">
        <v>0</v>
      </c>
      <c r="D352" s="39">
        <v>0</v>
      </c>
      <c r="E352" s="39">
        <v>0</v>
      </c>
      <c r="F352" s="39">
        <v>0</v>
      </c>
      <c r="G352" s="39">
        <v>301</v>
      </c>
      <c r="H352" s="39">
        <v>600</v>
      </c>
      <c r="I352" s="39">
        <v>576</v>
      </c>
      <c r="J352" s="39">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7" t="s">
        <v>795</v>
      </c>
      <c r="AE352" s="19">
        <v>1012</v>
      </c>
      <c r="AF352">
        <v>4711</v>
      </c>
      <c r="AG352">
        <v>900</v>
      </c>
      <c r="AH352">
        <v>3957</v>
      </c>
    </row>
    <row r="353" spans="1:34" hidden="1">
      <c r="A353" s="39" t="s">
        <v>1414</v>
      </c>
      <c r="B353" s="39">
        <v>0</v>
      </c>
      <c r="C353" s="39">
        <v>0</v>
      </c>
      <c r="D353" s="39">
        <v>0</v>
      </c>
      <c r="E353" s="39">
        <v>0</v>
      </c>
      <c r="F353" s="39">
        <v>0</v>
      </c>
      <c r="G353" s="39">
        <v>138</v>
      </c>
      <c r="H353" s="39">
        <v>416</v>
      </c>
      <c r="I353" s="39">
        <v>484</v>
      </c>
      <c r="J353" s="39">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771</v>
      </c>
      <c r="AE353" s="19">
        <v>563</v>
      </c>
      <c r="AF353">
        <v>1126</v>
      </c>
      <c r="AG353">
        <v>553</v>
      </c>
      <c r="AH353">
        <v>1189</v>
      </c>
    </row>
    <row r="354" spans="1:34" hidden="1">
      <c r="A354" s="39" t="s">
        <v>1415</v>
      </c>
      <c r="B354" s="39">
        <v>0</v>
      </c>
      <c r="C354" s="39">
        <v>0</v>
      </c>
      <c r="D354" s="39">
        <v>0</v>
      </c>
      <c r="E354" s="39">
        <v>0</v>
      </c>
      <c r="F354" s="39">
        <v>0</v>
      </c>
      <c r="G354" s="39">
        <v>0</v>
      </c>
      <c r="H354" s="39">
        <v>0</v>
      </c>
      <c r="I354" s="39">
        <v>408</v>
      </c>
      <c r="J354" s="39">
        <v>599</v>
      </c>
      <c r="K354">
        <v>871</v>
      </c>
      <c r="L354">
        <v>557</v>
      </c>
      <c r="M354">
        <v>780</v>
      </c>
      <c r="N354">
        <v>550</v>
      </c>
      <c r="O354">
        <v>0</v>
      </c>
      <c r="P354">
        <v>0</v>
      </c>
      <c r="Q354">
        <v>0</v>
      </c>
      <c r="R354">
        <v>0</v>
      </c>
      <c r="S354">
        <v>0</v>
      </c>
      <c r="T354">
        <v>0</v>
      </c>
      <c r="U354">
        <v>0</v>
      </c>
      <c r="V354">
        <v>122</v>
      </c>
      <c r="W354">
        <v>234</v>
      </c>
      <c r="X354">
        <v>328</v>
      </c>
      <c r="Y354">
        <v>236</v>
      </c>
      <c r="Z354">
        <v>330</v>
      </c>
      <c r="AA354">
        <v>182</v>
      </c>
      <c r="AD354" s="37" t="s">
        <v>1001</v>
      </c>
      <c r="AE354" s="19">
        <v>994</v>
      </c>
      <c r="AF354">
        <v>5341</v>
      </c>
      <c r="AG354">
        <v>781</v>
      </c>
      <c r="AH354">
        <v>4714</v>
      </c>
    </row>
    <row r="355" spans="1:34" hidden="1">
      <c r="A355" s="39" t="s">
        <v>1213</v>
      </c>
      <c r="B355" s="39">
        <v>0</v>
      </c>
      <c r="C355" s="39">
        <v>0</v>
      </c>
      <c r="D355" s="39">
        <v>0</v>
      </c>
      <c r="E355" s="39">
        <v>0</v>
      </c>
      <c r="F355" s="39">
        <v>0</v>
      </c>
      <c r="G355" s="39">
        <v>0</v>
      </c>
      <c r="H355" s="39">
        <v>6</v>
      </c>
      <c r="I355" s="39">
        <v>957</v>
      </c>
      <c r="J355" s="39">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945</v>
      </c>
      <c r="AE355" s="19">
        <v>2392</v>
      </c>
      <c r="AF355">
        <v>4813</v>
      </c>
      <c r="AG355">
        <v>2708</v>
      </c>
      <c r="AH355">
        <v>4674</v>
      </c>
    </row>
    <row r="356" spans="1:34" hidden="1">
      <c r="A356" s="39" t="s">
        <v>1251</v>
      </c>
      <c r="B356" s="39">
        <v>0</v>
      </c>
      <c r="C356" s="39">
        <v>0</v>
      </c>
      <c r="D356" s="39">
        <v>0</v>
      </c>
      <c r="E356" s="39">
        <v>0</v>
      </c>
      <c r="F356" s="39">
        <v>0</v>
      </c>
      <c r="G356" s="39">
        <v>773</v>
      </c>
      <c r="H356" s="39">
        <v>647</v>
      </c>
      <c r="I356" s="39">
        <v>608</v>
      </c>
      <c r="J356" s="39">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3" t="s">
        <v>785</v>
      </c>
      <c r="AE356" s="19">
        <v>968</v>
      </c>
      <c r="AF356">
        <v>2161</v>
      </c>
      <c r="AG356">
        <v>1003</v>
      </c>
      <c r="AH356">
        <v>2293</v>
      </c>
    </row>
    <row r="357" spans="1:34" hidden="1">
      <c r="A357" s="39" t="s">
        <v>1056</v>
      </c>
      <c r="B357" s="39">
        <v>0</v>
      </c>
      <c r="C357" s="39">
        <v>0</v>
      </c>
      <c r="D357" s="39">
        <v>0</v>
      </c>
      <c r="E357" s="39">
        <v>0</v>
      </c>
      <c r="F357" s="39">
        <v>0</v>
      </c>
      <c r="G357" s="39">
        <v>7</v>
      </c>
      <c r="H357" s="39">
        <v>2458</v>
      </c>
      <c r="I357" s="39">
        <v>1177</v>
      </c>
      <c r="J357" s="39">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984</v>
      </c>
      <c r="AE357" s="19">
        <v>1050</v>
      </c>
      <c r="AF357">
        <v>3313</v>
      </c>
      <c r="AG357">
        <v>647</v>
      </c>
      <c r="AH357">
        <v>2596</v>
      </c>
    </row>
    <row r="358" spans="1:34" hidden="1">
      <c r="A358" s="39" t="s">
        <v>1043</v>
      </c>
      <c r="B358" s="39">
        <v>0</v>
      </c>
      <c r="C358" s="39">
        <v>0</v>
      </c>
      <c r="D358" s="39">
        <v>0</v>
      </c>
      <c r="E358" s="39">
        <v>0</v>
      </c>
      <c r="F358" s="39">
        <v>0</v>
      </c>
      <c r="G358" s="39">
        <v>1446</v>
      </c>
      <c r="H358" s="39">
        <v>2491</v>
      </c>
      <c r="I358" s="39">
        <v>3474</v>
      </c>
      <c r="J358" s="39">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980</v>
      </c>
      <c r="AE358" s="19">
        <v>1164</v>
      </c>
      <c r="AF358">
        <v>2760</v>
      </c>
      <c r="AG358">
        <v>1126</v>
      </c>
      <c r="AH358">
        <v>2712</v>
      </c>
    </row>
    <row r="359" spans="1:34" hidden="1">
      <c r="A359" s="39" t="s">
        <v>1064</v>
      </c>
      <c r="B359" s="39">
        <v>0</v>
      </c>
      <c r="C359" s="39">
        <v>0</v>
      </c>
      <c r="D359" s="39">
        <v>0</v>
      </c>
      <c r="E359" s="39">
        <v>0</v>
      </c>
      <c r="F359" s="39">
        <v>0</v>
      </c>
      <c r="G359" s="39">
        <v>1785</v>
      </c>
      <c r="H359" s="39">
        <v>1444</v>
      </c>
      <c r="I359" s="39">
        <v>1189</v>
      </c>
      <c r="J359" s="39">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7" t="s">
        <v>797</v>
      </c>
      <c r="AE359" s="19">
        <v>1206</v>
      </c>
      <c r="AF359">
        <v>5369</v>
      </c>
      <c r="AG359">
        <v>679</v>
      </c>
      <c r="AH359">
        <v>3541</v>
      </c>
    </row>
    <row r="360" spans="1:34" hidden="1">
      <c r="A360" s="39" t="s">
        <v>16</v>
      </c>
      <c r="B360" s="39">
        <v>0</v>
      </c>
      <c r="C360" s="39">
        <v>0</v>
      </c>
      <c r="D360" s="39">
        <v>0</v>
      </c>
      <c r="E360" s="39">
        <v>0</v>
      </c>
      <c r="F360" s="39">
        <v>0</v>
      </c>
      <c r="G360" s="39">
        <v>0</v>
      </c>
      <c r="H360" s="39">
        <v>0</v>
      </c>
      <c r="I360" s="39">
        <v>762</v>
      </c>
      <c r="J360" s="39">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3" t="s">
        <v>728</v>
      </c>
      <c r="AE360" s="19">
        <v>2452</v>
      </c>
      <c r="AF360">
        <v>11987</v>
      </c>
      <c r="AG360">
        <v>2540</v>
      </c>
      <c r="AH360">
        <v>11724</v>
      </c>
    </row>
    <row r="361" spans="1:34" hidden="1">
      <c r="A361" s="39" t="s">
        <v>298</v>
      </c>
      <c r="B361" s="39">
        <v>0</v>
      </c>
      <c r="C361" s="39">
        <v>0</v>
      </c>
      <c r="D361" s="39">
        <v>0</v>
      </c>
      <c r="E361" s="39">
        <v>0</v>
      </c>
      <c r="F361" s="39">
        <v>0</v>
      </c>
      <c r="G361" s="39">
        <v>7630</v>
      </c>
      <c r="H361" s="39">
        <v>2562</v>
      </c>
      <c r="I361" s="39">
        <v>2152</v>
      </c>
      <c r="J361" s="39">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7" t="s">
        <v>763</v>
      </c>
      <c r="AE361" s="19">
        <v>1081</v>
      </c>
      <c r="AF361">
        <v>2997</v>
      </c>
      <c r="AG361">
        <v>1041</v>
      </c>
      <c r="AH361">
        <v>2820</v>
      </c>
    </row>
    <row r="362" spans="1:34" hidden="1">
      <c r="A362" s="39" t="s">
        <v>1416</v>
      </c>
      <c r="B362" s="39">
        <v>0</v>
      </c>
      <c r="C362" s="39">
        <v>0</v>
      </c>
      <c r="D362" s="39">
        <v>0</v>
      </c>
      <c r="E362" s="39">
        <v>0</v>
      </c>
      <c r="F362" s="39">
        <v>0</v>
      </c>
      <c r="G362" s="39">
        <v>260</v>
      </c>
      <c r="H362" s="39">
        <v>228</v>
      </c>
      <c r="I362" s="39">
        <v>499</v>
      </c>
      <c r="J362" s="39">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999</v>
      </c>
      <c r="AE362" s="19">
        <v>2435</v>
      </c>
      <c r="AF362">
        <v>9302</v>
      </c>
      <c r="AG362">
        <v>3143</v>
      </c>
      <c r="AH362">
        <v>11288</v>
      </c>
    </row>
    <row r="363" spans="1:34" hidden="1">
      <c r="A363" s="39" t="s">
        <v>1417</v>
      </c>
      <c r="B363" s="39">
        <v>0</v>
      </c>
      <c r="C363" s="39">
        <v>0</v>
      </c>
      <c r="D363" s="39">
        <v>0</v>
      </c>
      <c r="E363" s="39">
        <v>74</v>
      </c>
      <c r="F363" s="39">
        <v>732</v>
      </c>
      <c r="G363" s="39">
        <v>2355</v>
      </c>
      <c r="H363" s="39">
        <v>1554</v>
      </c>
      <c r="I363" s="39">
        <v>1083</v>
      </c>
      <c r="J363" s="39">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7" t="s">
        <v>1013</v>
      </c>
      <c r="AE363" s="19">
        <v>932</v>
      </c>
      <c r="AF363">
        <v>2798</v>
      </c>
      <c r="AG363">
        <v>849</v>
      </c>
      <c r="AH363">
        <v>3058</v>
      </c>
    </row>
    <row r="364" spans="1:34" hidden="1">
      <c r="A364" s="39" t="s">
        <v>1418</v>
      </c>
      <c r="B364" s="39">
        <v>0</v>
      </c>
      <c r="C364" s="39">
        <v>0</v>
      </c>
      <c r="D364" s="39">
        <v>0</v>
      </c>
      <c r="E364" s="39">
        <v>66</v>
      </c>
      <c r="F364" s="39">
        <v>40</v>
      </c>
      <c r="G364" s="39">
        <v>147</v>
      </c>
      <c r="H364" s="39">
        <v>138</v>
      </c>
      <c r="I364" s="39">
        <v>116</v>
      </c>
      <c r="J364" s="39">
        <v>178</v>
      </c>
      <c r="K364">
        <v>141</v>
      </c>
      <c r="L364">
        <v>183</v>
      </c>
      <c r="M364">
        <v>0</v>
      </c>
      <c r="N364">
        <v>61</v>
      </c>
      <c r="O364">
        <v>0</v>
      </c>
      <c r="P364">
        <v>0</v>
      </c>
      <c r="Q364">
        <v>0</v>
      </c>
      <c r="R364">
        <v>18</v>
      </c>
      <c r="S364">
        <v>12</v>
      </c>
      <c r="T364">
        <v>25</v>
      </c>
      <c r="U364">
        <v>31</v>
      </c>
      <c r="V364">
        <v>27</v>
      </c>
      <c r="W364">
        <v>45</v>
      </c>
      <c r="X364">
        <v>28</v>
      </c>
      <c r="Y364">
        <v>68</v>
      </c>
      <c r="Z364">
        <v>0</v>
      </c>
      <c r="AA364">
        <v>26</v>
      </c>
      <c r="AD364" s="37" t="s">
        <v>933</v>
      </c>
      <c r="AE364" s="19">
        <v>2202</v>
      </c>
      <c r="AF364">
        <v>6672</v>
      </c>
      <c r="AG364">
        <v>1648</v>
      </c>
      <c r="AH364">
        <v>5181</v>
      </c>
    </row>
    <row r="365" spans="1:34" hidden="1">
      <c r="A365" s="39" t="s">
        <v>489</v>
      </c>
      <c r="B365" s="39">
        <v>0</v>
      </c>
      <c r="C365" s="39">
        <v>0</v>
      </c>
      <c r="D365" s="39">
        <v>0</v>
      </c>
      <c r="E365" s="39">
        <v>216</v>
      </c>
      <c r="F365" s="39">
        <v>572</v>
      </c>
      <c r="G365" s="39">
        <v>531</v>
      </c>
      <c r="H365" s="39">
        <v>442</v>
      </c>
      <c r="I365" s="39">
        <v>923</v>
      </c>
      <c r="J365" s="39">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826</v>
      </c>
      <c r="AE365" s="19">
        <v>1002</v>
      </c>
      <c r="AF365">
        <v>3000</v>
      </c>
      <c r="AG365">
        <v>1090</v>
      </c>
      <c r="AH365">
        <v>3750</v>
      </c>
    </row>
    <row r="366" spans="1:34" hidden="1">
      <c r="A366" s="39" t="s">
        <v>1419</v>
      </c>
      <c r="B366" s="39">
        <v>0</v>
      </c>
      <c r="C366" s="39">
        <v>0</v>
      </c>
      <c r="D366" s="39">
        <v>0</v>
      </c>
      <c r="E366" s="39">
        <v>0</v>
      </c>
      <c r="F366" s="39">
        <v>0</v>
      </c>
      <c r="G366" s="39">
        <v>0</v>
      </c>
      <c r="H366" s="39">
        <v>0</v>
      </c>
      <c r="I366" s="39">
        <v>0</v>
      </c>
      <c r="J366" s="39">
        <v>187</v>
      </c>
      <c r="K366">
        <v>988</v>
      </c>
      <c r="L366">
        <v>532</v>
      </c>
      <c r="M366">
        <v>680</v>
      </c>
      <c r="N366">
        <v>0</v>
      </c>
      <c r="O366">
        <v>0</v>
      </c>
      <c r="P366">
        <v>0</v>
      </c>
      <c r="Q366">
        <v>0</v>
      </c>
      <c r="R366">
        <v>0</v>
      </c>
      <c r="S366">
        <v>0</v>
      </c>
      <c r="T366">
        <v>0</v>
      </c>
      <c r="U366">
        <v>0</v>
      </c>
      <c r="V366">
        <v>0</v>
      </c>
      <c r="W366">
        <v>38</v>
      </c>
      <c r="X366">
        <v>121</v>
      </c>
      <c r="Y366">
        <v>86</v>
      </c>
      <c r="Z366">
        <v>89</v>
      </c>
      <c r="AA366">
        <v>0</v>
      </c>
      <c r="AD366" s="27" t="s">
        <v>1021</v>
      </c>
      <c r="AE366" s="19">
        <v>871</v>
      </c>
      <c r="AF366">
        <v>3124</v>
      </c>
      <c r="AG366">
        <v>1337</v>
      </c>
      <c r="AH366">
        <v>4374</v>
      </c>
    </row>
    <row r="367" spans="1:34" hidden="1">
      <c r="A367" s="39" t="s">
        <v>455</v>
      </c>
      <c r="B367" s="39">
        <v>0</v>
      </c>
      <c r="C367" s="39">
        <v>0</v>
      </c>
      <c r="D367" s="39">
        <v>0</v>
      </c>
      <c r="E367" s="39">
        <v>0</v>
      </c>
      <c r="F367" s="39">
        <v>0</v>
      </c>
      <c r="G367" s="39">
        <v>0</v>
      </c>
      <c r="H367" s="39">
        <v>0</v>
      </c>
      <c r="I367" s="39">
        <v>15</v>
      </c>
      <c r="J367" s="39">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39" t="s">
        <v>627</v>
      </c>
      <c r="B368" s="39">
        <v>0</v>
      </c>
      <c r="C368" s="39">
        <v>0</v>
      </c>
      <c r="D368" s="39">
        <v>0</v>
      </c>
      <c r="E368" s="39">
        <v>0</v>
      </c>
      <c r="F368" s="39">
        <v>0</v>
      </c>
      <c r="G368" s="39">
        <v>0</v>
      </c>
      <c r="H368" s="39">
        <v>0</v>
      </c>
      <c r="I368" s="39">
        <v>3</v>
      </c>
      <c r="J368" s="39">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39" t="s">
        <v>72</v>
      </c>
      <c r="B369" s="39">
        <v>0</v>
      </c>
      <c r="C369" s="39">
        <v>0</v>
      </c>
      <c r="D369" s="39">
        <v>0</v>
      </c>
      <c r="E369" s="39">
        <v>0</v>
      </c>
      <c r="F369" s="39">
        <v>0</v>
      </c>
      <c r="G369" s="39">
        <v>0</v>
      </c>
      <c r="H369" s="39">
        <v>0</v>
      </c>
      <c r="I369" s="39">
        <v>0</v>
      </c>
      <c r="J369" s="39">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39" t="s">
        <v>675</v>
      </c>
      <c r="B370" s="39">
        <v>0</v>
      </c>
      <c r="C370" s="39">
        <v>0</v>
      </c>
      <c r="D370" s="39">
        <v>0</v>
      </c>
      <c r="E370" s="39">
        <v>0</v>
      </c>
      <c r="F370" s="39">
        <v>0</v>
      </c>
      <c r="G370" s="39">
        <v>0</v>
      </c>
      <c r="H370" s="39">
        <v>0</v>
      </c>
      <c r="I370" s="39">
        <v>1854</v>
      </c>
      <c r="J370" s="39">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39" t="s">
        <v>186</v>
      </c>
      <c r="B371" s="39">
        <v>0</v>
      </c>
      <c r="C371" s="39">
        <v>0</v>
      </c>
      <c r="D371" s="39">
        <v>0</v>
      </c>
      <c r="E371" s="39">
        <v>0</v>
      </c>
      <c r="F371" s="39">
        <v>0</v>
      </c>
      <c r="G371" s="39">
        <v>0</v>
      </c>
      <c r="H371" s="39">
        <v>18</v>
      </c>
      <c r="I371" s="39">
        <v>1584</v>
      </c>
      <c r="J371" s="39">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39" t="s">
        <v>501</v>
      </c>
      <c r="B372" s="39">
        <v>0</v>
      </c>
      <c r="C372" s="39">
        <v>0</v>
      </c>
      <c r="D372" s="39">
        <v>0</v>
      </c>
      <c r="E372" s="39">
        <v>0</v>
      </c>
      <c r="F372" s="39">
        <v>0</v>
      </c>
      <c r="G372" s="39">
        <v>0</v>
      </c>
      <c r="H372" s="39">
        <v>0</v>
      </c>
      <c r="I372" s="39">
        <v>169</v>
      </c>
      <c r="J372" s="39">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39" t="s">
        <v>230</v>
      </c>
      <c r="B373" s="39">
        <v>0</v>
      </c>
      <c r="C373" s="39">
        <v>0</v>
      </c>
      <c r="D373" s="39">
        <v>0</v>
      </c>
      <c r="E373" s="39">
        <v>0</v>
      </c>
      <c r="F373" s="39">
        <v>0</v>
      </c>
      <c r="G373" s="39">
        <v>0</v>
      </c>
      <c r="H373" s="39">
        <v>0</v>
      </c>
      <c r="I373" s="39">
        <v>0</v>
      </c>
      <c r="J373" s="39">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39" t="s">
        <v>270</v>
      </c>
      <c r="B374" s="39">
        <v>0</v>
      </c>
      <c r="C374" s="39">
        <v>0</v>
      </c>
      <c r="D374" s="39">
        <v>0</v>
      </c>
      <c r="E374" s="39">
        <v>0</v>
      </c>
      <c r="F374" s="39">
        <v>0</v>
      </c>
      <c r="G374" s="39">
        <v>0</v>
      </c>
      <c r="H374" s="39">
        <v>0</v>
      </c>
      <c r="I374" s="39">
        <v>699</v>
      </c>
      <c r="J374" s="39">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39" t="s">
        <v>302</v>
      </c>
      <c r="B375" s="39">
        <v>0</v>
      </c>
      <c r="C375" s="39">
        <v>0</v>
      </c>
      <c r="D375" s="39">
        <v>0</v>
      </c>
      <c r="E375" s="39">
        <v>0</v>
      </c>
      <c r="F375" s="39">
        <v>0</v>
      </c>
      <c r="G375" s="39">
        <v>0</v>
      </c>
      <c r="H375" s="39">
        <v>0</v>
      </c>
      <c r="I375" s="39">
        <v>0</v>
      </c>
      <c r="J375" s="39">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870</v>
      </c>
      <c r="AE375" s="19">
        <v>0</v>
      </c>
      <c r="AF375">
        <v>204</v>
      </c>
      <c r="AG375">
        <v>0</v>
      </c>
      <c r="AH375">
        <v>319</v>
      </c>
    </row>
    <row r="376" spans="1:34" hidden="1">
      <c r="A376" s="39" t="s">
        <v>409</v>
      </c>
      <c r="B376" s="39">
        <v>0</v>
      </c>
      <c r="C376" s="39">
        <v>0</v>
      </c>
      <c r="D376" s="39">
        <v>0</v>
      </c>
      <c r="E376" s="39">
        <v>0</v>
      </c>
      <c r="F376" s="39">
        <v>0</v>
      </c>
      <c r="G376" s="39">
        <v>0</v>
      </c>
      <c r="H376" s="39">
        <v>0</v>
      </c>
      <c r="I376" s="39">
        <v>0</v>
      </c>
      <c r="J376" s="39">
        <v>0</v>
      </c>
      <c r="K376">
        <v>199</v>
      </c>
      <c r="L376">
        <v>944</v>
      </c>
      <c r="M376">
        <v>1775</v>
      </c>
      <c r="N376">
        <v>2660</v>
      </c>
      <c r="O376">
        <v>0</v>
      </c>
      <c r="P376">
        <v>0</v>
      </c>
      <c r="Q376">
        <v>0</v>
      </c>
      <c r="R376">
        <v>0</v>
      </c>
      <c r="S376">
        <v>0</v>
      </c>
      <c r="T376">
        <v>0</v>
      </c>
      <c r="U376">
        <v>0</v>
      </c>
      <c r="V376">
        <v>0</v>
      </c>
      <c r="W376">
        <v>0</v>
      </c>
      <c r="X376">
        <v>36</v>
      </c>
      <c r="Y376">
        <v>154</v>
      </c>
      <c r="Z376">
        <v>291</v>
      </c>
      <c r="AA376">
        <v>400</v>
      </c>
      <c r="AD376" t="s">
        <v>1043</v>
      </c>
      <c r="AE376" s="19">
        <v>3508</v>
      </c>
      <c r="AF376">
        <v>15392</v>
      </c>
      <c r="AG376">
        <v>3259</v>
      </c>
      <c r="AH376">
        <v>13188</v>
      </c>
    </row>
    <row r="377" spans="1:34" hidden="1">
      <c r="A377" s="39" t="s">
        <v>20</v>
      </c>
      <c r="B377" s="39">
        <v>0</v>
      </c>
      <c r="C377" s="39">
        <v>0</v>
      </c>
      <c r="D377" s="39">
        <v>0</v>
      </c>
      <c r="E377" s="39">
        <v>0</v>
      </c>
      <c r="F377" s="39">
        <v>0</v>
      </c>
      <c r="G377" s="39">
        <v>0</v>
      </c>
      <c r="H377" s="39">
        <v>0</v>
      </c>
      <c r="I377" s="39">
        <v>0</v>
      </c>
      <c r="J377" s="39">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1045</v>
      </c>
      <c r="AE377" s="19">
        <v>4183</v>
      </c>
      <c r="AF377">
        <v>8194</v>
      </c>
      <c r="AG377">
        <v>4580</v>
      </c>
      <c r="AH377">
        <v>8690</v>
      </c>
    </row>
    <row r="378" spans="1:34" hidden="1">
      <c r="A378" s="39" t="s">
        <v>533</v>
      </c>
      <c r="B378" s="39">
        <v>0</v>
      </c>
      <c r="C378" s="39">
        <v>0</v>
      </c>
      <c r="D378" s="39">
        <v>0</v>
      </c>
      <c r="E378" s="39">
        <v>0</v>
      </c>
      <c r="F378" s="39">
        <v>0</v>
      </c>
      <c r="G378" s="39">
        <v>0</v>
      </c>
      <c r="H378" s="39">
        <v>0</v>
      </c>
      <c r="I378" s="39">
        <v>0</v>
      </c>
      <c r="J378" s="39">
        <v>0</v>
      </c>
      <c r="K378">
        <v>365</v>
      </c>
      <c r="L378">
        <v>961</v>
      </c>
      <c r="M378">
        <v>851</v>
      </c>
      <c r="N378">
        <v>1606</v>
      </c>
      <c r="O378">
        <v>0</v>
      </c>
      <c r="P378">
        <v>0</v>
      </c>
      <c r="Q378">
        <v>0</v>
      </c>
      <c r="R378">
        <v>0</v>
      </c>
      <c r="S378">
        <v>0</v>
      </c>
      <c r="T378">
        <v>0</v>
      </c>
      <c r="U378">
        <v>0</v>
      </c>
      <c r="V378">
        <v>0</v>
      </c>
      <c r="W378">
        <v>0</v>
      </c>
      <c r="X378">
        <v>73</v>
      </c>
      <c r="Y378">
        <v>253</v>
      </c>
      <c r="Z378">
        <v>222</v>
      </c>
      <c r="AA378">
        <v>355</v>
      </c>
      <c r="AD378" t="s">
        <v>1257</v>
      </c>
      <c r="AE378" s="19">
        <v>2357</v>
      </c>
      <c r="AF378">
        <v>9489</v>
      </c>
      <c r="AG378">
        <v>2852</v>
      </c>
      <c r="AH378">
        <v>12715</v>
      </c>
    </row>
    <row r="379" spans="1:34" hidden="1">
      <c r="A379" s="39" t="s">
        <v>1420</v>
      </c>
      <c r="B379" s="39">
        <v>0</v>
      </c>
      <c r="C379" s="39">
        <v>0</v>
      </c>
      <c r="D379" s="39">
        <v>0</v>
      </c>
      <c r="E379" s="39">
        <v>0</v>
      </c>
      <c r="F379" s="39">
        <v>0</v>
      </c>
      <c r="G379" s="39">
        <v>1321</v>
      </c>
      <c r="H379" s="39">
        <v>2615</v>
      </c>
      <c r="I379" s="39">
        <v>2472</v>
      </c>
      <c r="J379" s="39">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1195</v>
      </c>
      <c r="AE379" s="19">
        <v>1605</v>
      </c>
      <c r="AF379">
        <v>3876</v>
      </c>
      <c r="AG379">
        <v>1204</v>
      </c>
      <c r="AH379">
        <v>3437</v>
      </c>
    </row>
    <row r="380" spans="1:34" hidden="1">
      <c r="A380" s="39" t="s">
        <v>795</v>
      </c>
      <c r="B380" s="39">
        <v>0</v>
      </c>
      <c r="C380" s="39">
        <v>0</v>
      </c>
      <c r="D380" s="39">
        <v>0</v>
      </c>
      <c r="E380" s="39">
        <v>0</v>
      </c>
      <c r="F380" s="39">
        <v>0</v>
      </c>
      <c r="G380" s="39">
        <v>0</v>
      </c>
      <c r="H380" s="39">
        <v>0</v>
      </c>
      <c r="I380" s="39">
        <v>0</v>
      </c>
      <c r="J380" s="39">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1225</v>
      </c>
      <c r="AE380" s="19">
        <v>1961</v>
      </c>
      <c r="AF380">
        <v>6052</v>
      </c>
      <c r="AG380">
        <v>1504</v>
      </c>
      <c r="AH380">
        <v>4817</v>
      </c>
    </row>
    <row r="381" spans="1:34" hidden="1">
      <c r="A381" s="39" t="s">
        <v>1017</v>
      </c>
      <c r="B381" s="39">
        <v>0</v>
      </c>
      <c r="C381" s="39">
        <v>0</v>
      </c>
      <c r="D381" s="39">
        <v>0</v>
      </c>
      <c r="E381" s="39">
        <v>0</v>
      </c>
      <c r="F381" s="39">
        <v>0</v>
      </c>
      <c r="G381" s="39">
        <v>0</v>
      </c>
      <c r="H381" s="39">
        <v>0</v>
      </c>
      <c r="I381" s="39">
        <v>0</v>
      </c>
      <c r="J381" s="39">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1231</v>
      </c>
      <c r="AE381" s="19">
        <v>2820</v>
      </c>
      <c r="AF381">
        <v>8999</v>
      </c>
      <c r="AG381">
        <v>3060</v>
      </c>
      <c r="AH381">
        <v>10194</v>
      </c>
    </row>
    <row r="382" spans="1:34" hidden="1">
      <c r="A382" s="39" t="s">
        <v>775</v>
      </c>
      <c r="B382" s="39">
        <v>0</v>
      </c>
      <c r="C382" s="39">
        <v>0</v>
      </c>
      <c r="D382" s="39">
        <v>0</v>
      </c>
      <c r="E382" s="39">
        <v>0</v>
      </c>
      <c r="F382" s="39">
        <v>0</v>
      </c>
      <c r="G382" s="39">
        <v>0</v>
      </c>
      <c r="H382" s="39">
        <v>0</v>
      </c>
      <c r="I382" s="39">
        <v>0</v>
      </c>
      <c r="J382" s="39">
        <v>0</v>
      </c>
      <c r="K382">
        <v>75</v>
      </c>
      <c r="L382">
        <v>647</v>
      </c>
      <c r="M382">
        <v>1370</v>
      </c>
      <c r="N382">
        <v>949</v>
      </c>
      <c r="O382">
        <v>0</v>
      </c>
      <c r="P382">
        <v>0</v>
      </c>
      <c r="Q382">
        <v>0</v>
      </c>
      <c r="R382">
        <v>0</v>
      </c>
      <c r="S382">
        <v>0</v>
      </c>
      <c r="T382">
        <v>0</v>
      </c>
      <c r="U382">
        <v>0</v>
      </c>
      <c r="V382">
        <v>0</v>
      </c>
      <c r="W382">
        <v>0</v>
      </c>
      <c r="X382">
        <v>21</v>
      </c>
      <c r="Y382">
        <v>197</v>
      </c>
      <c r="Z382">
        <v>381</v>
      </c>
      <c r="AA382">
        <v>235</v>
      </c>
      <c r="AD382" t="s">
        <v>1192</v>
      </c>
      <c r="AE382" s="19">
        <v>4202</v>
      </c>
      <c r="AF382">
        <v>11724</v>
      </c>
      <c r="AG382">
        <v>3828</v>
      </c>
      <c r="AH382">
        <v>10399</v>
      </c>
    </row>
    <row r="383" spans="1:34" hidden="1">
      <c r="A383" s="39" t="s">
        <v>862</v>
      </c>
      <c r="B383" s="39">
        <v>0</v>
      </c>
      <c r="C383" s="39">
        <v>0</v>
      </c>
      <c r="D383" s="39">
        <v>0</v>
      </c>
      <c r="E383" s="39">
        <v>0</v>
      </c>
      <c r="F383" s="39">
        <v>0</v>
      </c>
      <c r="G383" s="39">
        <v>0</v>
      </c>
      <c r="H383" s="39">
        <v>0</v>
      </c>
      <c r="I383" s="39">
        <v>0</v>
      </c>
      <c r="J383" s="39">
        <v>19</v>
      </c>
      <c r="K383">
        <v>317</v>
      </c>
      <c r="L383">
        <v>353</v>
      </c>
      <c r="M383">
        <v>423</v>
      </c>
      <c r="N383">
        <v>836</v>
      </c>
      <c r="O383">
        <v>0</v>
      </c>
      <c r="P383">
        <v>0</v>
      </c>
      <c r="Q383">
        <v>0</v>
      </c>
      <c r="R383">
        <v>0</v>
      </c>
      <c r="S383">
        <v>0</v>
      </c>
      <c r="T383">
        <v>0</v>
      </c>
      <c r="U383">
        <v>0</v>
      </c>
      <c r="V383">
        <v>0</v>
      </c>
      <c r="W383">
        <v>4</v>
      </c>
      <c r="X383">
        <v>83</v>
      </c>
      <c r="Y383">
        <v>89</v>
      </c>
      <c r="Z383">
        <v>101</v>
      </c>
      <c r="AA383">
        <v>231</v>
      </c>
      <c r="AD383" t="s">
        <v>1118</v>
      </c>
      <c r="AE383" s="19">
        <v>706</v>
      </c>
      <c r="AF383">
        <v>2687</v>
      </c>
      <c r="AG383">
        <v>665</v>
      </c>
      <c r="AH383">
        <v>2636</v>
      </c>
    </row>
    <row r="384" spans="1:34" hidden="1">
      <c r="A384" s="39" t="s">
        <v>1421</v>
      </c>
      <c r="B384" s="39">
        <v>0</v>
      </c>
      <c r="C384" s="39">
        <v>0</v>
      </c>
      <c r="D384" s="39">
        <v>0</v>
      </c>
      <c r="E384" s="39">
        <v>0</v>
      </c>
      <c r="F384" s="39">
        <v>0</v>
      </c>
      <c r="G384" s="39">
        <v>0</v>
      </c>
      <c r="H384" s="39">
        <v>0</v>
      </c>
      <c r="I384" s="39">
        <v>729</v>
      </c>
      <c r="J384" s="39">
        <v>77</v>
      </c>
      <c r="K384">
        <v>36</v>
      </c>
      <c r="L384">
        <v>48</v>
      </c>
      <c r="M384">
        <v>9</v>
      </c>
      <c r="N384">
        <v>13</v>
      </c>
      <c r="O384">
        <v>0</v>
      </c>
      <c r="P384">
        <v>0</v>
      </c>
      <c r="Q384">
        <v>0</v>
      </c>
      <c r="R384">
        <v>0</v>
      </c>
      <c r="S384">
        <v>0</v>
      </c>
      <c r="T384">
        <v>0</v>
      </c>
      <c r="U384">
        <v>0</v>
      </c>
      <c r="V384">
        <v>0</v>
      </c>
      <c r="W384">
        <v>0</v>
      </c>
      <c r="X384">
        <v>0</v>
      </c>
      <c r="Y384">
        <v>0</v>
      </c>
      <c r="Z384">
        <v>0</v>
      </c>
      <c r="AA384">
        <v>0</v>
      </c>
      <c r="AD384" t="s">
        <v>1087</v>
      </c>
      <c r="AE384" s="19">
        <v>1460</v>
      </c>
      <c r="AF384">
        <v>5677</v>
      </c>
      <c r="AG384">
        <v>1391</v>
      </c>
      <c r="AH384">
        <v>5239</v>
      </c>
    </row>
    <row r="385" spans="1:34" hidden="1">
      <c r="A385" s="39" t="s">
        <v>1422</v>
      </c>
      <c r="B385" s="39">
        <v>0</v>
      </c>
      <c r="C385" s="39">
        <v>0</v>
      </c>
      <c r="D385" s="39">
        <v>0</v>
      </c>
      <c r="E385" s="39">
        <v>0</v>
      </c>
      <c r="F385" s="39">
        <v>0</v>
      </c>
      <c r="G385" s="39">
        <v>0</v>
      </c>
      <c r="H385" s="39">
        <v>0</v>
      </c>
      <c r="I385" s="39">
        <v>1351</v>
      </c>
      <c r="J385" s="39">
        <v>465</v>
      </c>
      <c r="K385">
        <v>306</v>
      </c>
      <c r="L385">
        <v>240</v>
      </c>
      <c r="M385">
        <v>151</v>
      </c>
      <c r="N385">
        <v>102</v>
      </c>
      <c r="O385">
        <v>0</v>
      </c>
      <c r="P385">
        <v>0</v>
      </c>
      <c r="Q385">
        <v>0</v>
      </c>
      <c r="R385">
        <v>0</v>
      </c>
      <c r="S385">
        <v>0</v>
      </c>
      <c r="T385">
        <v>0</v>
      </c>
      <c r="U385">
        <v>0</v>
      </c>
      <c r="V385">
        <v>0</v>
      </c>
      <c r="W385">
        <v>0</v>
      </c>
      <c r="X385">
        <v>0</v>
      </c>
      <c r="Y385">
        <v>0</v>
      </c>
      <c r="Z385">
        <v>0</v>
      </c>
      <c r="AA385">
        <v>0</v>
      </c>
      <c r="AD385" t="s">
        <v>1106</v>
      </c>
      <c r="AE385" s="19">
        <v>871</v>
      </c>
      <c r="AF385">
        <v>2362</v>
      </c>
      <c r="AG385">
        <v>856</v>
      </c>
      <c r="AH385">
        <v>2160</v>
      </c>
    </row>
    <row r="386" spans="1:34" hidden="1">
      <c r="A386" s="39" t="s">
        <v>1239</v>
      </c>
      <c r="B386" s="39">
        <v>0</v>
      </c>
      <c r="C386" s="39">
        <v>0</v>
      </c>
      <c r="D386" s="39">
        <v>0</v>
      </c>
      <c r="E386" s="39">
        <v>0</v>
      </c>
      <c r="F386" s="39">
        <v>0</v>
      </c>
      <c r="G386" s="39">
        <v>0</v>
      </c>
      <c r="H386" s="39">
        <v>0</v>
      </c>
      <c r="I386" s="39">
        <v>0</v>
      </c>
      <c r="J386" s="39">
        <v>0</v>
      </c>
      <c r="K386">
        <v>574</v>
      </c>
      <c r="L386">
        <v>1481</v>
      </c>
      <c r="M386">
        <v>1922</v>
      </c>
      <c r="N386">
        <v>2377</v>
      </c>
      <c r="O386">
        <v>0</v>
      </c>
      <c r="P386">
        <v>0</v>
      </c>
      <c r="Q386">
        <v>0</v>
      </c>
      <c r="R386">
        <v>0</v>
      </c>
      <c r="S386">
        <v>0</v>
      </c>
      <c r="T386">
        <v>0</v>
      </c>
      <c r="U386">
        <v>0</v>
      </c>
      <c r="V386">
        <v>0</v>
      </c>
      <c r="W386">
        <v>0</v>
      </c>
      <c r="X386">
        <v>4</v>
      </c>
      <c r="Y386">
        <v>102</v>
      </c>
      <c r="Z386">
        <v>153</v>
      </c>
      <c r="AA386">
        <v>215</v>
      </c>
      <c r="AD386" t="s">
        <v>1292</v>
      </c>
      <c r="AE386" s="19">
        <v>4871</v>
      </c>
      <c r="AF386">
        <v>10959</v>
      </c>
      <c r="AG386">
        <v>5077</v>
      </c>
      <c r="AH386">
        <v>10868</v>
      </c>
    </row>
    <row r="387" spans="1:34" hidden="1">
      <c r="A387" s="39" t="s">
        <v>1123</v>
      </c>
      <c r="B387" s="39">
        <v>0</v>
      </c>
      <c r="C387" s="39">
        <v>0</v>
      </c>
      <c r="D387" s="39">
        <v>0</v>
      </c>
      <c r="E387" s="39">
        <v>0</v>
      </c>
      <c r="F387" s="39">
        <v>0</v>
      </c>
      <c r="G387" s="39">
        <v>0</v>
      </c>
      <c r="H387" s="39">
        <v>0</v>
      </c>
      <c r="I387" s="39">
        <v>0</v>
      </c>
      <c r="J387" s="39">
        <v>0</v>
      </c>
      <c r="K387">
        <v>8</v>
      </c>
      <c r="L387">
        <v>98</v>
      </c>
      <c r="M387">
        <v>578</v>
      </c>
      <c r="N387">
        <v>559</v>
      </c>
      <c r="O387">
        <v>0</v>
      </c>
      <c r="P387">
        <v>0</v>
      </c>
      <c r="Q387">
        <v>0</v>
      </c>
      <c r="R387">
        <v>0</v>
      </c>
      <c r="S387">
        <v>0</v>
      </c>
      <c r="T387">
        <v>0</v>
      </c>
      <c r="U387">
        <v>0</v>
      </c>
      <c r="V387">
        <v>0</v>
      </c>
      <c r="W387">
        <v>0</v>
      </c>
      <c r="X387">
        <v>0</v>
      </c>
      <c r="Y387">
        <v>15</v>
      </c>
      <c r="Z387">
        <v>78</v>
      </c>
      <c r="AA387">
        <v>75</v>
      </c>
      <c r="AD387" t="s">
        <v>1037</v>
      </c>
      <c r="AE387" s="19">
        <v>10863</v>
      </c>
      <c r="AF387">
        <v>29065</v>
      </c>
      <c r="AG387">
        <v>10681</v>
      </c>
      <c r="AH387">
        <v>28479</v>
      </c>
    </row>
    <row r="388" spans="1:34" hidden="1">
      <c r="A388" s="39" t="s">
        <v>1070</v>
      </c>
      <c r="B388" s="39">
        <v>0</v>
      </c>
      <c r="C388" s="39">
        <v>0</v>
      </c>
      <c r="D388" s="39">
        <v>0</v>
      </c>
      <c r="E388" s="39">
        <v>0</v>
      </c>
      <c r="F388" s="39">
        <v>0</v>
      </c>
      <c r="G388" s="39">
        <v>0</v>
      </c>
      <c r="H388" s="39">
        <v>0</v>
      </c>
      <c r="I388" s="39">
        <v>0</v>
      </c>
      <c r="J388" s="39">
        <v>0</v>
      </c>
      <c r="K388">
        <v>30</v>
      </c>
      <c r="L388">
        <v>119</v>
      </c>
      <c r="M388">
        <v>327</v>
      </c>
      <c r="N388">
        <v>295</v>
      </c>
      <c r="O388">
        <v>0</v>
      </c>
      <c r="P388">
        <v>0</v>
      </c>
      <c r="Q388">
        <v>0</v>
      </c>
      <c r="R388">
        <v>0</v>
      </c>
      <c r="S388">
        <v>0</v>
      </c>
      <c r="T388">
        <v>0</v>
      </c>
      <c r="U388">
        <v>0</v>
      </c>
      <c r="V388">
        <v>0</v>
      </c>
      <c r="W388">
        <v>0</v>
      </c>
      <c r="X388">
        <v>0</v>
      </c>
      <c r="Y388">
        <v>15</v>
      </c>
      <c r="Z388">
        <v>43</v>
      </c>
      <c r="AA388">
        <v>53</v>
      </c>
      <c r="AD388" t="s">
        <v>1121</v>
      </c>
      <c r="AE388" s="19">
        <v>2105</v>
      </c>
      <c r="AF388">
        <v>8662</v>
      </c>
      <c r="AG388">
        <v>1579</v>
      </c>
      <c r="AH388">
        <v>7006</v>
      </c>
    </row>
    <row r="389" spans="1:34" hidden="1">
      <c r="A389" s="39" t="s">
        <v>1423</v>
      </c>
      <c r="B389" s="39">
        <v>0</v>
      </c>
      <c r="C389" s="39">
        <v>0</v>
      </c>
      <c r="D389" s="39">
        <v>0</v>
      </c>
      <c r="E389" s="39">
        <v>0</v>
      </c>
      <c r="F389" s="39">
        <v>0</v>
      </c>
      <c r="G389" s="39">
        <v>0</v>
      </c>
      <c r="H389" s="39">
        <v>0</v>
      </c>
      <c r="I389" s="39">
        <v>1661</v>
      </c>
      <c r="J389" s="39">
        <v>427</v>
      </c>
      <c r="K389">
        <v>205</v>
      </c>
      <c r="L389">
        <v>301</v>
      </c>
      <c r="M389">
        <v>64</v>
      </c>
      <c r="N389">
        <v>36</v>
      </c>
      <c r="O389">
        <v>0</v>
      </c>
      <c r="P389">
        <v>0</v>
      </c>
      <c r="Q389">
        <v>0</v>
      </c>
      <c r="R389">
        <v>0</v>
      </c>
      <c r="S389">
        <v>0</v>
      </c>
      <c r="T389">
        <v>0</v>
      </c>
      <c r="U389">
        <v>0</v>
      </c>
      <c r="V389">
        <v>0</v>
      </c>
      <c r="W389">
        <v>0</v>
      </c>
      <c r="X389">
        <v>0</v>
      </c>
      <c r="Y389">
        <v>0</v>
      </c>
      <c r="Z389">
        <v>0</v>
      </c>
      <c r="AA389">
        <v>0</v>
      </c>
      <c r="AD389" t="s">
        <v>1233</v>
      </c>
      <c r="AE389" s="19">
        <v>1161</v>
      </c>
      <c r="AF389">
        <v>2977</v>
      </c>
      <c r="AG389">
        <v>1190</v>
      </c>
      <c r="AH389">
        <v>3629</v>
      </c>
    </row>
    <row r="390" spans="1:34" hidden="1">
      <c r="A390" s="39" t="s">
        <v>1424</v>
      </c>
      <c r="B390" s="39">
        <v>0</v>
      </c>
      <c r="C390" s="39">
        <v>0</v>
      </c>
      <c r="D390" s="39">
        <v>0</v>
      </c>
      <c r="E390" s="39">
        <v>0</v>
      </c>
      <c r="F390" s="39">
        <v>0</v>
      </c>
      <c r="G390" s="39">
        <v>0</v>
      </c>
      <c r="H390" s="39">
        <v>0</v>
      </c>
      <c r="I390" s="39">
        <v>1163</v>
      </c>
      <c r="J390" s="39">
        <v>215</v>
      </c>
      <c r="K390">
        <v>165</v>
      </c>
      <c r="L390">
        <v>57</v>
      </c>
      <c r="M390">
        <v>28</v>
      </c>
      <c r="N390">
        <v>50</v>
      </c>
      <c r="O390">
        <v>0</v>
      </c>
      <c r="P390">
        <v>0</v>
      </c>
      <c r="Q390">
        <v>0</v>
      </c>
      <c r="R390">
        <v>0</v>
      </c>
      <c r="S390">
        <v>0</v>
      </c>
      <c r="T390">
        <v>0</v>
      </c>
      <c r="U390">
        <v>0</v>
      </c>
      <c r="V390">
        <v>0</v>
      </c>
      <c r="W390">
        <v>0</v>
      </c>
      <c r="X390">
        <v>0</v>
      </c>
      <c r="Y390">
        <v>0</v>
      </c>
      <c r="Z390">
        <v>0</v>
      </c>
      <c r="AA390">
        <v>0</v>
      </c>
      <c r="AD390" t="s">
        <v>1085</v>
      </c>
      <c r="AE390" s="19">
        <v>2704</v>
      </c>
      <c r="AF390">
        <v>8137</v>
      </c>
      <c r="AG390">
        <v>2967</v>
      </c>
      <c r="AH390">
        <v>8267</v>
      </c>
    </row>
    <row r="391" spans="1:34" hidden="1">
      <c r="A391" s="39" t="s">
        <v>908</v>
      </c>
      <c r="B391" s="39">
        <v>0</v>
      </c>
      <c r="C391" s="39">
        <v>0</v>
      </c>
      <c r="D391" s="39">
        <v>0</v>
      </c>
      <c r="E391" s="39">
        <v>0</v>
      </c>
      <c r="F391" s="39">
        <v>0</v>
      </c>
      <c r="G391" s="39">
        <v>0</v>
      </c>
      <c r="H391" s="39">
        <v>0</v>
      </c>
      <c r="I391" s="39">
        <v>0</v>
      </c>
      <c r="J391" s="39">
        <v>0</v>
      </c>
      <c r="K391">
        <v>866</v>
      </c>
      <c r="L391">
        <v>1026</v>
      </c>
      <c r="M391">
        <v>1378</v>
      </c>
      <c r="N391">
        <v>1195</v>
      </c>
      <c r="O391">
        <v>0</v>
      </c>
      <c r="P391">
        <v>0</v>
      </c>
      <c r="Q391">
        <v>0</v>
      </c>
      <c r="R391">
        <v>0</v>
      </c>
      <c r="S391">
        <v>0</v>
      </c>
      <c r="T391">
        <v>0</v>
      </c>
      <c r="U391">
        <v>0</v>
      </c>
      <c r="V391">
        <v>0</v>
      </c>
      <c r="W391">
        <v>0</v>
      </c>
      <c r="X391">
        <v>306</v>
      </c>
      <c r="Y391">
        <v>420</v>
      </c>
      <c r="Z391">
        <v>412</v>
      </c>
      <c r="AA391">
        <v>377</v>
      </c>
      <c r="AD391" t="s">
        <v>1155</v>
      </c>
      <c r="AE391" s="19">
        <v>1464</v>
      </c>
      <c r="AF391">
        <v>2994</v>
      </c>
      <c r="AG391">
        <v>1261</v>
      </c>
      <c r="AH391">
        <v>2301</v>
      </c>
    </row>
    <row r="392" spans="1:34" hidden="1">
      <c r="A392" s="39" t="s">
        <v>1425</v>
      </c>
      <c r="B392" s="39">
        <v>0</v>
      </c>
      <c r="C392" s="39">
        <v>0</v>
      </c>
      <c r="D392" s="39">
        <v>0</v>
      </c>
      <c r="E392" s="39">
        <v>0</v>
      </c>
      <c r="F392" s="39">
        <v>0</v>
      </c>
      <c r="G392" s="39">
        <v>0</v>
      </c>
      <c r="H392" s="39">
        <v>0</v>
      </c>
      <c r="I392" s="39">
        <v>327</v>
      </c>
      <c r="J392" s="39">
        <v>298</v>
      </c>
      <c r="K392">
        <v>313</v>
      </c>
      <c r="L392">
        <v>379</v>
      </c>
      <c r="M392">
        <v>113</v>
      </c>
      <c r="N392">
        <v>209</v>
      </c>
      <c r="O392">
        <v>0</v>
      </c>
      <c r="P392">
        <v>0</v>
      </c>
      <c r="Q392">
        <v>0</v>
      </c>
      <c r="R392">
        <v>0</v>
      </c>
      <c r="S392">
        <v>0</v>
      </c>
      <c r="T392">
        <v>0</v>
      </c>
      <c r="U392">
        <v>0</v>
      </c>
      <c r="V392">
        <v>0</v>
      </c>
      <c r="W392">
        <v>0</v>
      </c>
      <c r="X392">
        <v>0</v>
      </c>
      <c r="Y392">
        <v>0</v>
      </c>
      <c r="Z392">
        <v>0</v>
      </c>
      <c r="AA392">
        <v>0</v>
      </c>
      <c r="AD392" t="s">
        <v>1210</v>
      </c>
      <c r="AE392" s="19">
        <v>432</v>
      </c>
      <c r="AF392">
        <v>1316</v>
      </c>
      <c r="AG392">
        <v>298</v>
      </c>
      <c r="AH392">
        <v>986</v>
      </c>
    </row>
    <row r="393" spans="1:34" hidden="1">
      <c r="A393" s="39" t="s">
        <v>1426</v>
      </c>
      <c r="B393" s="39">
        <v>0</v>
      </c>
      <c r="C393" s="39">
        <v>0</v>
      </c>
      <c r="D393" s="39">
        <v>0</v>
      </c>
      <c r="E393" s="39">
        <v>0</v>
      </c>
      <c r="F393" s="39">
        <v>0</v>
      </c>
      <c r="G393" s="39">
        <v>0</v>
      </c>
      <c r="H393" s="39">
        <v>0</v>
      </c>
      <c r="I393" s="39">
        <v>184</v>
      </c>
      <c r="J393" s="39">
        <v>103</v>
      </c>
      <c r="K393">
        <v>76</v>
      </c>
      <c r="L393">
        <v>90</v>
      </c>
      <c r="M393">
        <v>44</v>
      </c>
      <c r="N393">
        <v>69</v>
      </c>
      <c r="O393">
        <v>0</v>
      </c>
      <c r="P393">
        <v>0</v>
      </c>
      <c r="Q393">
        <v>0</v>
      </c>
      <c r="R393">
        <v>0</v>
      </c>
      <c r="S393">
        <v>0</v>
      </c>
      <c r="T393">
        <v>0</v>
      </c>
      <c r="U393">
        <v>0</v>
      </c>
      <c r="V393">
        <v>0</v>
      </c>
      <c r="W393">
        <v>0</v>
      </c>
      <c r="X393">
        <v>0</v>
      </c>
      <c r="Y393">
        <v>0</v>
      </c>
      <c r="Z393">
        <v>0</v>
      </c>
      <c r="AA393">
        <v>0</v>
      </c>
      <c r="AD393" t="s">
        <v>1112</v>
      </c>
      <c r="AE393" s="19">
        <v>1424</v>
      </c>
      <c r="AF393">
        <v>4497</v>
      </c>
      <c r="AG393">
        <v>1548</v>
      </c>
      <c r="AH393">
        <v>4885</v>
      </c>
    </row>
    <row r="394" spans="1:34" hidden="1">
      <c r="A394" s="39" t="s">
        <v>1009</v>
      </c>
      <c r="B394" s="39">
        <v>0</v>
      </c>
      <c r="C394" s="39">
        <v>0</v>
      </c>
      <c r="D394" s="39">
        <v>0</v>
      </c>
      <c r="E394" s="39">
        <v>0</v>
      </c>
      <c r="F394" s="39">
        <v>0</v>
      </c>
      <c r="G394" s="39">
        <v>0</v>
      </c>
      <c r="H394" s="39">
        <v>0</v>
      </c>
      <c r="I394" s="39">
        <v>0</v>
      </c>
      <c r="J394" s="39">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1267</v>
      </c>
      <c r="AE394" s="19">
        <v>1014</v>
      </c>
      <c r="AF394">
        <v>3217</v>
      </c>
      <c r="AG394">
        <v>988</v>
      </c>
      <c r="AH394">
        <v>3110</v>
      </c>
    </row>
    <row r="395" spans="1:34" hidden="1">
      <c r="A395" s="39" t="s">
        <v>40</v>
      </c>
      <c r="B395" s="39">
        <v>0</v>
      </c>
      <c r="C395" s="39">
        <v>0</v>
      </c>
      <c r="D395" s="39">
        <v>0</v>
      </c>
      <c r="E395" s="39">
        <v>0</v>
      </c>
      <c r="F395" s="39">
        <v>0</v>
      </c>
      <c r="G395" s="39">
        <v>0</v>
      </c>
      <c r="H395" s="39">
        <v>0</v>
      </c>
      <c r="I395" s="39">
        <v>0</v>
      </c>
      <c r="J395" s="39">
        <v>0</v>
      </c>
      <c r="K395">
        <v>2</v>
      </c>
      <c r="L395">
        <v>1208</v>
      </c>
      <c r="M395">
        <v>2572</v>
      </c>
      <c r="N395">
        <v>2779</v>
      </c>
      <c r="O395">
        <v>0</v>
      </c>
      <c r="P395">
        <v>0</v>
      </c>
      <c r="Q395">
        <v>0</v>
      </c>
      <c r="R395">
        <v>0</v>
      </c>
      <c r="S395">
        <v>0</v>
      </c>
      <c r="T395">
        <v>0</v>
      </c>
      <c r="U395">
        <v>0</v>
      </c>
      <c r="V395">
        <v>0</v>
      </c>
      <c r="W395">
        <v>0</v>
      </c>
      <c r="X395">
        <v>0</v>
      </c>
      <c r="Y395">
        <v>488</v>
      </c>
      <c r="Z395">
        <v>684</v>
      </c>
      <c r="AA395">
        <v>463</v>
      </c>
      <c r="AD395" t="s">
        <v>1104</v>
      </c>
      <c r="AE395" s="19">
        <v>1525</v>
      </c>
      <c r="AF395">
        <v>6316</v>
      </c>
      <c r="AG395">
        <v>1476</v>
      </c>
      <c r="AH395">
        <v>5853</v>
      </c>
    </row>
    <row r="396" spans="1:34" hidden="1">
      <c r="A396" s="39" t="s">
        <v>1427</v>
      </c>
      <c r="B396" s="39">
        <v>0</v>
      </c>
      <c r="C396" s="39">
        <v>0</v>
      </c>
      <c r="D396" s="39">
        <v>0</v>
      </c>
      <c r="E396" s="39">
        <v>0</v>
      </c>
      <c r="F396" s="39">
        <v>0</v>
      </c>
      <c r="G396" s="39">
        <v>0</v>
      </c>
      <c r="H396" s="39">
        <v>0</v>
      </c>
      <c r="I396" s="39">
        <v>864</v>
      </c>
      <c r="J396" s="39">
        <v>253</v>
      </c>
      <c r="K396">
        <v>224</v>
      </c>
      <c r="L396">
        <v>389</v>
      </c>
      <c r="M396">
        <v>517</v>
      </c>
      <c r="N396">
        <v>415</v>
      </c>
      <c r="O396">
        <v>0</v>
      </c>
      <c r="P396">
        <v>0</v>
      </c>
      <c r="Q396">
        <v>0</v>
      </c>
      <c r="R396">
        <v>0</v>
      </c>
      <c r="S396">
        <v>0</v>
      </c>
      <c r="T396">
        <v>0</v>
      </c>
      <c r="U396">
        <v>0</v>
      </c>
      <c r="V396">
        <v>0</v>
      </c>
      <c r="W396">
        <v>0</v>
      </c>
      <c r="X396">
        <v>0</v>
      </c>
      <c r="Y396">
        <v>0</v>
      </c>
      <c r="Z396">
        <v>0</v>
      </c>
      <c r="AA396">
        <v>0</v>
      </c>
      <c r="AD396" t="s">
        <v>1060</v>
      </c>
      <c r="AE396" s="19">
        <v>816</v>
      </c>
      <c r="AF396">
        <v>2696</v>
      </c>
      <c r="AG396">
        <v>946</v>
      </c>
      <c r="AH396">
        <v>2666</v>
      </c>
    </row>
    <row r="397" spans="1:34" hidden="1">
      <c r="A397" s="39" t="s">
        <v>1428</v>
      </c>
      <c r="B397" s="39">
        <v>0</v>
      </c>
      <c r="C397" s="39">
        <v>0</v>
      </c>
      <c r="D397" s="39">
        <v>0</v>
      </c>
      <c r="E397" s="39">
        <v>0</v>
      </c>
      <c r="F397" s="39">
        <v>0</v>
      </c>
      <c r="G397" s="39">
        <v>0</v>
      </c>
      <c r="H397" s="39">
        <v>0</v>
      </c>
      <c r="I397" s="39">
        <v>1066</v>
      </c>
      <c r="J397" s="39">
        <v>373</v>
      </c>
      <c r="K397">
        <v>349</v>
      </c>
      <c r="L397">
        <v>534</v>
      </c>
      <c r="M397">
        <v>303</v>
      </c>
      <c r="N397">
        <v>554</v>
      </c>
      <c r="O397">
        <v>0</v>
      </c>
      <c r="P397">
        <v>0</v>
      </c>
      <c r="Q397">
        <v>0</v>
      </c>
      <c r="R397">
        <v>0</v>
      </c>
      <c r="S397">
        <v>0</v>
      </c>
      <c r="T397">
        <v>0</v>
      </c>
      <c r="U397">
        <v>0</v>
      </c>
      <c r="V397">
        <v>0</v>
      </c>
      <c r="W397">
        <v>0</v>
      </c>
      <c r="X397">
        <v>0</v>
      </c>
      <c r="Y397">
        <v>0</v>
      </c>
      <c r="Z397">
        <v>0</v>
      </c>
      <c r="AA397">
        <v>0</v>
      </c>
      <c r="AD397" t="s">
        <v>1100</v>
      </c>
      <c r="AE397" s="19">
        <v>1682</v>
      </c>
      <c r="AF397">
        <v>4809</v>
      </c>
      <c r="AG397">
        <v>1416</v>
      </c>
      <c r="AH397">
        <v>3743</v>
      </c>
    </row>
    <row r="398" spans="1:34" hidden="1">
      <c r="A398" s="39" t="s">
        <v>1429</v>
      </c>
      <c r="B398" s="39">
        <v>0</v>
      </c>
      <c r="C398" s="39">
        <v>0</v>
      </c>
      <c r="D398" s="39">
        <v>0</v>
      </c>
      <c r="E398" s="39">
        <v>0</v>
      </c>
      <c r="F398" s="39">
        <v>0</v>
      </c>
      <c r="G398" s="39">
        <v>0</v>
      </c>
      <c r="H398" s="39">
        <v>0</v>
      </c>
      <c r="I398" s="39">
        <v>113</v>
      </c>
      <c r="J398" s="39">
        <v>126</v>
      </c>
      <c r="K398">
        <v>150</v>
      </c>
      <c r="L398">
        <v>242</v>
      </c>
      <c r="M398">
        <v>129</v>
      </c>
      <c r="N398">
        <v>109</v>
      </c>
      <c r="O398">
        <v>0</v>
      </c>
      <c r="P398">
        <v>0</v>
      </c>
      <c r="Q398">
        <v>0</v>
      </c>
      <c r="R398">
        <v>0</v>
      </c>
      <c r="S398">
        <v>0</v>
      </c>
      <c r="T398">
        <v>0</v>
      </c>
      <c r="U398">
        <v>0</v>
      </c>
      <c r="V398">
        <v>0</v>
      </c>
      <c r="W398">
        <v>0</v>
      </c>
      <c r="X398">
        <v>0</v>
      </c>
      <c r="Y398">
        <v>0</v>
      </c>
      <c r="Z398">
        <v>0</v>
      </c>
      <c r="AA398">
        <v>0</v>
      </c>
      <c r="AD398" s="37" t="s">
        <v>1190</v>
      </c>
      <c r="AE398" s="129">
        <v>261</v>
      </c>
      <c r="AF398">
        <v>1911</v>
      </c>
      <c r="AG398">
        <v>298</v>
      </c>
      <c r="AH398">
        <v>2394</v>
      </c>
    </row>
    <row r="399" spans="1:34" hidden="1">
      <c r="A399" s="39" t="s">
        <v>1430</v>
      </c>
      <c r="B399" s="39">
        <v>0</v>
      </c>
      <c r="C399" s="39">
        <v>0</v>
      </c>
      <c r="D399" s="39">
        <v>0</v>
      </c>
      <c r="E399" s="39">
        <v>0</v>
      </c>
      <c r="F399" s="39">
        <v>0</v>
      </c>
      <c r="G399" s="39">
        <v>0</v>
      </c>
      <c r="H399" s="39">
        <v>0</v>
      </c>
      <c r="I399" s="39">
        <v>132</v>
      </c>
      <c r="J399" s="39">
        <v>167</v>
      </c>
      <c r="K399">
        <v>161</v>
      </c>
      <c r="L399">
        <v>147</v>
      </c>
      <c r="M399">
        <v>86</v>
      </c>
      <c r="N399">
        <v>80</v>
      </c>
      <c r="O399">
        <v>0</v>
      </c>
      <c r="P399">
        <v>0</v>
      </c>
      <c r="Q399">
        <v>0</v>
      </c>
      <c r="R399">
        <v>0</v>
      </c>
      <c r="S399">
        <v>0</v>
      </c>
      <c r="T399">
        <v>0</v>
      </c>
      <c r="U399">
        <v>0</v>
      </c>
      <c r="V399">
        <v>0</v>
      </c>
      <c r="W399">
        <v>0</v>
      </c>
      <c r="X399">
        <v>0</v>
      </c>
      <c r="Y399">
        <v>0</v>
      </c>
      <c r="Z399">
        <v>0</v>
      </c>
      <c r="AA399">
        <v>0</v>
      </c>
      <c r="AD399" t="s">
        <v>1274</v>
      </c>
      <c r="AE399" s="19">
        <v>1366</v>
      </c>
      <c r="AF399">
        <v>3989</v>
      </c>
      <c r="AG399">
        <v>1278</v>
      </c>
      <c r="AH399">
        <v>4055</v>
      </c>
    </row>
    <row r="400" spans="1:34" hidden="1">
      <c r="A400" s="39" t="s">
        <v>1431</v>
      </c>
      <c r="B400" s="39">
        <v>0</v>
      </c>
      <c r="C400" s="39">
        <v>0</v>
      </c>
      <c r="D400" s="39">
        <v>0</v>
      </c>
      <c r="E400" s="39">
        <v>0</v>
      </c>
      <c r="F400" s="39">
        <v>0</v>
      </c>
      <c r="G400" s="39">
        <v>0</v>
      </c>
      <c r="H400" s="39">
        <v>0</v>
      </c>
      <c r="I400" s="39">
        <v>23</v>
      </c>
      <c r="J400" s="39">
        <v>36</v>
      </c>
      <c r="K400">
        <v>45</v>
      </c>
      <c r="L400">
        <v>61</v>
      </c>
      <c r="M400">
        <v>8</v>
      </c>
      <c r="N400">
        <v>13</v>
      </c>
      <c r="O400">
        <v>0</v>
      </c>
      <c r="P400">
        <v>0</v>
      </c>
      <c r="Q400">
        <v>0</v>
      </c>
      <c r="R400">
        <v>0</v>
      </c>
      <c r="S400">
        <v>0</v>
      </c>
      <c r="T400">
        <v>0</v>
      </c>
      <c r="U400">
        <v>0</v>
      </c>
      <c r="V400">
        <v>0</v>
      </c>
      <c r="W400">
        <v>0</v>
      </c>
      <c r="X400">
        <v>0</v>
      </c>
      <c r="Y400">
        <v>0</v>
      </c>
      <c r="Z400">
        <v>0</v>
      </c>
      <c r="AA400">
        <v>0</v>
      </c>
      <c r="AD400" s="37" t="s">
        <v>1199</v>
      </c>
      <c r="AE400" s="129">
        <v>1601</v>
      </c>
      <c r="AF400">
        <v>6395</v>
      </c>
      <c r="AG400">
        <v>1173</v>
      </c>
      <c r="AH400">
        <v>10534</v>
      </c>
    </row>
    <row r="401" spans="1:34" hidden="1">
      <c r="A401" s="39" t="s">
        <v>1432</v>
      </c>
      <c r="B401" s="39">
        <v>0</v>
      </c>
      <c r="C401" s="39">
        <v>0</v>
      </c>
      <c r="D401" s="39">
        <v>0</v>
      </c>
      <c r="E401" s="39">
        <v>0</v>
      </c>
      <c r="F401" s="39">
        <v>0</v>
      </c>
      <c r="G401" s="39">
        <v>0</v>
      </c>
      <c r="H401" s="39">
        <v>0</v>
      </c>
      <c r="I401" s="39">
        <v>355</v>
      </c>
      <c r="J401" s="39">
        <v>161</v>
      </c>
      <c r="K401">
        <v>106</v>
      </c>
      <c r="L401">
        <v>130</v>
      </c>
      <c r="M401">
        <v>46</v>
      </c>
      <c r="N401">
        <v>19</v>
      </c>
      <c r="O401">
        <v>0</v>
      </c>
      <c r="P401">
        <v>0</v>
      </c>
      <c r="Q401">
        <v>0</v>
      </c>
      <c r="R401">
        <v>0</v>
      </c>
      <c r="S401">
        <v>0</v>
      </c>
      <c r="T401">
        <v>0</v>
      </c>
      <c r="U401">
        <v>0</v>
      </c>
      <c r="V401">
        <v>0</v>
      </c>
      <c r="W401">
        <v>0</v>
      </c>
      <c r="X401">
        <v>0</v>
      </c>
      <c r="Y401">
        <v>0</v>
      </c>
      <c r="Z401">
        <v>0</v>
      </c>
      <c r="AA401">
        <v>0</v>
      </c>
      <c r="AD401" t="s">
        <v>1040</v>
      </c>
      <c r="AE401" s="19">
        <v>7185</v>
      </c>
      <c r="AF401">
        <v>28733</v>
      </c>
      <c r="AG401">
        <v>7189</v>
      </c>
      <c r="AH401">
        <v>27435</v>
      </c>
    </row>
    <row r="402" spans="1:34" hidden="1">
      <c r="A402" s="39" t="s">
        <v>1433</v>
      </c>
      <c r="B402" s="39">
        <v>0</v>
      </c>
      <c r="C402" s="39">
        <v>0</v>
      </c>
      <c r="D402" s="39">
        <v>0</v>
      </c>
      <c r="E402" s="39">
        <v>0</v>
      </c>
      <c r="F402" s="39">
        <v>0</v>
      </c>
      <c r="G402" s="39">
        <v>0</v>
      </c>
      <c r="H402" s="39">
        <v>0</v>
      </c>
      <c r="I402" s="39">
        <v>23</v>
      </c>
      <c r="J402" s="39">
        <v>26</v>
      </c>
      <c r="K402">
        <v>35</v>
      </c>
      <c r="L402">
        <v>13</v>
      </c>
      <c r="M402">
        <v>19</v>
      </c>
      <c r="N402">
        <v>18</v>
      </c>
      <c r="O402">
        <v>0</v>
      </c>
      <c r="P402">
        <v>0</v>
      </c>
      <c r="Q402">
        <v>0</v>
      </c>
      <c r="R402">
        <v>0</v>
      </c>
      <c r="S402">
        <v>0</v>
      </c>
      <c r="T402">
        <v>0</v>
      </c>
      <c r="U402">
        <v>0</v>
      </c>
      <c r="V402">
        <v>0</v>
      </c>
      <c r="W402">
        <v>0</v>
      </c>
      <c r="X402">
        <v>0</v>
      </c>
      <c r="Y402">
        <v>0</v>
      </c>
      <c r="Z402">
        <v>0</v>
      </c>
      <c r="AA402">
        <v>0</v>
      </c>
      <c r="AD402" t="s">
        <v>1288</v>
      </c>
      <c r="AE402" s="19">
        <v>1016</v>
      </c>
      <c r="AF402">
        <v>3413</v>
      </c>
      <c r="AG402">
        <v>1066</v>
      </c>
      <c r="AH402">
        <v>3236</v>
      </c>
    </row>
    <row r="403" spans="1:34" hidden="1">
      <c r="A403" s="39" t="s">
        <v>1434</v>
      </c>
      <c r="B403" s="39">
        <v>0</v>
      </c>
      <c r="C403" s="39">
        <v>0</v>
      </c>
      <c r="D403" s="39">
        <v>0</v>
      </c>
      <c r="E403" s="39">
        <v>0</v>
      </c>
      <c r="F403" s="39">
        <v>0</v>
      </c>
      <c r="G403" s="39">
        <v>0</v>
      </c>
      <c r="H403" s="39">
        <v>0</v>
      </c>
      <c r="I403" s="39">
        <v>211</v>
      </c>
      <c r="J403" s="39">
        <v>98</v>
      </c>
      <c r="K403">
        <v>82</v>
      </c>
      <c r="L403">
        <v>85</v>
      </c>
      <c r="M403">
        <v>7</v>
      </c>
      <c r="N403">
        <v>10</v>
      </c>
      <c r="O403">
        <v>0</v>
      </c>
      <c r="P403">
        <v>0</v>
      </c>
      <c r="Q403">
        <v>0</v>
      </c>
      <c r="R403">
        <v>0</v>
      </c>
      <c r="S403">
        <v>0</v>
      </c>
      <c r="T403">
        <v>0</v>
      </c>
      <c r="U403">
        <v>0</v>
      </c>
      <c r="V403">
        <v>0</v>
      </c>
      <c r="W403">
        <v>0</v>
      </c>
      <c r="X403">
        <v>0</v>
      </c>
      <c r="Y403">
        <v>0</v>
      </c>
      <c r="Z403">
        <v>0</v>
      </c>
      <c r="AA403">
        <v>0</v>
      </c>
      <c r="AD403" t="s">
        <v>1159</v>
      </c>
      <c r="AE403" s="19">
        <v>1074</v>
      </c>
      <c r="AF403">
        <v>3459</v>
      </c>
      <c r="AG403">
        <v>952</v>
      </c>
      <c r="AH403">
        <v>3082</v>
      </c>
    </row>
    <row r="404" spans="1:34" hidden="1">
      <c r="A404" s="39" t="s">
        <v>1435</v>
      </c>
      <c r="B404" s="39">
        <v>0</v>
      </c>
      <c r="C404" s="39">
        <v>0</v>
      </c>
      <c r="D404" s="39">
        <v>0</v>
      </c>
      <c r="E404" s="39">
        <v>0</v>
      </c>
      <c r="F404" s="39">
        <v>0</v>
      </c>
      <c r="G404" s="39">
        <v>0</v>
      </c>
      <c r="H404" s="39">
        <v>0</v>
      </c>
      <c r="I404" s="39">
        <v>367</v>
      </c>
      <c r="J404" s="39">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39" t="s">
        <v>1436</v>
      </c>
      <c r="B405" s="39">
        <v>0</v>
      </c>
      <c r="C405" s="39">
        <v>0</v>
      </c>
      <c r="D405" s="39">
        <v>0</v>
      </c>
      <c r="E405" s="39">
        <v>0</v>
      </c>
      <c r="F405" s="39">
        <v>0</v>
      </c>
      <c r="G405" s="39">
        <v>0</v>
      </c>
      <c r="H405" s="39">
        <v>0</v>
      </c>
      <c r="I405" s="39">
        <v>68</v>
      </c>
      <c r="J405" s="39">
        <v>90</v>
      </c>
      <c r="K405">
        <v>50</v>
      </c>
      <c r="L405">
        <v>68</v>
      </c>
      <c r="M405">
        <v>13</v>
      </c>
      <c r="N405">
        <v>14</v>
      </c>
      <c r="O405">
        <v>0</v>
      </c>
      <c r="P405">
        <v>0</v>
      </c>
      <c r="Q405">
        <v>0</v>
      </c>
      <c r="R405">
        <v>0</v>
      </c>
      <c r="S405">
        <v>0</v>
      </c>
      <c r="T405">
        <v>0</v>
      </c>
      <c r="U405">
        <v>0</v>
      </c>
      <c r="V405">
        <v>0</v>
      </c>
      <c r="W405">
        <v>0</v>
      </c>
      <c r="X405">
        <v>0</v>
      </c>
      <c r="Y405">
        <v>0</v>
      </c>
      <c r="Z405">
        <v>0</v>
      </c>
      <c r="AA405">
        <v>0</v>
      </c>
      <c r="AD405" t="s">
        <v>1128</v>
      </c>
      <c r="AE405" s="19">
        <v>539</v>
      </c>
      <c r="AF405">
        <v>1920</v>
      </c>
      <c r="AG405">
        <v>460</v>
      </c>
      <c r="AH405">
        <v>1426</v>
      </c>
    </row>
    <row r="406" spans="1:34" hidden="1">
      <c r="A406" s="39" t="s">
        <v>1437</v>
      </c>
      <c r="B406" s="39">
        <v>0</v>
      </c>
      <c r="C406" s="39">
        <v>0</v>
      </c>
      <c r="D406" s="39">
        <v>0</v>
      </c>
      <c r="E406" s="39">
        <v>0</v>
      </c>
      <c r="F406" s="39">
        <v>0</v>
      </c>
      <c r="G406" s="39">
        <v>0</v>
      </c>
      <c r="H406" s="39">
        <v>0</v>
      </c>
      <c r="I406" s="39">
        <v>0</v>
      </c>
      <c r="J406" s="39">
        <v>156</v>
      </c>
      <c r="K406">
        <v>354</v>
      </c>
      <c r="L406">
        <v>834</v>
      </c>
      <c r="M406">
        <v>732</v>
      </c>
      <c r="N406">
        <v>654</v>
      </c>
      <c r="O406">
        <v>0</v>
      </c>
      <c r="P406">
        <v>0</v>
      </c>
      <c r="Q406">
        <v>0</v>
      </c>
      <c r="R406">
        <v>0</v>
      </c>
      <c r="S406">
        <v>0</v>
      </c>
      <c r="T406">
        <v>0</v>
      </c>
      <c r="U406">
        <v>0</v>
      </c>
      <c r="V406">
        <v>0</v>
      </c>
      <c r="W406">
        <v>34</v>
      </c>
      <c r="X406">
        <v>126</v>
      </c>
      <c r="Y406">
        <v>251</v>
      </c>
      <c r="Z406">
        <v>239</v>
      </c>
      <c r="AA406">
        <v>237</v>
      </c>
      <c r="AD406" t="s">
        <v>1110</v>
      </c>
      <c r="AE406" s="19">
        <v>1075</v>
      </c>
      <c r="AF406">
        <v>2871</v>
      </c>
      <c r="AG406">
        <v>1086</v>
      </c>
      <c r="AH406">
        <v>3252</v>
      </c>
    </row>
    <row r="407" spans="1:34" hidden="1">
      <c r="A407" s="39" t="s">
        <v>1438</v>
      </c>
      <c r="B407" s="39">
        <v>0</v>
      </c>
      <c r="C407" s="39">
        <v>0</v>
      </c>
      <c r="D407" s="39">
        <v>0</v>
      </c>
      <c r="E407" s="39">
        <v>0</v>
      </c>
      <c r="F407" s="39">
        <v>0</v>
      </c>
      <c r="G407" s="39">
        <v>0</v>
      </c>
      <c r="H407" s="39">
        <v>0</v>
      </c>
      <c r="I407" s="39">
        <v>0</v>
      </c>
      <c r="J407" s="39">
        <v>112</v>
      </c>
      <c r="K407">
        <v>104</v>
      </c>
      <c r="L407">
        <v>156</v>
      </c>
      <c r="M407">
        <v>112</v>
      </c>
      <c r="N407">
        <v>151</v>
      </c>
      <c r="O407">
        <v>0</v>
      </c>
      <c r="P407">
        <v>0</v>
      </c>
      <c r="Q407">
        <v>0</v>
      </c>
      <c r="R407">
        <v>0</v>
      </c>
      <c r="S407">
        <v>0</v>
      </c>
      <c r="T407">
        <v>0</v>
      </c>
      <c r="U407">
        <v>0</v>
      </c>
      <c r="V407">
        <v>0</v>
      </c>
      <c r="W407">
        <v>0</v>
      </c>
      <c r="X407">
        <v>0</v>
      </c>
      <c r="Y407">
        <v>0</v>
      </c>
      <c r="Z407">
        <v>0</v>
      </c>
      <c r="AA407">
        <v>0</v>
      </c>
      <c r="AD407" t="s">
        <v>1229</v>
      </c>
      <c r="AE407" s="19">
        <v>1470</v>
      </c>
      <c r="AF407">
        <v>2142</v>
      </c>
      <c r="AG407">
        <v>1327</v>
      </c>
      <c r="AH407">
        <v>1702</v>
      </c>
    </row>
    <row r="408" spans="1:34" hidden="1">
      <c r="A408" s="39" t="s">
        <v>1439</v>
      </c>
      <c r="B408" s="39">
        <v>0</v>
      </c>
      <c r="C408" s="39">
        <v>0</v>
      </c>
      <c r="D408" s="39">
        <v>0</v>
      </c>
      <c r="E408" s="39">
        <v>0</v>
      </c>
      <c r="F408" s="39">
        <v>0</v>
      </c>
      <c r="G408" s="39">
        <v>0</v>
      </c>
      <c r="H408" s="39">
        <v>0</v>
      </c>
      <c r="I408" s="39">
        <v>0</v>
      </c>
      <c r="J408" s="39">
        <v>104</v>
      </c>
      <c r="K408">
        <v>59</v>
      </c>
      <c r="L408">
        <v>26</v>
      </c>
      <c r="M408">
        <v>27</v>
      </c>
      <c r="N408">
        <v>23</v>
      </c>
      <c r="O408">
        <v>0</v>
      </c>
      <c r="P408">
        <v>0</v>
      </c>
      <c r="Q408">
        <v>0</v>
      </c>
      <c r="R408">
        <v>0</v>
      </c>
      <c r="S408">
        <v>0</v>
      </c>
      <c r="T408">
        <v>0</v>
      </c>
      <c r="U408">
        <v>0</v>
      </c>
      <c r="V408">
        <v>0</v>
      </c>
      <c r="W408">
        <v>0</v>
      </c>
      <c r="X408">
        <v>0</v>
      </c>
      <c r="Y408">
        <v>0</v>
      </c>
      <c r="Z408">
        <v>0</v>
      </c>
      <c r="AA408">
        <v>0</v>
      </c>
      <c r="AD408" t="s">
        <v>1259</v>
      </c>
      <c r="AE408" s="19">
        <v>1676</v>
      </c>
      <c r="AF408">
        <v>4615</v>
      </c>
      <c r="AG408">
        <v>1635</v>
      </c>
      <c r="AH408">
        <v>4368</v>
      </c>
    </row>
    <row r="409" spans="1:34" hidden="1">
      <c r="A409" s="39" t="s">
        <v>1440</v>
      </c>
      <c r="B409" s="39">
        <v>0</v>
      </c>
      <c r="C409" s="39">
        <v>0</v>
      </c>
      <c r="D409" s="39">
        <v>0</v>
      </c>
      <c r="E409" s="39">
        <v>0</v>
      </c>
      <c r="F409" s="39">
        <v>0</v>
      </c>
      <c r="G409" s="39">
        <v>0</v>
      </c>
      <c r="H409" s="39">
        <v>0</v>
      </c>
      <c r="I409" s="39">
        <v>0</v>
      </c>
      <c r="J409" s="39">
        <v>59</v>
      </c>
      <c r="K409">
        <v>43</v>
      </c>
      <c r="L409">
        <v>94</v>
      </c>
      <c r="M409">
        <v>142</v>
      </c>
      <c r="N409">
        <v>122</v>
      </c>
      <c r="O409">
        <v>0</v>
      </c>
      <c r="P409">
        <v>0</v>
      </c>
      <c r="Q409">
        <v>0</v>
      </c>
      <c r="R409">
        <v>0</v>
      </c>
      <c r="S409">
        <v>0</v>
      </c>
      <c r="T409">
        <v>0</v>
      </c>
      <c r="U409">
        <v>0</v>
      </c>
      <c r="V409">
        <v>0</v>
      </c>
      <c r="W409">
        <v>0</v>
      </c>
      <c r="X409">
        <v>0</v>
      </c>
      <c r="Y409">
        <v>0</v>
      </c>
      <c r="Z409">
        <v>0</v>
      </c>
      <c r="AA409">
        <v>0</v>
      </c>
      <c r="AD409" t="s">
        <v>1146</v>
      </c>
      <c r="AE409" s="19">
        <v>556</v>
      </c>
      <c r="AF409">
        <v>1914</v>
      </c>
      <c r="AG409">
        <v>86</v>
      </c>
      <c r="AH409">
        <v>233</v>
      </c>
    </row>
    <row r="410" spans="1:34" hidden="1">
      <c r="A410" s="39" t="s">
        <v>1441</v>
      </c>
      <c r="B410" s="39">
        <v>0</v>
      </c>
      <c r="C410" s="39">
        <v>0</v>
      </c>
      <c r="D410" s="39">
        <v>0</v>
      </c>
      <c r="E410" s="39">
        <v>0</v>
      </c>
      <c r="F410" s="39">
        <v>0</v>
      </c>
      <c r="G410" s="39">
        <v>0</v>
      </c>
      <c r="H410" s="39">
        <v>0</v>
      </c>
      <c r="I410" s="39">
        <v>0</v>
      </c>
      <c r="J410" s="39">
        <v>99</v>
      </c>
      <c r="K410">
        <v>45</v>
      </c>
      <c r="L410">
        <v>20</v>
      </c>
      <c r="M410">
        <v>5</v>
      </c>
      <c r="N410">
        <v>7</v>
      </c>
      <c r="O410">
        <v>0</v>
      </c>
      <c r="P410">
        <v>0</v>
      </c>
      <c r="Q410">
        <v>0</v>
      </c>
      <c r="R410">
        <v>0</v>
      </c>
      <c r="S410">
        <v>0</v>
      </c>
      <c r="T410">
        <v>0</v>
      </c>
      <c r="U410">
        <v>0</v>
      </c>
      <c r="V410">
        <v>0</v>
      </c>
      <c r="W410">
        <v>0</v>
      </c>
      <c r="X410">
        <v>0</v>
      </c>
      <c r="Y410">
        <v>0</v>
      </c>
      <c r="Z410">
        <v>0</v>
      </c>
      <c r="AA410">
        <v>0</v>
      </c>
      <c r="AD410" t="s">
        <v>1203</v>
      </c>
      <c r="AE410" s="19">
        <v>1179</v>
      </c>
      <c r="AF410">
        <v>3377</v>
      </c>
      <c r="AG410">
        <v>1063</v>
      </c>
      <c r="AH410">
        <v>3009</v>
      </c>
    </row>
    <row r="411" spans="1:34" hidden="1">
      <c r="A411" s="39" t="s">
        <v>1442</v>
      </c>
      <c r="B411" s="39">
        <v>0</v>
      </c>
      <c r="C411" s="39">
        <v>0</v>
      </c>
      <c r="D411" s="39">
        <v>0</v>
      </c>
      <c r="E411" s="39">
        <v>0</v>
      </c>
      <c r="F411" s="39">
        <v>0</v>
      </c>
      <c r="G411" s="39">
        <v>0</v>
      </c>
      <c r="H411" s="39">
        <v>0</v>
      </c>
      <c r="I411" s="39">
        <v>0</v>
      </c>
      <c r="J411" s="39">
        <v>41</v>
      </c>
      <c r="K411">
        <v>37</v>
      </c>
      <c r="L411">
        <v>50</v>
      </c>
      <c r="M411">
        <v>32</v>
      </c>
      <c r="N411">
        <v>15</v>
      </c>
      <c r="O411">
        <v>0</v>
      </c>
      <c r="P411">
        <v>0</v>
      </c>
      <c r="Q411">
        <v>0</v>
      </c>
      <c r="R411">
        <v>0</v>
      </c>
      <c r="S411">
        <v>0</v>
      </c>
      <c r="T411">
        <v>0</v>
      </c>
      <c r="U411">
        <v>0</v>
      </c>
      <c r="V411">
        <v>0</v>
      </c>
      <c r="W411">
        <v>0</v>
      </c>
      <c r="X411">
        <v>0</v>
      </c>
      <c r="Y411">
        <v>0</v>
      </c>
      <c r="Z411">
        <v>0</v>
      </c>
      <c r="AA411">
        <v>0</v>
      </c>
      <c r="AD411" t="s">
        <v>1237</v>
      </c>
      <c r="AE411" s="19">
        <v>1553</v>
      </c>
      <c r="AF411">
        <v>1555</v>
      </c>
      <c r="AG411">
        <v>60</v>
      </c>
      <c r="AH411">
        <v>2978</v>
      </c>
    </row>
    <row r="412" spans="1:34" hidden="1">
      <c r="A412" s="39" t="s">
        <v>1443</v>
      </c>
      <c r="B412" s="39">
        <v>0</v>
      </c>
      <c r="C412" s="39">
        <v>0</v>
      </c>
      <c r="D412" s="39">
        <v>0</v>
      </c>
      <c r="E412" s="39">
        <v>0</v>
      </c>
      <c r="F412" s="39">
        <v>0</v>
      </c>
      <c r="G412" s="39">
        <v>0</v>
      </c>
      <c r="H412" s="39">
        <v>0</v>
      </c>
      <c r="I412" s="39">
        <v>0</v>
      </c>
      <c r="J412" s="39">
        <v>20</v>
      </c>
      <c r="K412">
        <v>30</v>
      </c>
      <c r="L412">
        <v>17</v>
      </c>
      <c r="M412">
        <v>14</v>
      </c>
      <c r="N412">
        <v>13</v>
      </c>
      <c r="O412">
        <v>0</v>
      </c>
      <c r="P412">
        <v>0</v>
      </c>
      <c r="Q412">
        <v>0</v>
      </c>
      <c r="R412">
        <v>0</v>
      </c>
      <c r="S412">
        <v>0</v>
      </c>
      <c r="T412">
        <v>0</v>
      </c>
      <c r="U412">
        <v>0</v>
      </c>
      <c r="V412">
        <v>0</v>
      </c>
      <c r="W412">
        <v>0</v>
      </c>
      <c r="X412">
        <v>0</v>
      </c>
      <c r="Y412">
        <v>0</v>
      </c>
      <c r="Z412">
        <v>0</v>
      </c>
      <c r="AA412">
        <v>0</v>
      </c>
      <c r="AD412" t="s">
        <v>1197</v>
      </c>
      <c r="AE412" s="19">
        <v>1400</v>
      </c>
      <c r="AF412">
        <v>2776</v>
      </c>
      <c r="AG412">
        <v>1368</v>
      </c>
      <c r="AH412">
        <v>2916</v>
      </c>
    </row>
    <row r="413" spans="1:34" hidden="1">
      <c r="A413" s="39" t="s">
        <v>1444</v>
      </c>
      <c r="B413" s="39">
        <v>0</v>
      </c>
      <c r="C413" s="39">
        <v>0</v>
      </c>
      <c r="D413" s="39">
        <v>0</v>
      </c>
      <c r="E413" s="39">
        <v>0</v>
      </c>
      <c r="F413" s="39">
        <v>0</v>
      </c>
      <c r="G413" s="39">
        <v>0</v>
      </c>
      <c r="H413" s="39">
        <v>0</v>
      </c>
      <c r="I413" s="39">
        <v>0</v>
      </c>
      <c r="J413" s="39">
        <v>109</v>
      </c>
      <c r="K413">
        <v>153</v>
      </c>
      <c r="L413">
        <v>130</v>
      </c>
      <c r="M413">
        <v>43</v>
      </c>
      <c r="N413">
        <v>42</v>
      </c>
      <c r="O413">
        <v>0</v>
      </c>
      <c r="P413">
        <v>0</v>
      </c>
      <c r="Q413">
        <v>0</v>
      </c>
      <c r="R413">
        <v>0</v>
      </c>
      <c r="S413">
        <v>0</v>
      </c>
      <c r="T413">
        <v>0</v>
      </c>
      <c r="U413">
        <v>0</v>
      </c>
      <c r="V413">
        <v>0</v>
      </c>
      <c r="W413">
        <v>0</v>
      </c>
      <c r="X413">
        <v>0</v>
      </c>
      <c r="Y413">
        <v>0</v>
      </c>
      <c r="Z413">
        <v>0</v>
      </c>
      <c r="AA413">
        <v>0</v>
      </c>
      <c r="AD413" t="s">
        <v>1051</v>
      </c>
      <c r="AE413" s="19">
        <v>1462</v>
      </c>
      <c r="AF413">
        <v>2606</v>
      </c>
      <c r="AG413">
        <v>1404</v>
      </c>
      <c r="AH413">
        <v>2549</v>
      </c>
    </row>
    <row r="414" spans="1:34" hidden="1">
      <c r="A414" s="39" t="s">
        <v>1445</v>
      </c>
      <c r="B414" s="39">
        <v>0</v>
      </c>
      <c r="C414" s="39">
        <v>0</v>
      </c>
      <c r="D414" s="39">
        <v>0</v>
      </c>
      <c r="E414" s="39">
        <v>0</v>
      </c>
      <c r="F414" s="39">
        <v>0</v>
      </c>
      <c r="G414" s="39">
        <v>0</v>
      </c>
      <c r="H414" s="39">
        <v>0</v>
      </c>
      <c r="I414" s="39">
        <v>0</v>
      </c>
      <c r="J414" s="39">
        <v>0</v>
      </c>
      <c r="K414">
        <v>18</v>
      </c>
      <c r="L414">
        <v>54</v>
      </c>
      <c r="M414">
        <v>9</v>
      </c>
      <c r="N414">
        <v>9</v>
      </c>
      <c r="O414">
        <v>0</v>
      </c>
      <c r="P414">
        <v>0</v>
      </c>
      <c r="Q414">
        <v>0</v>
      </c>
      <c r="R414">
        <v>0</v>
      </c>
      <c r="S414">
        <v>0</v>
      </c>
      <c r="T414">
        <v>0</v>
      </c>
      <c r="U414">
        <v>0</v>
      </c>
      <c r="V414">
        <v>0</v>
      </c>
      <c r="W414">
        <v>0</v>
      </c>
      <c r="X414">
        <v>0</v>
      </c>
      <c r="Y414">
        <v>0</v>
      </c>
      <c r="Z414">
        <v>0</v>
      </c>
      <c r="AA414">
        <v>0</v>
      </c>
      <c r="AD414" t="s">
        <v>1047</v>
      </c>
      <c r="AE414" s="19">
        <v>7031</v>
      </c>
      <c r="AF414">
        <v>26136</v>
      </c>
      <c r="AG414">
        <v>6489</v>
      </c>
      <c r="AH414">
        <v>24125</v>
      </c>
    </row>
    <row r="415" spans="1:34" hidden="1">
      <c r="A415" s="39" t="s">
        <v>1446</v>
      </c>
      <c r="B415" s="39">
        <v>0</v>
      </c>
      <c r="C415" s="39">
        <v>0</v>
      </c>
      <c r="D415" s="39">
        <v>0</v>
      </c>
      <c r="E415" s="39">
        <v>0</v>
      </c>
      <c r="F415" s="39">
        <v>0</v>
      </c>
      <c r="G415" s="39">
        <v>0</v>
      </c>
      <c r="H415" s="39">
        <v>0</v>
      </c>
      <c r="I415" s="39">
        <v>0</v>
      </c>
      <c r="J415" s="39">
        <v>0</v>
      </c>
      <c r="K415">
        <v>7</v>
      </c>
      <c r="L415">
        <v>23</v>
      </c>
      <c r="M415">
        <v>12</v>
      </c>
      <c r="N415">
        <v>22</v>
      </c>
      <c r="O415">
        <v>0</v>
      </c>
      <c r="P415">
        <v>0</v>
      </c>
      <c r="Q415">
        <v>0</v>
      </c>
      <c r="R415">
        <v>0</v>
      </c>
      <c r="S415">
        <v>0</v>
      </c>
      <c r="T415">
        <v>0</v>
      </c>
      <c r="U415">
        <v>0</v>
      </c>
      <c r="V415">
        <v>0</v>
      </c>
      <c r="W415">
        <v>0</v>
      </c>
      <c r="X415">
        <v>0</v>
      </c>
      <c r="Y415">
        <v>0</v>
      </c>
      <c r="Z415">
        <v>0</v>
      </c>
      <c r="AA415">
        <v>0</v>
      </c>
      <c r="AD415" t="s">
        <v>1227</v>
      </c>
      <c r="AE415" s="19">
        <v>1743</v>
      </c>
      <c r="AF415">
        <v>6270</v>
      </c>
      <c r="AG415">
        <v>1658</v>
      </c>
      <c r="AH415">
        <v>5768</v>
      </c>
    </row>
    <row r="416" spans="1:34" hidden="1">
      <c r="A416" s="39" t="s">
        <v>1447</v>
      </c>
      <c r="B416" s="39">
        <v>0</v>
      </c>
      <c r="C416" s="39">
        <v>0</v>
      </c>
      <c r="D416" s="39">
        <v>0</v>
      </c>
      <c r="E416" s="39">
        <v>0</v>
      </c>
      <c r="F416" s="39">
        <v>0</v>
      </c>
      <c r="G416" s="39">
        <v>0</v>
      </c>
      <c r="H416" s="39">
        <v>0</v>
      </c>
      <c r="I416" s="39">
        <v>0</v>
      </c>
      <c r="J416" s="39">
        <v>83</v>
      </c>
      <c r="K416">
        <v>80</v>
      </c>
      <c r="L416">
        <v>111</v>
      </c>
      <c r="M416">
        <v>53</v>
      </c>
      <c r="N416">
        <v>51</v>
      </c>
      <c r="O416">
        <v>0</v>
      </c>
      <c r="P416">
        <v>0</v>
      </c>
      <c r="Q416">
        <v>0</v>
      </c>
      <c r="R416">
        <v>0</v>
      </c>
      <c r="S416">
        <v>0</v>
      </c>
      <c r="T416">
        <v>0</v>
      </c>
      <c r="U416">
        <v>0</v>
      </c>
      <c r="V416">
        <v>0</v>
      </c>
      <c r="W416">
        <v>0</v>
      </c>
      <c r="X416">
        <v>0</v>
      </c>
      <c r="Y416">
        <v>0</v>
      </c>
      <c r="Z416">
        <v>0</v>
      </c>
      <c r="AA416">
        <v>0</v>
      </c>
      <c r="AD416" t="s">
        <v>1130</v>
      </c>
      <c r="AE416" s="19">
        <v>1235</v>
      </c>
      <c r="AF416">
        <v>3687</v>
      </c>
      <c r="AG416">
        <v>1056</v>
      </c>
      <c r="AH416">
        <v>3284</v>
      </c>
    </row>
    <row r="417" spans="1:34" hidden="1">
      <c r="A417" s="39" t="s">
        <v>1448</v>
      </c>
      <c r="B417" s="39">
        <v>0</v>
      </c>
      <c r="C417" s="39">
        <v>0</v>
      </c>
      <c r="D417" s="39">
        <v>0</v>
      </c>
      <c r="E417" s="39">
        <v>0</v>
      </c>
      <c r="F417" s="39">
        <v>0</v>
      </c>
      <c r="G417" s="39">
        <v>0</v>
      </c>
      <c r="H417" s="39">
        <v>0</v>
      </c>
      <c r="I417" s="39">
        <v>0</v>
      </c>
      <c r="J417" s="39">
        <v>226</v>
      </c>
      <c r="K417">
        <v>171</v>
      </c>
      <c r="L417">
        <v>164</v>
      </c>
      <c r="M417">
        <v>93</v>
      </c>
      <c r="N417">
        <v>79</v>
      </c>
      <c r="O417">
        <v>0</v>
      </c>
      <c r="P417">
        <v>0</v>
      </c>
      <c r="Q417">
        <v>0</v>
      </c>
      <c r="R417">
        <v>0</v>
      </c>
      <c r="S417">
        <v>0</v>
      </c>
      <c r="T417">
        <v>0</v>
      </c>
      <c r="U417">
        <v>0</v>
      </c>
      <c r="V417">
        <v>0</v>
      </c>
      <c r="W417">
        <v>0</v>
      </c>
      <c r="X417">
        <v>0</v>
      </c>
      <c r="Y417">
        <v>0</v>
      </c>
      <c r="Z417">
        <v>0</v>
      </c>
      <c r="AA417">
        <v>0</v>
      </c>
      <c r="AD417" t="s">
        <v>1411</v>
      </c>
      <c r="AE417" s="19">
        <v>1</v>
      </c>
      <c r="AF417">
        <v>0</v>
      </c>
    </row>
    <row r="418" spans="1:34" hidden="1">
      <c r="A418" s="39" t="s">
        <v>1449</v>
      </c>
      <c r="B418" s="39">
        <v>0</v>
      </c>
      <c r="C418" s="39">
        <v>0</v>
      </c>
      <c r="D418" s="39">
        <v>0</v>
      </c>
      <c r="E418" s="39">
        <v>0</v>
      </c>
      <c r="F418" s="39">
        <v>0</v>
      </c>
      <c r="G418" s="39">
        <v>0</v>
      </c>
      <c r="H418" s="39">
        <v>0</v>
      </c>
      <c r="I418" s="39">
        <v>0</v>
      </c>
      <c r="J418" s="39">
        <v>196</v>
      </c>
      <c r="K418">
        <v>206</v>
      </c>
      <c r="L418">
        <v>200</v>
      </c>
      <c r="M418">
        <v>150</v>
      </c>
      <c r="N418">
        <v>93</v>
      </c>
      <c r="O418">
        <v>0</v>
      </c>
      <c r="P418">
        <v>0</v>
      </c>
      <c r="Q418">
        <v>0</v>
      </c>
      <c r="R418">
        <v>0</v>
      </c>
      <c r="S418">
        <v>0</v>
      </c>
      <c r="T418">
        <v>0</v>
      </c>
      <c r="U418">
        <v>0</v>
      </c>
      <c r="V418">
        <v>0</v>
      </c>
      <c r="W418">
        <v>0</v>
      </c>
      <c r="X418">
        <v>0</v>
      </c>
      <c r="Y418">
        <v>0</v>
      </c>
      <c r="Z418">
        <v>0</v>
      </c>
      <c r="AA418">
        <v>0</v>
      </c>
      <c r="AD418" t="s">
        <v>1091</v>
      </c>
      <c r="AE418" s="19">
        <v>1060</v>
      </c>
      <c r="AF418">
        <v>2714</v>
      </c>
      <c r="AG418">
        <v>1016</v>
      </c>
      <c r="AH418">
        <v>2615</v>
      </c>
    </row>
    <row r="419" spans="1:34" hidden="1">
      <c r="A419" s="39" t="s">
        <v>1450</v>
      </c>
      <c r="B419" s="39">
        <v>0</v>
      </c>
      <c r="C419" s="39">
        <v>0</v>
      </c>
      <c r="D419" s="39">
        <v>0</v>
      </c>
      <c r="E419" s="39">
        <v>0</v>
      </c>
      <c r="F419" s="39">
        <v>0</v>
      </c>
      <c r="G419" s="39">
        <v>0</v>
      </c>
      <c r="H419" s="39">
        <v>0</v>
      </c>
      <c r="I419" s="39">
        <v>0</v>
      </c>
      <c r="J419" s="39">
        <v>160</v>
      </c>
      <c r="K419">
        <v>212</v>
      </c>
      <c r="L419">
        <v>442</v>
      </c>
      <c r="M419">
        <v>140</v>
      </c>
      <c r="N419">
        <v>289</v>
      </c>
      <c r="O419">
        <v>0</v>
      </c>
      <c r="P419">
        <v>0</v>
      </c>
      <c r="Q419">
        <v>0</v>
      </c>
      <c r="R419">
        <v>0</v>
      </c>
      <c r="S419">
        <v>0</v>
      </c>
      <c r="T419">
        <v>0</v>
      </c>
      <c r="U419">
        <v>0</v>
      </c>
      <c r="V419">
        <v>0</v>
      </c>
      <c r="W419">
        <v>0</v>
      </c>
      <c r="X419">
        <v>0</v>
      </c>
      <c r="Y419">
        <v>0</v>
      </c>
      <c r="Z419">
        <v>0</v>
      </c>
      <c r="AA419">
        <v>0</v>
      </c>
      <c r="AD419" t="s">
        <v>1072</v>
      </c>
      <c r="AE419" s="19">
        <v>810</v>
      </c>
      <c r="AF419">
        <v>2057</v>
      </c>
      <c r="AG419">
        <v>781</v>
      </c>
      <c r="AH419">
        <v>2165</v>
      </c>
    </row>
    <row r="420" spans="1:34" hidden="1">
      <c r="A420" s="39" t="s">
        <v>1451</v>
      </c>
      <c r="B420" s="39">
        <v>0</v>
      </c>
      <c r="C420" s="39">
        <v>0</v>
      </c>
      <c r="D420" s="39">
        <v>0</v>
      </c>
      <c r="E420" s="39">
        <v>0</v>
      </c>
      <c r="F420" s="39">
        <v>0</v>
      </c>
      <c r="G420" s="39">
        <v>0</v>
      </c>
      <c r="H420" s="39">
        <v>0</v>
      </c>
      <c r="I420" s="39">
        <v>0</v>
      </c>
      <c r="J420" s="39">
        <v>56</v>
      </c>
      <c r="K420">
        <v>116</v>
      </c>
      <c r="L420">
        <v>143</v>
      </c>
      <c r="M420">
        <v>79</v>
      </c>
      <c r="N420">
        <v>74</v>
      </c>
      <c r="O420">
        <v>0</v>
      </c>
      <c r="P420">
        <v>0</v>
      </c>
      <c r="Q420">
        <v>0</v>
      </c>
      <c r="R420">
        <v>0</v>
      </c>
      <c r="S420">
        <v>0</v>
      </c>
      <c r="T420">
        <v>0</v>
      </c>
      <c r="U420">
        <v>0</v>
      </c>
      <c r="V420">
        <v>0</v>
      </c>
      <c r="W420">
        <v>0</v>
      </c>
      <c r="X420">
        <v>0</v>
      </c>
      <c r="Y420">
        <v>0</v>
      </c>
      <c r="Z420">
        <v>0</v>
      </c>
      <c r="AA420">
        <v>0</v>
      </c>
      <c r="AD420" t="s">
        <v>1093</v>
      </c>
      <c r="AE420" s="19">
        <v>1161</v>
      </c>
      <c r="AF420">
        <v>3943</v>
      </c>
      <c r="AG420">
        <v>1200</v>
      </c>
      <c r="AH420">
        <v>4438</v>
      </c>
    </row>
    <row r="421" spans="1:34" hidden="1">
      <c r="A421" s="39" t="s">
        <v>1452</v>
      </c>
      <c r="B421" s="39">
        <v>0</v>
      </c>
      <c r="C421" s="39">
        <v>0</v>
      </c>
      <c r="D421" s="39">
        <v>0</v>
      </c>
      <c r="E421" s="39">
        <v>0</v>
      </c>
      <c r="F421" s="39">
        <v>0</v>
      </c>
      <c r="G421" s="39">
        <v>0</v>
      </c>
      <c r="H421" s="39">
        <v>0</v>
      </c>
      <c r="I421" s="39">
        <v>0</v>
      </c>
      <c r="J421" s="39">
        <v>0</v>
      </c>
      <c r="K421">
        <v>126</v>
      </c>
      <c r="L421">
        <v>181</v>
      </c>
      <c r="M421">
        <v>145</v>
      </c>
      <c r="N421">
        <v>91</v>
      </c>
      <c r="O421">
        <v>0</v>
      </c>
      <c r="P421">
        <v>0</v>
      </c>
      <c r="Q421">
        <v>0</v>
      </c>
      <c r="R421">
        <v>0</v>
      </c>
      <c r="S421">
        <v>0</v>
      </c>
      <c r="T421">
        <v>0</v>
      </c>
      <c r="U421">
        <v>0</v>
      </c>
      <c r="V421">
        <v>0</v>
      </c>
      <c r="W421">
        <v>0</v>
      </c>
      <c r="X421">
        <v>0</v>
      </c>
      <c r="Y421">
        <v>0</v>
      </c>
      <c r="Z421">
        <v>0</v>
      </c>
      <c r="AA421">
        <v>0</v>
      </c>
      <c r="AD421" t="s">
        <v>1058</v>
      </c>
      <c r="AE421" s="19">
        <v>1609</v>
      </c>
      <c r="AF421">
        <v>2968</v>
      </c>
      <c r="AG421">
        <v>1599</v>
      </c>
      <c r="AH421">
        <v>2916</v>
      </c>
    </row>
    <row r="422" spans="1:34" hidden="1">
      <c r="A422" s="39" t="s">
        <v>1453</v>
      </c>
      <c r="B422" s="39">
        <v>0</v>
      </c>
      <c r="C422" s="39">
        <v>0</v>
      </c>
      <c r="D422" s="39">
        <v>0</v>
      </c>
      <c r="E422" s="39">
        <v>0</v>
      </c>
      <c r="F422" s="39">
        <v>0</v>
      </c>
      <c r="G422" s="39">
        <v>0</v>
      </c>
      <c r="H422" s="39">
        <v>0</v>
      </c>
      <c r="I422" s="39">
        <v>0</v>
      </c>
      <c r="J422" s="39">
        <v>0</v>
      </c>
      <c r="K422">
        <v>890</v>
      </c>
      <c r="L422">
        <v>860</v>
      </c>
      <c r="M422">
        <v>532</v>
      </c>
      <c r="N422">
        <v>667</v>
      </c>
      <c r="O422">
        <v>0</v>
      </c>
      <c r="P422">
        <v>0</v>
      </c>
      <c r="Q422">
        <v>0</v>
      </c>
      <c r="R422">
        <v>0</v>
      </c>
      <c r="S422">
        <v>0</v>
      </c>
      <c r="T422">
        <v>0</v>
      </c>
      <c r="U422">
        <v>0</v>
      </c>
      <c r="V422">
        <v>0</v>
      </c>
      <c r="W422">
        <v>0</v>
      </c>
      <c r="X422">
        <v>0</v>
      </c>
      <c r="Y422">
        <v>0</v>
      </c>
      <c r="Z422">
        <v>0</v>
      </c>
      <c r="AA422">
        <v>0</v>
      </c>
      <c r="AD422" t="s">
        <v>1253</v>
      </c>
      <c r="AE422" s="19">
        <v>1107</v>
      </c>
      <c r="AF422">
        <v>3665</v>
      </c>
      <c r="AG422">
        <v>969</v>
      </c>
      <c r="AH422">
        <v>3460</v>
      </c>
    </row>
    <row r="423" spans="1:34" hidden="1">
      <c r="A423" s="39" t="s">
        <v>1454</v>
      </c>
      <c r="B423" s="39">
        <v>0</v>
      </c>
      <c r="C423" s="39">
        <v>0</v>
      </c>
      <c r="D423" s="39">
        <v>0</v>
      </c>
      <c r="E423" s="39">
        <v>0</v>
      </c>
      <c r="F423" s="39">
        <v>0</v>
      </c>
      <c r="G423" s="39">
        <v>0</v>
      </c>
      <c r="H423" s="39">
        <v>0</v>
      </c>
      <c r="I423" s="39">
        <v>0</v>
      </c>
      <c r="J423" s="39">
        <v>0</v>
      </c>
      <c r="K423">
        <v>260</v>
      </c>
      <c r="L423">
        <v>409</v>
      </c>
      <c r="M423">
        <v>186</v>
      </c>
      <c r="N423">
        <v>459</v>
      </c>
      <c r="O423">
        <v>0</v>
      </c>
      <c r="P423">
        <v>0</v>
      </c>
      <c r="Q423">
        <v>0</v>
      </c>
      <c r="R423">
        <v>0</v>
      </c>
      <c r="S423">
        <v>0</v>
      </c>
      <c r="T423">
        <v>0</v>
      </c>
      <c r="U423">
        <v>0</v>
      </c>
      <c r="V423">
        <v>0</v>
      </c>
      <c r="W423">
        <v>0</v>
      </c>
      <c r="X423">
        <v>0</v>
      </c>
      <c r="Y423">
        <v>0</v>
      </c>
      <c r="Z423">
        <v>0</v>
      </c>
      <c r="AA423">
        <v>0</v>
      </c>
      <c r="AD423" t="s">
        <v>1136</v>
      </c>
      <c r="AE423" s="19">
        <v>550</v>
      </c>
      <c r="AF423">
        <v>1773</v>
      </c>
      <c r="AG423">
        <v>494</v>
      </c>
      <c r="AH423">
        <v>1693</v>
      </c>
    </row>
    <row r="424" spans="1:34" hidden="1">
      <c r="B424" s="39"/>
      <c r="C424" s="39"/>
      <c r="D424" s="39"/>
      <c r="E424" s="39"/>
      <c r="F424" s="39"/>
      <c r="G424" s="39"/>
      <c r="H424" s="39"/>
      <c r="I424" s="39"/>
      <c r="AD424" t="s">
        <v>1213</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1241</v>
      </c>
      <c r="AE425" s="19">
        <v>1375</v>
      </c>
      <c r="AF425">
        <v>3541</v>
      </c>
      <c r="AG425">
        <v>1348</v>
      </c>
      <c r="AH425">
        <v>3357</v>
      </c>
    </row>
    <row r="426" spans="1:34" hidden="1">
      <c r="B426" s="39"/>
      <c r="C426" s="39"/>
      <c r="D426" s="39"/>
      <c r="E426" s="39"/>
      <c r="F426" s="39"/>
      <c r="G426" s="39"/>
      <c r="H426" s="39"/>
      <c r="I426" s="39"/>
      <c r="AD426" t="s">
        <v>1074</v>
      </c>
      <c r="AE426" s="19">
        <v>770</v>
      </c>
      <c r="AF426">
        <v>2206</v>
      </c>
      <c r="AG426">
        <v>708</v>
      </c>
      <c r="AH426">
        <v>2045</v>
      </c>
    </row>
    <row r="427" spans="1:34" hidden="1">
      <c r="B427" s="39"/>
      <c r="C427" s="39"/>
      <c r="D427" s="39"/>
      <c r="E427" s="39"/>
      <c r="F427" s="39"/>
      <c r="G427" s="39"/>
      <c r="H427" s="39"/>
      <c r="I427" s="39"/>
      <c r="AD427" t="s">
        <v>1167</v>
      </c>
      <c r="AE427" s="19">
        <v>1104</v>
      </c>
      <c r="AF427">
        <v>3593</v>
      </c>
      <c r="AG427">
        <v>1145</v>
      </c>
      <c r="AH427">
        <v>3700</v>
      </c>
    </row>
    <row r="428" spans="1:34" hidden="1">
      <c r="B428" s="39"/>
      <c r="C428" s="39"/>
      <c r="D428" s="39"/>
      <c r="E428" s="39"/>
      <c r="F428" s="39"/>
      <c r="G428" s="39"/>
      <c r="H428" s="39"/>
      <c r="J428" s="39"/>
      <c r="AD428" t="s">
        <v>1270</v>
      </c>
      <c r="AE428" s="19">
        <v>1299</v>
      </c>
      <c r="AF428">
        <v>2917</v>
      </c>
      <c r="AG428">
        <v>1294</v>
      </c>
      <c r="AH428">
        <v>2694</v>
      </c>
    </row>
    <row r="429" spans="1:34" ht="18.75" hidden="1" customHeight="1">
      <c r="B429" s="39"/>
      <c r="C429" s="39"/>
      <c r="D429" s="39"/>
      <c r="E429" s="39"/>
      <c r="F429" s="39"/>
      <c r="G429" s="39"/>
      <c r="H429" s="39"/>
      <c r="I429" s="39"/>
      <c r="AD429" t="s">
        <v>1247</v>
      </c>
      <c r="AE429" s="19">
        <v>930</v>
      </c>
      <c r="AF429">
        <v>3702</v>
      </c>
      <c r="AG429">
        <v>856</v>
      </c>
      <c r="AH429">
        <v>3015</v>
      </c>
    </row>
    <row r="430" spans="1:34">
      <c r="B430" s="39"/>
      <c r="C430" s="39"/>
      <c r="D430" s="39"/>
      <c r="E430" s="39"/>
      <c r="F430" s="39"/>
      <c r="G430" s="39"/>
      <c r="H430" s="39"/>
      <c r="I430" s="39"/>
      <c r="AD430" t="s">
        <v>1083</v>
      </c>
      <c r="AE430" s="19">
        <v>531</v>
      </c>
      <c r="AF430">
        <v>1889</v>
      </c>
      <c r="AG430">
        <v>382</v>
      </c>
      <c r="AH430">
        <v>1239</v>
      </c>
    </row>
    <row r="431" spans="1:34" ht="12.75" customHeight="1">
      <c r="AD431" s="37" t="s">
        <v>1208</v>
      </c>
      <c r="AE431" s="129">
        <v>1122</v>
      </c>
      <c r="AF431">
        <v>4381</v>
      </c>
      <c r="AG431">
        <v>741</v>
      </c>
      <c r="AH431">
        <v>3467</v>
      </c>
    </row>
    <row r="432" spans="1:34">
      <c r="A432" s="40" t="s">
        <v>1455</v>
      </c>
      <c r="B432" s="41" t="s">
        <v>1456</v>
      </c>
      <c r="C432" s="42" t="s">
        <v>1457</v>
      </c>
      <c r="D432" s="40" t="s">
        <v>1458</v>
      </c>
      <c r="E432" s="41" t="s">
        <v>1459</v>
      </c>
      <c r="F432" s="42" t="s">
        <v>1460</v>
      </c>
      <c r="G432" s="43" t="s">
        <v>1461</v>
      </c>
      <c r="H432" s="44" t="s">
        <v>1462</v>
      </c>
      <c r="I432" s="45" t="s">
        <v>1463</v>
      </c>
      <c r="J432" s="42" t="s">
        <v>1464</v>
      </c>
      <c r="K432" s="52" t="s">
        <v>1465</v>
      </c>
      <c r="L432" s="45" t="s">
        <v>1466</v>
      </c>
      <c r="M432" s="52" t="s">
        <v>1467</v>
      </c>
      <c r="N432" s="42" t="s">
        <v>1468</v>
      </c>
      <c r="O432" s="136" t="s">
        <v>1469</v>
      </c>
      <c r="P432" s="42" t="s">
        <v>1470</v>
      </c>
      <c r="Q432" s="45" t="s">
        <v>1471</v>
      </c>
      <c r="R432" s="136" t="s">
        <v>1472</v>
      </c>
      <c r="S432" s="42" t="s">
        <v>1473</v>
      </c>
      <c r="T432" s="45" t="s">
        <v>1474</v>
      </c>
      <c r="U432" s="136" t="s">
        <v>1475</v>
      </c>
      <c r="AD432" s="27" t="s">
        <v>1123</v>
      </c>
      <c r="AE432" s="19">
        <v>325</v>
      </c>
      <c r="AF432">
        <v>3278</v>
      </c>
      <c r="AG432">
        <v>355</v>
      </c>
      <c r="AH432">
        <v>2834</v>
      </c>
    </row>
    <row r="433" spans="1:34">
      <c r="A433" s="46">
        <f t="shared" ref="A433:L433" si="1">O425/B425</f>
        <v>0.23766867074810491</v>
      </c>
      <c r="B433" s="47">
        <f t="shared" si="1"/>
        <v>0.23512254466103483</v>
      </c>
      <c r="C433" s="48">
        <f t="shared" si="1"/>
        <v>0.22321587377192004</v>
      </c>
      <c r="D433" s="46">
        <f t="shared" si="1"/>
        <v>0.22286411108917126</v>
      </c>
      <c r="E433" s="47">
        <f t="shared" si="1"/>
        <v>0.23518985959503899</v>
      </c>
      <c r="F433" s="48">
        <f t="shared" si="1"/>
        <v>0.2284846065729291</v>
      </c>
      <c r="G433" s="49">
        <f t="shared" si="1"/>
        <v>0.25431799544130079</v>
      </c>
      <c r="H433" s="50">
        <f t="shared" si="1"/>
        <v>0.25263021906879796</v>
      </c>
      <c r="I433" s="51">
        <f t="shared" si="1"/>
        <v>0.27559785699320583</v>
      </c>
      <c r="J433" s="48">
        <f t="shared" si="1"/>
        <v>0.28248952000158589</v>
      </c>
      <c r="K433" s="53">
        <f t="shared" si="1"/>
        <v>0.28460757844528012</v>
      </c>
      <c r="L433" s="51">
        <f t="shared" si="1"/>
        <v>0.26761354721576774</v>
      </c>
      <c r="M433" s="53">
        <f>AA425/N425</f>
        <v>0.25655326446267845</v>
      </c>
      <c r="N433" s="48">
        <f>AE488/AF488</f>
        <v>0.26586442556975021</v>
      </c>
      <c r="O433" s="137">
        <f>AG488/AH488</f>
        <v>0.2691583864802044</v>
      </c>
      <c r="P433" s="48">
        <f>AI488/AJ488</f>
        <v>0.2696972893725334</v>
      </c>
      <c r="Q433" s="51">
        <f>AL488/AK488</f>
        <v>0.26180803845821882</v>
      </c>
      <c r="R433" s="137">
        <v>0.27239999999999998</v>
      </c>
      <c r="S433" s="48">
        <v>0.28406653769105228</v>
      </c>
      <c r="T433" s="51">
        <v>0.26958061467591166</v>
      </c>
      <c r="U433" s="137">
        <v>0.2873</v>
      </c>
      <c r="AD433" s="27" t="s">
        <v>1239</v>
      </c>
      <c r="AE433" s="19">
        <v>1173</v>
      </c>
      <c r="AF433">
        <v>13082</v>
      </c>
      <c r="AG433">
        <v>1294</v>
      </c>
      <c r="AH433">
        <v>13075</v>
      </c>
    </row>
    <row r="434" spans="1:34">
      <c r="A434" s="46"/>
      <c r="B434" s="47"/>
      <c r="C434" s="48"/>
      <c r="D434" s="46"/>
      <c r="E434" s="47"/>
      <c r="F434" s="48"/>
      <c r="G434" s="49"/>
      <c r="H434" s="50"/>
      <c r="I434" s="51"/>
      <c r="J434" s="48"/>
      <c r="K434" s="53"/>
      <c r="L434" s="51"/>
      <c r="M434" s="53"/>
      <c r="N434" s="48"/>
      <c r="O434" s="136"/>
      <c r="P434" s="48"/>
      <c r="Q434" s="51"/>
      <c r="R434" s="136"/>
      <c r="S434" s="48"/>
      <c r="T434" s="51"/>
      <c r="U434" s="136"/>
      <c r="AD434" t="s">
        <v>1476</v>
      </c>
      <c r="AE434" s="19">
        <v>0</v>
      </c>
    </row>
    <row r="435" spans="1:34">
      <c r="AE435" s="19">
        <v>0</v>
      </c>
    </row>
    <row r="436" spans="1:34">
      <c r="AE436" s="19">
        <v>0</v>
      </c>
    </row>
    <row r="437" spans="1:34">
      <c r="AD437" t="s">
        <v>1243</v>
      </c>
      <c r="AE437" s="19">
        <v>1253</v>
      </c>
      <c r="AF437">
        <v>3107</v>
      </c>
      <c r="AG437">
        <v>1273</v>
      </c>
      <c r="AH437">
        <v>3054</v>
      </c>
    </row>
    <row r="438" spans="1:34">
      <c r="AE438" s="19"/>
    </row>
    <row r="439" spans="1:34">
      <c r="AD439" t="s">
        <v>1161</v>
      </c>
      <c r="AE439" s="19">
        <v>566</v>
      </c>
      <c r="AF439">
        <v>2475</v>
      </c>
      <c r="AG439">
        <v>531</v>
      </c>
      <c r="AH439">
        <v>2223</v>
      </c>
    </row>
    <row r="440" spans="1:34">
      <c r="AD440" t="s">
        <v>1173</v>
      </c>
      <c r="AE440" s="19">
        <v>601</v>
      </c>
      <c r="AF440">
        <v>2371</v>
      </c>
      <c r="AG440">
        <v>444</v>
      </c>
      <c r="AH440">
        <v>1884</v>
      </c>
    </row>
    <row r="441" spans="1:34">
      <c r="AD441" t="s">
        <v>1064</v>
      </c>
      <c r="AE441" s="19">
        <v>375</v>
      </c>
      <c r="AF441">
        <v>2654</v>
      </c>
      <c r="AG441">
        <v>317</v>
      </c>
      <c r="AH441">
        <v>2644</v>
      </c>
    </row>
    <row r="442" spans="1:34">
      <c r="AD442" t="s">
        <v>1114</v>
      </c>
      <c r="AE442" s="19">
        <v>17</v>
      </c>
      <c r="AF442">
        <v>75</v>
      </c>
      <c r="AG442">
        <v>31</v>
      </c>
      <c r="AH442">
        <v>81</v>
      </c>
    </row>
    <row r="443" spans="1:34">
      <c r="AD443" t="s">
        <v>1089</v>
      </c>
      <c r="AE443" s="19">
        <v>0</v>
      </c>
      <c r="AF443">
        <v>656</v>
      </c>
      <c r="AG443">
        <v>162</v>
      </c>
      <c r="AH443">
        <v>702</v>
      </c>
    </row>
    <row r="444" spans="1:34">
      <c r="AD444" t="s">
        <v>1149</v>
      </c>
      <c r="AE444" s="19">
        <v>966</v>
      </c>
      <c r="AF444">
        <v>1681</v>
      </c>
      <c r="AG444">
        <v>903</v>
      </c>
      <c r="AH444">
        <v>1681</v>
      </c>
    </row>
    <row r="445" spans="1:34">
      <c r="AD445" t="s">
        <v>1151</v>
      </c>
      <c r="AE445" s="19">
        <v>22</v>
      </c>
      <c r="AF445">
        <v>170</v>
      </c>
      <c r="AG445">
        <v>8</v>
      </c>
      <c r="AH445">
        <v>146</v>
      </c>
    </row>
    <row r="446" spans="1:34">
      <c r="AD446" t="s">
        <v>1079</v>
      </c>
      <c r="AE446" s="19">
        <v>1292</v>
      </c>
      <c r="AF446">
        <v>3882</v>
      </c>
      <c r="AG446">
        <v>1188</v>
      </c>
      <c r="AH446">
        <v>3764</v>
      </c>
    </row>
    <row r="447" spans="1:34">
      <c r="AD447" t="s">
        <v>1049</v>
      </c>
      <c r="AE447" s="19">
        <v>840</v>
      </c>
      <c r="AF447">
        <v>4795</v>
      </c>
      <c r="AG447">
        <v>954</v>
      </c>
      <c r="AH447">
        <v>4619</v>
      </c>
    </row>
    <row r="448" spans="1:34">
      <c r="AD448" t="s">
        <v>1144</v>
      </c>
      <c r="AE448" s="19">
        <v>142</v>
      </c>
      <c r="AF448">
        <v>864</v>
      </c>
      <c r="AG448">
        <v>168</v>
      </c>
      <c r="AH448">
        <v>824</v>
      </c>
    </row>
    <row r="449" spans="30:34">
      <c r="AD449" s="37" t="s">
        <v>1070</v>
      </c>
      <c r="AE449" s="129">
        <v>131</v>
      </c>
      <c r="AF449">
        <v>712</v>
      </c>
      <c r="AG449">
        <v>112</v>
      </c>
      <c r="AH449">
        <v>685</v>
      </c>
    </row>
    <row r="450" spans="30:34">
      <c r="AD450" t="s">
        <v>1134</v>
      </c>
      <c r="AE450" s="19">
        <v>0</v>
      </c>
      <c r="AF450">
        <v>97</v>
      </c>
      <c r="AG450">
        <v>2</v>
      </c>
      <c r="AH450">
        <v>1506</v>
      </c>
    </row>
    <row r="451" spans="30:34">
      <c r="AD451" t="s">
        <v>1284</v>
      </c>
      <c r="AE451" s="19">
        <v>683</v>
      </c>
      <c r="AF451">
        <v>1859</v>
      </c>
      <c r="AG451">
        <v>789</v>
      </c>
      <c r="AH451">
        <v>2046</v>
      </c>
    </row>
    <row r="452" spans="30:34">
      <c r="AD452" t="s">
        <v>1138</v>
      </c>
      <c r="AE452" s="19">
        <v>276</v>
      </c>
      <c r="AF452">
        <v>1244</v>
      </c>
      <c r="AG452">
        <v>293</v>
      </c>
      <c r="AH452">
        <v>1147</v>
      </c>
    </row>
    <row r="453" spans="30:34">
      <c r="AD453" t="s">
        <v>1169</v>
      </c>
      <c r="AE453" s="19">
        <v>295</v>
      </c>
      <c r="AF453">
        <v>1136</v>
      </c>
      <c r="AG453">
        <v>343</v>
      </c>
      <c r="AH453">
        <v>1641</v>
      </c>
    </row>
    <row r="454" spans="30:34">
      <c r="AD454" t="s">
        <v>1381</v>
      </c>
      <c r="AE454" s="19">
        <v>279</v>
      </c>
      <c r="AF454">
        <v>441</v>
      </c>
      <c r="AG454">
        <v>203</v>
      </c>
      <c r="AH454">
        <v>400</v>
      </c>
    </row>
    <row r="455" spans="30:34">
      <c r="AD455" t="s">
        <v>1219</v>
      </c>
      <c r="AE455" s="19">
        <v>1946</v>
      </c>
      <c r="AF455">
        <v>7171</v>
      </c>
      <c r="AG455">
        <v>1777</v>
      </c>
      <c r="AH455">
        <v>5772</v>
      </c>
    </row>
    <row r="456" spans="30:34">
      <c r="AD456" t="s">
        <v>1215</v>
      </c>
      <c r="AE456" s="19">
        <v>1462</v>
      </c>
      <c r="AF456">
        <v>5018</v>
      </c>
      <c r="AG456">
        <v>1152</v>
      </c>
      <c r="AH456">
        <v>4407</v>
      </c>
    </row>
    <row r="457" spans="30:34">
      <c r="AD457" t="s">
        <v>1272</v>
      </c>
      <c r="AE457" s="19">
        <v>2083</v>
      </c>
      <c r="AF457">
        <v>5548</v>
      </c>
      <c r="AG457">
        <v>2042</v>
      </c>
      <c r="AH457">
        <v>5663</v>
      </c>
    </row>
    <row r="458" spans="30:34">
      <c r="AD458" s="27" t="s">
        <v>1157</v>
      </c>
      <c r="AE458" s="19">
        <v>336</v>
      </c>
      <c r="AF458">
        <v>1519</v>
      </c>
      <c r="AG458">
        <v>352</v>
      </c>
      <c r="AH458">
        <v>1583</v>
      </c>
    </row>
    <row r="459" spans="30:34">
      <c r="AD459" t="s">
        <v>1263</v>
      </c>
      <c r="AE459" s="19">
        <v>1332</v>
      </c>
      <c r="AF459">
        <v>3144</v>
      </c>
      <c r="AG459">
        <v>1166</v>
      </c>
      <c r="AH459">
        <v>2653</v>
      </c>
    </row>
    <row r="460" spans="30:34">
      <c r="AD460" t="s">
        <v>1108</v>
      </c>
      <c r="AE460" s="19">
        <v>796</v>
      </c>
      <c r="AF460">
        <v>2372</v>
      </c>
      <c r="AG460">
        <v>656</v>
      </c>
      <c r="AH460">
        <v>2225</v>
      </c>
    </row>
    <row r="461" spans="30:34">
      <c r="AD461" t="s">
        <v>1276</v>
      </c>
      <c r="AE461" s="19">
        <v>3891</v>
      </c>
      <c r="AF461">
        <v>11080</v>
      </c>
      <c r="AG461">
        <v>3754</v>
      </c>
      <c r="AH461">
        <v>10592</v>
      </c>
    </row>
    <row r="462" spans="30:34">
      <c r="AD462" t="s">
        <v>1116</v>
      </c>
      <c r="AE462" s="19">
        <v>1452</v>
      </c>
      <c r="AF462">
        <v>4180</v>
      </c>
      <c r="AG462">
        <v>1291</v>
      </c>
      <c r="AH462">
        <v>3452</v>
      </c>
    </row>
    <row r="463" spans="30:34">
      <c r="AD463" t="s">
        <v>1186</v>
      </c>
      <c r="AE463" s="19">
        <v>1547</v>
      </c>
      <c r="AF463">
        <v>8203</v>
      </c>
      <c r="AG463">
        <v>1368</v>
      </c>
      <c r="AH463">
        <v>9377</v>
      </c>
    </row>
    <row r="464" spans="30:34">
      <c r="AD464" t="s">
        <v>1171</v>
      </c>
      <c r="AE464" s="19">
        <v>303</v>
      </c>
      <c r="AF464">
        <v>2468</v>
      </c>
      <c r="AG464">
        <v>327</v>
      </c>
      <c r="AH464">
        <v>2674</v>
      </c>
    </row>
    <row r="465" spans="30:34">
      <c r="AD465" t="s">
        <v>1265</v>
      </c>
      <c r="AE465" s="19">
        <v>1797</v>
      </c>
      <c r="AF465">
        <v>3968</v>
      </c>
      <c r="AG465">
        <v>1837</v>
      </c>
      <c r="AH465">
        <v>3753</v>
      </c>
    </row>
    <row r="466" spans="30:34">
      <c r="AD466" t="s">
        <v>1142</v>
      </c>
      <c r="AE466" s="19">
        <v>313</v>
      </c>
      <c r="AF466">
        <v>1233</v>
      </c>
      <c r="AG466">
        <v>123</v>
      </c>
      <c r="AH466">
        <v>505</v>
      </c>
    </row>
    <row r="467" spans="30:34">
      <c r="AD467" t="s">
        <v>1180</v>
      </c>
      <c r="AE467" s="19">
        <v>742</v>
      </c>
      <c r="AF467">
        <v>2328</v>
      </c>
      <c r="AG467">
        <v>760</v>
      </c>
      <c r="AH467">
        <v>2605</v>
      </c>
    </row>
    <row r="468" spans="30:34">
      <c r="AD468" t="s">
        <v>1201</v>
      </c>
      <c r="AE468" s="19">
        <v>356</v>
      </c>
      <c r="AF468">
        <v>678</v>
      </c>
      <c r="AG468">
        <v>312</v>
      </c>
      <c r="AH468">
        <v>640</v>
      </c>
    </row>
    <row r="469" spans="30:34">
      <c r="AD469" t="s">
        <v>1068</v>
      </c>
      <c r="AE469" s="19">
        <v>1874</v>
      </c>
      <c r="AF469">
        <v>7170</v>
      </c>
      <c r="AG469">
        <v>1651</v>
      </c>
      <c r="AH469">
        <v>6647</v>
      </c>
    </row>
    <row r="470" spans="30:34">
      <c r="AD470" t="s">
        <v>1140</v>
      </c>
      <c r="AE470" s="19">
        <v>434</v>
      </c>
      <c r="AF470">
        <v>1699</v>
      </c>
      <c r="AG470">
        <v>16</v>
      </c>
      <c r="AH470">
        <v>15</v>
      </c>
    </row>
    <row r="471" spans="30:34">
      <c r="AD471" t="s">
        <v>1163</v>
      </c>
      <c r="AE471" s="19">
        <v>922</v>
      </c>
      <c r="AF471">
        <v>2223</v>
      </c>
      <c r="AG471">
        <v>818</v>
      </c>
      <c r="AH471">
        <v>2568</v>
      </c>
    </row>
    <row r="472" spans="30:34">
      <c r="AD472" t="s">
        <v>1261</v>
      </c>
      <c r="AE472" s="19">
        <v>1303</v>
      </c>
      <c r="AF472">
        <v>8739</v>
      </c>
      <c r="AG472">
        <v>1458</v>
      </c>
      <c r="AH472">
        <v>8971</v>
      </c>
    </row>
    <row r="473" spans="30:34">
      <c r="AD473" t="s">
        <v>1056</v>
      </c>
      <c r="AE473" s="19">
        <v>1967</v>
      </c>
      <c r="AF473">
        <v>6950</v>
      </c>
      <c r="AG473">
        <v>2394</v>
      </c>
      <c r="AH473">
        <v>8538</v>
      </c>
    </row>
    <row r="474" spans="30:34">
      <c r="AD474" t="s">
        <v>1217</v>
      </c>
      <c r="AE474" s="19">
        <v>2648</v>
      </c>
      <c r="AF474">
        <v>5829</v>
      </c>
      <c r="AG474">
        <v>2540</v>
      </c>
      <c r="AH474">
        <v>5875</v>
      </c>
    </row>
    <row r="475" spans="30:34">
      <c r="AD475" t="s">
        <v>1175</v>
      </c>
      <c r="AE475" s="19">
        <v>1099</v>
      </c>
      <c r="AF475">
        <v>3946</v>
      </c>
      <c r="AG475">
        <v>805</v>
      </c>
      <c r="AH475">
        <v>3422</v>
      </c>
    </row>
    <row r="476" spans="30:34">
      <c r="AD476" t="s">
        <v>1062</v>
      </c>
      <c r="AE476" s="19">
        <v>3298</v>
      </c>
      <c r="AF476">
        <v>9439</v>
      </c>
      <c r="AG476">
        <v>3094</v>
      </c>
      <c r="AH476">
        <v>8484</v>
      </c>
    </row>
    <row r="477" spans="30:34">
      <c r="AD477" t="s">
        <v>1132</v>
      </c>
      <c r="AE477" s="19">
        <v>355</v>
      </c>
      <c r="AF477">
        <v>1594</v>
      </c>
      <c r="AG477">
        <v>332</v>
      </c>
      <c r="AH477">
        <v>1652</v>
      </c>
    </row>
    <row r="478" spans="30:34">
      <c r="AD478" t="s">
        <v>1125</v>
      </c>
      <c r="AE478" s="19">
        <v>4192</v>
      </c>
      <c r="AF478">
        <v>14541</v>
      </c>
      <c r="AG478">
        <v>4135</v>
      </c>
      <c r="AH478">
        <v>13649</v>
      </c>
    </row>
    <row r="479" spans="30:34">
      <c r="AD479" t="s">
        <v>1295</v>
      </c>
      <c r="AE479" s="19">
        <v>5893</v>
      </c>
      <c r="AF479">
        <v>16635</v>
      </c>
      <c r="AG479">
        <v>6172</v>
      </c>
      <c r="AH479">
        <v>17200</v>
      </c>
    </row>
    <row r="480" spans="30:34">
      <c r="AD480" t="s">
        <v>1066</v>
      </c>
      <c r="AE480" s="19">
        <v>1168</v>
      </c>
      <c r="AF480">
        <v>6111</v>
      </c>
      <c r="AG480">
        <v>1334</v>
      </c>
      <c r="AH480">
        <v>6479</v>
      </c>
    </row>
    <row r="481" spans="30:38">
      <c r="AD481" t="s">
        <v>1153</v>
      </c>
      <c r="AE481" s="19">
        <v>660</v>
      </c>
      <c r="AF481">
        <v>2399</v>
      </c>
      <c r="AG481">
        <v>577</v>
      </c>
      <c r="AH481">
        <v>2079</v>
      </c>
    </row>
    <row r="482" spans="30:38">
      <c r="AD482" t="s">
        <v>1102</v>
      </c>
      <c r="AE482" s="19">
        <v>1341</v>
      </c>
      <c r="AF482">
        <v>4218</v>
      </c>
      <c r="AG482">
        <v>1501</v>
      </c>
      <c r="AH482">
        <v>4158</v>
      </c>
    </row>
    <row r="483" spans="30:38">
      <c r="AD483" t="s">
        <v>1184</v>
      </c>
      <c r="AE483" s="19">
        <v>3129</v>
      </c>
      <c r="AF483">
        <v>9988</v>
      </c>
      <c r="AG483">
        <v>3119</v>
      </c>
      <c r="AH483">
        <v>10232</v>
      </c>
    </row>
    <row r="484" spans="30:38">
      <c r="AD484" t="s">
        <v>1098</v>
      </c>
      <c r="AE484" s="19">
        <v>3780</v>
      </c>
      <c r="AF484">
        <v>9966</v>
      </c>
      <c r="AG484">
        <v>4347</v>
      </c>
      <c r="AH484">
        <v>11844</v>
      </c>
    </row>
    <row r="485" spans="30:38">
      <c r="AD485" t="s">
        <v>1255</v>
      </c>
      <c r="AE485" s="19">
        <v>4424</v>
      </c>
      <c r="AF485">
        <v>19236</v>
      </c>
      <c r="AG485">
        <v>3796</v>
      </c>
      <c r="AH485">
        <v>15646</v>
      </c>
    </row>
    <row r="486" spans="30:38">
      <c r="AD486" t="s">
        <v>1251</v>
      </c>
      <c r="AE486" s="19">
        <v>910</v>
      </c>
      <c r="AF486">
        <v>2546</v>
      </c>
      <c r="AG486">
        <v>640</v>
      </c>
      <c r="AH486">
        <v>1546</v>
      </c>
    </row>
    <row r="488" spans="30:38">
      <c r="AE488" s="25">
        <f>SUM(AE2:AE486)</f>
        <v>998117</v>
      </c>
      <c r="AF488" s="25">
        <f>SUM(AF2:AF486)</f>
        <v>3754233</v>
      </c>
      <c r="AG488" s="25">
        <f t="shared" ref="AG488:AH488" si="2">SUM(AG2:AG486)</f>
        <v>896741</v>
      </c>
      <c r="AH488" s="25">
        <f t="shared" si="2"/>
        <v>3331648</v>
      </c>
      <c r="AI488">
        <v>997052</v>
      </c>
      <c r="AJ488">
        <v>3696930</v>
      </c>
      <c r="AK488">
        <v>3823370</v>
      </c>
      <c r="AL488">
        <v>1000989</v>
      </c>
    </row>
  </sheetData>
  <autoFilter ref="AG1:AG488" xr:uid="{D1C2AC53-AB10-45FA-8884-38249F8AB2BF}"/>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R599"/>
  <sheetViews>
    <sheetView topLeftCell="B1" workbookViewId="0">
      <selection activeCell="I176" sqref="I176"/>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style="135" customWidth="1"/>
    <col min="7" max="8" width="1.7109375" customWidth="1"/>
    <col min="9" max="9" width="19" style="124" customWidth="1"/>
    <col min="10" max="10" width="9.7109375" customWidth="1"/>
    <col min="11" max="11" width="9.28515625" customWidth="1"/>
    <col min="12" max="13" width="13.85546875" customWidth="1"/>
    <col min="14" max="14" width="13.85546875" style="125" customWidth="1"/>
    <col min="16" max="18" width="0" hidden="1" customWidth="1"/>
  </cols>
  <sheetData>
    <row r="1" spans="1:18" s="2" customFormat="1" ht="10.5" customHeight="1">
      <c r="A1" s="21" t="s">
        <v>1477</v>
      </c>
      <c r="B1" s="21" t="s">
        <v>1478</v>
      </c>
      <c r="C1" s="21" t="s">
        <v>1368</v>
      </c>
      <c r="D1" s="21" t="s">
        <v>1479</v>
      </c>
      <c r="E1" s="22" t="s">
        <v>1480</v>
      </c>
      <c r="F1" s="139" t="s">
        <v>1481</v>
      </c>
      <c r="G1" s="21"/>
      <c r="H1" s="21"/>
      <c r="I1" s="122" t="s">
        <v>1482</v>
      </c>
      <c r="J1" s="21" t="s">
        <v>1483</v>
      </c>
      <c r="K1" s="21"/>
      <c r="L1" s="21" t="s">
        <v>1484</v>
      </c>
      <c r="M1" s="21" t="s">
        <v>1485</v>
      </c>
      <c r="N1" s="126" t="s">
        <v>1486</v>
      </c>
      <c r="P1" s="2" t="s">
        <v>699</v>
      </c>
      <c r="Q1" s="2">
        <v>67399</v>
      </c>
      <c r="R1" s="2">
        <v>74374.570000000007</v>
      </c>
    </row>
    <row r="2" spans="1:18" hidden="1">
      <c r="A2" t="s">
        <v>1487</v>
      </c>
      <c r="B2" t="s">
        <v>682</v>
      </c>
      <c r="C2" t="s">
        <v>683</v>
      </c>
      <c r="D2" s="28">
        <v>10832</v>
      </c>
      <c r="E2" s="19">
        <f>D2/28</f>
        <v>386.85714285714283</v>
      </c>
      <c r="F2" s="5">
        <v>15486.140000000001</v>
      </c>
      <c r="I2" s="19">
        <f>IF((D2/28)&gt;100,D2*2,D2*2)</f>
        <v>21664</v>
      </c>
      <c r="J2" t="b">
        <f>IF(F2&gt;1.2*I2,FALSE,TRUE)</f>
        <v>1</v>
      </c>
      <c r="K2" s="4">
        <f t="shared" ref="K2:K64" si="0">F2/I2-1</f>
        <v>-0.28516709748892166</v>
      </c>
      <c r="N2"/>
      <c r="P2" t="s">
        <v>180</v>
      </c>
      <c r="Q2">
        <v>4822</v>
      </c>
      <c r="R2">
        <v>9600.5</v>
      </c>
    </row>
    <row r="3" spans="1:18" hidden="1">
      <c r="A3" t="s">
        <v>1487</v>
      </c>
      <c r="B3" t="s">
        <v>704</v>
      </c>
      <c r="C3" t="s">
        <v>705</v>
      </c>
      <c r="D3" s="28">
        <v>36504</v>
      </c>
      <c r="E3" s="19">
        <f>D3/28</f>
        <v>1303.7142857142858</v>
      </c>
      <c r="F3" s="5">
        <v>49777.61</v>
      </c>
      <c r="I3" s="19">
        <f>IF((D3/28)&gt;100,D3*2,D3*2)</f>
        <v>73008</v>
      </c>
      <c r="J3" t="b">
        <f>IF(F3&gt;1.2*I3,FALSE,TRUE)</f>
        <v>1</v>
      </c>
      <c r="K3" s="4">
        <f t="shared" si="0"/>
        <v>-0.31818965044926584</v>
      </c>
      <c r="N3"/>
      <c r="P3" t="s">
        <v>164</v>
      </c>
      <c r="Q3">
        <v>10249</v>
      </c>
      <c r="R3">
        <v>16634</v>
      </c>
    </row>
    <row r="4" spans="1:18" hidden="1">
      <c r="A4" t="s">
        <v>1487</v>
      </c>
      <c r="B4" t="s">
        <v>692</v>
      </c>
      <c r="C4" t="s">
        <v>693</v>
      </c>
      <c r="D4" s="28">
        <v>9624</v>
      </c>
      <c r="E4" s="19">
        <f t="shared" ref="E4:E64" si="1">D4/28</f>
        <v>343.71428571428572</v>
      </c>
      <c r="F4" s="5">
        <v>15170.75</v>
      </c>
      <c r="I4" s="19">
        <f t="shared" ref="I4:I64" si="2">IF((D4/28)&gt;100,D4*2,D4*2)</f>
        <v>19248</v>
      </c>
      <c r="J4" t="b">
        <f t="shared" ref="J4:J64" si="3">IF(F4&gt;1.2*I4,FALSE,TRUE)</f>
        <v>1</v>
      </c>
      <c r="K4" s="4">
        <f t="shared" si="0"/>
        <v>-0.21182720282626766</v>
      </c>
      <c r="N4"/>
      <c r="P4" t="s">
        <v>16</v>
      </c>
      <c r="Q4">
        <v>26241</v>
      </c>
      <c r="R4">
        <v>30072.34</v>
      </c>
    </row>
    <row r="5" spans="1:18" hidden="1">
      <c r="A5" t="s">
        <v>1488</v>
      </c>
      <c r="B5" t="s">
        <v>702</v>
      </c>
      <c r="C5" t="s">
        <v>703</v>
      </c>
      <c r="D5" s="28">
        <v>20648</v>
      </c>
      <c r="E5" s="19">
        <f t="shared" si="1"/>
        <v>737.42857142857144</v>
      </c>
      <c r="F5" s="5">
        <v>26293.200000000001</v>
      </c>
      <c r="I5" s="19">
        <f t="shared" si="2"/>
        <v>41296</v>
      </c>
      <c r="J5" t="b">
        <f t="shared" si="3"/>
        <v>1</v>
      </c>
      <c r="K5" s="4">
        <f t="shared" si="0"/>
        <v>-0.36329910887253003</v>
      </c>
      <c r="N5"/>
      <c r="P5" t="s">
        <v>703</v>
      </c>
      <c r="Q5">
        <v>20605</v>
      </c>
      <c r="R5">
        <v>19405.060000000001</v>
      </c>
    </row>
    <row r="6" spans="1:18" hidden="1">
      <c r="A6" t="s">
        <v>1487</v>
      </c>
      <c r="B6" t="s">
        <v>696</v>
      </c>
      <c r="C6" t="s">
        <v>697</v>
      </c>
      <c r="D6" s="28">
        <v>10127</v>
      </c>
      <c r="E6" s="19">
        <f t="shared" si="1"/>
        <v>361.67857142857144</v>
      </c>
      <c r="F6" s="5">
        <v>11318.81</v>
      </c>
      <c r="I6" s="19">
        <f t="shared" si="2"/>
        <v>20254</v>
      </c>
      <c r="J6" t="b">
        <f t="shared" si="3"/>
        <v>1</v>
      </c>
      <c r="K6" s="4">
        <f t="shared" si="0"/>
        <v>-0.44115680853164807</v>
      </c>
      <c r="N6"/>
      <c r="P6" t="s">
        <v>64</v>
      </c>
      <c r="Q6">
        <v>6929</v>
      </c>
      <c r="R6">
        <v>10453.85</v>
      </c>
    </row>
    <row r="7" spans="1:18" hidden="1">
      <c r="A7" t="s">
        <v>1489</v>
      </c>
      <c r="B7" s="27" t="s">
        <v>594</v>
      </c>
      <c r="C7" t="s">
        <v>595</v>
      </c>
      <c r="D7" s="28">
        <v>5731</v>
      </c>
      <c r="E7" s="19">
        <f t="shared" si="1"/>
        <v>204.67857142857142</v>
      </c>
      <c r="F7" s="5">
        <v>4539.3999999999996</v>
      </c>
      <c r="I7" s="19">
        <f t="shared" si="2"/>
        <v>11462</v>
      </c>
      <c r="J7" t="b">
        <f t="shared" si="3"/>
        <v>1</v>
      </c>
      <c r="K7" s="4">
        <f t="shared" si="0"/>
        <v>-0.60396091432559773</v>
      </c>
      <c r="N7"/>
      <c r="P7" t="s">
        <v>72</v>
      </c>
      <c r="Q7">
        <v>2129</v>
      </c>
      <c r="R7">
        <v>3078.97</v>
      </c>
    </row>
    <row r="8" spans="1:18" hidden="1">
      <c r="A8" t="s">
        <v>1488</v>
      </c>
      <c r="B8" t="s">
        <v>23</v>
      </c>
      <c r="C8" t="s">
        <v>24</v>
      </c>
      <c r="D8" s="28">
        <v>20514</v>
      </c>
      <c r="E8" s="19">
        <f>D8/28</f>
        <v>732.64285714285711</v>
      </c>
      <c r="F8" s="5">
        <v>18983.129999999997</v>
      </c>
      <c r="I8" s="19">
        <f t="shared" si="2"/>
        <v>41028</v>
      </c>
      <c r="J8" t="b">
        <f t="shared" si="3"/>
        <v>1</v>
      </c>
      <c r="K8" s="4">
        <f t="shared" si="0"/>
        <v>-0.53731281076338111</v>
      </c>
      <c r="N8"/>
      <c r="P8" t="s">
        <v>82</v>
      </c>
      <c r="Q8">
        <v>11862</v>
      </c>
      <c r="R8">
        <v>7272.85</v>
      </c>
    </row>
    <row r="9" spans="1:18" hidden="1">
      <c r="A9" t="s">
        <v>1489</v>
      </c>
      <c r="B9" t="s">
        <v>385</v>
      </c>
      <c r="C9" t="s">
        <v>386</v>
      </c>
      <c r="D9" s="28">
        <v>1958</v>
      </c>
      <c r="E9" s="19">
        <f t="shared" si="1"/>
        <v>69.928571428571431</v>
      </c>
      <c r="F9" s="5">
        <v>3038.3</v>
      </c>
      <c r="I9" s="19">
        <f t="shared" si="2"/>
        <v>3916</v>
      </c>
      <c r="J9" t="b">
        <f t="shared" si="3"/>
        <v>1</v>
      </c>
      <c r="K9" s="4">
        <f t="shared" si="0"/>
        <v>-0.22413176710929517</v>
      </c>
      <c r="N9"/>
      <c r="P9" t="s">
        <v>32</v>
      </c>
      <c r="Q9">
        <v>4129</v>
      </c>
      <c r="R9">
        <v>7431.5</v>
      </c>
    </row>
    <row r="10" spans="1:18" hidden="1">
      <c r="A10" t="s">
        <v>1487</v>
      </c>
      <c r="B10" t="s">
        <v>684</v>
      </c>
      <c r="C10" t="s">
        <v>685</v>
      </c>
      <c r="D10" s="28">
        <v>3136</v>
      </c>
      <c r="E10" s="19">
        <f t="shared" si="1"/>
        <v>112</v>
      </c>
      <c r="F10" s="5">
        <v>2774.22</v>
      </c>
      <c r="I10" s="19">
        <f t="shared" si="2"/>
        <v>6272</v>
      </c>
      <c r="J10" t="b">
        <f t="shared" si="3"/>
        <v>1</v>
      </c>
      <c r="K10" s="4">
        <f t="shared" si="0"/>
        <v>-0.55768176020408167</v>
      </c>
      <c r="N10"/>
      <c r="P10" t="s">
        <v>24</v>
      </c>
      <c r="Q10">
        <v>25786</v>
      </c>
      <c r="R10">
        <v>18542.5</v>
      </c>
    </row>
    <row r="11" spans="1:18" hidden="1">
      <c r="A11" t="s">
        <v>1487</v>
      </c>
      <c r="B11" t="s">
        <v>500</v>
      </c>
      <c r="C11" t="s">
        <v>501</v>
      </c>
      <c r="D11" s="28">
        <v>2598</v>
      </c>
      <c r="E11" s="19">
        <f t="shared" si="1"/>
        <v>92.785714285714292</v>
      </c>
      <c r="F11" s="5">
        <v>2390.61</v>
      </c>
      <c r="I11" s="19">
        <f t="shared" si="2"/>
        <v>5196</v>
      </c>
      <c r="J11" t="b">
        <f t="shared" si="3"/>
        <v>1</v>
      </c>
      <c r="K11" s="4">
        <f t="shared" si="0"/>
        <v>-0.53991339491916857</v>
      </c>
      <c r="N11"/>
      <c r="P11" t="s">
        <v>58</v>
      </c>
      <c r="Q11">
        <v>4818</v>
      </c>
      <c r="R11">
        <v>8527.9500000000007</v>
      </c>
    </row>
    <row r="12" spans="1:18" ht="30" hidden="1">
      <c r="A12" t="s">
        <v>1489</v>
      </c>
      <c r="B12" s="55" t="s">
        <v>79</v>
      </c>
      <c r="C12" s="37" t="s">
        <v>80</v>
      </c>
      <c r="D12" s="28">
        <v>2383</v>
      </c>
      <c r="E12" s="19">
        <f t="shared" si="1"/>
        <v>85.107142857142861</v>
      </c>
      <c r="F12" s="5">
        <v>3044.89</v>
      </c>
      <c r="I12" s="19">
        <f t="shared" si="2"/>
        <v>4766</v>
      </c>
      <c r="J12" t="b">
        <f t="shared" si="3"/>
        <v>1</v>
      </c>
      <c r="K12" s="4">
        <f t="shared" si="0"/>
        <v>-0.36112253462022659</v>
      </c>
      <c r="N12"/>
      <c r="P12" t="s">
        <v>635</v>
      </c>
      <c r="Q12">
        <v>3732</v>
      </c>
      <c r="R12">
        <v>7397.98</v>
      </c>
    </row>
    <row r="13" spans="1:18" hidden="1">
      <c r="A13" t="s">
        <v>1487</v>
      </c>
      <c r="B13" t="s">
        <v>558</v>
      </c>
      <c r="C13" t="s">
        <v>559</v>
      </c>
      <c r="D13" s="28">
        <v>3404</v>
      </c>
      <c r="E13" s="19">
        <f t="shared" si="1"/>
        <v>121.57142857142857</v>
      </c>
      <c r="F13" s="5">
        <v>3658.32</v>
      </c>
      <c r="I13" s="19">
        <f t="shared" si="2"/>
        <v>6808</v>
      </c>
      <c r="J13" t="b">
        <f t="shared" si="3"/>
        <v>1</v>
      </c>
      <c r="K13" s="4">
        <f t="shared" si="0"/>
        <v>-0.46264394829612221</v>
      </c>
      <c r="N13"/>
      <c r="P13" t="s">
        <v>697</v>
      </c>
      <c r="Q13">
        <v>11641</v>
      </c>
      <c r="R13">
        <v>10505.25</v>
      </c>
    </row>
    <row r="14" spans="1:18" hidden="1">
      <c r="A14" t="s">
        <v>1487</v>
      </c>
      <c r="B14" t="s">
        <v>75</v>
      </c>
      <c r="C14" t="s">
        <v>76</v>
      </c>
      <c r="D14" s="28">
        <v>90</v>
      </c>
      <c r="E14" s="19">
        <f t="shared" si="1"/>
        <v>3.2142857142857144</v>
      </c>
      <c r="F14" s="5">
        <v>0</v>
      </c>
      <c r="I14" s="19">
        <f t="shared" si="2"/>
        <v>180</v>
      </c>
      <c r="J14" t="b">
        <f t="shared" si="3"/>
        <v>1</v>
      </c>
      <c r="K14" s="4">
        <f t="shared" si="0"/>
        <v>-1</v>
      </c>
      <c r="N14"/>
      <c r="P14" t="s">
        <v>693</v>
      </c>
      <c r="Q14">
        <v>7271</v>
      </c>
      <c r="R14">
        <v>8084.91</v>
      </c>
    </row>
    <row r="15" spans="1:18" hidden="1">
      <c r="A15" t="s">
        <v>1489</v>
      </c>
      <c r="B15" s="55" t="s">
        <v>71</v>
      </c>
      <c r="C15" s="37" t="s">
        <v>72</v>
      </c>
      <c r="D15" s="28">
        <v>1075</v>
      </c>
      <c r="E15" s="19">
        <f t="shared" si="1"/>
        <v>38.392857142857146</v>
      </c>
      <c r="F15" s="5">
        <v>1177.52</v>
      </c>
      <c r="I15" s="19">
        <f t="shared" si="2"/>
        <v>2150</v>
      </c>
      <c r="J15" t="b">
        <f t="shared" si="3"/>
        <v>1</v>
      </c>
      <c r="K15" s="4">
        <f t="shared" si="0"/>
        <v>-0.45231627906976746</v>
      </c>
      <c r="N15"/>
      <c r="P15" t="s">
        <v>451</v>
      </c>
      <c r="Q15">
        <v>4069</v>
      </c>
      <c r="R15">
        <v>7312.03</v>
      </c>
    </row>
    <row r="16" spans="1:18" hidden="1">
      <c r="A16" t="s">
        <v>1487</v>
      </c>
      <c r="B16" t="s">
        <v>241</v>
      </c>
      <c r="C16" t="s">
        <v>242</v>
      </c>
      <c r="D16" s="28">
        <v>2690</v>
      </c>
      <c r="E16" s="19">
        <f t="shared" si="1"/>
        <v>96.071428571428569</v>
      </c>
      <c r="F16" s="5">
        <v>5741.03</v>
      </c>
      <c r="I16" s="19">
        <f t="shared" si="2"/>
        <v>5380</v>
      </c>
      <c r="J16" t="b">
        <f t="shared" si="3"/>
        <v>1</v>
      </c>
      <c r="K16" s="4">
        <f t="shared" si="0"/>
        <v>6.7105947955390377E-2</v>
      </c>
      <c r="N16"/>
      <c r="P16" t="s">
        <v>80</v>
      </c>
      <c r="Q16">
        <v>3689</v>
      </c>
      <c r="R16">
        <v>5998.01</v>
      </c>
    </row>
    <row r="17" spans="1:18" hidden="1">
      <c r="A17" t="s">
        <v>1488</v>
      </c>
      <c r="B17" t="s">
        <v>510</v>
      </c>
      <c r="C17" t="s">
        <v>511</v>
      </c>
      <c r="D17" s="28">
        <v>3811</v>
      </c>
      <c r="E17" s="19">
        <f t="shared" si="1"/>
        <v>136.10714285714286</v>
      </c>
      <c r="F17" s="5">
        <v>7077.45</v>
      </c>
      <c r="I17" s="19">
        <f t="shared" si="2"/>
        <v>7622</v>
      </c>
      <c r="J17" t="b">
        <f t="shared" si="3"/>
        <v>1</v>
      </c>
      <c r="K17" s="4">
        <f t="shared" si="0"/>
        <v>-7.1444502755182437E-2</v>
      </c>
      <c r="N17"/>
      <c r="P17" t="s">
        <v>134</v>
      </c>
      <c r="Q17">
        <v>1500</v>
      </c>
      <c r="R17">
        <v>3242.85</v>
      </c>
    </row>
    <row r="18" spans="1:18" hidden="1">
      <c r="A18" t="s">
        <v>1488</v>
      </c>
      <c r="B18" t="s">
        <v>514</v>
      </c>
      <c r="C18" t="s">
        <v>515</v>
      </c>
      <c r="D18" s="28">
        <v>3511</v>
      </c>
      <c r="E18" s="19">
        <f t="shared" si="1"/>
        <v>125.39285714285714</v>
      </c>
      <c r="F18" s="5">
        <v>2935.91</v>
      </c>
      <c r="I18" s="19">
        <f t="shared" si="2"/>
        <v>7022</v>
      </c>
      <c r="J18" t="b">
        <f t="shared" si="3"/>
        <v>1</v>
      </c>
      <c r="K18" s="4">
        <f t="shared" si="0"/>
        <v>-0.58189831956707494</v>
      </c>
      <c r="N18"/>
      <c r="P18" t="s">
        <v>483</v>
      </c>
      <c r="Q18">
        <v>2196</v>
      </c>
      <c r="R18">
        <v>4307.3100000000004</v>
      </c>
    </row>
    <row r="19" spans="1:18" hidden="1">
      <c r="A19" t="s">
        <v>1487</v>
      </c>
      <c r="B19" t="s">
        <v>179</v>
      </c>
      <c r="C19" t="s">
        <v>180</v>
      </c>
      <c r="D19" s="28">
        <v>2593</v>
      </c>
      <c r="E19" s="19">
        <f t="shared" si="1"/>
        <v>92.607142857142861</v>
      </c>
      <c r="F19" s="5">
        <v>4311.1899999999996</v>
      </c>
      <c r="I19" s="19">
        <f t="shared" si="2"/>
        <v>5186</v>
      </c>
      <c r="J19" t="b">
        <f t="shared" si="3"/>
        <v>1</v>
      </c>
      <c r="K19" s="4">
        <f t="shared" si="0"/>
        <v>-0.16868684920941002</v>
      </c>
      <c r="N19"/>
      <c r="P19" t="s">
        <v>162</v>
      </c>
      <c r="Q19">
        <v>1326</v>
      </c>
      <c r="R19">
        <v>2816.7</v>
      </c>
    </row>
    <row r="20" spans="1:18" hidden="1">
      <c r="A20" t="s">
        <v>1489</v>
      </c>
      <c r="B20" t="s">
        <v>568</v>
      </c>
      <c r="C20" t="s">
        <v>569</v>
      </c>
      <c r="D20" s="28">
        <v>2282</v>
      </c>
      <c r="E20" s="19">
        <f t="shared" si="1"/>
        <v>81.5</v>
      </c>
      <c r="F20" s="5">
        <v>4981.26</v>
      </c>
      <c r="I20" s="19">
        <f t="shared" si="2"/>
        <v>4564</v>
      </c>
      <c r="J20" t="b">
        <f t="shared" si="3"/>
        <v>1</v>
      </c>
      <c r="K20" s="4">
        <f t="shared" si="0"/>
        <v>9.1424189307624859E-2</v>
      </c>
      <c r="N20"/>
      <c r="P20" t="s">
        <v>399</v>
      </c>
      <c r="Q20">
        <v>1109</v>
      </c>
      <c r="R20">
        <v>2476.85</v>
      </c>
    </row>
    <row r="21" spans="1:18" ht="30" hidden="1">
      <c r="A21" t="s">
        <v>1487</v>
      </c>
      <c r="B21" s="55" t="s">
        <v>544</v>
      </c>
      <c r="C21" s="37" t="s">
        <v>545</v>
      </c>
      <c r="D21" s="28">
        <v>2347</v>
      </c>
      <c r="E21" s="19">
        <f t="shared" si="1"/>
        <v>83.821428571428569</v>
      </c>
      <c r="F21" s="5">
        <v>1803.12</v>
      </c>
      <c r="I21" s="19">
        <f t="shared" si="2"/>
        <v>4694</v>
      </c>
      <c r="J21" t="b">
        <f t="shared" si="3"/>
        <v>1</v>
      </c>
      <c r="K21" s="4">
        <f t="shared" si="0"/>
        <v>-0.61586706433745209</v>
      </c>
      <c r="N21"/>
      <c r="P21" t="s">
        <v>501</v>
      </c>
      <c r="Q21">
        <v>4052</v>
      </c>
      <c r="R21">
        <v>6748.08</v>
      </c>
    </row>
    <row r="22" spans="1:18" hidden="1">
      <c r="A22" t="s">
        <v>1487</v>
      </c>
      <c r="B22" t="s">
        <v>81</v>
      </c>
      <c r="C22" t="s">
        <v>82</v>
      </c>
      <c r="D22" s="28">
        <v>10209</v>
      </c>
      <c r="E22" s="19">
        <f t="shared" si="1"/>
        <v>364.60714285714283</v>
      </c>
      <c r="F22" s="5">
        <v>6943.26</v>
      </c>
      <c r="I22" s="19">
        <f t="shared" si="2"/>
        <v>20418</v>
      </c>
      <c r="J22" t="b">
        <f t="shared" si="3"/>
        <v>1</v>
      </c>
      <c r="K22" s="4">
        <f t="shared" si="0"/>
        <v>-0.65994416691154867</v>
      </c>
      <c r="N22"/>
      <c r="P22" t="s">
        <v>419</v>
      </c>
      <c r="Q22">
        <v>1476</v>
      </c>
      <c r="R22">
        <v>2358.27</v>
      </c>
    </row>
    <row r="23" spans="1:18" hidden="1">
      <c r="A23" t="s">
        <v>1489</v>
      </c>
      <c r="B23" t="s">
        <v>580</v>
      </c>
      <c r="C23" t="s">
        <v>581</v>
      </c>
      <c r="D23" s="28">
        <v>1524</v>
      </c>
      <c r="E23" s="19">
        <f t="shared" si="1"/>
        <v>54.428571428571431</v>
      </c>
      <c r="F23" s="5">
        <v>2752.11</v>
      </c>
      <c r="I23" s="123">
        <f t="shared" si="2"/>
        <v>3048</v>
      </c>
      <c r="J23" t="b">
        <f t="shared" si="3"/>
        <v>1</v>
      </c>
      <c r="K23" s="4">
        <f t="shared" si="0"/>
        <v>-9.7076771653543226E-2</v>
      </c>
      <c r="P23" t="s">
        <v>701</v>
      </c>
      <c r="Q23">
        <v>14987</v>
      </c>
      <c r="R23">
        <v>5594.85</v>
      </c>
    </row>
    <row r="24" spans="1:18" hidden="1">
      <c r="A24" t="s">
        <v>1488</v>
      </c>
      <c r="B24" t="s">
        <v>648</v>
      </c>
      <c r="C24" t="s">
        <v>649</v>
      </c>
      <c r="D24" s="28">
        <v>3476</v>
      </c>
      <c r="E24" s="19">
        <f t="shared" si="1"/>
        <v>124.14285714285714</v>
      </c>
      <c r="F24" s="5">
        <v>4305.6099999999997</v>
      </c>
      <c r="I24" s="19">
        <f t="shared" si="2"/>
        <v>6952</v>
      </c>
      <c r="J24" t="b">
        <f t="shared" si="3"/>
        <v>1</v>
      </c>
      <c r="K24" s="4">
        <f t="shared" si="0"/>
        <v>-0.38066599539700807</v>
      </c>
      <c r="N24"/>
      <c r="P24" t="s">
        <v>384</v>
      </c>
      <c r="Q24">
        <v>652</v>
      </c>
      <c r="R24">
        <v>1070.94</v>
      </c>
    </row>
    <row r="25" spans="1:18" hidden="1">
      <c r="A25" t="s">
        <v>1487</v>
      </c>
      <c r="B25" s="55" t="s">
        <v>606</v>
      </c>
      <c r="C25" s="37" t="s">
        <v>607</v>
      </c>
      <c r="D25" s="28">
        <v>1158</v>
      </c>
      <c r="E25" s="19">
        <f t="shared" si="1"/>
        <v>41.357142857142854</v>
      </c>
      <c r="F25" s="5">
        <v>2290.91</v>
      </c>
      <c r="I25" s="135">
        <f t="shared" si="2"/>
        <v>2316</v>
      </c>
      <c r="J25" t="b">
        <f t="shared" si="3"/>
        <v>1</v>
      </c>
      <c r="K25" s="4">
        <f t="shared" si="0"/>
        <v>-1.0833333333333361E-2</v>
      </c>
      <c r="N25"/>
      <c r="P25" t="s">
        <v>182</v>
      </c>
      <c r="Q25">
        <v>1671</v>
      </c>
      <c r="R25">
        <v>2325.75</v>
      </c>
    </row>
    <row r="26" spans="1:18" hidden="1">
      <c r="A26" t="s">
        <v>1487</v>
      </c>
      <c r="B26" t="s">
        <v>247</v>
      </c>
      <c r="C26" t="s">
        <v>248</v>
      </c>
      <c r="D26" s="28">
        <v>2461</v>
      </c>
      <c r="E26" s="19">
        <f t="shared" si="1"/>
        <v>87.892857142857139</v>
      </c>
      <c r="F26" s="5">
        <v>4248.1499999999996</v>
      </c>
      <c r="I26" s="19">
        <f t="shared" si="2"/>
        <v>4922</v>
      </c>
      <c r="J26" t="b">
        <f t="shared" si="3"/>
        <v>1</v>
      </c>
      <c r="K26" s="4">
        <f t="shared" si="0"/>
        <v>-0.13690572937830159</v>
      </c>
      <c r="N26"/>
      <c r="P26" t="s">
        <v>40</v>
      </c>
      <c r="Q26">
        <v>2656</v>
      </c>
      <c r="R26">
        <v>5003.68</v>
      </c>
    </row>
    <row r="27" spans="1:18" hidden="1">
      <c r="A27" t="s">
        <v>1487</v>
      </c>
      <c r="B27" t="s">
        <v>652</v>
      </c>
      <c r="C27" t="s">
        <v>653</v>
      </c>
      <c r="D27" s="28">
        <v>3880</v>
      </c>
      <c r="E27" s="19">
        <f t="shared" si="1"/>
        <v>138.57142857142858</v>
      </c>
      <c r="F27" s="5">
        <v>3569.45</v>
      </c>
      <c r="I27" s="19">
        <f t="shared" si="2"/>
        <v>7760</v>
      </c>
      <c r="J27" t="b">
        <f t="shared" si="3"/>
        <v>1</v>
      </c>
      <c r="K27" s="4">
        <f t="shared" si="0"/>
        <v>-0.54001932989690726</v>
      </c>
      <c r="N27"/>
      <c r="P27" t="s">
        <v>296</v>
      </c>
      <c r="Q27">
        <v>596</v>
      </c>
      <c r="R27">
        <v>1267.94</v>
      </c>
    </row>
    <row r="28" spans="1:18" hidden="1">
      <c r="A28" t="s">
        <v>1488</v>
      </c>
      <c r="B28" t="s">
        <v>39</v>
      </c>
      <c r="C28" t="s">
        <v>40</v>
      </c>
      <c r="D28" s="28">
        <v>707</v>
      </c>
      <c r="E28" s="19">
        <f t="shared" si="1"/>
        <v>25.25</v>
      </c>
      <c r="F28" s="5">
        <v>1664.94</v>
      </c>
      <c r="I28" s="19">
        <f t="shared" si="2"/>
        <v>1414</v>
      </c>
      <c r="J28" t="b">
        <f t="shared" si="3"/>
        <v>1</v>
      </c>
      <c r="K28" s="4">
        <f t="shared" si="0"/>
        <v>0.17746817538896753</v>
      </c>
      <c r="N28"/>
      <c r="P28" t="s">
        <v>144</v>
      </c>
      <c r="Q28">
        <v>1681</v>
      </c>
      <c r="R28">
        <v>3245.25</v>
      </c>
    </row>
    <row r="29" spans="1:18" hidden="1">
      <c r="A29" t="s">
        <v>1488</v>
      </c>
      <c r="B29" t="s">
        <v>480</v>
      </c>
      <c r="C29" t="s">
        <v>481</v>
      </c>
      <c r="D29" s="28">
        <v>4280</v>
      </c>
      <c r="E29" s="19">
        <f t="shared" si="1"/>
        <v>152.85714285714286</v>
      </c>
      <c r="F29" s="5">
        <v>6963.16</v>
      </c>
      <c r="I29" s="19">
        <f t="shared" si="2"/>
        <v>8560</v>
      </c>
      <c r="J29" t="b">
        <f t="shared" si="3"/>
        <v>1</v>
      </c>
      <c r="K29" s="4">
        <f t="shared" si="0"/>
        <v>-0.18654672897196267</v>
      </c>
      <c r="N29"/>
      <c r="P29" t="s">
        <v>607</v>
      </c>
      <c r="Q29">
        <v>1969</v>
      </c>
      <c r="R29">
        <v>2178.64</v>
      </c>
    </row>
    <row r="30" spans="1:18" hidden="1">
      <c r="A30" t="s">
        <v>1488</v>
      </c>
      <c r="B30" t="s">
        <v>313</v>
      </c>
      <c r="C30" t="s">
        <v>314</v>
      </c>
      <c r="D30" s="28">
        <v>962</v>
      </c>
      <c r="E30" s="19">
        <f t="shared" si="1"/>
        <v>34.357142857142854</v>
      </c>
      <c r="F30" s="5">
        <v>2205.4499999999998</v>
      </c>
      <c r="I30" s="19">
        <f t="shared" si="2"/>
        <v>1924</v>
      </c>
      <c r="J30" t="b">
        <f t="shared" si="3"/>
        <v>1</v>
      </c>
      <c r="K30" s="4">
        <f t="shared" si="0"/>
        <v>0.14628378378378359</v>
      </c>
      <c r="N30"/>
      <c r="P30" t="s">
        <v>417</v>
      </c>
      <c r="Q30">
        <v>1923</v>
      </c>
      <c r="R30">
        <v>3253.75</v>
      </c>
    </row>
    <row r="31" spans="1:18" hidden="1">
      <c r="A31" t="s">
        <v>1487</v>
      </c>
      <c r="B31" t="s">
        <v>634</v>
      </c>
      <c r="C31" t="s">
        <v>635</v>
      </c>
      <c r="D31" s="28">
        <v>3268</v>
      </c>
      <c r="E31" s="19">
        <f t="shared" si="1"/>
        <v>116.71428571428571</v>
      </c>
      <c r="F31" s="5">
        <v>5208.3</v>
      </c>
      <c r="I31" s="19">
        <f t="shared" si="2"/>
        <v>6536</v>
      </c>
      <c r="J31" t="b">
        <f t="shared" si="3"/>
        <v>1</v>
      </c>
      <c r="K31" s="4">
        <f t="shared" si="0"/>
        <v>-0.20313647490820075</v>
      </c>
      <c r="N31"/>
      <c r="P31" t="s">
        <v>272</v>
      </c>
      <c r="Q31">
        <v>1541</v>
      </c>
      <c r="R31">
        <v>3749.62</v>
      </c>
    </row>
    <row r="32" spans="1:18" hidden="1">
      <c r="A32" t="s">
        <v>1487</v>
      </c>
      <c r="B32" t="s">
        <v>522</v>
      </c>
      <c r="C32" t="s">
        <v>523</v>
      </c>
      <c r="D32" s="28">
        <v>2235</v>
      </c>
      <c r="E32" s="19">
        <f t="shared" si="1"/>
        <v>79.821428571428569</v>
      </c>
      <c r="F32" s="5">
        <v>3947.67</v>
      </c>
      <c r="I32" s="19">
        <f t="shared" si="2"/>
        <v>4470</v>
      </c>
      <c r="J32" t="b">
        <f t="shared" si="3"/>
        <v>1</v>
      </c>
      <c r="K32" s="4">
        <f t="shared" si="0"/>
        <v>-0.11685234899328856</v>
      </c>
      <c r="N32"/>
      <c r="P32" t="s">
        <v>523</v>
      </c>
      <c r="Q32">
        <v>2159</v>
      </c>
      <c r="R32">
        <v>4083.97</v>
      </c>
    </row>
    <row r="33" spans="1:18" hidden="1">
      <c r="A33" t="s">
        <v>1487</v>
      </c>
      <c r="B33" t="s">
        <v>674</v>
      </c>
      <c r="C33" t="s">
        <v>675</v>
      </c>
      <c r="D33" s="28">
        <v>4349</v>
      </c>
      <c r="E33" s="19">
        <f t="shared" si="1"/>
        <v>155.32142857142858</v>
      </c>
      <c r="F33" s="5">
        <v>3670.53</v>
      </c>
      <c r="I33" s="123">
        <f t="shared" si="2"/>
        <v>8698</v>
      </c>
      <c r="J33" t="b">
        <f t="shared" si="3"/>
        <v>1</v>
      </c>
      <c r="K33" s="4">
        <f t="shared" si="0"/>
        <v>-0.57800298919291793</v>
      </c>
      <c r="N33" s="127"/>
      <c r="P33" t="s">
        <v>104</v>
      </c>
      <c r="Q33">
        <v>1658</v>
      </c>
      <c r="R33">
        <v>4124.5</v>
      </c>
    </row>
    <row r="34" spans="1:18">
      <c r="A34" t="s">
        <v>1488</v>
      </c>
      <c r="B34" t="s">
        <v>85</v>
      </c>
      <c r="C34" t="s">
        <v>86</v>
      </c>
      <c r="D34" s="28">
        <v>1580</v>
      </c>
      <c r="E34" s="19">
        <f t="shared" si="1"/>
        <v>56.428571428571431</v>
      </c>
      <c r="F34" s="5">
        <v>3844.15</v>
      </c>
      <c r="I34" s="19">
        <f t="shared" si="2"/>
        <v>3160</v>
      </c>
      <c r="J34" t="b">
        <f t="shared" si="3"/>
        <v>0</v>
      </c>
      <c r="K34" s="4">
        <f t="shared" si="0"/>
        <v>0.21650316455696195</v>
      </c>
      <c r="N34"/>
      <c r="P34" t="s">
        <v>509</v>
      </c>
      <c r="Q34">
        <v>1546</v>
      </c>
      <c r="R34">
        <v>1959.09</v>
      </c>
    </row>
    <row r="35" spans="1:18" hidden="1">
      <c r="A35" t="s">
        <v>1488</v>
      </c>
      <c r="B35" s="54" t="s">
        <v>61</v>
      </c>
      <c r="C35" s="37" t="s">
        <v>62</v>
      </c>
      <c r="D35" s="28">
        <v>1823</v>
      </c>
      <c r="E35" s="19">
        <f t="shared" si="1"/>
        <v>65.107142857142861</v>
      </c>
      <c r="F35" s="5">
        <v>2166.79</v>
      </c>
      <c r="I35" s="135">
        <f t="shared" si="2"/>
        <v>3646</v>
      </c>
      <c r="J35" t="b">
        <f t="shared" si="3"/>
        <v>1</v>
      </c>
      <c r="K35" s="4">
        <f t="shared" si="0"/>
        <v>-0.40570762479429512</v>
      </c>
      <c r="N35"/>
      <c r="P35" t="s">
        <v>248</v>
      </c>
      <c r="Q35">
        <v>2684</v>
      </c>
      <c r="R35">
        <v>4208.54</v>
      </c>
    </row>
    <row r="36" spans="1:18" hidden="1">
      <c r="A36" t="s">
        <v>1487</v>
      </c>
      <c r="B36" t="s">
        <v>147</v>
      </c>
      <c r="C36" t="s">
        <v>148</v>
      </c>
      <c r="D36" s="28">
        <v>2585</v>
      </c>
      <c r="E36" s="19">
        <f t="shared" si="1"/>
        <v>92.321428571428569</v>
      </c>
      <c r="F36" s="5">
        <v>3829.71</v>
      </c>
      <c r="I36" s="19">
        <f t="shared" si="2"/>
        <v>5170</v>
      </c>
      <c r="J36" t="b">
        <f t="shared" si="3"/>
        <v>1</v>
      </c>
      <c r="K36" s="4">
        <f t="shared" si="0"/>
        <v>-0.25924371373307542</v>
      </c>
      <c r="N36"/>
      <c r="P36" t="s">
        <v>30</v>
      </c>
      <c r="Q36">
        <v>4901</v>
      </c>
      <c r="R36">
        <v>9133.83</v>
      </c>
    </row>
    <row r="37" spans="1:18" hidden="1">
      <c r="A37" t="s">
        <v>1487</v>
      </c>
      <c r="B37" t="s">
        <v>19</v>
      </c>
      <c r="C37" t="s">
        <v>20</v>
      </c>
      <c r="D37" s="28">
        <v>30</v>
      </c>
      <c r="E37" s="19">
        <f t="shared" si="1"/>
        <v>1.0714285714285714</v>
      </c>
      <c r="F37" s="5">
        <v>0</v>
      </c>
      <c r="I37" s="19">
        <f t="shared" si="2"/>
        <v>60</v>
      </c>
      <c r="J37" t="b">
        <f t="shared" si="3"/>
        <v>1</v>
      </c>
      <c r="K37" s="4">
        <f t="shared" si="0"/>
        <v>-1</v>
      </c>
      <c r="N37"/>
      <c r="P37" t="s">
        <v>348</v>
      </c>
      <c r="Q37">
        <v>1150</v>
      </c>
      <c r="R37">
        <v>1379.51</v>
      </c>
    </row>
    <row r="38" spans="1:18" hidden="1">
      <c r="A38" t="s">
        <v>1487</v>
      </c>
      <c r="B38" t="s">
        <v>57</v>
      </c>
      <c r="C38" t="s">
        <v>58</v>
      </c>
      <c r="D38" s="28">
        <v>2512</v>
      </c>
      <c r="E38" s="19">
        <f t="shared" si="1"/>
        <v>89.714285714285708</v>
      </c>
      <c r="F38" s="5">
        <v>2938.93</v>
      </c>
      <c r="I38" s="19">
        <f t="shared" si="2"/>
        <v>5024</v>
      </c>
      <c r="J38" t="b">
        <f t="shared" si="3"/>
        <v>1</v>
      </c>
      <c r="K38" s="4">
        <f t="shared" si="0"/>
        <v>-0.41502189490445862</v>
      </c>
      <c r="N38"/>
      <c r="P38" t="s">
        <v>62</v>
      </c>
      <c r="Q38">
        <v>3490</v>
      </c>
      <c r="R38">
        <v>6233.8</v>
      </c>
    </row>
    <row r="39" spans="1:18" hidden="1">
      <c r="A39" t="s">
        <v>1489</v>
      </c>
      <c r="B39" t="s">
        <v>590</v>
      </c>
      <c r="C39" t="s">
        <v>591</v>
      </c>
      <c r="D39" s="28">
        <v>1987</v>
      </c>
      <c r="E39" s="19">
        <f t="shared" si="1"/>
        <v>70.964285714285708</v>
      </c>
      <c r="F39" s="5">
        <v>1761.99</v>
      </c>
      <c r="I39" s="19">
        <f t="shared" si="2"/>
        <v>3974</v>
      </c>
      <c r="J39" t="b">
        <f t="shared" si="3"/>
        <v>1</v>
      </c>
      <c r="K39" s="4">
        <f t="shared" si="0"/>
        <v>-0.55662053346753892</v>
      </c>
      <c r="N39"/>
      <c r="P39" t="s">
        <v>152</v>
      </c>
      <c r="Q39">
        <v>973</v>
      </c>
      <c r="R39">
        <v>1765</v>
      </c>
    </row>
    <row r="40" spans="1:18" hidden="1">
      <c r="A40" t="s">
        <v>1487</v>
      </c>
      <c r="B40" t="s">
        <v>596</v>
      </c>
      <c r="C40" t="s">
        <v>597</v>
      </c>
      <c r="D40" s="28">
        <v>1309</v>
      </c>
      <c r="E40" s="19">
        <f t="shared" si="1"/>
        <v>46.75</v>
      </c>
      <c r="F40" s="5">
        <v>370.5</v>
      </c>
      <c r="I40" s="19">
        <f t="shared" si="2"/>
        <v>2618</v>
      </c>
      <c r="J40" t="b">
        <f t="shared" si="3"/>
        <v>1</v>
      </c>
      <c r="K40" s="4">
        <f t="shared" si="0"/>
        <v>-0.85847975553857903</v>
      </c>
      <c r="N40"/>
      <c r="P40" t="s">
        <v>475</v>
      </c>
      <c r="Q40">
        <v>1611</v>
      </c>
      <c r="R40">
        <v>2692.2</v>
      </c>
    </row>
    <row r="41" spans="1:18" hidden="1">
      <c r="A41" t="s">
        <v>1489</v>
      </c>
      <c r="B41" t="s">
        <v>422</v>
      </c>
      <c r="C41" t="s">
        <v>423</v>
      </c>
      <c r="D41" s="28">
        <v>51</v>
      </c>
      <c r="E41" s="19">
        <f t="shared" si="1"/>
        <v>1.8214285714285714</v>
      </c>
      <c r="F41" s="5">
        <v>57.46</v>
      </c>
      <c r="I41" s="19">
        <f t="shared" si="2"/>
        <v>102</v>
      </c>
      <c r="J41" t="b">
        <f t="shared" si="3"/>
        <v>1</v>
      </c>
      <c r="K41" s="4">
        <f t="shared" si="0"/>
        <v>-0.43666666666666665</v>
      </c>
      <c r="N41"/>
      <c r="P41" t="s">
        <v>649</v>
      </c>
      <c r="Q41">
        <v>2321</v>
      </c>
      <c r="R41">
        <v>4250.3999999999996</v>
      </c>
    </row>
    <row r="42" spans="1:18" hidden="1">
      <c r="A42" t="s">
        <v>1489</v>
      </c>
      <c r="B42" t="s">
        <v>680</v>
      </c>
      <c r="C42" t="s">
        <v>681</v>
      </c>
      <c r="D42" s="28">
        <v>5456</v>
      </c>
      <c r="E42" s="19">
        <f t="shared" si="1"/>
        <v>194.85714285714286</v>
      </c>
      <c r="F42" s="5">
        <v>8935.69</v>
      </c>
      <c r="I42" s="19">
        <f t="shared" si="2"/>
        <v>10912</v>
      </c>
      <c r="J42" t="b">
        <f t="shared" si="3"/>
        <v>1</v>
      </c>
      <c r="K42" s="4">
        <f t="shared" si="0"/>
        <v>-0.18111345307917881</v>
      </c>
      <c r="N42"/>
      <c r="P42" t="s">
        <v>106</v>
      </c>
      <c r="Q42">
        <v>2223</v>
      </c>
      <c r="R42">
        <v>4480.07</v>
      </c>
    </row>
    <row r="43" spans="1:18" hidden="1">
      <c r="A43" t="s">
        <v>1489</v>
      </c>
      <c r="B43" s="55" t="s">
        <v>582</v>
      </c>
      <c r="C43" s="37" t="s">
        <v>583</v>
      </c>
      <c r="D43" s="28">
        <v>2237</v>
      </c>
      <c r="E43" s="19">
        <f t="shared" si="1"/>
        <v>79.892857142857139</v>
      </c>
      <c r="F43" s="5">
        <v>3245.27</v>
      </c>
      <c r="I43" s="135">
        <f t="shared" si="2"/>
        <v>4474</v>
      </c>
      <c r="J43" t="b">
        <f t="shared" si="3"/>
        <v>1</v>
      </c>
      <c r="K43" s="4">
        <f t="shared" si="0"/>
        <v>-0.27463790791238263</v>
      </c>
      <c r="N43"/>
      <c r="P43" t="s">
        <v>352</v>
      </c>
      <c r="Q43">
        <v>741</v>
      </c>
      <c r="R43">
        <v>1596.79</v>
      </c>
    </row>
    <row r="44" spans="1:18" hidden="1">
      <c r="A44" t="s">
        <v>1487</v>
      </c>
      <c r="B44" s="56" t="s">
        <v>668</v>
      </c>
      <c r="C44" s="37" t="s">
        <v>669</v>
      </c>
      <c r="D44" s="28">
        <v>1545</v>
      </c>
      <c r="E44" s="19">
        <f t="shared" si="1"/>
        <v>55.178571428571431</v>
      </c>
      <c r="F44" s="5">
        <v>2127.96</v>
      </c>
      <c r="I44" s="19">
        <f t="shared" si="2"/>
        <v>3090</v>
      </c>
      <c r="J44" t="b">
        <f t="shared" si="3"/>
        <v>1</v>
      </c>
      <c r="K44" s="4">
        <f t="shared" si="0"/>
        <v>-0.31133980582524268</v>
      </c>
      <c r="N44"/>
      <c r="P44" t="s">
        <v>242</v>
      </c>
      <c r="Q44">
        <v>1931</v>
      </c>
      <c r="R44">
        <v>4461.28</v>
      </c>
    </row>
    <row r="45" spans="1:18" hidden="1">
      <c r="A45" t="s">
        <v>1488</v>
      </c>
      <c r="B45" t="s">
        <v>235</v>
      </c>
      <c r="C45" t="s">
        <v>236</v>
      </c>
      <c r="D45" s="28">
        <v>677</v>
      </c>
      <c r="E45" s="19">
        <f t="shared" si="1"/>
        <v>24.178571428571427</v>
      </c>
      <c r="F45" s="5">
        <v>519.17999999999995</v>
      </c>
      <c r="I45" s="135">
        <f t="shared" si="2"/>
        <v>1354</v>
      </c>
      <c r="J45" t="b">
        <f t="shared" si="3"/>
        <v>1</v>
      </c>
      <c r="K45" s="4">
        <f t="shared" si="0"/>
        <v>-0.61655834564254064</v>
      </c>
      <c r="N45"/>
      <c r="P45" t="s">
        <v>386</v>
      </c>
      <c r="Q45">
        <v>1390</v>
      </c>
      <c r="R45">
        <v>1789.01</v>
      </c>
    </row>
    <row r="46" spans="1:18" ht="30" hidden="1">
      <c r="A46" t="s">
        <v>1488</v>
      </c>
      <c r="B46" s="55" t="s">
        <v>436</v>
      </c>
      <c r="C46" s="37" t="s">
        <v>437</v>
      </c>
      <c r="D46" s="28">
        <v>2464</v>
      </c>
      <c r="E46" s="19">
        <f t="shared" si="1"/>
        <v>88</v>
      </c>
      <c r="F46" s="5">
        <v>5303.9</v>
      </c>
      <c r="I46" s="19">
        <f t="shared" si="2"/>
        <v>4928</v>
      </c>
      <c r="J46" t="b">
        <f t="shared" si="3"/>
        <v>1</v>
      </c>
      <c r="K46" s="4">
        <f t="shared" si="0"/>
        <v>7.6278409090908994E-2</v>
      </c>
      <c r="N46"/>
      <c r="P46" t="s">
        <v>493</v>
      </c>
      <c r="Q46">
        <v>940</v>
      </c>
      <c r="R46">
        <v>1618.45</v>
      </c>
    </row>
    <row r="47" spans="1:18" ht="30" hidden="1">
      <c r="A47" t="s">
        <v>1487</v>
      </c>
      <c r="B47" s="55" t="s">
        <v>636</v>
      </c>
      <c r="C47" s="37" t="s">
        <v>637</v>
      </c>
      <c r="D47" s="28">
        <v>1636</v>
      </c>
      <c r="E47" s="19">
        <f t="shared" si="1"/>
        <v>58.428571428571431</v>
      </c>
      <c r="F47" s="5">
        <v>2904.65</v>
      </c>
      <c r="I47" s="135">
        <f t="shared" si="2"/>
        <v>3272</v>
      </c>
      <c r="J47" t="b">
        <f t="shared" si="3"/>
        <v>1</v>
      </c>
      <c r="K47" s="4">
        <f t="shared" si="0"/>
        <v>-0.11227078239608801</v>
      </c>
      <c r="N47"/>
      <c r="P47" t="s">
        <v>605</v>
      </c>
      <c r="Q47">
        <v>3488</v>
      </c>
      <c r="R47">
        <v>6528.03</v>
      </c>
    </row>
    <row r="48" spans="1:18" hidden="1">
      <c r="A48" t="s">
        <v>1487</v>
      </c>
      <c r="B48" t="s">
        <v>339</v>
      </c>
      <c r="C48" t="s">
        <v>340</v>
      </c>
      <c r="D48" s="28">
        <v>1828</v>
      </c>
      <c r="E48" s="19">
        <f t="shared" si="1"/>
        <v>65.285714285714292</v>
      </c>
      <c r="F48" s="5">
        <v>2926.81</v>
      </c>
      <c r="I48" s="19">
        <f t="shared" si="2"/>
        <v>3656</v>
      </c>
      <c r="J48" t="b">
        <f t="shared" si="3"/>
        <v>1</v>
      </c>
      <c r="K48" s="4">
        <f t="shared" si="0"/>
        <v>-0.19945021881838076</v>
      </c>
      <c r="N48"/>
      <c r="P48" t="s">
        <v>166</v>
      </c>
      <c r="Q48">
        <v>5377</v>
      </c>
      <c r="R48">
        <v>8788.83</v>
      </c>
    </row>
    <row r="49" spans="1:18" hidden="1">
      <c r="A49" t="s">
        <v>1487</v>
      </c>
      <c r="B49" t="s">
        <v>135</v>
      </c>
      <c r="C49" t="s">
        <v>136</v>
      </c>
      <c r="D49" s="28">
        <v>1959</v>
      </c>
      <c r="E49" s="19">
        <f t="shared" si="1"/>
        <v>69.964285714285708</v>
      </c>
      <c r="F49" s="5">
        <v>2788.45</v>
      </c>
      <c r="I49" s="135">
        <f t="shared" si="2"/>
        <v>3918</v>
      </c>
      <c r="J49" t="b">
        <f t="shared" si="3"/>
        <v>1</v>
      </c>
      <c r="K49" s="4">
        <f t="shared" si="0"/>
        <v>-0.28829760081674327</v>
      </c>
      <c r="N49"/>
      <c r="P49" t="s">
        <v>471</v>
      </c>
      <c r="Q49">
        <v>633</v>
      </c>
      <c r="R49">
        <v>1173.22</v>
      </c>
    </row>
    <row r="50" spans="1:18" hidden="1">
      <c r="A50" t="s">
        <v>1487</v>
      </c>
      <c r="B50" t="s">
        <v>588</v>
      </c>
      <c r="C50" t="s">
        <v>589</v>
      </c>
      <c r="D50" s="28">
        <v>1837</v>
      </c>
      <c r="E50" s="19">
        <f t="shared" si="1"/>
        <v>65.607142857142861</v>
      </c>
      <c r="F50" s="5">
        <v>1538.53</v>
      </c>
      <c r="I50" s="19">
        <f t="shared" si="2"/>
        <v>3674</v>
      </c>
      <c r="J50" t="b">
        <f t="shared" si="3"/>
        <v>1</v>
      </c>
      <c r="K50" s="4">
        <f t="shared" si="0"/>
        <v>-0.5812384322264561</v>
      </c>
      <c r="N50"/>
      <c r="P50" t="s">
        <v>192</v>
      </c>
      <c r="Q50">
        <v>1412</v>
      </c>
      <c r="R50">
        <v>2519.35</v>
      </c>
    </row>
    <row r="51" spans="1:18" hidden="1">
      <c r="A51" t="s">
        <v>1488</v>
      </c>
      <c r="B51" s="37" t="s">
        <v>105</v>
      </c>
      <c r="C51" s="37" t="s">
        <v>106</v>
      </c>
      <c r="D51" s="28">
        <v>1935</v>
      </c>
      <c r="E51" s="19">
        <f t="shared" si="1"/>
        <v>69.107142857142861</v>
      </c>
      <c r="F51" s="5">
        <v>2941.58</v>
      </c>
      <c r="I51" s="135">
        <f t="shared" si="2"/>
        <v>3870</v>
      </c>
      <c r="J51" t="b">
        <f t="shared" si="3"/>
        <v>1</v>
      </c>
      <c r="K51" s="4">
        <f t="shared" si="0"/>
        <v>-0.23990180878552969</v>
      </c>
      <c r="N51"/>
      <c r="P51" t="s">
        <v>336</v>
      </c>
      <c r="Q51">
        <v>829</v>
      </c>
      <c r="R51">
        <v>1139.6600000000001</v>
      </c>
    </row>
    <row r="52" spans="1:18" hidden="1">
      <c r="A52" t="s">
        <v>1488</v>
      </c>
      <c r="B52" t="s">
        <v>574</v>
      </c>
      <c r="C52" t="s">
        <v>575</v>
      </c>
      <c r="D52" s="28">
        <v>1930</v>
      </c>
      <c r="E52" s="19">
        <f t="shared" si="1"/>
        <v>68.928571428571431</v>
      </c>
      <c r="F52" s="5">
        <v>3002.78</v>
      </c>
      <c r="I52" s="19">
        <f t="shared" si="2"/>
        <v>3860</v>
      </c>
      <c r="J52" t="b">
        <f t="shared" si="3"/>
        <v>1</v>
      </c>
      <c r="K52" s="4">
        <f t="shared" si="0"/>
        <v>-0.2220777202072538</v>
      </c>
      <c r="N52"/>
      <c r="P52" t="s">
        <v>28</v>
      </c>
      <c r="Q52">
        <v>3176</v>
      </c>
      <c r="R52">
        <v>4296.8900000000003</v>
      </c>
    </row>
    <row r="53" spans="1:18" hidden="1">
      <c r="A53" t="s">
        <v>1488</v>
      </c>
      <c r="B53" t="s">
        <v>137</v>
      </c>
      <c r="C53" t="s">
        <v>138</v>
      </c>
      <c r="D53" s="28">
        <v>13043</v>
      </c>
      <c r="E53" s="19">
        <f t="shared" si="1"/>
        <v>465.82142857142856</v>
      </c>
      <c r="F53" s="5">
        <v>15919.06</v>
      </c>
      <c r="I53" s="135">
        <f t="shared" si="2"/>
        <v>26086</v>
      </c>
      <c r="J53" t="b">
        <f t="shared" si="3"/>
        <v>1</v>
      </c>
      <c r="K53" s="4">
        <f t="shared" si="0"/>
        <v>-0.38974699072299324</v>
      </c>
      <c r="P53" t="s">
        <v>176</v>
      </c>
      <c r="Q53">
        <v>775</v>
      </c>
      <c r="R53">
        <v>1364.36</v>
      </c>
    </row>
    <row r="54" spans="1:18" hidden="1">
      <c r="A54" t="s">
        <v>1487</v>
      </c>
      <c r="B54" t="s">
        <v>191</v>
      </c>
      <c r="C54" t="s">
        <v>192</v>
      </c>
      <c r="D54" s="28">
        <v>1270</v>
      </c>
      <c r="E54" s="19">
        <f t="shared" si="1"/>
        <v>45.357142857142854</v>
      </c>
      <c r="F54" s="5">
        <v>1545.99</v>
      </c>
      <c r="I54" s="19">
        <f t="shared" si="2"/>
        <v>2540</v>
      </c>
      <c r="J54" t="b">
        <f t="shared" si="3"/>
        <v>1</v>
      </c>
      <c r="K54" s="4">
        <f t="shared" si="0"/>
        <v>-0.39134251968503941</v>
      </c>
      <c r="N54"/>
      <c r="P54" t="s">
        <v>411</v>
      </c>
      <c r="Q54">
        <v>652</v>
      </c>
      <c r="R54">
        <v>1543.21</v>
      </c>
    </row>
    <row r="55" spans="1:18" hidden="1">
      <c r="A55" t="s">
        <v>1488</v>
      </c>
      <c r="B55" t="s">
        <v>231</v>
      </c>
      <c r="C55" t="s">
        <v>232</v>
      </c>
      <c r="D55" s="28">
        <v>660</v>
      </c>
      <c r="E55" s="19">
        <f t="shared" si="1"/>
        <v>23.571428571428573</v>
      </c>
      <c r="F55" s="5">
        <v>544.73</v>
      </c>
      <c r="I55" s="19">
        <f t="shared" si="2"/>
        <v>1320</v>
      </c>
      <c r="J55" t="b">
        <f t="shared" si="3"/>
        <v>1</v>
      </c>
      <c r="K55" s="4">
        <f t="shared" si="0"/>
        <v>-0.58732575757575756</v>
      </c>
      <c r="N55"/>
      <c r="P55" t="s">
        <v>22</v>
      </c>
      <c r="Q55">
        <v>7423</v>
      </c>
      <c r="R55">
        <v>11232.22</v>
      </c>
    </row>
    <row r="56" spans="1:18" hidden="1">
      <c r="A56" t="s">
        <v>1487</v>
      </c>
      <c r="B56" t="s">
        <v>402</v>
      </c>
      <c r="C56" t="s">
        <v>403</v>
      </c>
      <c r="D56" s="28">
        <v>778</v>
      </c>
      <c r="E56" s="19">
        <f t="shared" si="1"/>
        <v>27.785714285714285</v>
      </c>
      <c r="F56" s="5">
        <v>678.49</v>
      </c>
      <c r="I56" s="19">
        <f t="shared" si="2"/>
        <v>1556</v>
      </c>
      <c r="J56" t="b">
        <f t="shared" si="3"/>
        <v>1</v>
      </c>
      <c r="K56" s="4">
        <f t="shared" si="0"/>
        <v>-0.56395244215938301</v>
      </c>
      <c r="N56"/>
      <c r="P56" t="s">
        <v>409</v>
      </c>
      <c r="Q56">
        <v>1327</v>
      </c>
      <c r="R56">
        <v>3076.45</v>
      </c>
    </row>
    <row r="57" spans="1:18" hidden="1">
      <c r="A57" t="s">
        <v>1488</v>
      </c>
      <c r="B57" t="s">
        <v>307</v>
      </c>
      <c r="C57" t="s">
        <v>308</v>
      </c>
      <c r="D57" s="28">
        <v>0</v>
      </c>
      <c r="E57" s="19">
        <f t="shared" si="1"/>
        <v>0</v>
      </c>
      <c r="F57" s="5">
        <v>0</v>
      </c>
      <c r="I57" s="19">
        <f t="shared" si="2"/>
        <v>0</v>
      </c>
      <c r="J57" t="b">
        <f t="shared" si="3"/>
        <v>1</v>
      </c>
      <c r="K57" s="4" t="e">
        <f t="shared" si="0"/>
        <v>#DIV/0!</v>
      </c>
      <c r="N57"/>
      <c r="P57" t="s">
        <v>288</v>
      </c>
      <c r="Q57">
        <v>932</v>
      </c>
      <c r="R57">
        <v>1032.94</v>
      </c>
    </row>
    <row r="58" spans="1:18" hidden="1">
      <c r="A58" t="s">
        <v>1487</v>
      </c>
      <c r="B58" t="s">
        <v>159</v>
      </c>
      <c r="C58" t="s">
        <v>160</v>
      </c>
      <c r="D58" s="28">
        <v>1052</v>
      </c>
      <c r="E58" s="19">
        <f t="shared" si="1"/>
        <v>37.571428571428569</v>
      </c>
      <c r="F58" s="5">
        <v>1286.52</v>
      </c>
      <c r="I58" s="135">
        <f t="shared" si="2"/>
        <v>2104</v>
      </c>
      <c r="J58" t="b">
        <f t="shared" si="3"/>
        <v>1</v>
      </c>
      <c r="K58" s="4">
        <f t="shared" si="0"/>
        <v>-0.38853612167300378</v>
      </c>
      <c r="N58"/>
      <c r="P58" t="s">
        <v>238</v>
      </c>
      <c r="Q58">
        <v>1214</v>
      </c>
      <c r="R58">
        <v>1000.47</v>
      </c>
    </row>
    <row r="59" spans="1:18" hidden="1">
      <c r="A59" t="s">
        <v>1487</v>
      </c>
      <c r="B59" s="56" t="s">
        <v>141</v>
      </c>
      <c r="C59" s="37" t="s">
        <v>142</v>
      </c>
      <c r="D59" s="28">
        <v>1422</v>
      </c>
      <c r="E59" s="19">
        <f t="shared" si="1"/>
        <v>50.785714285714285</v>
      </c>
      <c r="F59" s="5">
        <v>1209.94</v>
      </c>
      <c r="I59" s="19">
        <f t="shared" si="2"/>
        <v>2844</v>
      </c>
      <c r="J59" t="b">
        <f t="shared" si="3"/>
        <v>1</v>
      </c>
      <c r="K59" s="4">
        <f t="shared" si="0"/>
        <v>-0.57456399437412098</v>
      </c>
      <c r="N59"/>
      <c r="P59" t="s">
        <v>497</v>
      </c>
      <c r="Q59">
        <v>1982</v>
      </c>
      <c r="R59">
        <v>1597.03</v>
      </c>
    </row>
    <row r="60" spans="1:18" hidden="1">
      <c r="A60" t="s">
        <v>1487</v>
      </c>
      <c r="B60" t="s">
        <v>359</v>
      </c>
      <c r="C60" t="s">
        <v>360</v>
      </c>
      <c r="D60" s="28">
        <v>1400</v>
      </c>
      <c r="E60" s="19">
        <f t="shared" si="1"/>
        <v>50</v>
      </c>
      <c r="F60" s="5">
        <v>1503.96</v>
      </c>
      <c r="I60" s="19">
        <f t="shared" si="2"/>
        <v>2800</v>
      </c>
      <c r="J60" t="b">
        <f t="shared" si="3"/>
        <v>1</v>
      </c>
      <c r="K60" s="4">
        <f t="shared" si="0"/>
        <v>-0.4628714285714286</v>
      </c>
      <c r="N60"/>
      <c r="P60" t="s">
        <v>302</v>
      </c>
      <c r="Q60">
        <v>1254</v>
      </c>
      <c r="R60">
        <v>3319.52</v>
      </c>
    </row>
    <row r="61" spans="1:18" hidden="1">
      <c r="A61" t="s">
        <v>1487</v>
      </c>
      <c r="B61" t="s">
        <v>440</v>
      </c>
      <c r="C61" t="s">
        <v>441</v>
      </c>
      <c r="D61" s="28">
        <v>2035</v>
      </c>
      <c r="E61" s="19">
        <f t="shared" si="1"/>
        <v>72.678571428571431</v>
      </c>
      <c r="F61" s="5">
        <v>2523.4</v>
      </c>
      <c r="I61" s="19">
        <f t="shared" si="2"/>
        <v>4070</v>
      </c>
      <c r="J61" t="b">
        <f t="shared" si="3"/>
        <v>1</v>
      </c>
      <c r="K61" s="4">
        <f t="shared" si="0"/>
        <v>-0.38</v>
      </c>
      <c r="N61"/>
      <c r="P61" t="s">
        <v>431</v>
      </c>
      <c r="Q61">
        <v>971</v>
      </c>
      <c r="R61">
        <v>1914.05</v>
      </c>
    </row>
    <row r="62" spans="1:18" hidden="1">
      <c r="A62" t="s">
        <v>1487</v>
      </c>
      <c r="B62" t="s">
        <v>488</v>
      </c>
      <c r="C62" t="s">
        <v>489</v>
      </c>
      <c r="D62" s="28">
        <v>691</v>
      </c>
      <c r="E62" s="19">
        <f t="shared" si="1"/>
        <v>24.678571428571427</v>
      </c>
      <c r="F62" s="5">
        <v>907</v>
      </c>
      <c r="I62" s="19">
        <f t="shared" si="2"/>
        <v>1382</v>
      </c>
      <c r="J62" t="b">
        <f t="shared" si="3"/>
        <v>1</v>
      </c>
      <c r="K62" s="4">
        <f t="shared" si="0"/>
        <v>-0.34370477568740954</v>
      </c>
      <c r="N62"/>
      <c r="P62" t="s">
        <v>585</v>
      </c>
      <c r="Q62">
        <v>3925</v>
      </c>
      <c r="R62">
        <v>5623.45</v>
      </c>
    </row>
    <row r="63" spans="1:18" hidden="1">
      <c r="A63" t="s">
        <v>1487</v>
      </c>
      <c r="B63" s="57" t="s">
        <v>227</v>
      </c>
      <c r="C63" s="37" t="s">
        <v>228</v>
      </c>
      <c r="D63" s="28">
        <v>647</v>
      </c>
      <c r="E63" s="19">
        <f t="shared" si="1"/>
        <v>23.107142857142858</v>
      </c>
      <c r="F63" s="5">
        <v>801.16</v>
      </c>
      <c r="I63" s="19">
        <f t="shared" si="2"/>
        <v>1294</v>
      </c>
      <c r="J63" t="b">
        <f t="shared" si="3"/>
        <v>1</v>
      </c>
      <c r="K63" s="4">
        <f t="shared" si="0"/>
        <v>-0.38086553323029371</v>
      </c>
      <c r="N63"/>
      <c r="P63" t="s">
        <v>372</v>
      </c>
      <c r="Q63">
        <v>470</v>
      </c>
      <c r="R63">
        <v>1363.19</v>
      </c>
    </row>
    <row r="64" spans="1:18" hidden="1">
      <c r="A64" t="s">
        <v>1487</v>
      </c>
      <c r="B64" s="37" t="s">
        <v>279</v>
      </c>
      <c r="C64" s="37" t="s">
        <v>280</v>
      </c>
      <c r="D64" s="28">
        <v>1507</v>
      </c>
      <c r="E64" s="19">
        <f t="shared" si="1"/>
        <v>53.821428571428569</v>
      </c>
      <c r="F64" s="5">
        <v>773.87</v>
      </c>
      <c r="I64" s="19">
        <f t="shared" si="2"/>
        <v>3014</v>
      </c>
      <c r="J64" t="b">
        <f t="shared" si="3"/>
        <v>1</v>
      </c>
      <c r="K64" s="4">
        <f t="shared" si="0"/>
        <v>-0.74324153948241545</v>
      </c>
      <c r="N64"/>
      <c r="P64" t="s">
        <v>358</v>
      </c>
      <c r="Q64">
        <v>2026</v>
      </c>
      <c r="R64">
        <v>2164.4299999999998</v>
      </c>
    </row>
    <row r="65" spans="1:18" hidden="1">
      <c r="A65" t="s">
        <v>1488</v>
      </c>
      <c r="B65" t="s">
        <v>420</v>
      </c>
      <c r="C65" t="s">
        <v>421</v>
      </c>
      <c r="D65" s="28">
        <v>1058</v>
      </c>
      <c r="E65" s="19">
        <f t="shared" ref="E65:E128" si="4">D65/28</f>
        <v>37.785714285714285</v>
      </c>
      <c r="F65" s="5">
        <v>1789.9699999999998</v>
      </c>
      <c r="I65" s="19">
        <f t="shared" ref="I65:I128" si="5">IF((D65/28)&gt;100,D65*2,D65*2)</f>
        <v>2116</v>
      </c>
      <c r="J65" t="b">
        <f t="shared" ref="J65:J128" si="6">IF(F65&gt;1.2*I65,FALSE,TRUE)</f>
        <v>1</v>
      </c>
      <c r="K65" s="4">
        <f t="shared" ref="K65:K128" si="7">F65/I65-1</f>
        <v>-0.15407844990548214</v>
      </c>
      <c r="N65"/>
      <c r="P65" t="s">
        <v>340</v>
      </c>
      <c r="Q65">
        <v>2247</v>
      </c>
      <c r="R65">
        <v>4321.58</v>
      </c>
    </row>
    <row r="66" spans="1:18" hidden="1">
      <c r="A66" t="s">
        <v>1489</v>
      </c>
      <c r="B66" t="s">
        <v>566</v>
      </c>
      <c r="C66" t="s">
        <v>567</v>
      </c>
      <c r="D66" s="28">
        <v>2272</v>
      </c>
      <c r="E66" s="19">
        <f t="shared" si="4"/>
        <v>81.142857142857139</v>
      </c>
      <c r="F66" s="5">
        <v>4146.25</v>
      </c>
      <c r="I66" s="19">
        <f t="shared" si="5"/>
        <v>4544</v>
      </c>
      <c r="J66" t="b">
        <f t="shared" si="6"/>
        <v>1</v>
      </c>
      <c r="K66" s="4">
        <f t="shared" si="7"/>
        <v>-8.7533010563380254E-2</v>
      </c>
      <c r="N66"/>
      <c r="P66" t="s">
        <v>555</v>
      </c>
      <c r="Q66">
        <v>2514</v>
      </c>
      <c r="R66">
        <v>2598.67</v>
      </c>
    </row>
    <row r="67" spans="1:18" hidden="1">
      <c r="A67" t="s">
        <v>1488</v>
      </c>
      <c r="B67" t="s">
        <v>111</v>
      </c>
      <c r="C67" t="s">
        <v>112</v>
      </c>
      <c r="D67" s="28">
        <v>737</v>
      </c>
      <c r="E67" s="19">
        <f t="shared" si="4"/>
        <v>26.321428571428573</v>
      </c>
      <c r="F67" s="5">
        <v>796.85</v>
      </c>
      <c r="I67" s="19">
        <f t="shared" si="5"/>
        <v>1474</v>
      </c>
      <c r="J67" t="b">
        <f t="shared" si="6"/>
        <v>1</v>
      </c>
      <c r="K67" s="4">
        <f t="shared" si="7"/>
        <v>-0.45939620081411126</v>
      </c>
      <c r="N67"/>
      <c r="P67" t="s">
        <v>310</v>
      </c>
      <c r="Q67">
        <v>666</v>
      </c>
      <c r="R67">
        <v>974.04</v>
      </c>
    </row>
    <row r="68" spans="1:18" hidden="1">
      <c r="A68" t="s">
        <v>1488</v>
      </c>
      <c r="B68" t="s">
        <v>506</v>
      </c>
      <c r="C68" t="s">
        <v>507</v>
      </c>
      <c r="D68" s="28">
        <v>2212</v>
      </c>
      <c r="E68" s="19">
        <f t="shared" si="4"/>
        <v>79</v>
      </c>
      <c r="F68" s="5">
        <v>2285.59</v>
      </c>
      <c r="I68" s="19">
        <f t="shared" si="5"/>
        <v>4424</v>
      </c>
      <c r="J68" t="b">
        <f t="shared" si="6"/>
        <v>1</v>
      </c>
      <c r="K68" s="4">
        <f t="shared" si="7"/>
        <v>-0.48336573236889691</v>
      </c>
      <c r="N68"/>
      <c r="P68" t="s">
        <v>559</v>
      </c>
      <c r="Q68">
        <v>2677</v>
      </c>
      <c r="R68">
        <v>4678.3900000000003</v>
      </c>
    </row>
    <row r="69" spans="1:18" hidden="1">
      <c r="A69" t="s">
        <v>1487</v>
      </c>
      <c r="B69" t="s">
        <v>121</v>
      </c>
      <c r="C69" t="s">
        <v>122</v>
      </c>
      <c r="D69" s="28">
        <v>1222</v>
      </c>
      <c r="E69" s="19">
        <f t="shared" si="4"/>
        <v>43.642857142857146</v>
      </c>
      <c r="F69" s="5">
        <v>2831.44</v>
      </c>
      <c r="I69" s="19">
        <f t="shared" si="5"/>
        <v>2444</v>
      </c>
      <c r="J69" t="b">
        <f t="shared" si="6"/>
        <v>1</v>
      </c>
      <c r="K69" s="4">
        <f t="shared" si="7"/>
        <v>0.15852700490998362</v>
      </c>
      <c r="N69"/>
      <c r="P69" t="s">
        <v>637</v>
      </c>
      <c r="Q69">
        <v>1267</v>
      </c>
      <c r="R69">
        <v>2666.4</v>
      </c>
    </row>
    <row r="70" spans="1:18" hidden="1">
      <c r="A70" t="s">
        <v>1487</v>
      </c>
      <c r="B70" t="s">
        <v>626</v>
      </c>
      <c r="C70" t="s">
        <v>627</v>
      </c>
      <c r="D70" s="28">
        <v>2053</v>
      </c>
      <c r="E70" s="19">
        <f t="shared" si="4"/>
        <v>73.321428571428569</v>
      </c>
      <c r="F70" s="5">
        <v>2552.9499999999998</v>
      </c>
      <c r="I70" s="19">
        <f t="shared" si="5"/>
        <v>4106</v>
      </c>
      <c r="J70" t="b">
        <f t="shared" si="6"/>
        <v>1</v>
      </c>
      <c r="K70" s="4">
        <f t="shared" si="7"/>
        <v>-0.37823916220165621</v>
      </c>
      <c r="N70"/>
      <c r="P70" t="s">
        <v>449</v>
      </c>
      <c r="Q70">
        <v>1937</v>
      </c>
      <c r="R70">
        <v>3822.55</v>
      </c>
    </row>
    <row r="71" spans="1:18" hidden="1">
      <c r="A71" t="s">
        <v>1489</v>
      </c>
      <c r="B71" t="s">
        <v>614</v>
      </c>
      <c r="C71" t="s">
        <v>615</v>
      </c>
      <c r="D71" s="28">
        <v>1222</v>
      </c>
      <c r="E71" s="19">
        <f t="shared" si="4"/>
        <v>43.642857142857146</v>
      </c>
      <c r="F71" s="5">
        <v>2035.36</v>
      </c>
      <c r="I71" s="19">
        <f t="shared" si="5"/>
        <v>2444</v>
      </c>
      <c r="J71" t="b">
        <f t="shared" si="6"/>
        <v>1</v>
      </c>
      <c r="K71" s="4">
        <f t="shared" si="7"/>
        <v>-0.16720130932896893</v>
      </c>
      <c r="N71"/>
      <c r="P71" t="s">
        <v>577</v>
      </c>
      <c r="Q71">
        <v>898</v>
      </c>
      <c r="R71">
        <v>1192.75</v>
      </c>
    </row>
    <row r="72" spans="1:18" hidden="1">
      <c r="A72" t="s">
        <v>1487</v>
      </c>
      <c r="B72" t="s">
        <v>504</v>
      </c>
      <c r="C72" t="s">
        <v>505</v>
      </c>
      <c r="D72" s="28">
        <v>1256</v>
      </c>
      <c r="E72" s="19">
        <f t="shared" si="4"/>
        <v>44.857142857142854</v>
      </c>
      <c r="F72" s="5">
        <v>2382.31</v>
      </c>
      <c r="I72" s="19">
        <f t="shared" si="5"/>
        <v>2512</v>
      </c>
      <c r="J72" t="b">
        <f t="shared" si="6"/>
        <v>1</v>
      </c>
      <c r="K72" s="4">
        <f t="shared" si="7"/>
        <v>-5.1628184713375824E-2</v>
      </c>
      <c r="N72"/>
      <c r="P72" t="s">
        <v>368</v>
      </c>
      <c r="Q72">
        <v>866</v>
      </c>
      <c r="R72">
        <v>951.69</v>
      </c>
    </row>
    <row r="73" spans="1:18" hidden="1">
      <c r="A73" t="s">
        <v>1488</v>
      </c>
      <c r="B73" t="s">
        <v>612</v>
      </c>
      <c r="C73" t="s">
        <v>613</v>
      </c>
      <c r="D73" s="28">
        <v>1355</v>
      </c>
      <c r="E73" s="19">
        <f t="shared" si="4"/>
        <v>48.392857142857146</v>
      </c>
      <c r="F73" s="5">
        <v>2791.72</v>
      </c>
      <c r="I73" s="19">
        <f t="shared" si="5"/>
        <v>2710</v>
      </c>
      <c r="J73" t="b">
        <f t="shared" si="6"/>
        <v>1</v>
      </c>
      <c r="K73" s="4">
        <f t="shared" si="7"/>
        <v>3.0154981549815441E-2</v>
      </c>
      <c r="N73"/>
      <c r="P73" t="s">
        <v>627</v>
      </c>
      <c r="Q73">
        <v>1675</v>
      </c>
      <c r="R73">
        <v>3354.17</v>
      </c>
    </row>
    <row r="74" spans="1:18">
      <c r="A74" t="s">
        <v>1489</v>
      </c>
      <c r="B74" t="s">
        <v>229</v>
      </c>
      <c r="C74" t="s">
        <v>230</v>
      </c>
      <c r="D74" s="28">
        <v>283</v>
      </c>
      <c r="E74" s="19">
        <f t="shared" si="4"/>
        <v>10.107142857142858</v>
      </c>
      <c r="F74" s="5">
        <v>757.46</v>
      </c>
      <c r="I74" s="19">
        <f t="shared" si="5"/>
        <v>566</v>
      </c>
      <c r="J74" t="b">
        <f t="shared" si="6"/>
        <v>0</v>
      </c>
      <c r="K74" s="4">
        <f t="shared" si="7"/>
        <v>0.33826855123674915</v>
      </c>
      <c r="N74"/>
      <c r="P74" t="s">
        <v>94</v>
      </c>
      <c r="Q74">
        <v>821</v>
      </c>
      <c r="R74">
        <v>1269.99</v>
      </c>
    </row>
    <row r="75" spans="1:18" hidden="1">
      <c r="A75" t="s">
        <v>1487</v>
      </c>
      <c r="B75" t="s">
        <v>482</v>
      </c>
      <c r="C75" t="s">
        <v>483</v>
      </c>
      <c r="D75" s="28">
        <v>2069</v>
      </c>
      <c r="E75" s="19">
        <f t="shared" si="4"/>
        <v>73.892857142857139</v>
      </c>
      <c r="F75" s="5">
        <v>3078.09</v>
      </c>
      <c r="I75" s="19">
        <f t="shared" si="5"/>
        <v>4138</v>
      </c>
      <c r="J75" t="b">
        <f t="shared" si="6"/>
        <v>1</v>
      </c>
      <c r="K75" s="4">
        <f t="shared" si="7"/>
        <v>-0.25614064765587241</v>
      </c>
      <c r="N75"/>
      <c r="P75" t="s">
        <v>376</v>
      </c>
      <c r="Q75">
        <v>472</v>
      </c>
      <c r="R75">
        <v>962.02</v>
      </c>
    </row>
    <row r="76" spans="1:18" hidden="1">
      <c r="A76" t="s">
        <v>1488</v>
      </c>
      <c r="B76" t="s">
        <v>83</v>
      </c>
      <c r="C76" t="s">
        <v>84</v>
      </c>
      <c r="D76" s="28">
        <v>1697</v>
      </c>
      <c r="E76" s="19">
        <f t="shared" si="4"/>
        <v>60.607142857142854</v>
      </c>
      <c r="F76" s="5">
        <v>3841.55</v>
      </c>
      <c r="I76" s="19">
        <f t="shared" si="5"/>
        <v>3394</v>
      </c>
      <c r="J76" t="b">
        <f t="shared" si="6"/>
        <v>1</v>
      </c>
      <c r="K76" s="4">
        <f t="shared" si="7"/>
        <v>0.13186505598114318</v>
      </c>
      <c r="N76"/>
      <c r="P76" t="s">
        <v>284</v>
      </c>
      <c r="Q76">
        <v>525</v>
      </c>
      <c r="R76">
        <v>774.67</v>
      </c>
    </row>
    <row r="77" spans="1:18" hidden="1">
      <c r="A77" t="s">
        <v>1488</v>
      </c>
      <c r="B77" t="s">
        <v>396</v>
      </c>
      <c r="C77" t="s">
        <v>397</v>
      </c>
      <c r="D77" s="28">
        <v>1229</v>
      </c>
      <c r="E77" s="19">
        <f t="shared" si="4"/>
        <v>43.892857142857146</v>
      </c>
      <c r="F77" s="5">
        <v>676.63</v>
      </c>
      <c r="I77" s="135">
        <f t="shared" si="5"/>
        <v>2458</v>
      </c>
      <c r="J77" t="b">
        <f t="shared" si="6"/>
        <v>1</v>
      </c>
      <c r="K77" s="4">
        <f t="shared" si="7"/>
        <v>-0.72472335231895846</v>
      </c>
      <c r="N77"/>
      <c r="P77" t="s">
        <v>461</v>
      </c>
      <c r="Q77">
        <v>901</v>
      </c>
      <c r="R77">
        <v>1451.22</v>
      </c>
    </row>
    <row r="78" spans="1:18" hidden="1">
      <c r="A78" t="s">
        <v>1489</v>
      </c>
      <c r="B78" t="s">
        <v>584</v>
      </c>
      <c r="C78" t="s">
        <v>585</v>
      </c>
      <c r="D78" s="28">
        <v>4261</v>
      </c>
      <c r="E78" s="19">
        <f t="shared" si="4"/>
        <v>152.17857142857142</v>
      </c>
      <c r="F78" s="5">
        <v>5276.07</v>
      </c>
      <c r="I78" s="19">
        <f t="shared" si="5"/>
        <v>8522</v>
      </c>
      <c r="J78" t="b">
        <f t="shared" si="6"/>
        <v>1</v>
      </c>
      <c r="K78" s="4">
        <f t="shared" si="7"/>
        <v>-0.38088828913400619</v>
      </c>
      <c r="N78"/>
      <c r="P78" t="s">
        <v>507</v>
      </c>
      <c r="Q78">
        <v>2428</v>
      </c>
      <c r="R78">
        <v>2821.81</v>
      </c>
    </row>
    <row r="79" spans="1:18">
      <c r="A79" t="s">
        <v>1488</v>
      </c>
      <c r="B79" s="57" t="s">
        <v>145</v>
      </c>
      <c r="C79" s="37" t="s">
        <v>146</v>
      </c>
      <c r="D79" s="28">
        <v>1120</v>
      </c>
      <c r="E79" s="19">
        <f t="shared" si="4"/>
        <v>40</v>
      </c>
      <c r="F79" s="5">
        <v>3103.99</v>
      </c>
      <c r="I79" s="19">
        <f t="shared" si="5"/>
        <v>2240</v>
      </c>
      <c r="J79" t="b">
        <f t="shared" si="6"/>
        <v>0</v>
      </c>
      <c r="K79" s="4">
        <f t="shared" si="7"/>
        <v>0.38570982142857124</v>
      </c>
      <c r="N79"/>
      <c r="P79" t="s">
        <v>226</v>
      </c>
      <c r="Q79">
        <v>1476</v>
      </c>
      <c r="R79">
        <v>1165.81</v>
      </c>
    </row>
    <row r="80" spans="1:18">
      <c r="A80" t="s">
        <v>1487</v>
      </c>
      <c r="B80" t="s">
        <v>424</v>
      </c>
      <c r="C80" t="s">
        <v>425</v>
      </c>
      <c r="D80" s="28">
        <v>934</v>
      </c>
      <c r="E80" s="19">
        <f>D80/28</f>
        <v>33.357142857142854</v>
      </c>
      <c r="F80" s="5">
        <v>2569.17</v>
      </c>
      <c r="I80" s="123">
        <f>IF((D80/28)&gt;100,D80*2,D80*2)</f>
        <v>1868</v>
      </c>
      <c r="J80" t="b">
        <f t="shared" si="6"/>
        <v>0</v>
      </c>
      <c r="K80" s="4">
        <f>F80/I80-1</f>
        <v>0.37535867237687359</v>
      </c>
      <c r="P80" t="s">
        <v>178</v>
      </c>
      <c r="Q80">
        <v>978</v>
      </c>
      <c r="R80">
        <v>871.95</v>
      </c>
    </row>
    <row r="81" spans="1:18" hidden="1">
      <c r="A81" t="s">
        <v>1487</v>
      </c>
      <c r="B81" t="s">
        <v>131</v>
      </c>
      <c r="C81" t="s">
        <v>132</v>
      </c>
      <c r="D81" s="28">
        <v>632</v>
      </c>
      <c r="E81" s="19">
        <f t="shared" si="4"/>
        <v>22.571428571428573</v>
      </c>
      <c r="F81" s="5">
        <v>888.03</v>
      </c>
      <c r="I81" s="19">
        <f t="shared" si="5"/>
        <v>1264</v>
      </c>
      <c r="J81" t="b">
        <f t="shared" si="6"/>
        <v>1</v>
      </c>
      <c r="K81" s="4">
        <f t="shared" si="7"/>
        <v>-0.29744462025316454</v>
      </c>
      <c r="N81"/>
      <c r="P81" t="s">
        <v>290</v>
      </c>
      <c r="Q81">
        <v>952</v>
      </c>
      <c r="R81">
        <v>1464.03</v>
      </c>
    </row>
    <row r="82" spans="1:18" hidden="1">
      <c r="A82" t="s">
        <v>1487</v>
      </c>
      <c r="B82" t="s">
        <v>546</v>
      </c>
      <c r="C82" t="s">
        <v>547</v>
      </c>
      <c r="D82" s="28">
        <v>1516</v>
      </c>
      <c r="E82" s="19">
        <f t="shared" si="4"/>
        <v>54.142857142857146</v>
      </c>
      <c r="F82" s="5">
        <v>2565.14</v>
      </c>
      <c r="I82" s="19">
        <f t="shared" si="5"/>
        <v>3032</v>
      </c>
      <c r="J82" t="b">
        <f t="shared" si="6"/>
        <v>1</v>
      </c>
      <c r="K82" s="4">
        <f t="shared" si="7"/>
        <v>-0.15397757255936684</v>
      </c>
      <c r="N82"/>
      <c r="P82" t="s">
        <v>280</v>
      </c>
      <c r="Q82">
        <v>1631</v>
      </c>
      <c r="R82">
        <v>994.98</v>
      </c>
    </row>
    <row r="83" spans="1:18" hidden="1">
      <c r="A83" t="s">
        <v>1488</v>
      </c>
      <c r="B83" t="s">
        <v>381</v>
      </c>
      <c r="C83" t="s">
        <v>382</v>
      </c>
      <c r="D83" s="28">
        <v>803</v>
      </c>
      <c r="E83" s="19">
        <f t="shared" si="4"/>
        <v>28.678571428571427</v>
      </c>
      <c r="F83" s="5">
        <v>1769.39</v>
      </c>
      <c r="I83" s="19">
        <f t="shared" si="5"/>
        <v>1606</v>
      </c>
      <c r="J83" t="b">
        <f t="shared" si="6"/>
        <v>1</v>
      </c>
      <c r="K83" s="4">
        <f t="shared" si="7"/>
        <v>0.10173723536737245</v>
      </c>
      <c r="N83"/>
      <c r="P83" t="s">
        <v>218</v>
      </c>
      <c r="Q83">
        <v>602</v>
      </c>
      <c r="R83">
        <v>654.19000000000005</v>
      </c>
    </row>
    <row r="84" spans="1:18" hidden="1">
      <c r="A84" t="s">
        <v>1488</v>
      </c>
      <c r="B84" s="56" t="s">
        <v>205</v>
      </c>
      <c r="C84" s="37" t="s">
        <v>206</v>
      </c>
      <c r="D84" s="28">
        <v>785</v>
      </c>
      <c r="E84" s="19">
        <f t="shared" si="4"/>
        <v>28.035714285714285</v>
      </c>
      <c r="F84" s="5">
        <v>1872.66</v>
      </c>
      <c r="I84" s="19">
        <f t="shared" si="5"/>
        <v>1570</v>
      </c>
      <c r="J84" t="b">
        <f t="shared" si="6"/>
        <v>1</v>
      </c>
      <c r="K84" s="4">
        <f t="shared" si="7"/>
        <v>0.19277707006369438</v>
      </c>
      <c r="N84"/>
      <c r="P84" t="s">
        <v>220</v>
      </c>
      <c r="Q84">
        <v>1231</v>
      </c>
      <c r="R84">
        <v>2064.81</v>
      </c>
    </row>
    <row r="85" spans="1:18" hidden="1">
      <c r="A85" t="s">
        <v>1487</v>
      </c>
      <c r="B85" t="s">
        <v>259</v>
      </c>
      <c r="C85" t="s">
        <v>260</v>
      </c>
      <c r="D85" s="28">
        <v>1002</v>
      </c>
      <c r="E85" s="19">
        <f t="shared" si="4"/>
        <v>35.785714285714285</v>
      </c>
      <c r="F85" s="5">
        <v>635.55999999999995</v>
      </c>
      <c r="I85" s="19">
        <f t="shared" si="5"/>
        <v>2004</v>
      </c>
      <c r="J85" t="b">
        <f t="shared" si="6"/>
        <v>1</v>
      </c>
      <c r="K85" s="4">
        <f t="shared" si="7"/>
        <v>-0.68285429141716569</v>
      </c>
      <c r="N85"/>
      <c r="P85" t="s">
        <v>116</v>
      </c>
      <c r="Q85">
        <v>1672</v>
      </c>
      <c r="R85">
        <v>3182.12</v>
      </c>
    </row>
    <row r="86" spans="1:18" hidden="1">
      <c r="A86" t="s">
        <v>1487</v>
      </c>
      <c r="B86" t="s">
        <v>470</v>
      </c>
      <c r="C86" t="s">
        <v>471</v>
      </c>
      <c r="D86" s="28">
        <v>612</v>
      </c>
      <c r="E86" s="19">
        <f t="shared" si="4"/>
        <v>21.857142857142858</v>
      </c>
      <c r="F86" s="5">
        <v>942.62</v>
      </c>
      <c r="I86" s="19">
        <f t="shared" si="5"/>
        <v>1224</v>
      </c>
      <c r="J86" t="b">
        <f t="shared" si="6"/>
        <v>1</v>
      </c>
      <c r="K86" s="4">
        <f t="shared" si="7"/>
        <v>-0.22988562091503273</v>
      </c>
      <c r="N86"/>
      <c r="P86" t="s">
        <v>184</v>
      </c>
      <c r="Q86">
        <v>662</v>
      </c>
      <c r="R86">
        <v>310.57</v>
      </c>
    </row>
    <row r="87" spans="1:18" hidden="1">
      <c r="A87" t="s">
        <v>1488</v>
      </c>
      <c r="B87" t="s">
        <v>285</v>
      </c>
      <c r="C87" t="s">
        <v>286</v>
      </c>
      <c r="D87" s="28">
        <v>854</v>
      </c>
      <c r="E87" s="19">
        <f t="shared" si="4"/>
        <v>30.5</v>
      </c>
      <c r="F87" s="5">
        <v>1782.21</v>
      </c>
      <c r="I87" s="19">
        <f t="shared" si="5"/>
        <v>1708</v>
      </c>
      <c r="J87" t="b">
        <f t="shared" si="6"/>
        <v>1</v>
      </c>
      <c r="K87" s="4">
        <f t="shared" si="7"/>
        <v>4.3448477751756531E-2</v>
      </c>
      <c r="N87"/>
      <c r="P87" t="s">
        <v>344</v>
      </c>
      <c r="Q87">
        <v>423</v>
      </c>
      <c r="R87">
        <v>765.94</v>
      </c>
    </row>
    <row r="88" spans="1:18" hidden="1">
      <c r="A88" t="s">
        <v>1489</v>
      </c>
      <c r="B88" t="s">
        <v>520</v>
      </c>
      <c r="C88" t="s">
        <v>521</v>
      </c>
      <c r="D88" s="28">
        <v>1700</v>
      </c>
      <c r="E88" s="19">
        <f t="shared" si="4"/>
        <v>60.714285714285715</v>
      </c>
      <c r="F88" s="5">
        <v>2979.01</v>
      </c>
      <c r="I88" s="19">
        <f t="shared" si="5"/>
        <v>3400</v>
      </c>
      <c r="J88" t="b">
        <f t="shared" si="6"/>
        <v>1</v>
      </c>
      <c r="K88" s="4">
        <f t="shared" si="7"/>
        <v>-0.12382058823529407</v>
      </c>
      <c r="N88"/>
      <c r="P88" t="s">
        <v>294</v>
      </c>
      <c r="Q88">
        <v>431</v>
      </c>
      <c r="R88">
        <v>742.51</v>
      </c>
    </row>
    <row r="89" spans="1:18" hidden="1">
      <c r="A89" t="s">
        <v>1487</v>
      </c>
      <c r="B89" t="s">
        <v>492</v>
      </c>
      <c r="C89" t="s">
        <v>493</v>
      </c>
      <c r="D89" s="28">
        <v>1538</v>
      </c>
      <c r="E89" s="19">
        <f t="shared" si="4"/>
        <v>54.928571428571431</v>
      </c>
      <c r="F89" s="5">
        <v>3151.58</v>
      </c>
      <c r="I89" s="19">
        <f t="shared" si="5"/>
        <v>3076</v>
      </c>
      <c r="J89" t="b">
        <f t="shared" si="6"/>
        <v>1</v>
      </c>
      <c r="K89" s="4">
        <f t="shared" si="7"/>
        <v>2.4570871261378358E-2</v>
      </c>
      <c r="N89"/>
      <c r="P89" t="s">
        <v>1380</v>
      </c>
      <c r="Q89">
        <v>208</v>
      </c>
      <c r="R89">
        <v>461.06</v>
      </c>
    </row>
    <row r="90" spans="1:18" hidden="1">
      <c r="A90" t="s">
        <v>1487</v>
      </c>
      <c r="B90" t="s">
        <v>492</v>
      </c>
      <c r="C90" t="s">
        <v>493</v>
      </c>
      <c r="D90" s="28">
        <v>1538</v>
      </c>
      <c r="E90" s="19">
        <f t="shared" si="4"/>
        <v>54.928571428571431</v>
      </c>
      <c r="F90" s="5">
        <v>3151.58</v>
      </c>
      <c r="I90" s="19">
        <f t="shared" si="5"/>
        <v>3076</v>
      </c>
      <c r="J90" t="b">
        <f t="shared" si="6"/>
        <v>1</v>
      </c>
      <c r="K90" s="4">
        <f t="shared" si="7"/>
        <v>2.4570871261378358E-2</v>
      </c>
      <c r="N90"/>
      <c r="P90" t="s">
        <v>356</v>
      </c>
      <c r="Q90">
        <v>427</v>
      </c>
      <c r="R90">
        <v>594.62</v>
      </c>
    </row>
    <row r="91" spans="1:18" hidden="1">
      <c r="A91" t="s">
        <v>1487</v>
      </c>
      <c r="B91" t="s">
        <v>552</v>
      </c>
      <c r="C91" t="s">
        <v>553</v>
      </c>
      <c r="D91" s="28">
        <v>2347</v>
      </c>
      <c r="E91" s="19">
        <f t="shared" si="4"/>
        <v>83.821428571428569</v>
      </c>
      <c r="F91" s="5">
        <v>3638.7</v>
      </c>
      <c r="I91" s="19">
        <f t="shared" si="5"/>
        <v>4694</v>
      </c>
      <c r="J91" t="b">
        <f t="shared" si="6"/>
        <v>1</v>
      </c>
      <c r="K91" s="4">
        <f t="shared" si="7"/>
        <v>-0.22481891776736262</v>
      </c>
      <c r="N91"/>
      <c r="P91" t="s">
        <v>595</v>
      </c>
      <c r="Q91">
        <v>6857</v>
      </c>
      <c r="R91">
        <v>7319.16</v>
      </c>
    </row>
    <row r="92" spans="1:18" hidden="1">
      <c r="A92" t="s">
        <v>1488</v>
      </c>
      <c r="B92" t="s">
        <v>333</v>
      </c>
      <c r="C92" t="s">
        <v>334</v>
      </c>
      <c r="D92" s="28">
        <v>911</v>
      </c>
      <c r="E92" s="19">
        <f t="shared" si="4"/>
        <v>32.535714285714285</v>
      </c>
      <c r="F92" s="5">
        <v>1155.94</v>
      </c>
      <c r="I92" s="19">
        <f t="shared" si="5"/>
        <v>1822</v>
      </c>
      <c r="J92" t="b">
        <f t="shared" si="6"/>
        <v>1</v>
      </c>
      <c r="K92" s="4">
        <f t="shared" si="7"/>
        <v>-0.36556531284302962</v>
      </c>
      <c r="N92"/>
      <c r="P92" t="s">
        <v>154</v>
      </c>
      <c r="Q92">
        <v>1277</v>
      </c>
      <c r="R92">
        <v>2567.0300000000002</v>
      </c>
    </row>
    <row r="93" spans="1:18" hidden="1">
      <c r="A93" t="s">
        <v>1487</v>
      </c>
      <c r="B93" t="s">
        <v>77</v>
      </c>
      <c r="C93" s="27" t="s">
        <v>78</v>
      </c>
      <c r="D93" s="28">
        <v>822</v>
      </c>
      <c r="E93" s="19">
        <f t="shared" si="4"/>
        <v>29.357142857142858</v>
      </c>
      <c r="F93" s="5">
        <v>921.7</v>
      </c>
      <c r="I93" s="135">
        <f t="shared" si="5"/>
        <v>1644</v>
      </c>
      <c r="J93" t="b">
        <f t="shared" si="6"/>
        <v>1</v>
      </c>
      <c r="K93" s="4">
        <f t="shared" si="7"/>
        <v>-0.43935523114355224</v>
      </c>
      <c r="N93"/>
      <c r="P93" t="s">
        <v>316</v>
      </c>
      <c r="Q93">
        <v>1046</v>
      </c>
      <c r="R93">
        <v>905.93</v>
      </c>
    </row>
    <row r="94" spans="1:18" hidden="1">
      <c r="A94" t="s">
        <v>1489</v>
      </c>
      <c r="B94" t="s">
        <v>548</v>
      </c>
      <c r="C94" t="s">
        <v>549</v>
      </c>
      <c r="D94" s="28">
        <v>3247</v>
      </c>
      <c r="E94" s="19">
        <f t="shared" si="4"/>
        <v>115.96428571428571</v>
      </c>
      <c r="F94" s="5">
        <v>5959.58</v>
      </c>
      <c r="I94" s="19">
        <f t="shared" si="5"/>
        <v>6494</v>
      </c>
      <c r="J94" t="b">
        <f t="shared" si="6"/>
        <v>1</v>
      </c>
      <c r="K94" s="4">
        <f t="shared" si="7"/>
        <v>-8.2294425623652634E-2</v>
      </c>
      <c r="N94"/>
      <c r="P94" t="s">
        <v>330</v>
      </c>
      <c r="Q94">
        <v>577</v>
      </c>
      <c r="R94">
        <v>720.77</v>
      </c>
    </row>
    <row r="95" spans="1:18" hidden="1">
      <c r="A95" t="s">
        <v>1487</v>
      </c>
      <c r="B95" t="s">
        <v>315</v>
      </c>
      <c r="C95" t="s">
        <v>316</v>
      </c>
      <c r="D95" s="28">
        <v>810</v>
      </c>
      <c r="E95" s="19">
        <f t="shared" si="4"/>
        <v>28.928571428571427</v>
      </c>
      <c r="F95" s="5">
        <v>741.97</v>
      </c>
      <c r="I95" s="19">
        <f t="shared" si="5"/>
        <v>1620</v>
      </c>
      <c r="J95" t="b">
        <f t="shared" si="6"/>
        <v>1</v>
      </c>
      <c r="K95" s="4">
        <f t="shared" si="7"/>
        <v>-0.54199382716049382</v>
      </c>
      <c r="N95"/>
      <c r="P95" t="s">
        <v>254</v>
      </c>
      <c r="Q95">
        <v>576</v>
      </c>
      <c r="R95">
        <v>686.87</v>
      </c>
    </row>
    <row r="96" spans="1:18">
      <c r="A96" t="s">
        <v>1489</v>
      </c>
      <c r="B96" t="s">
        <v>91</v>
      </c>
      <c r="C96" t="s">
        <v>92</v>
      </c>
      <c r="D96" s="28">
        <v>681</v>
      </c>
      <c r="E96" s="19">
        <f t="shared" si="4"/>
        <v>24.321428571428573</v>
      </c>
      <c r="F96" s="5">
        <v>1982.26</v>
      </c>
      <c r="I96" s="19">
        <f t="shared" si="5"/>
        <v>1362</v>
      </c>
      <c r="J96" t="b">
        <f t="shared" si="6"/>
        <v>0</v>
      </c>
      <c r="K96" s="4">
        <f t="shared" si="7"/>
        <v>0.4554038179148312</v>
      </c>
      <c r="N96"/>
      <c r="P96" t="s">
        <v>423</v>
      </c>
      <c r="Q96">
        <v>752</v>
      </c>
      <c r="R96">
        <v>616.62</v>
      </c>
    </row>
    <row r="97" spans="1:18">
      <c r="A97" t="s">
        <v>1487</v>
      </c>
      <c r="B97" t="s">
        <v>201</v>
      </c>
      <c r="C97" t="s">
        <v>202</v>
      </c>
      <c r="D97" s="28">
        <v>562</v>
      </c>
      <c r="E97" s="19">
        <f t="shared" si="4"/>
        <v>20.071428571428573</v>
      </c>
      <c r="F97" s="5">
        <v>1648.6</v>
      </c>
      <c r="I97" s="135">
        <f t="shared" si="5"/>
        <v>1124</v>
      </c>
      <c r="J97" t="b">
        <f t="shared" si="6"/>
        <v>0</v>
      </c>
      <c r="K97" s="4">
        <f t="shared" si="7"/>
        <v>0.46672597864768672</v>
      </c>
      <c r="N97"/>
      <c r="P97" t="s">
        <v>186</v>
      </c>
      <c r="Q97">
        <v>613</v>
      </c>
      <c r="R97">
        <v>1513.71</v>
      </c>
    </row>
    <row r="98" spans="1:18" hidden="1">
      <c r="A98" t="s">
        <v>1487</v>
      </c>
      <c r="B98" t="s">
        <v>498</v>
      </c>
      <c r="C98" t="s">
        <v>499</v>
      </c>
      <c r="D98" s="28">
        <v>610</v>
      </c>
      <c r="E98" s="19">
        <f t="shared" si="4"/>
        <v>21.785714285714285</v>
      </c>
      <c r="F98" s="5">
        <v>1346.96</v>
      </c>
      <c r="I98" s="19">
        <f t="shared" si="5"/>
        <v>1220</v>
      </c>
      <c r="J98" t="b">
        <f t="shared" si="6"/>
        <v>1</v>
      </c>
      <c r="K98" s="4">
        <f t="shared" si="7"/>
        <v>0.10406557377049186</v>
      </c>
      <c r="N98"/>
      <c r="P98" t="s">
        <v>298</v>
      </c>
      <c r="Q98">
        <v>1880</v>
      </c>
      <c r="R98">
        <v>3516.22</v>
      </c>
    </row>
    <row r="99" spans="1:18" hidden="1">
      <c r="A99" t="s">
        <v>1487</v>
      </c>
      <c r="B99" t="s">
        <v>149</v>
      </c>
      <c r="C99" t="s">
        <v>150</v>
      </c>
      <c r="D99" s="28">
        <v>1305</v>
      </c>
      <c r="E99" s="19">
        <f t="shared" si="4"/>
        <v>46.607142857142854</v>
      </c>
      <c r="F99" s="5">
        <v>2224.62</v>
      </c>
      <c r="I99" s="19">
        <f t="shared" si="5"/>
        <v>2610</v>
      </c>
      <c r="J99" t="b">
        <f t="shared" si="6"/>
        <v>1</v>
      </c>
      <c r="K99" s="4">
        <f t="shared" si="7"/>
        <v>-0.14765517241379311</v>
      </c>
      <c r="N99"/>
      <c r="P99" t="s">
        <v>401</v>
      </c>
      <c r="Q99">
        <v>513</v>
      </c>
      <c r="R99">
        <v>883.21</v>
      </c>
    </row>
    <row r="100" spans="1:18" hidden="1">
      <c r="A100" t="s">
        <v>1488</v>
      </c>
      <c r="B100" t="s">
        <v>406</v>
      </c>
      <c r="C100" t="s">
        <v>407</v>
      </c>
      <c r="D100" s="28">
        <v>481</v>
      </c>
      <c r="E100" s="19">
        <f t="shared" si="4"/>
        <v>17.178571428571427</v>
      </c>
      <c r="F100" s="5">
        <v>0</v>
      </c>
      <c r="I100" s="19">
        <f t="shared" si="5"/>
        <v>962</v>
      </c>
      <c r="J100" t="b">
        <f t="shared" si="6"/>
        <v>1</v>
      </c>
      <c r="K100" s="4">
        <f t="shared" si="7"/>
        <v>-1</v>
      </c>
      <c r="N100"/>
      <c r="P100" t="s">
        <v>204</v>
      </c>
      <c r="Q100">
        <v>196</v>
      </c>
      <c r="R100">
        <v>537.36</v>
      </c>
    </row>
    <row r="101" spans="1:18" hidden="1">
      <c r="A101" t="s">
        <v>1487</v>
      </c>
      <c r="B101" t="s">
        <v>658</v>
      </c>
      <c r="C101" t="s">
        <v>659</v>
      </c>
      <c r="D101" s="28">
        <v>2859</v>
      </c>
      <c r="E101" s="19">
        <f t="shared" si="4"/>
        <v>102.10714285714286</v>
      </c>
      <c r="F101" s="5">
        <v>5676.21</v>
      </c>
      <c r="I101" s="19">
        <f t="shared" si="5"/>
        <v>5718</v>
      </c>
      <c r="J101" t="b">
        <f t="shared" si="6"/>
        <v>1</v>
      </c>
      <c r="K101" s="4">
        <f t="shared" si="7"/>
        <v>-7.3084994753410681E-3</v>
      </c>
      <c r="N101"/>
      <c r="P101" t="s">
        <v>433</v>
      </c>
      <c r="Q101">
        <v>707</v>
      </c>
      <c r="R101">
        <v>1007.87</v>
      </c>
    </row>
    <row r="102" spans="1:18">
      <c r="A102" t="s">
        <v>1489</v>
      </c>
      <c r="B102" t="s">
        <v>119</v>
      </c>
      <c r="C102" t="s">
        <v>120</v>
      </c>
      <c r="D102" s="28">
        <v>847</v>
      </c>
      <c r="E102" s="19">
        <f t="shared" si="4"/>
        <v>30.25</v>
      </c>
      <c r="F102" s="5">
        <v>2178.85</v>
      </c>
      <c r="I102" s="19">
        <f t="shared" si="5"/>
        <v>1694</v>
      </c>
      <c r="J102" t="b">
        <f t="shared" si="6"/>
        <v>0</v>
      </c>
      <c r="K102" s="4">
        <f t="shared" si="7"/>
        <v>0.28621605667060201</v>
      </c>
      <c r="N102"/>
      <c r="P102" t="s">
        <v>597</v>
      </c>
      <c r="Q102">
        <v>1594</v>
      </c>
      <c r="R102">
        <v>209.91</v>
      </c>
    </row>
    <row r="103" spans="1:18" ht="30" hidden="1">
      <c r="A103" t="s">
        <v>1489</v>
      </c>
      <c r="B103" s="55" t="s">
        <v>476</v>
      </c>
      <c r="C103" s="37" t="s">
        <v>477</v>
      </c>
      <c r="D103" s="28">
        <v>790</v>
      </c>
      <c r="E103" s="19">
        <f t="shared" si="4"/>
        <v>28.214285714285715</v>
      </c>
      <c r="F103" s="5">
        <v>1265.29</v>
      </c>
      <c r="I103" s="19">
        <f t="shared" si="5"/>
        <v>1580</v>
      </c>
      <c r="J103" t="b">
        <f t="shared" si="6"/>
        <v>1</v>
      </c>
      <c r="K103" s="4">
        <f t="shared" si="7"/>
        <v>-0.19918354430379748</v>
      </c>
      <c r="N103"/>
      <c r="P103" t="s">
        <v>619</v>
      </c>
      <c r="Q103">
        <v>2511</v>
      </c>
      <c r="R103">
        <v>2473.92</v>
      </c>
    </row>
    <row r="104" spans="1:18">
      <c r="A104" t="s">
        <v>1488</v>
      </c>
      <c r="B104" t="s">
        <v>398</v>
      </c>
      <c r="C104" t="s">
        <v>399</v>
      </c>
      <c r="D104" s="28">
        <v>907</v>
      </c>
      <c r="E104" s="19">
        <f t="shared" si="4"/>
        <v>32.392857142857146</v>
      </c>
      <c r="F104" s="5">
        <v>2293.96</v>
      </c>
      <c r="I104" s="19">
        <f t="shared" si="5"/>
        <v>1814</v>
      </c>
      <c r="J104" t="b">
        <f t="shared" si="6"/>
        <v>0</v>
      </c>
      <c r="K104" s="4">
        <f t="shared" si="7"/>
        <v>0.26458654906284451</v>
      </c>
      <c r="N104"/>
      <c r="P104" t="s">
        <v>403</v>
      </c>
      <c r="Q104">
        <v>1114</v>
      </c>
      <c r="R104">
        <v>1550.98</v>
      </c>
    </row>
    <row r="105" spans="1:18" hidden="1">
      <c r="A105" t="s">
        <v>1487</v>
      </c>
      <c r="B105" t="s">
        <v>592</v>
      </c>
      <c r="C105" t="s">
        <v>593</v>
      </c>
      <c r="D105" s="28">
        <v>2186</v>
      </c>
      <c r="E105" s="19">
        <f t="shared" si="4"/>
        <v>78.071428571428569</v>
      </c>
      <c r="F105" s="5">
        <v>2902.62</v>
      </c>
      <c r="I105" s="19">
        <f t="shared" si="5"/>
        <v>4372</v>
      </c>
      <c r="J105" t="b">
        <f t="shared" si="6"/>
        <v>1</v>
      </c>
      <c r="K105" s="4">
        <f t="shared" si="7"/>
        <v>-0.33608874656907595</v>
      </c>
      <c r="N105"/>
      <c r="P105" t="s">
        <v>443</v>
      </c>
      <c r="Q105">
        <v>950</v>
      </c>
      <c r="R105">
        <v>648.47</v>
      </c>
    </row>
    <row r="106" spans="1:18" hidden="1">
      <c r="A106" t="s">
        <v>1487</v>
      </c>
      <c r="B106" s="57" t="s">
        <v>383</v>
      </c>
      <c r="C106" s="37" t="s">
        <v>384</v>
      </c>
      <c r="D106" s="28">
        <v>755</v>
      </c>
      <c r="E106" s="19">
        <f t="shared" si="4"/>
        <v>26.964285714285715</v>
      </c>
      <c r="F106" s="5">
        <v>1035.2</v>
      </c>
      <c r="I106" s="19">
        <f t="shared" si="5"/>
        <v>1510</v>
      </c>
      <c r="J106" t="b">
        <f t="shared" si="6"/>
        <v>1</v>
      </c>
      <c r="K106" s="4">
        <f t="shared" si="7"/>
        <v>-0.31443708609271526</v>
      </c>
      <c r="N106"/>
      <c r="P106" t="s">
        <v>240</v>
      </c>
      <c r="Q106">
        <v>756</v>
      </c>
      <c r="R106">
        <v>555.17999999999995</v>
      </c>
    </row>
    <row r="107" spans="1:18" hidden="1">
      <c r="A107" t="s">
        <v>1487</v>
      </c>
      <c r="B107" t="s">
        <v>341</v>
      </c>
      <c r="C107" t="s">
        <v>342</v>
      </c>
      <c r="D107" s="28">
        <v>1118</v>
      </c>
      <c r="E107" s="19">
        <f t="shared" si="4"/>
        <v>39.928571428571431</v>
      </c>
      <c r="F107" s="5">
        <v>929.66</v>
      </c>
      <c r="I107" s="19">
        <f t="shared" si="5"/>
        <v>2236</v>
      </c>
      <c r="J107" t="b">
        <f t="shared" si="6"/>
        <v>1</v>
      </c>
      <c r="K107" s="4">
        <f t="shared" si="7"/>
        <v>-0.58423076923076922</v>
      </c>
      <c r="N107"/>
      <c r="P107" t="s">
        <v>268</v>
      </c>
      <c r="Q107">
        <v>535</v>
      </c>
      <c r="R107">
        <v>654.45000000000005</v>
      </c>
    </row>
    <row r="108" spans="1:18" hidden="1">
      <c r="A108" t="s">
        <v>1487</v>
      </c>
      <c r="B108" t="s">
        <v>516</v>
      </c>
      <c r="C108" t="s">
        <v>517</v>
      </c>
      <c r="D108" s="28">
        <v>1725</v>
      </c>
      <c r="E108" s="19">
        <f t="shared" si="4"/>
        <v>61.607142857142854</v>
      </c>
      <c r="F108" s="5">
        <v>1639.41</v>
      </c>
      <c r="I108" s="19">
        <f t="shared" si="5"/>
        <v>3450</v>
      </c>
      <c r="J108" t="b">
        <f t="shared" si="6"/>
        <v>1</v>
      </c>
      <c r="K108" s="4">
        <f t="shared" si="7"/>
        <v>-0.52480869565217381</v>
      </c>
      <c r="N108"/>
      <c r="P108" t="s">
        <v>557</v>
      </c>
      <c r="Q108">
        <v>1992</v>
      </c>
      <c r="R108">
        <v>2894.27</v>
      </c>
    </row>
    <row r="109" spans="1:18" hidden="1">
      <c r="A109" t="s">
        <v>1487</v>
      </c>
      <c r="B109" t="s">
        <v>456</v>
      </c>
      <c r="C109" t="s">
        <v>457</v>
      </c>
      <c r="D109" s="28">
        <v>1428</v>
      </c>
      <c r="E109" s="19">
        <f t="shared" si="4"/>
        <v>51</v>
      </c>
      <c r="F109" s="5">
        <v>2817.76</v>
      </c>
      <c r="I109" s="123">
        <f t="shared" si="5"/>
        <v>2856</v>
      </c>
      <c r="J109" t="b">
        <f t="shared" si="6"/>
        <v>1</v>
      </c>
      <c r="K109" s="4">
        <f t="shared" si="7"/>
        <v>-1.3389355742296827E-2</v>
      </c>
      <c r="N109" s="128"/>
      <c r="P109" t="s">
        <v>140</v>
      </c>
      <c r="Q109">
        <v>910</v>
      </c>
      <c r="R109">
        <v>725.37</v>
      </c>
    </row>
    <row r="110" spans="1:18" hidden="1">
      <c r="A110" t="s">
        <v>1487</v>
      </c>
      <c r="B110" t="s">
        <v>432</v>
      </c>
      <c r="C110" t="s">
        <v>433</v>
      </c>
      <c r="D110" s="28">
        <v>414</v>
      </c>
      <c r="E110" s="19">
        <f t="shared" si="4"/>
        <v>14.785714285714286</v>
      </c>
      <c r="F110" s="5">
        <v>377.23</v>
      </c>
      <c r="I110" s="19">
        <f t="shared" si="5"/>
        <v>828</v>
      </c>
      <c r="J110" t="b">
        <f t="shared" si="6"/>
        <v>1</v>
      </c>
      <c r="K110" s="4">
        <f t="shared" si="7"/>
        <v>-0.54440821256038641</v>
      </c>
      <c r="N110"/>
      <c r="P110" t="s">
        <v>338</v>
      </c>
      <c r="Q110">
        <v>991</v>
      </c>
      <c r="R110">
        <v>1487.32</v>
      </c>
    </row>
    <row r="111" spans="1:18" hidden="1">
      <c r="A111" t="s">
        <v>1487</v>
      </c>
      <c r="B111" t="s">
        <v>343</v>
      </c>
      <c r="C111" t="s">
        <v>344</v>
      </c>
      <c r="D111" s="28">
        <v>556</v>
      </c>
      <c r="E111" s="19">
        <f t="shared" si="4"/>
        <v>19.857142857142858</v>
      </c>
      <c r="F111" s="5">
        <v>999.95</v>
      </c>
      <c r="I111" s="19">
        <f t="shared" si="5"/>
        <v>1112</v>
      </c>
      <c r="J111" t="b">
        <f t="shared" si="6"/>
        <v>1</v>
      </c>
      <c r="K111" s="4">
        <f t="shared" si="7"/>
        <v>-0.10076438848920855</v>
      </c>
      <c r="N111"/>
      <c r="P111" t="s">
        <v>276</v>
      </c>
      <c r="Q111">
        <v>1070</v>
      </c>
      <c r="R111">
        <v>1533.49</v>
      </c>
    </row>
    <row r="112" spans="1:18" hidden="1">
      <c r="A112" t="s">
        <v>1489</v>
      </c>
      <c r="B112" t="s">
        <v>257</v>
      </c>
      <c r="C112" t="s">
        <v>258</v>
      </c>
      <c r="D112" s="28">
        <v>260</v>
      </c>
      <c r="E112" s="19">
        <f t="shared" si="4"/>
        <v>9.2857142857142865</v>
      </c>
      <c r="F112" s="5">
        <v>184.7</v>
      </c>
      <c r="I112" s="19">
        <f t="shared" si="5"/>
        <v>520</v>
      </c>
      <c r="J112" t="b">
        <f t="shared" si="6"/>
        <v>1</v>
      </c>
      <c r="K112" s="4">
        <f t="shared" si="7"/>
        <v>-0.6448076923076923</v>
      </c>
      <c r="N112"/>
      <c r="P112" t="s">
        <v>216</v>
      </c>
      <c r="Q112">
        <v>269</v>
      </c>
      <c r="R112">
        <v>387.38</v>
      </c>
    </row>
    <row r="113" spans="1:18" hidden="1">
      <c r="A113" t="s">
        <v>1488</v>
      </c>
      <c r="B113" t="s">
        <v>512</v>
      </c>
      <c r="C113" t="s">
        <v>513</v>
      </c>
      <c r="D113" s="28">
        <v>1255</v>
      </c>
      <c r="E113" s="19">
        <f t="shared" si="4"/>
        <v>44.821428571428569</v>
      </c>
      <c r="F113" s="5">
        <v>1802.89</v>
      </c>
      <c r="I113" s="135">
        <f t="shared" si="5"/>
        <v>2510</v>
      </c>
      <c r="J113" t="b">
        <f t="shared" si="6"/>
        <v>1</v>
      </c>
      <c r="K113" s="4">
        <f t="shared" si="7"/>
        <v>-0.2817171314741036</v>
      </c>
      <c r="N113"/>
      <c r="P113" t="s">
        <v>389</v>
      </c>
      <c r="Q113">
        <v>366</v>
      </c>
      <c r="R113">
        <v>652.61</v>
      </c>
    </row>
    <row r="114" spans="1:18" hidden="1">
      <c r="A114" t="s">
        <v>1487</v>
      </c>
      <c r="B114" t="s">
        <v>349</v>
      </c>
      <c r="C114" t="s">
        <v>350</v>
      </c>
      <c r="D114" s="28">
        <v>988</v>
      </c>
      <c r="E114" s="19">
        <f t="shared" si="4"/>
        <v>35.285714285714285</v>
      </c>
      <c r="F114" s="5">
        <v>2335.02</v>
      </c>
      <c r="I114" s="19">
        <f t="shared" si="5"/>
        <v>1976</v>
      </c>
      <c r="J114" t="b">
        <f t="shared" si="6"/>
        <v>1</v>
      </c>
      <c r="K114" s="4">
        <f t="shared" si="7"/>
        <v>0.18169028340080962</v>
      </c>
      <c r="N114"/>
      <c r="P114" t="s">
        <v>517</v>
      </c>
      <c r="Q114">
        <v>2113</v>
      </c>
      <c r="R114">
        <v>2307.63</v>
      </c>
    </row>
    <row r="115" spans="1:18" hidden="1">
      <c r="A115" t="s">
        <v>1487</v>
      </c>
      <c r="B115" t="s">
        <v>155</v>
      </c>
      <c r="C115" t="s">
        <v>156</v>
      </c>
      <c r="D115" s="28">
        <v>618</v>
      </c>
      <c r="E115" s="19">
        <f t="shared" si="4"/>
        <v>22.071428571428573</v>
      </c>
      <c r="F115" s="5">
        <v>936.63</v>
      </c>
      <c r="I115" s="19">
        <f t="shared" si="5"/>
        <v>1236</v>
      </c>
      <c r="J115" t="b">
        <f t="shared" si="6"/>
        <v>1</v>
      </c>
      <c r="K115" s="4">
        <f t="shared" si="7"/>
        <v>-0.24220873786407771</v>
      </c>
      <c r="N115"/>
      <c r="P115" t="s">
        <v>150</v>
      </c>
      <c r="Q115">
        <v>1161</v>
      </c>
      <c r="R115">
        <v>883.15</v>
      </c>
    </row>
    <row r="116" spans="1:18" hidden="1">
      <c r="A116" t="s">
        <v>1488</v>
      </c>
      <c r="B116" t="s">
        <v>430</v>
      </c>
      <c r="C116" t="s">
        <v>431</v>
      </c>
      <c r="D116" s="28">
        <v>636</v>
      </c>
      <c r="E116" s="19">
        <f t="shared" si="4"/>
        <v>22.714285714285715</v>
      </c>
      <c r="F116" s="5">
        <v>1043.8800000000001</v>
      </c>
      <c r="I116" s="19">
        <f t="shared" si="5"/>
        <v>1272</v>
      </c>
      <c r="J116" t="b">
        <f t="shared" si="6"/>
        <v>1</v>
      </c>
      <c r="K116" s="4">
        <f t="shared" si="7"/>
        <v>-0.17933962264150938</v>
      </c>
      <c r="N116"/>
      <c r="P116" t="s">
        <v>469</v>
      </c>
      <c r="Q116">
        <v>690</v>
      </c>
      <c r="R116">
        <v>545.20000000000005</v>
      </c>
    </row>
    <row r="117" spans="1:18">
      <c r="A117" t="s">
        <v>1489</v>
      </c>
      <c r="B117" t="s">
        <v>73</v>
      </c>
      <c r="C117" t="s">
        <v>74</v>
      </c>
      <c r="D117" s="28">
        <v>315</v>
      </c>
      <c r="E117" s="19">
        <f t="shared" si="4"/>
        <v>11.25</v>
      </c>
      <c r="F117" s="5">
        <v>919.07</v>
      </c>
      <c r="I117" s="19">
        <f t="shared" si="5"/>
        <v>630</v>
      </c>
      <c r="J117" t="b">
        <f t="shared" si="6"/>
        <v>0</v>
      </c>
      <c r="K117" s="4">
        <f t="shared" si="7"/>
        <v>0.45884126984126983</v>
      </c>
      <c r="N117"/>
      <c r="P117" t="s">
        <v>286</v>
      </c>
      <c r="Q117">
        <v>1115</v>
      </c>
      <c r="R117">
        <v>2200.4899999999998</v>
      </c>
    </row>
    <row r="118" spans="1:18" hidden="1">
      <c r="A118" t="s">
        <v>1487</v>
      </c>
      <c r="B118" t="s">
        <v>586</v>
      </c>
      <c r="C118" t="s">
        <v>587</v>
      </c>
      <c r="D118" s="28">
        <v>1893</v>
      </c>
      <c r="E118" s="19">
        <f t="shared" si="4"/>
        <v>67.607142857142861</v>
      </c>
      <c r="F118" s="5">
        <v>3970</v>
      </c>
      <c r="I118" s="19">
        <f t="shared" si="5"/>
        <v>3786</v>
      </c>
      <c r="J118" t="b">
        <f t="shared" si="6"/>
        <v>1</v>
      </c>
      <c r="K118" s="4">
        <f t="shared" si="7"/>
        <v>4.8600105652403691E-2</v>
      </c>
      <c r="N118"/>
      <c r="P118" t="s">
        <v>200</v>
      </c>
      <c r="Q118">
        <v>1273</v>
      </c>
      <c r="R118">
        <v>1409.27</v>
      </c>
    </row>
    <row r="119" spans="1:18" hidden="1">
      <c r="A119" t="s">
        <v>1488</v>
      </c>
      <c r="B119" t="s">
        <v>277</v>
      </c>
      <c r="C119" t="s">
        <v>278</v>
      </c>
      <c r="D119" s="28">
        <v>566</v>
      </c>
      <c r="E119" s="19">
        <f t="shared" si="4"/>
        <v>20.214285714285715</v>
      </c>
      <c r="F119" s="5">
        <v>1161.3900000000001</v>
      </c>
      <c r="I119" s="19">
        <f t="shared" si="5"/>
        <v>1132</v>
      </c>
      <c r="J119" t="b">
        <f t="shared" si="6"/>
        <v>1</v>
      </c>
      <c r="K119" s="4">
        <f t="shared" si="7"/>
        <v>2.5962897526501827E-2</v>
      </c>
      <c r="N119"/>
      <c r="P119" t="s">
        <v>467</v>
      </c>
      <c r="Q119">
        <v>1003</v>
      </c>
      <c r="R119">
        <v>2186.44</v>
      </c>
    </row>
    <row r="120" spans="1:18" hidden="1">
      <c r="A120" t="s">
        <v>1487</v>
      </c>
      <c r="B120" t="s">
        <v>161</v>
      </c>
      <c r="C120" t="s">
        <v>162</v>
      </c>
      <c r="D120" s="28">
        <v>864</v>
      </c>
      <c r="E120" s="19">
        <f t="shared" si="4"/>
        <v>30.857142857142858</v>
      </c>
      <c r="F120" s="5">
        <v>1493.71</v>
      </c>
      <c r="I120" s="19">
        <f t="shared" si="5"/>
        <v>1728</v>
      </c>
      <c r="J120" t="b">
        <f t="shared" si="6"/>
        <v>1</v>
      </c>
      <c r="K120" s="4">
        <f t="shared" si="7"/>
        <v>-0.13558449074074075</v>
      </c>
      <c r="N120"/>
      <c r="P120" t="s">
        <v>435</v>
      </c>
      <c r="Q120">
        <v>425</v>
      </c>
      <c r="R120">
        <v>530.95000000000005</v>
      </c>
    </row>
    <row r="121" spans="1:18" hidden="1">
      <c r="A121" t="s">
        <v>1489</v>
      </c>
      <c r="B121" t="s">
        <v>311</v>
      </c>
      <c r="C121" t="s">
        <v>312</v>
      </c>
      <c r="D121" s="28">
        <v>609</v>
      </c>
      <c r="E121" s="19">
        <f t="shared" si="4"/>
        <v>21.75</v>
      </c>
      <c r="F121" s="5">
        <v>570.95000000000005</v>
      </c>
      <c r="I121" s="19">
        <f t="shared" si="5"/>
        <v>1218</v>
      </c>
      <c r="J121" t="b">
        <f t="shared" si="6"/>
        <v>1</v>
      </c>
      <c r="K121" s="4">
        <f t="shared" si="7"/>
        <v>-0.53123973727421991</v>
      </c>
      <c r="N121"/>
      <c r="P121" t="s">
        <v>308</v>
      </c>
      <c r="Q121">
        <v>457</v>
      </c>
      <c r="R121">
        <v>280.43</v>
      </c>
    </row>
    <row r="122" spans="1:18" hidden="1">
      <c r="A122" t="s">
        <v>1489</v>
      </c>
      <c r="B122" t="s">
        <v>213</v>
      </c>
      <c r="C122" t="s">
        <v>214</v>
      </c>
      <c r="D122" s="28">
        <v>699</v>
      </c>
      <c r="E122" s="19">
        <f t="shared" si="4"/>
        <v>24.964285714285715</v>
      </c>
      <c r="F122" s="5">
        <v>832.76</v>
      </c>
      <c r="I122" s="19">
        <f t="shared" si="5"/>
        <v>1398</v>
      </c>
      <c r="J122" t="b">
        <f t="shared" si="6"/>
        <v>1</v>
      </c>
      <c r="K122" s="4">
        <f t="shared" si="7"/>
        <v>-0.40432045779685266</v>
      </c>
      <c r="N122"/>
      <c r="P122" t="s">
        <v>190</v>
      </c>
      <c r="Q122">
        <v>396</v>
      </c>
      <c r="R122">
        <v>403.81</v>
      </c>
    </row>
    <row r="123" spans="1:18" hidden="1">
      <c r="A123" t="s">
        <v>1487</v>
      </c>
      <c r="B123" t="s">
        <v>113</v>
      </c>
      <c r="C123" t="s">
        <v>114</v>
      </c>
      <c r="D123" s="28">
        <v>2338</v>
      </c>
      <c r="E123" s="19">
        <f t="shared" si="4"/>
        <v>83.5</v>
      </c>
      <c r="F123" s="5">
        <v>2127.77</v>
      </c>
      <c r="I123" s="19">
        <f t="shared" si="5"/>
        <v>4676</v>
      </c>
      <c r="J123" t="b">
        <f t="shared" si="6"/>
        <v>1</v>
      </c>
      <c r="K123" s="4">
        <f t="shared" si="7"/>
        <v>-0.54495936698032499</v>
      </c>
      <c r="N123"/>
      <c r="P123" t="s">
        <v>292</v>
      </c>
      <c r="Q123">
        <v>374</v>
      </c>
      <c r="R123">
        <v>329.94</v>
      </c>
    </row>
    <row r="124" spans="1:18">
      <c r="A124" t="s">
        <v>1487</v>
      </c>
      <c r="B124" t="s">
        <v>303</v>
      </c>
      <c r="C124" t="s">
        <v>304</v>
      </c>
      <c r="D124" s="28">
        <v>853</v>
      </c>
      <c r="E124" s="19">
        <f t="shared" si="4"/>
        <v>30.464285714285715</v>
      </c>
      <c r="F124" s="5">
        <v>2308.0300000000002</v>
      </c>
      <c r="I124" s="19">
        <f t="shared" si="5"/>
        <v>1706</v>
      </c>
      <c r="J124" t="b">
        <f t="shared" si="6"/>
        <v>0</v>
      </c>
      <c r="K124" s="4">
        <f t="shared" si="7"/>
        <v>0.35288980070339981</v>
      </c>
      <c r="N124"/>
      <c r="P124" t="s">
        <v>250</v>
      </c>
      <c r="Q124">
        <v>2024</v>
      </c>
      <c r="R124">
        <v>4886.3999999999996</v>
      </c>
    </row>
    <row r="125" spans="1:18" hidden="1">
      <c r="A125" t="s">
        <v>1487</v>
      </c>
      <c r="B125" t="s">
        <v>153</v>
      </c>
      <c r="C125" t="s">
        <v>154</v>
      </c>
      <c r="D125" s="28">
        <v>828</v>
      </c>
      <c r="E125" s="19">
        <f t="shared" si="4"/>
        <v>29.571428571428573</v>
      </c>
      <c r="F125" s="5">
        <v>1508.3</v>
      </c>
      <c r="I125" s="19">
        <f t="shared" si="5"/>
        <v>1656</v>
      </c>
      <c r="J125" t="b">
        <f t="shared" si="6"/>
        <v>1</v>
      </c>
      <c r="K125" s="4">
        <f t="shared" si="7"/>
        <v>-8.9190821256038721E-2</v>
      </c>
      <c r="N125"/>
      <c r="P125" t="s">
        <v>407</v>
      </c>
      <c r="Q125">
        <v>444</v>
      </c>
      <c r="R125">
        <v>278.83</v>
      </c>
    </row>
    <row r="126" spans="1:18" hidden="1">
      <c r="A126" t="s">
        <v>1487</v>
      </c>
      <c r="B126" t="s">
        <v>670</v>
      </c>
      <c r="C126" t="s">
        <v>671</v>
      </c>
      <c r="D126" s="28">
        <v>1702</v>
      </c>
      <c r="E126" s="19">
        <f t="shared" si="4"/>
        <v>60.785714285714285</v>
      </c>
      <c r="F126" s="5">
        <v>2658.89</v>
      </c>
      <c r="I126" s="19">
        <f t="shared" si="5"/>
        <v>3404</v>
      </c>
      <c r="J126" t="b">
        <f t="shared" si="6"/>
        <v>1</v>
      </c>
      <c r="K126" s="4">
        <f t="shared" si="7"/>
        <v>-0.21889247943595769</v>
      </c>
      <c r="N126"/>
      <c r="P126" t="s">
        <v>415</v>
      </c>
      <c r="Q126">
        <v>384</v>
      </c>
      <c r="R126">
        <v>284.83</v>
      </c>
    </row>
    <row r="127" spans="1:18" hidden="1">
      <c r="A127" t="s">
        <v>1489</v>
      </c>
      <c r="B127" s="37" t="s">
        <v>392</v>
      </c>
      <c r="C127" s="37" t="s">
        <v>393</v>
      </c>
      <c r="D127" s="28">
        <v>470</v>
      </c>
      <c r="E127" s="19">
        <f t="shared" si="4"/>
        <v>16.785714285714285</v>
      </c>
      <c r="F127" s="5">
        <v>432.98</v>
      </c>
      <c r="I127" s="19">
        <f t="shared" si="5"/>
        <v>940</v>
      </c>
      <c r="J127" t="b">
        <f t="shared" si="6"/>
        <v>1</v>
      </c>
      <c r="K127" s="4">
        <f>F127/I127-1</f>
        <v>-0.53938297872340424</v>
      </c>
      <c r="N127"/>
      <c r="P127" t="s">
        <v>114</v>
      </c>
      <c r="Q127">
        <v>4667</v>
      </c>
      <c r="R127">
        <v>10317.379999999999</v>
      </c>
    </row>
    <row r="128" spans="1:18" hidden="1">
      <c r="A128" t="s">
        <v>1487</v>
      </c>
      <c r="B128" t="s">
        <v>33</v>
      </c>
      <c r="C128" t="s">
        <v>34</v>
      </c>
      <c r="D128" s="28">
        <v>1569</v>
      </c>
      <c r="E128" s="19">
        <f t="shared" si="4"/>
        <v>56.035714285714285</v>
      </c>
      <c r="F128" s="5">
        <v>3307.29</v>
      </c>
      <c r="I128" s="19">
        <f t="shared" si="5"/>
        <v>3138</v>
      </c>
      <c r="J128" t="b">
        <f t="shared" si="6"/>
        <v>1</v>
      </c>
      <c r="K128" s="4">
        <f t="shared" si="7"/>
        <v>5.3948374760994344E-2</v>
      </c>
      <c r="N128"/>
      <c r="P128" t="s">
        <v>569</v>
      </c>
      <c r="Q128">
        <v>2577</v>
      </c>
      <c r="R128">
        <v>5023.1499999999996</v>
      </c>
    </row>
    <row r="129" spans="1:18" hidden="1">
      <c r="A129" t="s">
        <v>1487</v>
      </c>
      <c r="B129" t="s">
        <v>199</v>
      </c>
      <c r="C129" t="s">
        <v>200</v>
      </c>
      <c r="D129" s="28">
        <v>948</v>
      </c>
      <c r="E129" s="19">
        <f t="shared" ref="E129:E188" si="8">D129/28</f>
        <v>33.857142857142854</v>
      </c>
      <c r="F129" s="5">
        <v>924.06</v>
      </c>
      <c r="I129" s="19">
        <f t="shared" ref="I129:I188" si="9">IF((D129/28)&gt;100,D129*2,D129*2)</f>
        <v>1896</v>
      </c>
      <c r="J129" t="b">
        <f t="shared" ref="J129:J188" si="10">IF(F129&gt;1.2*I129,FALSE,TRUE)</f>
        <v>1</v>
      </c>
      <c r="K129" s="4">
        <f t="shared" ref="K129:K188" si="11">F129/I129-1</f>
        <v>-0.51262658227848101</v>
      </c>
      <c r="N129"/>
      <c r="P129" t="s">
        <v>553</v>
      </c>
      <c r="Q129">
        <v>2165</v>
      </c>
      <c r="R129">
        <v>3961.47</v>
      </c>
    </row>
    <row r="130" spans="1:18" ht="30" hidden="1">
      <c r="A130" t="s">
        <v>1488</v>
      </c>
      <c r="B130" s="55" t="s">
        <v>640</v>
      </c>
      <c r="C130" s="37" t="s">
        <v>641</v>
      </c>
      <c r="D130" s="28">
        <v>2322</v>
      </c>
      <c r="E130" s="19">
        <f t="shared" si="8"/>
        <v>82.928571428571431</v>
      </c>
      <c r="F130" s="5">
        <v>3787.52</v>
      </c>
      <c r="I130" s="19">
        <f t="shared" si="9"/>
        <v>4644</v>
      </c>
      <c r="J130" t="b">
        <f t="shared" si="10"/>
        <v>1</v>
      </c>
      <c r="K130" s="4">
        <f t="shared" si="11"/>
        <v>-0.18442721791559002</v>
      </c>
      <c r="N130"/>
      <c r="P130" t="s">
        <v>172</v>
      </c>
      <c r="Q130">
        <v>1108</v>
      </c>
      <c r="R130">
        <v>2267.13</v>
      </c>
    </row>
    <row r="131" spans="1:18" ht="30" hidden="1">
      <c r="A131" t="s">
        <v>1488</v>
      </c>
      <c r="B131" s="55" t="s">
        <v>355</v>
      </c>
      <c r="C131" s="37" t="s">
        <v>356</v>
      </c>
      <c r="D131" s="28">
        <v>379</v>
      </c>
      <c r="E131" s="19">
        <f t="shared" si="8"/>
        <v>13.535714285714286</v>
      </c>
      <c r="F131" s="5">
        <v>564.14</v>
      </c>
      <c r="I131" s="19">
        <f t="shared" si="9"/>
        <v>758</v>
      </c>
      <c r="J131" t="b">
        <f t="shared" si="10"/>
        <v>1</v>
      </c>
      <c r="K131" s="4">
        <f t="shared" si="11"/>
        <v>-0.25575197889182055</v>
      </c>
      <c r="N131"/>
      <c r="P131" t="s">
        <v>575</v>
      </c>
      <c r="Q131">
        <v>2302</v>
      </c>
      <c r="R131">
        <v>4803.66</v>
      </c>
    </row>
    <row r="132" spans="1:18">
      <c r="A132" t="s">
        <v>1489</v>
      </c>
      <c r="B132" t="s">
        <v>185</v>
      </c>
      <c r="C132" t="s">
        <v>186</v>
      </c>
      <c r="D132" s="28">
        <v>390</v>
      </c>
      <c r="E132" s="19">
        <f t="shared" si="8"/>
        <v>13.928571428571429</v>
      </c>
      <c r="F132" s="5">
        <v>1003.15</v>
      </c>
      <c r="I132" s="19">
        <f t="shared" si="9"/>
        <v>780</v>
      </c>
      <c r="J132" t="b">
        <f t="shared" si="10"/>
        <v>0</v>
      </c>
      <c r="K132" s="4">
        <f t="shared" si="11"/>
        <v>0.28608974358974359</v>
      </c>
      <c r="N132"/>
      <c r="P132" t="s">
        <v>90</v>
      </c>
      <c r="Q132">
        <v>760</v>
      </c>
      <c r="R132">
        <v>1679.4</v>
      </c>
    </row>
    <row r="133" spans="1:18">
      <c r="A133" t="s">
        <v>1487</v>
      </c>
      <c r="B133" t="s">
        <v>394</v>
      </c>
      <c r="C133" t="s">
        <v>395</v>
      </c>
      <c r="D133" s="28">
        <v>229</v>
      </c>
      <c r="E133" s="19">
        <f t="shared" si="8"/>
        <v>8.1785714285714288</v>
      </c>
      <c r="F133" s="5">
        <v>613.62</v>
      </c>
      <c r="I133" s="19">
        <f t="shared" si="9"/>
        <v>458</v>
      </c>
      <c r="J133" t="b">
        <f t="shared" si="10"/>
        <v>0</v>
      </c>
      <c r="K133" s="4">
        <f t="shared" si="11"/>
        <v>0.33978165938864624</v>
      </c>
      <c r="N133"/>
      <c r="P133" t="s">
        <v>78</v>
      </c>
      <c r="Q133">
        <v>1249</v>
      </c>
      <c r="R133">
        <v>1523.67</v>
      </c>
    </row>
    <row r="134" spans="1:18" ht="30" hidden="1">
      <c r="A134" t="s">
        <v>1489</v>
      </c>
      <c r="B134" s="55" t="s">
        <v>249</v>
      </c>
      <c r="C134" s="37" t="s">
        <v>250</v>
      </c>
      <c r="D134" s="28">
        <v>1468</v>
      </c>
      <c r="E134" s="19">
        <f t="shared" si="8"/>
        <v>52.428571428571431</v>
      </c>
      <c r="F134" s="5">
        <v>2071.61</v>
      </c>
      <c r="I134" s="135">
        <f t="shared" si="9"/>
        <v>2936</v>
      </c>
      <c r="J134" t="b">
        <f t="shared" si="10"/>
        <v>1</v>
      </c>
      <c r="K134" s="4">
        <f t="shared" si="11"/>
        <v>-0.29441076294277924</v>
      </c>
      <c r="N134"/>
      <c r="Q134">
        <v>0</v>
      </c>
      <c r="R134">
        <v>0</v>
      </c>
    </row>
    <row r="135" spans="1:18" hidden="1">
      <c r="A135" t="s">
        <v>1489</v>
      </c>
      <c r="B135" t="s">
        <v>237</v>
      </c>
      <c r="C135" t="s">
        <v>238</v>
      </c>
      <c r="D135" s="28">
        <v>1035</v>
      </c>
      <c r="E135" s="19">
        <f t="shared" si="8"/>
        <v>36.964285714285715</v>
      </c>
      <c r="F135" s="5">
        <v>554.17999999999995</v>
      </c>
      <c r="I135" s="19">
        <f t="shared" si="9"/>
        <v>2070</v>
      </c>
      <c r="J135" t="b">
        <f t="shared" si="10"/>
        <v>1</v>
      </c>
      <c r="K135" s="4">
        <f t="shared" si="11"/>
        <v>-0.732280193236715</v>
      </c>
      <c r="N135"/>
      <c r="Q135">
        <v>0</v>
      </c>
      <c r="R135">
        <v>0</v>
      </c>
    </row>
    <row r="136" spans="1:18" hidden="1">
      <c r="A136" t="s">
        <v>1487</v>
      </c>
      <c r="B136" t="s">
        <v>442</v>
      </c>
      <c r="C136" t="s">
        <v>443</v>
      </c>
      <c r="D136" s="28">
        <v>843</v>
      </c>
      <c r="E136" s="19">
        <f t="shared" si="8"/>
        <v>30.107142857142858</v>
      </c>
      <c r="F136" s="5">
        <v>459.4</v>
      </c>
      <c r="I136" s="19">
        <f t="shared" si="9"/>
        <v>1686</v>
      </c>
      <c r="J136" t="b">
        <f t="shared" si="10"/>
        <v>1</v>
      </c>
      <c r="K136" s="4">
        <f t="shared" si="11"/>
        <v>-0.72752075919335701</v>
      </c>
      <c r="N136"/>
      <c r="Q136">
        <v>0</v>
      </c>
      <c r="R136">
        <v>0</v>
      </c>
    </row>
    <row r="137" spans="1:18" hidden="1">
      <c r="A137" t="s">
        <v>1487</v>
      </c>
      <c r="B137" t="s">
        <v>95</v>
      </c>
      <c r="C137" t="s">
        <v>96</v>
      </c>
      <c r="D137" s="28">
        <v>1894</v>
      </c>
      <c r="E137" s="19">
        <f t="shared" si="8"/>
        <v>67.642857142857139</v>
      </c>
      <c r="F137" s="5">
        <v>985.35</v>
      </c>
      <c r="I137" s="19">
        <f t="shared" si="9"/>
        <v>3788</v>
      </c>
      <c r="J137" t="b">
        <f t="shared" si="10"/>
        <v>1</v>
      </c>
      <c r="K137" s="4">
        <f t="shared" si="11"/>
        <v>-0.73987592397043289</v>
      </c>
      <c r="N137"/>
      <c r="Q137">
        <v>0</v>
      </c>
      <c r="R137">
        <v>0</v>
      </c>
    </row>
    <row r="138" spans="1:18" hidden="1">
      <c r="A138" t="s">
        <v>1489</v>
      </c>
      <c r="B138" t="s">
        <v>554</v>
      </c>
      <c r="C138" t="s">
        <v>555</v>
      </c>
      <c r="D138" s="28">
        <v>1188</v>
      </c>
      <c r="E138" s="19">
        <f t="shared" si="8"/>
        <v>42.428571428571431</v>
      </c>
      <c r="F138" s="5">
        <v>1566.12</v>
      </c>
      <c r="I138" s="19">
        <f t="shared" si="9"/>
        <v>2376</v>
      </c>
      <c r="J138" t="b">
        <f t="shared" si="10"/>
        <v>1</v>
      </c>
      <c r="K138" s="4">
        <f t="shared" si="11"/>
        <v>-0.34085858585858586</v>
      </c>
      <c r="N138"/>
      <c r="Q138">
        <v>0</v>
      </c>
      <c r="R138">
        <v>0</v>
      </c>
    </row>
    <row r="139" spans="1:18" hidden="1">
      <c r="A139" t="s">
        <v>1487</v>
      </c>
      <c r="B139" t="s">
        <v>295</v>
      </c>
      <c r="C139" t="s">
        <v>296</v>
      </c>
      <c r="D139" s="28">
        <v>307</v>
      </c>
      <c r="E139" s="19">
        <f t="shared" si="8"/>
        <v>10.964285714285714</v>
      </c>
      <c r="F139" s="5">
        <v>557.17999999999995</v>
      </c>
      <c r="I139" s="19">
        <f t="shared" si="9"/>
        <v>614</v>
      </c>
      <c r="J139" t="b">
        <f t="shared" si="10"/>
        <v>1</v>
      </c>
      <c r="K139" s="4">
        <f t="shared" si="11"/>
        <v>-9.2540716612377949E-2</v>
      </c>
      <c r="N139"/>
      <c r="Q139">
        <v>0</v>
      </c>
      <c r="R139">
        <v>0</v>
      </c>
    </row>
    <row r="140" spans="1:18" hidden="1">
      <c r="A140" t="s">
        <v>1487</v>
      </c>
      <c r="B140" t="s">
        <v>472</v>
      </c>
      <c r="C140" t="s">
        <v>473</v>
      </c>
      <c r="D140" s="28">
        <v>1003</v>
      </c>
      <c r="E140" s="19">
        <f t="shared" si="8"/>
        <v>35.821428571428569</v>
      </c>
      <c r="F140" s="5">
        <v>1144.1500000000001</v>
      </c>
      <c r="I140" s="19">
        <f t="shared" si="9"/>
        <v>2006</v>
      </c>
      <c r="J140" t="b">
        <f t="shared" si="10"/>
        <v>1</v>
      </c>
      <c r="K140" s="4">
        <f t="shared" si="11"/>
        <v>-0.42963609172482553</v>
      </c>
      <c r="N140"/>
      <c r="P140" t="s">
        <v>393</v>
      </c>
      <c r="Q140">
        <v>477</v>
      </c>
      <c r="R140">
        <v>944.89</v>
      </c>
    </row>
    <row r="141" spans="1:18" hidden="1">
      <c r="A141" t="s">
        <v>1489</v>
      </c>
      <c r="B141" s="57" t="s">
        <v>261</v>
      </c>
      <c r="C141" s="37" t="s">
        <v>262</v>
      </c>
      <c r="D141" s="28">
        <v>633</v>
      </c>
      <c r="E141" s="19">
        <f t="shared" si="8"/>
        <v>22.607142857142858</v>
      </c>
      <c r="F141" s="5">
        <v>1341.48</v>
      </c>
      <c r="I141" s="19">
        <f t="shared" si="9"/>
        <v>1266</v>
      </c>
      <c r="J141" t="b">
        <f t="shared" si="10"/>
        <v>1</v>
      </c>
      <c r="K141" s="4">
        <f t="shared" si="11"/>
        <v>5.9620853080568637E-2</v>
      </c>
      <c r="N141"/>
      <c r="P141" t="s">
        <v>525</v>
      </c>
      <c r="Q141">
        <v>732</v>
      </c>
      <c r="R141">
        <v>2164.04</v>
      </c>
    </row>
    <row r="142" spans="1:18" hidden="1">
      <c r="A142" t="s">
        <v>1488</v>
      </c>
      <c r="B142" t="s">
        <v>115</v>
      </c>
      <c r="C142" t="s">
        <v>116</v>
      </c>
      <c r="D142" s="28">
        <v>1782</v>
      </c>
      <c r="E142" s="19">
        <f t="shared" si="8"/>
        <v>63.642857142857146</v>
      </c>
      <c r="F142" s="5">
        <v>2591.87</v>
      </c>
      <c r="I142" s="19">
        <f t="shared" si="9"/>
        <v>3564</v>
      </c>
      <c r="J142" t="b">
        <f t="shared" si="10"/>
        <v>1</v>
      </c>
      <c r="K142" s="4">
        <f t="shared" si="11"/>
        <v>-0.27276374859708197</v>
      </c>
      <c r="N142"/>
      <c r="P142" t="s">
        <v>156</v>
      </c>
      <c r="Q142">
        <v>807</v>
      </c>
      <c r="R142">
        <v>1003.12</v>
      </c>
    </row>
    <row r="143" spans="1:18" hidden="1">
      <c r="A143" t="s">
        <v>1488</v>
      </c>
      <c r="B143" t="s">
        <v>452</v>
      </c>
      <c r="C143" t="s">
        <v>453</v>
      </c>
      <c r="D143" s="28">
        <v>322</v>
      </c>
      <c r="E143" s="19">
        <f t="shared" si="8"/>
        <v>11.5</v>
      </c>
      <c r="F143" s="5">
        <v>482.1</v>
      </c>
      <c r="I143" s="19">
        <f t="shared" si="9"/>
        <v>644</v>
      </c>
      <c r="J143" t="b">
        <f t="shared" si="10"/>
        <v>1</v>
      </c>
      <c r="K143" s="4">
        <f t="shared" si="11"/>
        <v>-0.25139751552795031</v>
      </c>
      <c r="N143"/>
      <c r="P143" t="s">
        <v>260</v>
      </c>
      <c r="Q143">
        <v>1176</v>
      </c>
      <c r="R143">
        <v>1389.04</v>
      </c>
    </row>
    <row r="144" spans="1:18" hidden="1">
      <c r="A144" t="s">
        <v>1487</v>
      </c>
      <c r="B144" s="55" t="s">
        <v>660</v>
      </c>
      <c r="C144" s="37" t="s">
        <v>661</v>
      </c>
      <c r="D144">
        <v>1834</v>
      </c>
      <c r="E144" s="19">
        <f t="shared" si="8"/>
        <v>65.5</v>
      </c>
      <c r="F144" s="5">
        <v>2659.03</v>
      </c>
      <c r="I144" s="138">
        <f t="shared" si="9"/>
        <v>3668</v>
      </c>
      <c r="J144" t="b">
        <f t="shared" si="10"/>
        <v>1</v>
      </c>
      <c r="K144" s="4">
        <f t="shared" si="11"/>
        <v>-0.27507360959651028</v>
      </c>
      <c r="N144"/>
      <c r="P144" t="s">
        <v>258</v>
      </c>
      <c r="Q144">
        <v>485</v>
      </c>
      <c r="R144">
        <v>1024.1400000000001</v>
      </c>
    </row>
    <row r="145" spans="1:18" hidden="1">
      <c r="A145" t="s">
        <v>1487</v>
      </c>
      <c r="B145" t="s">
        <v>309</v>
      </c>
      <c r="C145" t="s">
        <v>310</v>
      </c>
      <c r="D145" s="28">
        <v>510</v>
      </c>
      <c r="E145" s="19">
        <f t="shared" si="8"/>
        <v>18.214285714285715</v>
      </c>
      <c r="F145" s="5">
        <v>374.49</v>
      </c>
      <c r="I145" s="19">
        <f t="shared" si="9"/>
        <v>1020</v>
      </c>
      <c r="J145" t="b">
        <f t="shared" si="10"/>
        <v>1</v>
      </c>
      <c r="K145" s="4">
        <f t="shared" si="11"/>
        <v>-0.63285294117647051</v>
      </c>
      <c r="N145"/>
      <c r="P145" t="s">
        <v>76</v>
      </c>
      <c r="Q145">
        <v>1603</v>
      </c>
      <c r="R145">
        <v>2952.38</v>
      </c>
    </row>
    <row r="146" spans="1:18" hidden="1">
      <c r="A146" t="s">
        <v>1488</v>
      </c>
      <c r="B146" t="s">
        <v>496</v>
      </c>
      <c r="C146" t="s">
        <v>497</v>
      </c>
      <c r="D146" s="29">
        <v>1327</v>
      </c>
      <c r="E146" s="19">
        <f t="shared" si="8"/>
        <v>47.392857142857146</v>
      </c>
      <c r="F146" s="5">
        <v>1196.03</v>
      </c>
      <c r="I146" s="135">
        <f t="shared" si="9"/>
        <v>2654</v>
      </c>
      <c r="J146" t="b">
        <f t="shared" si="10"/>
        <v>1</v>
      </c>
      <c r="K146" s="4">
        <f t="shared" si="11"/>
        <v>-0.5493481537302185</v>
      </c>
      <c r="N146"/>
      <c r="P146" t="s">
        <v>515</v>
      </c>
      <c r="Q146">
        <v>5633</v>
      </c>
      <c r="R146">
        <v>3251.64</v>
      </c>
    </row>
    <row r="147" spans="1:18" hidden="1">
      <c r="A147" t="s">
        <v>1489</v>
      </c>
      <c r="B147" t="s">
        <v>139</v>
      </c>
      <c r="C147" t="s">
        <v>140</v>
      </c>
      <c r="D147" s="28">
        <v>515</v>
      </c>
      <c r="E147" s="19">
        <f t="shared" si="8"/>
        <v>18.392857142857142</v>
      </c>
      <c r="F147" s="5">
        <v>637.16999999999996</v>
      </c>
      <c r="I147" s="19">
        <f t="shared" si="9"/>
        <v>1030</v>
      </c>
      <c r="J147" t="b">
        <f t="shared" si="10"/>
        <v>1</v>
      </c>
      <c r="K147" s="4">
        <f t="shared" si="11"/>
        <v>-0.38138834951456313</v>
      </c>
      <c r="N147"/>
      <c r="P147" t="s">
        <v>98</v>
      </c>
      <c r="Q147">
        <v>3162</v>
      </c>
      <c r="R147">
        <v>3743.79</v>
      </c>
    </row>
    <row r="148" spans="1:18" hidden="1">
      <c r="A148" t="s">
        <v>1487</v>
      </c>
      <c r="B148" t="s">
        <v>410</v>
      </c>
      <c r="C148" t="s">
        <v>411</v>
      </c>
      <c r="D148" s="28">
        <v>509</v>
      </c>
      <c r="E148" s="19">
        <f t="shared" si="8"/>
        <v>18.178571428571427</v>
      </c>
      <c r="F148" s="5">
        <v>1048.75</v>
      </c>
      <c r="I148" s="138">
        <f t="shared" si="9"/>
        <v>1018</v>
      </c>
      <c r="J148" t="b">
        <f t="shared" si="10"/>
        <v>1</v>
      </c>
      <c r="K148" s="4">
        <f t="shared" si="11"/>
        <v>3.020628683693527E-2</v>
      </c>
      <c r="N148"/>
      <c r="P148" t="s">
        <v>1388</v>
      </c>
      <c r="Q148">
        <v>401</v>
      </c>
      <c r="R148">
        <v>371.16</v>
      </c>
    </row>
    <row r="149" spans="1:18" hidden="1">
      <c r="A149" t="s">
        <v>1487</v>
      </c>
      <c r="B149" t="s">
        <v>426</v>
      </c>
      <c r="C149" t="s">
        <v>427</v>
      </c>
      <c r="D149" s="28">
        <v>814</v>
      </c>
      <c r="E149" s="19">
        <f t="shared" si="8"/>
        <v>29.071428571428573</v>
      </c>
      <c r="F149" s="5">
        <v>956.95</v>
      </c>
      <c r="I149" s="19">
        <f t="shared" si="9"/>
        <v>1628</v>
      </c>
      <c r="J149" t="b">
        <f t="shared" si="10"/>
        <v>1</v>
      </c>
      <c r="K149" s="4">
        <f t="shared" si="11"/>
        <v>-0.41219287469287469</v>
      </c>
      <c r="N149"/>
      <c r="P149" t="s">
        <v>360</v>
      </c>
      <c r="Q149">
        <v>1430</v>
      </c>
      <c r="R149">
        <v>2394.31</v>
      </c>
    </row>
    <row r="150" spans="1:18" hidden="1">
      <c r="A150" t="s">
        <v>1487</v>
      </c>
      <c r="B150" t="s">
        <v>556</v>
      </c>
      <c r="C150" t="s">
        <v>557</v>
      </c>
      <c r="D150" s="28">
        <v>2561</v>
      </c>
      <c r="E150" s="19">
        <f t="shared" si="8"/>
        <v>91.464285714285708</v>
      </c>
      <c r="F150" s="5">
        <v>4541.2700000000004</v>
      </c>
      <c r="I150" s="19">
        <f t="shared" si="9"/>
        <v>5122</v>
      </c>
      <c r="J150" t="b">
        <f t="shared" si="10"/>
        <v>1</v>
      </c>
      <c r="K150" s="4">
        <f t="shared" si="11"/>
        <v>-0.11337953924248334</v>
      </c>
      <c r="N150"/>
      <c r="P150" t="s">
        <v>519</v>
      </c>
      <c r="Q150">
        <v>751</v>
      </c>
      <c r="R150">
        <v>53.21</v>
      </c>
    </row>
    <row r="151" spans="1:18" hidden="1">
      <c r="A151" t="s">
        <v>1487</v>
      </c>
      <c r="B151" t="s">
        <v>518</v>
      </c>
      <c r="C151" t="s">
        <v>519</v>
      </c>
      <c r="D151" s="28">
        <v>830</v>
      </c>
      <c r="E151" s="19">
        <f t="shared" si="8"/>
        <v>29.642857142857142</v>
      </c>
      <c r="F151" s="5">
        <v>86.69</v>
      </c>
      <c r="I151" s="19">
        <f t="shared" si="9"/>
        <v>1660</v>
      </c>
      <c r="J151" t="b">
        <f t="shared" si="10"/>
        <v>1</v>
      </c>
      <c r="K151" s="4">
        <f t="shared" si="11"/>
        <v>-0.94777710843373497</v>
      </c>
      <c r="N151"/>
      <c r="P151" t="s">
        <v>477</v>
      </c>
      <c r="Q151">
        <v>696</v>
      </c>
      <c r="R151">
        <v>966.85</v>
      </c>
    </row>
    <row r="152" spans="1:18" hidden="1">
      <c r="A152" t="s">
        <v>1488</v>
      </c>
      <c r="B152" t="s">
        <v>478</v>
      </c>
      <c r="C152" t="s">
        <v>479</v>
      </c>
      <c r="D152" s="28">
        <v>806</v>
      </c>
      <c r="E152" s="19">
        <f t="shared" si="8"/>
        <v>28.785714285714285</v>
      </c>
      <c r="F152" s="5">
        <v>1209.79</v>
      </c>
      <c r="I152" s="19">
        <f t="shared" si="9"/>
        <v>1612</v>
      </c>
      <c r="J152" t="b">
        <f t="shared" si="10"/>
        <v>1</v>
      </c>
      <c r="K152" s="4">
        <f t="shared" si="11"/>
        <v>-0.24950992555831264</v>
      </c>
      <c r="N152"/>
      <c r="P152" t="s">
        <v>370</v>
      </c>
      <c r="Q152">
        <v>1272</v>
      </c>
      <c r="R152">
        <v>2336.77</v>
      </c>
    </row>
    <row r="153" spans="1:18" hidden="1">
      <c r="A153" t="s">
        <v>1489</v>
      </c>
      <c r="B153" t="s">
        <v>466</v>
      </c>
      <c r="C153" t="s">
        <v>467</v>
      </c>
      <c r="D153" s="28">
        <v>924</v>
      </c>
      <c r="E153" s="19">
        <f t="shared" si="8"/>
        <v>33</v>
      </c>
      <c r="F153" s="5">
        <v>1963.78</v>
      </c>
      <c r="I153" s="138">
        <f t="shared" si="9"/>
        <v>1848</v>
      </c>
      <c r="J153" t="b">
        <f t="shared" si="10"/>
        <v>1</v>
      </c>
      <c r="K153" s="4">
        <f t="shared" si="11"/>
        <v>6.2651515151515236E-2</v>
      </c>
      <c r="N153"/>
      <c r="P153" t="s">
        <v>366</v>
      </c>
      <c r="Q153">
        <v>924</v>
      </c>
      <c r="R153">
        <v>1371.73</v>
      </c>
    </row>
    <row r="154" spans="1:18" hidden="1">
      <c r="A154" t="s">
        <v>1487</v>
      </c>
      <c r="B154" t="s">
        <v>400</v>
      </c>
      <c r="C154" t="s">
        <v>401</v>
      </c>
      <c r="D154" s="28">
        <v>610</v>
      </c>
      <c r="E154" s="19">
        <f t="shared" si="8"/>
        <v>21.785714285714285</v>
      </c>
      <c r="F154" s="5">
        <v>899.93</v>
      </c>
      <c r="I154" s="19">
        <f t="shared" si="9"/>
        <v>1220</v>
      </c>
      <c r="J154" t="b">
        <f t="shared" si="10"/>
        <v>1</v>
      </c>
      <c r="K154" s="4">
        <f t="shared" si="11"/>
        <v>-0.26235245901639348</v>
      </c>
      <c r="N154"/>
      <c r="P154" t="s">
        <v>1377</v>
      </c>
      <c r="Q154">
        <v>3</v>
      </c>
      <c r="R154">
        <v>4.76</v>
      </c>
    </row>
    <row r="155" spans="1:18" hidden="1">
      <c r="A155" t="s">
        <v>1489</v>
      </c>
      <c r="B155" t="s">
        <v>293</v>
      </c>
      <c r="C155" t="s">
        <v>294</v>
      </c>
      <c r="D155" s="28">
        <v>328</v>
      </c>
      <c r="E155" s="19">
        <f t="shared" si="8"/>
        <v>11.714285714285714</v>
      </c>
      <c r="F155" s="5">
        <v>459.27</v>
      </c>
      <c r="I155" s="19">
        <f t="shared" si="9"/>
        <v>656</v>
      </c>
      <c r="J155" t="b">
        <f t="shared" si="10"/>
        <v>1</v>
      </c>
      <c r="K155" s="4">
        <f t="shared" si="11"/>
        <v>-0.29989329268292686</v>
      </c>
      <c r="N155"/>
      <c r="P155" t="s">
        <v>499</v>
      </c>
      <c r="Q155">
        <v>654</v>
      </c>
      <c r="R155">
        <v>1923.98</v>
      </c>
    </row>
    <row r="156" spans="1:18">
      <c r="A156" t="s">
        <v>1487</v>
      </c>
      <c r="B156" t="s">
        <v>123</v>
      </c>
      <c r="C156" t="s">
        <v>124</v>
      </c>
      <c r="D156" s="28">
        <v>348</v>
      </c>
      <c r="E156" s="19">
        <f t="shared" si="8"/>
        <v>12.428571428571429</v>
      </c>
      <c r="F156" s="5">
        <v>941.32</v>
      </c>
      <c r="I156" s="19">
        <f t="shared" si="9"/>
        <v>696</v>
      </c>
      <c r="J156" t="b">
        <f t="shared" si="10"/>
        <v>0</v>
      </c>
      <c r="K156" s="4">
        <f t="shared" si="11"/>
        <v>0.35247126436781606</v>
      </c>
      <c r="N156"/>
      <c r="P156" t="s">
        <v>1391</v>
      </c>
      <c r="Q156">
        <v>272</v>
      </c>
      <c r="R156">
        <v>150.43</v>
      </c>
    </row>
    <row r="157" spans="1:18" hidden="1">
      <c r="A157" t="s">
        <v>1488</v>
      </c>
      <c r="B157" t="s">
        <v>305</v>
      </c>
      <c r="C157" t="s">
        <v>306</v>
      </c>
      <c r="D157" s="28">
        <v>378</v>
      </c>
      <c r="E157" s="19">
        <f t="shared" si="8"/>
        <v>13.5</v>
      </c>
      <c r="F157" s="5">
        <v>319.22000000000003</v>
      </c>
      <c r="I157" s="19">
        <f t="shared" si="9"/>
        <v>756</v>
      </c>
      <c r="J157" t="b">
        <f t="shared" si="10"/>
        <v>1</v>
      </c>
      <c r="K157" s="4">
        <f t="shared" si="11"/>
        <v>-0.57775132275132268</v>
      </c>
      <c r="N157"/>
      <c r="P157" t="s">
        <v>1392</v>
      </c>
      <c r="Q157">
        <v>8</v>
      </c>
      <c r="R157">
        <v>0</v>
      </c>
    </row>
    <row r="158" spans="1:18" hidden="1">
      <c r="A158" t="s">
        <v>1488</v>
      </c>
      <c r="B158" t="s">
        <v>133</v>
      </c>
      <c r="C158" t="s">
        <v>134</v>
      </c>
      <c r="D158" s="28">
        <v>995</v>
      </c>
      <c r="E158" s="19">
        <f t="shared" si="8"/>
        <v>35.535714285714285</v>
      </c>
      <c r="F158" s="5">
        <v>2103.6999999999998</v>
      </c>
      <c r="I158" s="123">
        <f t="shared" si="9"/>
        <v>1990</v>
      </c>
      <c r="J158" t="b">
        <f t="shared" si="10"/>
        <v>1</v>
      </c>
      <c r="K158" s="4">
        <f t="shared" si="11"/>
        <v>5.7135678391959654E-2</v>
      </c>
      <c r="P158" t="s">
        <v>222</v>
      </c>
      <c r="Q158">
        <v>460</v>
      </c>
      <c r="R158">
        <v>0</v>
      </c>
    </row>
    <row r="159" spans="1:18" hidden="1">
      <c r="A159" t="s">
        <v>1489</v>
      </c>
      <c r="B159" t="s">
        <v>203</v>
      </c>
      <c r="C159" t="s">
        <v>204</v>
      </c>
      <c r="D159" s="28">
        <v>6</v>
      </c>
      <c r="E159" s="19">
        <f t="shared" si="8"/>
        <v>0.21428571428571427</v>
      </c>
      <c r="F159" s="5">
        <v>4.79</v>
      </c>
      <c r="I159" s="19">
        <f t="shared" si="9"/>
        <v>12</v>
      </c>
      <c r="J159" t="b">
        <f t="shared" si="10"/>
        <v>1</v>
      </c>
      <c r="K159" s="4">
        <f t="shared" si="11"/>
        <v>-0.60083333333333333</v>
      </c>
      <c r="N159"/>
      <c r="P159" t="s">
        <v>613</v>
      </c>
      <c r="Q159">
        <v>1605</v>
      </c>
      <c r="R159">
        <v>3252.58</v>
      </c>
    </row>
    <row r="160" spans="1:18" hidden="1">
      <c r="A160" t="s">
        <v>1489</v>
      </c>
      <c r="B160" t="s">
        <v>337</v>
      </c>
      <c r="C160" t="s">
        <v>338</v>
      </c>
      <c r="D160" s="28">
        <v>656</v>
      </c>
      <c r="E160" s="19">
        <f t="shared" si="8"/>
        <v>23.428571428571427</v>
      </c>
      <c r="F160" s="5">
        <v>668.23</v>
      </c>
      <c r="I160" s="19">
        <f t="shared" si="9"/>
        <v>1312</v>
      </c>
      <c r="J160" t="b">
        <f t="shared" si="10"/>
        <v>1</v>
      </c>
      <c r="K160" s="4">
        <f t="shared" si="11"/>
        <v>-0.49067835365853663</v>
      </c>
      <c r="N160"/>
      <c r="P160" t="s">
        <v>236</v>
      </c>
      <c r="Q160">
        <v>906</v>
      </c>
      <c r="R160">
        <v>870.89</v>
      </c>
    </row>
    <row r="161" spans="1:18" hidden="1">
      <c r="A161" t="s">
        <v>1487</v>
      </c>
      <c r="B161" t="s">
        <v>221</v>
      </c>
      <c r="C161" t="s">
        <v>222</v>
      </c>
      <c r="D161" s="28">
        <v>340</v>
      </c>
      <c r="E161" s="19">
        <f t="shared" si="8"/>
        <v>12.142857142857142</v>
      </c>
      <c r="F161" s="5">
        <v>0</v>
      </c>
      <c r="I161" s="19">
        <f t="shared" si="9"/>
        <v>680</v>
      </c>
      <c r="J161" t="b">
        <f t="shared" si="10"/>
        <v>1</v>
      </c>
      <c r="K161" s="4">
        <f t="shared" si="11"/>
        <v>-1</v>
      </c>
      <c r="N161"/>
      <c r="P161" t="s">
        <v>1393</v>
      </c>
      <c r="Q161">
        <v>2</v>
      </c>
      <c r="R161">
        <v>5.22</v>
      </c>
    </row>
    <row r="162" spans="1:18">
      <c r="A162" t="s">
        <v>1488</v>
      </c>
      <c r="B162" t="s">
        <v>245</v>
      </c>
      <c r="C162" t="s">
        <v>246</v>
      </c>
      <c r="D162" s="28">
        <v>646</v>
      </c>
      <c r="E162" s="19">
        <f t="shared" si="8"/>
        <v>23.071428571428573</v>
      </c>
      <c r="F162" s="5">
        <v>1737.7</v>
      </c>
      <c r="I162" s="123">
        <f t="shared" si="9"/>
        <v>1292</v>
      </c>
      <c r="J162" t="b">
        <f t="shared" si="10"/>
        <v>0</v>
      </c>
      <c r="K162" s="4">
        <f t="shared" si="11"/>
        <v>0.34496904024767816</v>
      </c>
      <c r="P162" t="s">
        <v>459</v>
      </c>
      <c r="Q162">
        <v>910</v>
      </c>
      <c r="R162">
        <v>1227.83</v>
      </c>
    </row>
    <row r="163" spans="1:18">
      <c r="A163" t="s">
        <v>1488</v>
      </c>
      <c r="B163" t="s">
        <v>454</v>
      </c>
      <c r="C163" t="s">
        <v>455</v>
      </c>
      <c r="D163" s="28">
        <v>379</v>
      </c>
      <c r="E163" s="19">
        <f t="shared" si="8"/>
        <v>13.535714285714286</v>
      </c>
      <c r="F163" s="5">
        <v>1111.74</v>
      </c>
      <c r="I163" s="19">
        <f t="shared" si="9"/>
        <v>758</v>
      </c>
      <c r="J163" t="b">
        <f t="shared" si="10"/>
        <v>0</v>
      </c>
      <c r="K163" s="4">
        <f t="shared" si="11"/>
        <v>0.46667546174142482</v>
      </c>
      <c r="N163"/>
      <c r="P163" t="s">
        <v>673</v>
      </c>
      <c r="Q163">
        <v>2224</v>
      </c>
      <c r="R163">
        <v>3393.97</v>
      </c>
    </row>
    <row r="164" spans="1:18" hidden="1">
      <c r="A164" t="s">
        <v>1489</v>
      </c>
      <c r="B164" t="s">
        <v>335</v>
      </c>
      <c r="C164" t="s">
        <v>336</v>
      </c>
      <c r="D164" s="28">
        <v>703</v>
      </c>
      <c r="E164" s="19">
        <f t="shared" si="8"/>
        <v>25.107142857142858</v>
      </c>
      <c r="F164" s="5">
        <v>599.61</v>
      </c>
      <c r="I164" s="123">
        <f t="shared" si="9"/>
        <v>1406</v>
      </c>
      <c r="J164" t="b">
        <f t="shared" si="10"/>
        <v>1</v>
      </c>
      <c r="K164" s="4">
        <f t="shared" si="11"/>
        <v>-0.57353485064011378</v>
      </c>
      <c r="P164" t="s">
        <v>445</v>
      </c>
      <c r="Q164">
        <v>739</v>
      </c>
      <c r="R164">
        <v>1714.51</v>
      </c>
    </row>
    <row r="165" spans="1:18" hidden="1">
      <c r="A165" t="s">
        <v>1487</v>
      </c>
      <c r="B165" t="s">
        <v>181</v>
      </c>
      <c r="C165" t="s">
        <v>182</v>
      </c>
      <c r="D165" s="28">
        <v>950</v>
      </c>
      <c r="E165" s="19">
        <f>D165/28</f>
        <v>33.928571428571431</v>
      </c>
      <c r="F165" s="5">
        <v>1525.37</v>
      </c>
      <c r="I165" s="19">
        <f t="shared" si="9"/>
        <v>1900</v>
      </c>
      <c r="J165" t="b">
        <f t="shared" si="10"/>
        <v>1</v>
      </c>
      <c r="K165" s="4">
        <f t="shared" si="11"/>
        <v>-0.19717368421052639</v>
      </c>
      <c r="N165"/>
      <c r="P165" t="s">
        <v>1395</v>
      </c>
      <c r="Q165">
        <v>131</v>
      </c>
      <c r="R165">
        <v>91.13</v>
      </c>
    </row>
    <row r="166" spans="1:18" hidden="1">
      <c r="A166" t="s">
        <v>1489</v>
      </c>
      <c r="B166" t="s">
        <v>297</v>
      </c>
      <c r="C166" t="s">
        <v>298</v>
      </c>
      <c r="D166" s="28">
        <v>1458</v>
      </c>
      <c r="E166" s="19">
        <f t="shared" si="8"/>
        <v>52.071428571428569</v>
      </c>
      <c r="F166" s="5">
        <v>1839.19</v>
      </c>
      <c r="I166" s="19">
        <f t="shared" si="9"/>
        <v>2916</v>
      </c>
      <c r="J166" t="b">
        <f t="shared" si="10"/>
        <v>1</v>
      </c>
      <c r="K166" s="4">
        <f t="shared" si="11"/>
        <v>-0.36927640603566525</v>
      </c>
      <c r="N166"/>
      <c r="P166" t="s">
        <v>455</v>
      </c>
      <c r="Q166">
        <v>241</v>
      </c>
      <c r="R166">
        <v>1011.31</v>
      </c>
    </row>
    <row r="167" spans="1:18" hidden="1">
      <c r="A167" t="s">
        <v>1489</v>
      </c>
      <c r="B167" t="s">
        <v>388</v>
      </c>
      <c r="C167" t="s">
        <v>389</v>
      </c>
      <c r="D167" s="28">
        <v>409</v>
      </c>
      <c r="E167" s="19">
        <f t="shared" si="8"/>
        <v>14.607142857142858</v>
      </c>
      <c r="F167" s="5">
        <v>484.08</v>
      </c>
      <c r="I167" s="19">
        <f t="shared" si="9"/>
        <v>818</v>
      </c>
      <c r="J167" t="b">
        <f t="shared" si="10"/>
        <v>1</v>
      </c>
      <c r="K167" s="4">
        <f t="shared" si="11"/>
        <v>-0.40821515892420535</v>
      </c>
      <c r="N167"/>
      <c r="P167" t="s">
        <v>148</v>
      </c>
      <c r="Q167">
        <v>2823</v>
      </c>
      <c r="R167">
        <v>3165.3</v>
      </c>
    </row>
    <row r="168" spans="1:18">
      <c r="A168" t="s">
        <v>1489</v>
      </c>
      <c r="B168" t="s">
        <v>484</v>
      </c>
      <c r="C168" t="s">
        <v>485</v>
      </c>
      <c r="D168" s="28">
        <v>116</v>
      </c>
      <c r="E168" s="19">
        <f t="shared" si="8"/>
        <v>4.1428571428571432</v>
      </c>
      <c r="F168" s="5">
        <v>305.70999999999998</v>
      </c>
      <c r="I168" s="123">
        <f t="shared" si="9"/>
        <v>232</v>
      </c>
      <c r="J168" t="b">
        <f t="shared" si="10"/>
        <v>0</v>
      </c>
      <c r="K168" s="4">
        <f t="shared" si="11"/>
        <v>0.31771551724137925</v>
      </c>
      <c r="N168" s="127"/>
      <c r="P168" t="s">
        <v>252</v>
      </c>
      <c r="Q168">
        <v>1428</v>
      </c>
      <c r="R168">
        <v>2934.62</v>
      </c>
    </row>
    <row r="169" spans="1:18" hidden="1">
      <c r="A169" t="s">
        <v>1487</v>
      </c>
      <c r="B169" t="s">
        <v>602</v>
      </c>
      <c r="C169" t="s">
        <v>603</v>
      </c>
      <c r="D169" s="28">
        <v>407</v>
      </c>
      <c r="E169" s="19">
        <f t="shared" si="8"/>
        <v>14.535714285714286</v>
      </c>
      <c r="F169" s="5">
        <v>459.7</v>
      </c>
      <c r="I169" s="19">
        <f t="shared" si="9"/>
        <v>814</v>
      </c>
      <c r="J169" t="b">
        <f t="shared" si="10"/>
        <v>1</v>
      </c>
      <c r="K169" s="4">
        <f t="shared" si="11"/>
        <v>-0.43525798525798531</v>
      </c>
      <c r="N169"/>
      <c r="P169" t="s">
        <v>306</v>
      </c>
      <c r="Q169">
        <v>623</v>
      </c>
      <c r="R169">
        <v>1035.93</v>
      </c>
    </row>
    <row r="170" spans="1:18">
      <c r="A170" t="s">
        <v>1489</v>
      </c>
      <c r="B170" t="s">
        <v>446</v>
      </c>
      <c r="C170" t="s">
        <v>447</v>
      </c>
      <c r="D170" s="28">
        <v>60</v>
      </c>
      <c r="E170" s="19">
        <f t="shared" si="8"/>
        <v>2.1428571428571428</v>
      </c>
      <c r="F170" s="5">
        <v>181</v>
      </c>
      <c r="I170" s="135">
        <f t="shared" si="9"/>
        <v>120</v>
      </c>
      <c r="J170" t="b">
        <f t="shared" si="10"/>
        <v>0</v>
      </c>
      <c r="K170" s="4">
        <f t="shared" si="11"/>
        <v>0.5083333333333333</v>
      </c>
      <c r="N170"/>
      <c r="P170" t="s">
        <v>300</v>
      </c>
      <c r="Q170">
        <v>787</v>
      </c>
      <c r="R170">
        <v>1703.07</v>
      </c>
    </row>
    <row r="171" spans="1:18">
      <c r="A171" t="s">
        <v>1489</v>
      </c>
      <c r="B171" t="s">
        <v>534</v>
      </c>
      <c r="C171" t="s">
        <v>535</v>
      </c>
      <c r="D171" s="28">
        <v>196</v>
      </c>
      <c r="E171" s="19">
        <f t="shared" si="8"/>
        <v>7</v>
      </c>
      <c r="F171" s="5">
        <v>674.16</v>
      </c>
      <c r="I171" s="19">
        <f t="shared" si="9"/>
        <v>392</v>
      </c>
      <c r="J171" t="b">
        <f t="shared" si="10"/>
        <v>0</v>
      </c>
      <c r="K171" s="4">
        <f t="shared" si="11"/>
        <v>0.7197959183673468</v>
      </c>
      <c r="N171"/>
      <c r="P171" t="s">
        <v>489</v>
      </c>
      <c r="Q171">
        <v>626</v>
      </c>
      <c r="R171">
        <v>1564.77</v>
      </c>
    </row>
    <row r="172" spans="1:18" hidden="1">
      <c r="A172" t="s">
        <v>1489</v>
      </c>
      <c r="B172" t="s">
        <v>532</v>
      </c>
      <c r="C172" t="s">
        <v>533</v>
      </c>
      <c r="D172" s="28">
        <v>826</v>
      </c>
      <c r="E172" s="19">
        <f t="shared" si="8"/>
        <v>29.5</v>
      </c>
      <c r="F172" s="5">
        <v>1454.97</v>
      </c>
      <c r="I172" s="19">
        <f t="shared" si="9"/>
        <v>1652</v>
      </c>
      <c r="J172" t="b">
        <f t="shared" si="10"/>
        <v>1</v>
      </c>
      <c r="K172" s="4">
        <f t="shared" si="11"/>
        <v>-0.11926755447941884</v>
      </c>
      <c r="N172"/>
      <c r="P172" t="s">
        <v>427</v>
      </c>
      <c r="Q172">
        <v>685</v>
      </c>
      <c r="R172">
        <v>641.12</v>
      </c>
    </row>
    <row r="173" spans="1:18" hidden="1">
      <c r="A173" t="s">
        <v>1487</v>
      </c>
      <c r="B173" t="s">
        <v>371</v>
      </c>
      <c r="C173" t="s">
        <v>372</v>
      </c>
      <c r="D173" s="28">
        <v>597</v>
      </c>
      <c r="E173" s="19">
        <f t="shared" si="8"/>
        <v>21.321428571428573</v>
      </c>
      <c r="F173" s="5">
        <v>1255.4100000000001</v>
      </c>
      <c r="I173" s="19">
        <f t="shared" si="9"/>
        <v>1194</v>
      </c>
      <c r="J173" t="b">
        <f t="shared" si="10"/>
        <v>1</v>
      </c>
      <c r="K173" s="4">
        <f t="shared" si="11"/>
        <v>5.1432160804020244E-2</v>
      </c>
      <c r="N173"/>
      <c r="P173" t="s">
        <v>342</v>
      </c>
      <c r="Q173">
        <v>1328</v>
      </c>
      <c r="R173">
        <v>1448.98</v>
      </c>
    </row>
    <row r="174" spans="1:18" hidden="1">
      <c r="A174" t="s">
        <v>1487</v>
      </c>
      <c r="B174" t="s">
        <v>287</v>
      </c>
      <c r="C174" t="s">
        <v>288</v>
      </c>
      <c r="D174" s="28">
        <v>534</v>
      </c>
      <c r="E174" s="19">
        <f t="shared" si="8"/>
        <v>19.071428571428573</v>
      </c>
      <c r="F174" s="5">
        <v>671.53</v>
      </c>
      <c r="I174" s="19">
        <f t="shared" si="9"/>
        <v>1068</v>
      </c>
      <c r="J174" t="b">
        <f t="shared" si="10"/>
        <v>1</v>
      </c>
      <c r="K174" s="4">
        <f t="shared" si="11"/>
        <v>-0.3712265917602996</v>
      </c>
      <c r="N174"/>
      <c r="P174" t="s">
        <v>118</v>
      </c>
      <c r="Q174">
        <v>668</v>
      </c>
      <c r="R174">
        <v>1066.51</v>
      </c>
    </row>
    <row r="175" spans="1:18">
      <c r="A175" t="s">
        <v>1487</v>
      </c>
      <c r="B175" t="s">
        <v>345</v>
      </c>
      <c r="C175" t="s">
        <v>346</v>
      </c>
      <c r="D175" s="28">
        <v>8</v>
      </c>
      <c r="E175" s="19">
        <f t="shared" si="8"/>
        <v>0.2857142857142857</v>
      </c>
      <c r="F175" s="5">
        <v>248.09</v>
      </c>
      <c r="I175" s="19">
        <f t="shared" si="9"/>
        <v>16</v>
      </c>
      <c r="J175" t="b">
        <f t="shared" si="10"/>
        <v>0</v>
      </c>
      <c r="K175" s="4">
        <f t="shared" si="11"/>
        <v>14.505625</v>
      </c>
      <c r="N175"/>
      <c r="P175" t="s">
        <v>20</v>
      </c>
      <c r="Q175">
        <v>1509</v>
      </c>
      <c r="R175">
        <v>1951.13</v>
      </c>
    </row>
    <row r="176" spans="1:18">
      <c r="A176" t="s">
        <v>1488</v>
      </c>
      <c r="B176" s="55" t="s">
        <v>373</v>
      </c>
      <c r="C176" s="37" t="s">
        <v>374</v>
      </c>
      <c r="D176" s="28">
        <v>27</v>
      </c>
      <c r="E176" s="19">
        <f t="shared" si="8"/>
        <v>0.9642857142857143</v>
      </c>
      <c r="F176" s="5">
        <v>318.47000000000003</v>
      </c>
      <c r="I176" s="19">
        <f t="shared" si="9"/>
        <v>54</v>
      </c>
      <c r="J176" t="b">
        <f t="shared" si="10"/>
        <v>0</v>
      </c>
      <c r="K176" s="4">
        <f t="shared" si="11"/>
        <v>4.8975925925925932</v>
      </c>
      <c r="N176"/>
      <c r="P176" t="s">
        <v>545</v>
      </c>
      <c r="Q176">
        <v>3022</v>
      </c>
      <c r="R176">
        <v>5124.5200000000004</v>
      </c>
    </row>
    <row r="177" spans="1:18" hidden="1">
      <c r="A177" t="s">
        <v>1488</v>
      </c>
      <c r="B177" t="s">
        <v>375</v>
      </c>
      <c r="C177" t="s">
        <v>376</v>
      </c>
      <c r="D177" s="28">
        <v>409</v>
      </c>
      <c r="E177" s="19">
        <f t="shared" si="8"/>
        <v>14.607142857142858</v>
      </c>
      <c r="F177" s="5">
        <v>0</v>
      </c>
      <c r="I177" s="19">
        <f t="shared" si="9"/>
        <v>818</v>
      </c>
      <c r="J177" t="b">
        <f t="shared" si="10"/>
        <v>1</v>
      </c>
      <c r="K177" s="4">
        <f t="shared" si="11"/>
        <v>-1</v>
      </c>
      <c r="N177"/>
      <c r="P177" t="s">
        <v>244</v>
      </c>
      <c r="Q177">
        <v>1145</v>
      </c>
      <c r="R177">
        <v>1818.18</v>
      </c>
    </row>
    <row r="178" spans="1:18" hidden="1">
      <c r="A178" t="s">
        <v>1488</v>
      </c>
      <c r="B178" t="s">
        <v>97</v>
      </c>
      <c r="C178" t="s">
        <v>98</v>
      </c>
      <c r="D178" s="28">
        <v>2389</v>
      </c>
      <c r="E178" s="19">
        <f t="shared" si="8"/>
        <v>85.321428571428569</v>
      </c>
      <c r="F178" s="5">
        <v>2648.01</v>
      </c>
      <c r="I178" s="19">
        <f t="shared" si="9"/>
        <v>4778</v>
      </c>
      <c r="J178" t="b">
        <f t="shared" si="10"/>
        <v>1</v>
      </c>
      <c r="K178" s="4">
        <f t="shared" si="11"/>
        <v>-0.44579112599413973</v>
      </c>
      <c r="N178"/>
      <c r="P178" t="s">
        <v>565</v>
      </c>
      <c r="Q178">
        <v>1394</v>
      </c>
      <c r="R178">
        <v>1861.92</v>
      </c>
    </row>
    <row r="179" spans="1:18" hidden="1">
      <c r="A179" t="s">
        <v>1489</v>
      </c>
      <c r="B179" t="s">
        <v>458</v>
      </c>
      <c r="C179" t="s">
        <v>459</v>
      </c>
      <c r="D179" s="28">
        <v>879</v>
      </c>
      <c r="E179" s="19">
        <f t="shared" si="8"/>
        <v>31.392857142857142</v>
      </c>
      <c r="F179" s="5">
        <v>1327.51</v>
      </c>
      <c r="I179" s="19">
        <f t="shared" si="9"/>
        <v>1758</v>
      </c>
      <c r="J179" t="b">
        <f t="shared" si="10"/>
        <v>1</v>
      </c>
      <c r="K179" s="4">
        <f t="shared" si="11"/>
        <v>-0.24487485779294649</v>
      </c>
      <c r="N179"/>
      <c r="P179" t="s">
        <v>705</v>
      </c>
      <c r="Q179">
        <v>33472</v>
      </c>
      <c r="R179">
        <v>35816.089999999997</v>
      </c>
    </row>
    <row r="180" spans="1:18" hidden="1">
      <c r="A180" t="s">
        <v>1487</v>
      </c>
      <c r="B180" t="s">
        <v>243</v>
      </c>
      <c r="C180" t="s">
        <v>244</v>
      </c>
      <c r="D180" s="28">
        <v>363</v>
      </c>
      <c r="E180" s="19">
        <f t="shared" si="8"/>
        <v>12.964285714285714</v>
      </c>
      <c r="F180" s="5">
        <v>653.42999999999995</v>
      </c>
      <c r="I180" s="19">
        <f t="shared" si="9"/>
        <v>726</v>
      </c>
      <c r="J180" t="b">
        <f t="shared" si="10"/>
        <v>1</v>
      </c>
      <c r="K180" s="4">
        <f t="shared" si="11"/>
        <v>-9.9958677685950459E-2</v>
      </c>
      <c r="N180"/>
      <c r="P180" t="s">
        <v>334</v>
      </c>
      <c r="Q180">
        <v>1079</v>
      </c>
      <c r="R180">
        <v>1820.14</v>
      </c>
    </row>
    <row r="181" spans="1:18" hidden="1">
      <c r="A181" t="s">
        <v>1489</v>
      </c>
      <c r="B181" t="s">
        <v>618</v>
      </c>
      <c r="C181" t="s">
        <v>619</v>
      </c>
      <c r="D181" s="28">
        <v>2157</v>
      </c>
      <c r="E181" s="19">
        <f t="shared" si="8"/>
        <v>77.035714285714292</v>
      </c>
      <c r="F181" s="5">
        <v>2147.96</v>
      </c>
      <c r="I181" s="19">
        <f t="shared" si="9"/>
        <v>4314</v>
      </c>
      <c r="J181" t="b">
        <f t="shared" si="10"/>
        <v>1</v>
      </c>
      <c r="K181" s="4">
        <f>F181/I181-1</f>
        <v>-0.50209550301344463</v>
      </c>
      <c r="N181"/>
      <c r="P181" t="s">
        <v>583</v>
      </c>
      <c r="Q181">
        <v>1417</v>
      </c>
      <c r="R181">
        <v>2743.68</v>
      </c>
    </row>
    <row r="182" spans="1:18" hidden="1">
      <c r="A182" t="s">
        <v>1488</v>
      </c>
      <c r="B182" t="s">
        <v>283</v>
      </c>
      <c r="C182" t="s">
        <v>284</v>
      </c>
      <c r="D182" s="28">
        <v>340</v>
      </c>
      <c r="E182" s="19">
        <f t="shared" si="8"/>
        <v>12.142857142857142</v>
      </c>
      <c r="F182" s="5">
        <v>458.7</v>
      </c>
      <c r="I182" s="19">
        <f t="shared" si="9"/>
        <v>680</v>
      </c>
      <c r="J182" t="b">
        <f t="shared" si="10"/>
        <v>1</v>
      </c>
      <c r="K182" s="4">
        <f t="shared" si="11"/>
        <v>-0.32544117647058823</v>
      </c>
      <c r="N182"/>
      <c r="P182" t="s">
        <v>312</v>
      </c>
      <c r="Q182">
        <v>834</v>
      </c>
      <c r="R182">
        <v>558.63</v>
      </c>
    </row>
    <row r="183" spans="1:18" hidden="1">
      <c r="A183" t="s">
        <v>1488</v>
      </c>
      <c r="B183" t="s">
        <v>434</v>
      </c>
      <c r="C183" t="s">
        <v>435</v>
      </c>
      <c r="D183" s="28">
        <v>413</v>
      </c>
      <c r="E183" s="19">
        <f t="shared" si="8"/>
        <v>14.75</v>
      </c>
      <c r="F183" s="5">
        <v>500.71</v>
      </c>
      <c r="I183" s="123">
        <f t="shared" si="9"/>
        <v>826</v>
      </c>
      <c r="J183" t="b">
        <f t="shared" si="10"/>
        <v>1</v>
      </c>
      <c r="K183" s="4">
        <f t="shared" si="11"/>
        <v>-0.39381355932203388</v>
      </c>
      <c r="P183" t="s">
        <v>567</v>
      </c>
      <c r="Q183">
        <v>1625</v>
      </c>
      <c r="R183">
        <v>2545.71</v>
      </c>
    </row>
    <row r="184" spans="1:18" hidden="1">
      <c r="A184" t="s">
        <v>1488</v>
      </c>
      <c r="B184" t="s">
        <v>225</v>
      </c>
      <c r="C184" t="s">
        <v>226</v>
      </c>
      <c r="D184" s="28">
        <v>1142</v>
      </c>
      <c r="E184" s="19">
        <f t="shared" si="8"/>
        <v>40.785714285714285</v>
      </c>
      <c r="F184" s="5">
        <v>950.52</v>
      </c>
      <c r="I184" s="19">
        <f t="shared" si="9"/>
        <v>2284</v>
      </c>
      <c r="J184" t="b">
        <f t="shared" si="10"/>
        <v>1</v>
      </c>
      <c r="K184" s="4">
        <f t="shared" si="11"/>
        <v>-0.58383537653239936</v>
      </c>
      <c r="N184"/>
      <c r="P184" t="s">
        <v>266</v>
      </c>
      <c r="Q184">
        <v>1102</v>
      </c>
      <c r="R184">
        <v>2842.03</v>
      </c>
    </row>
    <row r="185" spans="1:18" hidden="1">
      <c r="A185" t="s">
        <v>1488</v>
      </c>
      <c r="B185" t="s">
        <v>650</v>
      </c>
      <c r="C185" t="s">
        <v>651</v>
      </c>
      <c r="D185" s="28">
        <v>653</v>
      </c>
      <c r="E185" s="19">
        <f t="shared" si="8"/>
        <v>23.321428571428573</v>
      </c>
      <c r="F185" s="5">
        <v>1271.27</v>
      </c>
      <c r="I185" s="19">
        <f t="shared" si="9"/>
        <v>1306</v>
      </c>
      <c r="J185" t="b">
        <f t="shared" si="10"/>
        <v>1</v>
      </c>
      <c r="K185" s="4">
        <f t="shared" si="11"/>
        <v>-2.6592649310872907E-2</v>
      </c>
      <c r="N185"/>
      <c r="P185" t="s">
        <v>641</v>
      </c>
      <c r="Q185">
        <v>2369</v>
      </c>
      <c r="R185">
        <v>4283</v>
      </c>
    </row>
    <row r="186" spans="1:18" hidden="1">
      <c r="A186" t="s">
        <v>1487</v>
      </c>
      <c r="B186" t="s">
        <v>572</v>
      </c>
      <c r="C186" t="s">
        <v>573</v>
      </c>
      <c r="D186" s="28">
        <v>309</v>
      </c>
      <c r="E186" s="19">
        <f t="shared" si="8"/>
        <v>11.035714285714286</v>
      </c>
      <c r="F186" s="5">
        <v>394.42</v>
      </c>
      <c r="I186" s="19">
        <f t="shared" si="9"/>
        <v>618</v>
      </c>
      <c r="J186" t="b">
        <f t="shared" si="10"/>
        <v>1</v>
      </c>
      <c r="K186" s="4">
        <f t="shared" si="11"/>
        <v>-0.3617799352750809</v>
      </c>
      <c r="N186"/>
      <c r="P186" t="s">
        <v>158</v>
      </c>
      <c r="Q186">
        <v>399</v>
      </c>
      <c r="R186">
        <v>1084.67</v>
      </c>
    </row>
    <row r="187" spans="1:18" hidden="1">
      <c r="A187" t="s">
        <v>1487</v>
      </c>
      <c r="B187" s="57" t="s">
        <v>622</v>
      </c>
      <c r="C187" s="37" t="s">
        <v>623</v>
      </c>
      <c r="D187" s="28">
        <v>2113</v>
      </c>
      <c r="E187" s="19">
        <f t="shared" si="8"/>
        <v>75.464285714285708</v>
      </c>
      <c r="F187" s="5">
        <v>3094.34</v>
      </c>
      <c r="I187" s="19">
        <f t="shared" si="9"/>
        <v>4226</v>
      </c>
      <c r="J187" t="b">
        <f t="shared" si="10"/>
        <v>1</v>
      </c>
      <c r="K187" s="4">
        <f t="shared" si="11"/>
        <v>-0.26778513961192618</v>
      </c>
      <c r="N187"/>
      <c r="P187" t="s">
        <v>34</v>
      </c>
      <c r="Q187">
        <v>2274</v>
      </c>
      <c r="R187">
        <v>2660.71</v>
      </c>
    </row>
    <row r="188" spans="1:18" hidden="1">
      <c r="A188" t="s">
        <v>1489</v>
      </c>
      <c r="B188" t="s">
        <v>460</v>
      </c>
      <c r="C188" t="s">
        <v>461</v>
      </c>
      <c r="D188" s="28">
        <v>841</v>
      </c>
      <c r="E188" s="19">
        <f t="shared" si="8"/>
        <v>30.035714285714285</v>
      </c>
      <c r="F188" s="5">
        <v>1239.99</v>
      </c>
      <c r="I188" s="19">
        <f t="shared" si="9"/>
        <v>1682</v>
      </c>
      <c r="J188" t="b">
        <f t="shared" si="10"/>
        <v>1</v>
      </c>
      <c r="K188" s="4">
        <f t="shared" si="11"/>
        <v>-0.26278834720570754</v>
      </c>
      <c r="N188"/>
      <c r="P188" t="s">
        <v>208</v>
      </c>
      <c r="Q188">
        <v>15</v>
      </c>
      <c r="R188">
        <v>6.29</v>
      </c>
    </row>
    <row r="189" spans="1:18" hidden="1">
      <c r="A189" t="s">
        <v>1488</v>
      </c>
      <c r="B189" t="s">
        <v>299</v>
      </c>
      <c r="C189" t="s">
        <v>300</v>
      </c>
      <c r="D189" s="28">
        <v>438</v>
      </c>
      <c r="E189" s="19">
        <f t="shared" ref="E189:E246" si="12">D189/28</f>
        <v>15.642857142857142</v>
      </c>
      <c r="F189" s="5">
        <v>648.19000000000005</v>
      </c>
      <c r="I189" s="19">
        <f t="shared" ref="I189:I246" si="13">IF((D189/28)&gt;100,D189*2,D189*2)</f>
        <v>876</v>
      </c>
      <c r="J189" t="b">
        <f t="shared" ref="J189:J246" si="14">IF(F189&gt;1.2*I189,FALSE,TRUE)</f>
        <v>1</v>
      </c>
      <c r="K189" s="4">
        <f t="shared" ref="K189:K246" si="15">F189/I189-1</f>
        <v>-0.26005707762557073</v>
      </c>
      <c r="N189"/>
      <c r="P189" t="s">
        <v>581</v>
      </c>
      <c r="Q189">
        <v>1363</v>
      </c>
      <c r="R189">
        <v>2351.85</v>
      </c>
    </row>
    <row r="190" spans="1:18" hidden="1">
      <c r="A190" t="s">
        <v>1487</v>
      </c>
      <c r="B190" t="s">
        <v>171</v>
      </c>
      <c r="C190" t="s">
        <v>172</v>
      </c>
      <c r="D190" s="28">
        <v>802</v>
      </c>
      <c r="E190" s="19">
        <f t="shared" si="12"/>
        <v>28.642857142857142</v>
      </c>
      <c r="F190" s="5">
        <v>1026.45</v>
      </c>
      <c r="I190" s="135">
        <f t="shared" si="13"/>
        <v>1604</v>
      </c>
      <c r="J190" t="b">
        <f t="shared" si="14"/>
        <v>1</v>
      </c>
      <c r="K190" s="4">
        <f t="shared" si="15"/>
        <v>-0.36006857855361596</v>
      </c>
      <c r="N190"/>
      <c r="P190" t="s">
        <v>437</v>
      </c>
      <c r="Q190">
        <v>3262</v>
      </c>
      <c r="R190">
        <v>5310.92</v>
      </c>
    </row>
    <row r="191" spans="1:18" hidden="1">
      <c r="A191" t="s">
        <v>1487</v>
      </c>
      <c r="B191" s="57" t="s">
        <v>217</v>
      </c>
      <c r="C191" s="37" t="s">
        <v>218</v>
      </c>
      <c r="D191" s="28">
        <v>420</v>
      </c>
      <c r="E191" s="19">
        <f t="shared" si="12"/>
        <v>15</v>
      </c>
      <c r="F191" s="5">
        <v>318.07</v>
      </c>
      <c r="I191" s="19">
        <f t="shared" si="13"/>
        <v>840</v>
      </c>
      <c r="J191" t="b">
        <f t="shared" si="14"/>
        <v>1</v>
      </c>
      <c r="K191" s="4">
        <f t="shared" si="15"/>
        <v>-0.62134523809523812</v>
      </c>
      <c r="N191"/>
      <c r="P191" t="s">
        <v>473</v>
      </c>
      <c r="Q191">
        <v>1048</v>
      </c>
      <c r="R191">
        <v>1891.9</v>
      </c>
    </row>
    <row r="192" spans="1:18" hidden="1">
      <c r="A192" t="s">
        <v>1487</v>
      </c>
      <c r="B192" s="56" t="s">
        <v>367</v>
      </c>
      <c r="C192" s="37" t="s">
        <v>368</v>
      </c>
      <c r="D192" s="28">
        <v>725</v>
      </c>
      <c r="E192" s="19">
        <f t="shared" si="12"/>
        <v>25.892857142857142</v>
      </c>
      <c r="F192" s="5">
        <v>647.5</v>
      </c>
      <c r="I192" s="19">
        <f t="shared" si="13"/>
        <v>1450</v>
      </c>
      <c r="J192" t="b">
        <f t="shared" si="14"/>
        <v>1</v>
      </c>
      <c r="K192" s="4">
        <f t="shared" si="15"/>
        <v>-0.55344827586206891</v>
      </c>
      <c r="N192"/>
      <c r="P192" t="s">
        <v>230</v>
      </c>
      <c r="Q192">
        <v>1647</v>
      </c>
      <c r="R192">
        <v>2183.27</v>
      </c>
    </row>
    <row r="193" spans="1:18" hidden="1">
      <c r="A193" t="s">
        <v>1489</v>
      </c>
      <c r="B193" t="s">
        <v>271</v>
      </c>
      <c r="C193" t="s">
        <v>272</v>
      </c>
      <c r="D193" s="28">
        <v>1088</v>
      </c>
      <c r="E193" s="19">
        <f t="shared" si="12"/>
        <v>38.857142857142854</v>
      </c>
      <c r="F193" s="5">
        <v>1511.43</v>
      </c>
      <c r="I193" s="19">
        <f t="shared" si="13"/>
        <v>2176</v>
      </c>
      <c r="J193" t="b">
        <f t="shared" si="14"/>
        <v>1</v>
      </c>
      <c r="K193" s="4">
        <f t="shared" si="15"/>
        <v>-0.30540900735294119</v>
      </c>
      <c r="N193"/>
      <c r="P193" t="s">
        <v>405</v>
      </c>
      <c r="Q193">
        <v>704</v>
      </c>
      <c r="R193">
        <v>1247.75</v>
      </c>
    </row>
    <row r="194" spans="1:18" hidden="1">
      <c r="A194" t="s">
        <v>1487</v>
      </c>
      <c r="B194" s="55" t="s">
        <v>129</v>
      </c>
      <c r="C194" s="37" t="s">
        <v>130</v>
      </c>
      <c r="D194" s="28">
        <v>1080</v>
      </c>
      <c r="E194" s="19">
        <f>D194/28</f>
        <v>38.571428571428569</v>
      </c>
      <c r="F194" s="5">
        <v>2036.63</v>
      </c>
      <c r="I194" s="19">
        <f t="shared" si="13"/>
        <v>2160</v>
      </c>
      <c r="J194" t="b">
        <f t="shared" si="14"/>
        <v>1</v>
      </c>
      <c r="K194" s="4">
        <f t="shared" si="15"/>
        <v>-5.7115740740740661E-2</v>
      </c>
      <c r="N194"/>
      <c r="P194" t="s">
        <v>234</v>
      </c>
      <c r="Q194">
        <v>1322</v>
      </c>
      <c r="R194">
        <v>3434.74</v>
      </c>
    </row>
    <row r="195" spans="1:18" ht="30" hidden="1">
      <c r="A195" t="s">
        <v>1487</v>
      </c>
      <c r="B195" s="55" t="s">
        <v>628</v>
      </c>
      <c r="C195" s="37" t="s">
        <v>629</v>
      </c>
      <c r="D195" s="28">
        <v>4933</v>
      </c>
      <c r="E195" s="19">
        <f t="shared" si="12"/>
        <v>176.17857142857142</v>
      </c>
      <c r="F195" s="5">
        <v>4344.1899999999996</v>
      </c>
      <c r="I195" s="19">
        <f t="shared" si="13"/>
        <v>9866</v>
      </c>
      <c r="J195" t="b">
        <f t="shared" si="14"/>
        <v>1</v>
      </c>
      <c r="K195" s="4">
        <f t="shared" si="15"/>
        <v>-0.55968072167038319</v>
      </c>
      <c r="N195"/>
      <c r="P195" t="s">
        <v>441</v>
      </c>
      <c r="Q195">
        <v>1858</v>
      </c>
      <c r="R195">
        <v>2426.17</v>
      </c>
    </row>
    <row r="196" spans="1:18" hidden="1">
      <c r="A196" t="s">
        <v>1487</v>
      </c>
      <c r="B196" t="s">
        <v>219</v>
      </c>
      <c r="C196" t="s">
        <v>220</v>
      </c>
      <c r="D196" s="28">
        <v>1189</v>
      </c>
      <c r="E196" s="19">
        <f t="shared" si="12"/>
        <v>42.464285714285715</v>
      </c>
      <c r="F196" s="5">
        <v>2046.93</v>
      </c>
      <c r="I196" s="19">
        <f t="shared" si="13"/>
        <v>2378</v>
      </c>
      <c r="J196" t="b">
        <f t="shared" si="14"/>
        <v>1</v>
      </c>
      <c r="K196" s="4">
        <f t="shared" si="15"/>
        <v>-0.13922203532380151</v>
      </c>
      <c r="N196"/>
      <c r="P196" t="s">
        <v>439</v>
      </c>
      <c r="Q196">
        <v>1829</v>
      </c>
      <c r="R196">
        <v>3966.6</v>
      </c>
    </row>
    <row r="197" spans="1:18" hidden="1">
      <c r="A197" t="s">
        <v>1489</v>
      </c>
      <c r="B197" t="s">
        <v>211</v>
      </c>
      <c r="C197" t="s">
        <v>212</v>
      </c>
      <c r="D197" s="28">
        <v>718</v>
      </c>
      <c r="E197" s="19">
        <f t="shared" si="12"/>
        <v>25.642857142857142</v>
      </c>
      <c r="F197" s="5">
        <v>1048.97</v>
      </c>
      <c r="I197" s="123">
        <f t="shared" si="13"/>
        <v>1436</v>
      </c>
      <c r="J197" t="b">
        <f t="shared" si="14"/>
        <v>1</v>
      </c>
      <c r="K197" s="4">
        <f t="shared" si="15"/>
        <v>-0.26951949860724234</v>
      </c>
      <c r="P197" t="s">
        <v>397</v>
      </c>
      <c r="Q197">
        <v>1488</v>
      </c>
      <c r="R197">
        <v>1258.69</v>
      </c>
    </row>
    <row r="198" spans="1:18" hidden="1">
      <c r="A198" t="s">
        <v>1488</v>
      </c>
      <c r="B198" t="s">
        <v>414</v>
      </c>
      <c r="C198" t="s">
        <v>415</v>
      </c>
      <c r="D198" s="28">
        <v>368</v>
      </c>
      <c r="E198" s="19">
        <f t="shared" si="12"/>
        <v>13.142857142857142</v>
      </c>
      <c r="F198" s="5">
        <v>338.91</v>
      </c>
      <c r="I198" s="19">
        <f t="shared" si="13"/>
        <v>736</v>
      </c>
      <c r="J198" t="b">
        <f t="shared" si="14"/>
        <v>1</v>
      </c>
      <c r="K198" s="4">
        <f t="shared" si="15"/>
        <v>-0.53952445652173908</v>
      </c>
      <c r="N198"/>
      <c r="P198" t="s">
        <v>681</v>
      </c>
      <c r="Q198">
        <v>4708</v>
      </c>
      <c r="R198">
        <v>8799.1</v>
      </c>
    </row>
    <row r="199" spans="1:18">
      <c r="A199" t="s">
        <v>1488</v>
      </c>
      <c r="B199" t="s">
        <v>207</v>
      </c>
      <c r="C199" t="s">
        <v>208</v>
      </c>
      <c r="D199" s="28">
        <v>417</v>
      </c>
      <c r="E199" s="19">
        <f t="shared" si="12"/>
        <v>14.892857142857142</v>
      </c>
      <c r="F199" s="5">
        <v>1029.94</v>
      </c>
      <c r="I199" s="19">
        <f t="shared" si="13"/>
        <v>834</v>
      </c>
      <c r="J199" t="b">
        <f t="shared" si="14"/>
        <v>0</v>
      </c>
      <c r="K199" s="4">
        <f t="shared" si="15"/>
        <v>0.23494004796163082</v>
      </c>
      <c r="N199"/>
      <c r="P199" t="s">
        <v>589</v>
      </c>
      <c r="Q199">
        <v>1863</v>
      </c>
      <c r="R199">
        <v>2162.81</v>
      </c>
    </row>
    <row r="200" spans="1:18" hidden="1">
      <c r="A200" t="s">
        <v>1487</v>
      </c>
      <c r="B200" s="57" t="s">
        <v>99</v>
      </c>
      <c r="C200" s="37" t="s">
        <v>100</v>
      </c>
      <c r="D200" s="28">
        <v>402</v>
      </c>
      <c r="E200" s="19">
        <f t="shared" si="12"/>
        <v>14.357142857142858</v>
      </c>
      <c r="F200" s="5">
        <v>561.92999999999995</v>
      </c>
      <c r="I200" s="19">
        <f t="shared" si="13"/>
        <v>804</v>
      </c>
      <c r="J200" t="b">
        <f t="shared" si="14"/>
        <v>1</v>
      </c>
      <c r="K200" s="4">
        <f t="shared" si="15"/>
        <v>-0.30108208955223892</v>
      </c>
      <c r="N200"/>
      <c r="P200" t="s">
        <v>232</v>
      </c>
      <c r="Q200">
        <v>872</v>
      </c>
      <c r="R200">
        <v>1214.8699999999999</v>
      </c>
    </row>
    <row r="201" spans="1:18" hidden="1">
      <c r="A201" t="s">
        <v>1489</v>
      </c>
      <c r="B201" t="s">
        <v>291</v>
      </c>
      <c r="C201" t="s">
        <v>292</v>
      </c>
      <c r="D201" s="28">
        <v>376</v>
      </c>
      <c r="E201" s="19">
        <f t="shared" si="12"/>
        <v>13.428571428571429</v>
      </c>
      <c r="F201" s="5">
        <v>265.85000000000002</v>
      </c>
      <c r="I201" s="19">
        <f t="shared" si="13"/>
        <v>752</v>
      </c>
      <c r="J201" t="b">
        <f t="shared" si="14"/>
        <v>1</v>
      </c>
      <c r="K201" s="4">
        <f t="shared" si="15"/>
        <v>-0.64647606382978728</v>
      </c>
      <c r="N201"/>
      <c r="P201" t="s">
        <v>206</v>
      </c>
      <c r="Q201">
        <v>881</v>
      </c>
      <c r="R201">
        <v>1652.3</v>
      </c>
    </row>
    <row r="202" spans="1:18" ht="14.25" hidden="1" customHeight="1">
      <c r="A202" t="s">
        <v>1487</v>
      </c>
      <c r="B202" t="s">
        <v>165</v>
      </c>
      <c r="C202" t="s">
        <v>166</v>
      </c>
      <c r="D202" s="28">
        <v>4596</v>
      </c>
      <c r="E202" s="19">
        <f t="shared" si="12"/>
        <v>164.14285714285714</v>
      </c>
      <c r="F202" s="5">
        <v>5430.23</v>
      </c>
      <c r="I202" s="19">
        <f t="shared" si="13"/>
        <v>9192</v>
      </c>
      <c r="J202" t="b">
        <f t="shared" si="14"/>
        <v>1</v>
      </c>
      <c r="K202" s="4">
        <f t="shared" si="15"/>
        <v>-0.40924390774586605</v>
      </c>
      <c r="N202"/>
      <c r="P202" t="s">
        <v>96</v>
      </c>
      <c r="Q202">
        <v>1829</v>
      </c>
      <c r="R202">
        <v>4095.28</v>
      </c>
    </row>
    <row r="203" spans="1:18" hidden="1">
      <c r="A203" t="s">
        <v>1487</v>
      </c>
      <c r="B203" t="s">
        <v>175</v>
      </c>
      <c r="C203" t="s">
        <v>176</v>
      </c>
      <c r="D203" s="28">
        <v>405</v>
      </c>
      <c r="E203" s="19">
        <f t="shared" si="12"/>
        <v>14.464285714285714</v>
      </c>
      <c r="F203" s="5">
        <v>698.37</v>
      </c>
      <c r="I203" s="19">
        <f t="shared" si="13"/>
        <v>810</v>
      </c>
      <c r="J203" t="b">
        <f t="shared" si="14"/>
        <v>1</v>
      </c>
      <c r="K203" s="4">
        <f t="shared" si="15"/>
        <v>-0.13781481481481483</v>
      </c>
      <c r="N203"/>
      <c r="P203" t="s">
        <v>1396</v>
      </c>
      <c r="Q203">
        <v>0</v>
      </c>
      <c r="R203">
        <v>0</v>
      </c>
    </row>
    <row r="204" spans="1:18" hidden="1">
      <c r="A204" t="s">
        <v>1487</v>
      </c>
      <c r="B204" t="s">
        <v>177</v>
      </c>
      <c r="C204" t="s">
        <v>178</v>
      </c>
      <c r="D204" s="28">
        <v>440</v>
      </c>
      <c r="E204" s="19">
        <f t="shared" si="12"/>
        <v>15.714285714285714</v>
      </c>
      <c r="F204" s="5">
        <v>618.88</v>
      </c>
      <c r="I204" s="19">
        <f t="shared" si="13"/>
        <v>880</v>
      </c>
      <c r="J204" t="b">
        <f t="shared" si="14"/>
        <v>1</v>
      </c>
      <c r="K204" s="4">
        <f t="shared" si="15"/>
        <v>-0.29672727272727273</v>
      </c>
      <c r="N204"/>
      <c r="P204" t="s">
        <v>48</v>
      </c>
      <c r="Q204">
        <v>3661</v>
      </c>
      <c r="R204">
        <v>7728.05</v>
      </c>
    </row>
    <row r="205" spans="1:18" hidden="1">
      <c r="A205" t="s">
        <v>1489</v>
      </c>
      <c r="B205" t="s">
        <v>490</v>
      </c>
      <c r="C205" t="s">
        <v>491</v>
      </c>
      <c r="D205" s="28">
        <v>160</v>
      </c>
      <c r="E205" s="19">
        <f t="shared" si="12"/>
        <v>5.7142857142857144</v>
      </c>
      <c r="F205" s="5">
        <v>229.32</v>
      </c>
      <c r="I205" s="19">
        <f t="shared" si="13"/>
        <v>320</v>
      </c>
      <c r="J205" t="b">
        <f t="shared" si="14"/>
        <v>1</v>
      </c>
      <c r="K205" s="4">
        <f t="shared" si="15"/>
        <v>-0.28337500000000004</v>
      </c>
      <c r="N205"/>
      <c r="P205" t="s">
        <v>382</v>
      </c>
      <c r="Q205">
        <v>941</v>
      </c>
      <c r="R205">
        <v>2119.17</v>
      </c>
    </row>
    <row r="206" spans="1:18" hidden="1">
      <c r="A206" t="s">
        <v>1488</v>
      </c>
      <c r="B206" t="s">
        <v>608</v>
      </c>
      <c r="C206" t="s">
        <v>609</v>
      </c>
      <c r="D206" s="28">
        <v>454</v>
      </c>
      <c r="E206" s="19">
        <f t="shared" si="12"/>
        <v>16.214285714285715</v>
      </c>
      <c r="F206" s="5">
        <v>630.74</v>
      </c>
      <c r="I206" s="19">
        <f t="shared" si="13"/>
        <v>908</v>
      </c>
      <c r="J206" t="b">
        <f t="shared" si="14"/>
        <v>1</v>
      </c>
      <c r="K206" s="4">
        <f t="shared" si="15"/>
        <v>-0.30535242290748899</v>
      </c>
      <c r="N206"/>
      <c r="P206" t="s">
        <v>214</v>
      </c>
      <c r="Q206">
        <v>1614</v>
      </c>
      <c r="R206">
        <v>3807.06</v>
      </c>
    </row>
    <row r="207" spans="1:18" hidden="1">
      <c r="A207" t="s">
        <v>1487</v>
      </c>
      <c r="B207" t="s">
        <v>418</v>
      </c>
      <c r="C207" t="s">
        <v>419</v>
      </c>
      <c r="D207" s="28">
        <v>1306</v>
      </c>
      <c r="E207" s="19">
        <f t="shared" si="12"/>
        <v>46.642857142857146</v>
      </c>
      <c r="F207" s="5">
        <v>2052.83</v>
      </c>
      <c r="I207" s="19">
        <f t="shared" si="13"/>
        <v>2612</v>
      </c>
      <c r="J207" t="b">
        <f t="shared" si="14"/>
        <v>1</v>
      </c>
      <c r="K207" s="4">
        <f t="shared" si="15"/>
        <v>-0.21407733537519147</v>
      </c>
      <c r="N207"/>
      <c r="P207" t="s">
        <v>274</v>
      </c>
      <c r="Q207">
        <v>627</v>
      </c>
      <c r="R207">
        <v>626.16</v>
      </c>
    </row>
    <row r="208" spans="1:18" hidden="1">
      <c r="A208" t="s">
        <v>1488</v>
      </c>
      <c r="B208" t="s">
        <v>526</v>
      </c>
      <c r="C208" t="s">
        <v>527</v>
      </c>
      <c r="D208" s="28">
        <v>216</v>
      </c>
      <c r="E208" s="19">
        <f t="shared" si="12"/>
        <v>7.7142857142857144</v>
      </c>
      <c r="F208" s="5">
        <v>490.21</v>
      </c>
      <c r="I208" s="19">
        <f t="shared" si="13"/>
        <v>432</v>
      </c>
      <c r="J208" t="b">
        <f t="shared" si="14"/>
        <v>1</v>
      </c>
      <c r="K208" s="4">
        <f t="shared" si="15"/>
        <v>0.13474537037037027</v>
      </c>
      <c r="N208"/>
      <c r="P208" t="s">
        <v>142</v>
      </c>
      <c r="Q208">
        <v>1753</v>
      </c>
      <c r="R208">
        <v>1596.89</v>
      </c>
    </row>
    <row r="209" spans="1:18" hidden="1">
      <c r="A209" t="s">
        <v>1489</v>
      </c>
      <c r="B209" t="s">
        <v>253</v>
      </c>
      <c r="C209" t="s">
        <v>254</v>
      </c>
      <c r="D209" s="28">
        <v>493</v>
      </c>
      <c r="E209" s="19">
        <f t="shared" si="12"/>
        <v>17.607142857142858</v>
      </c>
      <c r="F209" s="5">
        <v>454.83</v>
      </c>
      <c r="I209" s="19">
        <f t="shared" si="13"/>
        <v>986</v>
      </c>
      <c r="J209" t="b">
        <f t="shared" si="14"/>
        <v>1</v>
      </c>
      <c r="K209" s="4">
        <f t="shared" si="15"/>
        <v>-0.53871196754563888</v>
      </c>
      <c r="N209"/>
      <c r="P209" t="s">
        <v>160</v>
      </c>
      <c r="Q209">
        <v>1376</v>
      </c>
      <c r="R209">
        <v>2237.9499999999998</v>
      </c>
    </row>
    <row r="210" spans="1:18" hidden="1">
      <c r="A210" t="s">
        <v>1487</v>
      </c>
      <c r="B210" t="s">
        <v>448</v>
      </c>
      <c r="C210" t="s">
        <v>449</v>
      </c>
      <c r="D210" s="28">
        <v>1773</v>
      </c>
      <c r="E210" s="19">
        <f t="shared" si="12"/>
        <v>63.321428571428569</v>
      </c>
      <c r="F210" s="5">
        <v>3295.87</v>
      </c>
      <c r="I210" s="19">
        <f t="shared" si="13"/>
        <v>3546</v>
      </c>
      <c r="J210" t="b">
        <f t="shared" si="14"/>
        <v>1</v>
      </c>
      <c r="K210" s="4">
        <f t="shared" si="15"/>
        <v>-7.0538635081782375E-2</v>
      </c>
      <c r="N210"/>
      <c r="P210" t="s">
        <v>228</v>
      </c>
      <c r="Q210">
        <v>351</v>
      </c>
      <c r="R210">
        <v>625.14</v>
      </c>
    </row>
    <row r="211" spans="1:18">
      <c r="A211" t="s">
        <v>1487</v>
      </c>
      <c r="B211" t="s">
        <v>87</v>
      </c>
      <c r="C211" t="s">
        <v>88</v>
      </c>
      <c r="D211" s="28">
        <v>1075</v>
      </c>
      <c r="E211" s="19">
        <f t="shared" si="12"/>
        <v>38.392857142857146</v>
      </c>
      <c r="F211" s="5">
        <v>2972.62</v>
      </c>
      <c r="I211" s="19">
        <f t="shared" si="13"/>
        <v>2150</v>
      </c>
      <c r="J211" t="b">
        <f t="shared" si="14"/>
        <v>0</v>
      </c>
      <c r="K211" s="4">
        <f t="shared" si="15"/>
        <v>0.38261395348837213</v>
      </c>
      <c r="N211"/>
      <c r="P211" t="s">
        <v>653</v>
      </c>
      <c r="Q211">
        <v>4617</v>
      </c>
      <c r="R211">
        <v>5247.92</v>
      </c>
    </row>
    <row r="212" spans="1:18" hidden="1">
      <c r="A212" t="s">
        <v>1488</v>
      </c>
      <c r="B212" s="27" t="s">
        <v>508</v>
      </c>
      <c r="C212" s="27" t="s">
        <v>509</v>
      </c>
      <c r="D212" s="28">
        <v>628</v>
      </c>
      <c r="E212" s="19">
        <f t="shared" si="12"/>
        <v>22.428571428571427</v>
      </c>
      <c r="F212" s="18">
        <v>522.39</v>
      </c>
      <c r="I212" s="19">
        <f t="shared" si="13"/>
        <v>1256</v>
      </c>
      <c r="J212" t="b">
        <f t="shared" si="14"/>
        <v>1</v>
      </c>
      <c r="K212" s="4">
        <f t="shared" si="15"/>
        <v>-0.58408439490445863</v>
      </c>
      <c r="N212"/>
      <c r="P212" t="s">
        <v>136</v>
      </c>
      <c r="Q212">
        <v>3350</v>
      </c>
      <c r="R212">
        <v>6045.53</v>
      </c>
    </row>
    <row r="213" spans="1:18">
      <c r="A213" t="s">
        <v>1488</v>
      </c>
      <c r="B213" s="55" t="s">
        <v>598</v>
      </c>
      <c r="C213" s="37" t="s">
        <v>599</v>
      </c>
      <c r="D213">
        <v>446</v>
      </c>
      <c r="E213" s="19">
        <f t="shared" si="12"/>
        <v>15.928571428571429</v>
      </c>
      <c r="F213" s="5">
        <v>1163.67</v>
      </c>
      <c r="I213" s="135">
        <f t="shared" si="13"/>
        <v>892</v>
      </c>
      <c r="J213" t="b">
        <f t="shared" si="14"/>
        <v>0</v>
      </c>
      <c r="K213" s="4">
        <f t="shared" si="15"/>
        <v>0.30456278026905848</v>
      </c>
      <c r="N213"/>
      <c r="P213" t="s">
        <v>513</v>
      </c>
      <c r="Q213">
        <v>1866</v>
      </c>
      <c r="R213">
        <v>3855.15</v>
      </c>
    </row>
    <row r="214" spans="1:18" hidden="1">
      <c r="A214" t="s">
        <v>1487</v>
      </c>
      <c r="B214" t="s">
        <v>189</v>
      </c>
      <c r="C214" t="s">
        <v>190</v>
      </c>
      <c r="D214" s="28">
        <v>364</v>
      </c>
      <c r="E214" s="19">
        <f t="shared" si="12"/>
        <v>13</v>
      </c>
      <c r="F214" s="5">
        <v>463.64</v>
      </c>
      <c r="I214" s="19">
        <f t="shared" si="13"/>
        <v>728</v>
      </c>
      <c r="J214" t="b">
        <f t="shared" si="14"/>
        <v>1</v>
      </c>
      <c r="K214" s="4">
        <f t="shared" si="15"/>
        <v>-0.36313186813186815</v>
      </c>
      <c r="N214"/>
      <c r="P214" t="s">
        <v>505</v>
      </c>
      <c r="Q214">
        <v>1077</v>
      </c>
      <c r="R214">
        <v>3291.87</v>
      </c>
    </row>
    <row r="215" spans="1:18" hidden="1">
      <c r="A215" t="s">
        <v>1488</v>
      </c>
      <c r="B215" t="s">
        <v>474</v>
      </c>
      <c r="C215" t="s">
        <v>475</v>
      </c>
      <c r="D215" s="28">
        <v>1404</v>
      </c>
      <c r="E215" s="19">
        <f t="shared" si="12"/>
        <v>50.142857142857146</v>
      </c>
      <c r="F215" s="5">
        <v>2233.29</v>
      </c>
      <c r="I215" s="19">
        <f t="shared" si="13"/>
        <v>2808</v>
      </c>
      <c r="J215" t="b">
        <f t="shared" si="14"/>
        <v>1</v>
      </c>
      <c r="K215" s="4">
        <f t="shared" si="15"/>
        <v>-0.20466880341880345</v>
      </c>
      <c r="N215"/>
      <c r="P215" t="s">
        <v>264</v>
      </c>
      <c r="Q215">
        <v>746</v>
      </c>
      <c r="R215">
        <v>1167.75</v>
      </c>
    </row>
    <row r="216" spans="1:18" hidden="1">
      <c r="A216" t="s">
        <v>1487</v>
      </c>
      <c r="B216" s="57" t="s">
        <v>263</v>
      </c>
      <c r="C216" s="37" t="s">
        <v>264</v>
      </c>
      <c r="D216" s="28">
        <v>465</v>
      </c>
      <c r="E216" s="19">
        <f t="shared" si="12"/>
        <v>16.607142857142858</v>
      </c>
      <c r="F216" s="5">
        <v>604.70000000000005</v>
      </c>
      <c r="I216" s="19">
        <f t="shared" si="13"/>
        <v>930</v>
      </c>
      <c r="J216" t="b">
        <f t="shared" si="14"/>
        <v>1</v>
      </c>
      <c r="K216" s="4">
        <f t="shared" si="15"/>
        <v>-0.34978494623655909</v>
      </c>
      <c r="N216"/>
      <c r="P216" t="s">
        <v>629</v>
      </c>
      <c r="Q216">
        <v>1508</v>
      </c>
      <c r="R216">
        <v>26.36</v>
      </c>
    </row>
    <row r="217" spans="1:18" hidden="1">
      <c r="A217" t="s">
        <v>1488</v>
      </c>
      <c r="B217" t="s">
        <v>239</v>
      </c>
      <c r="C217" t="s">
        <v>240</v>
      </c>
      <c r="D217" s="28">
        <v>548</v>
      </c>
      <c r="E217" s="19">
        <f t="shared" si="12"/>
        <v>19.571428571428573</v>
      </c>
      <c r="F217" s="5">
        <v>296.24</v>
      </c>
      <c r="I217" s="19">
        <f t="shared" si="13"/>
        <v>1096</v>
      </c>
      <c r="J217" t="b">
        <f t="shared" si="14"/>
        <v>1</v>
      </c>
      <c r="K217" s="4">
        <f t="shared" si="15"/>
        <v>-0.72970802919708033</v>
      </c>
      <c r="N217"/>
      <c r="P217" t="s">
        <v>304</v>
      </c>
      <c r="Q217">
        <v>1031</v>
      </c>
      <c r="R217">
        <v>2527.0700000000002</v>
      </c>
    </row>
    <row r="218" spans="1:18" hidden="1">
      <c r="A218" t="s">
        <v>1489</v>
      </c>
      <c r="B218" t="s">
        <v>357</v>
      </c>
      <c r="C218" t="s">
        <v>358</v>
      </c>
      <c r="D218" s="28">
        <v>1317</v>
      </c>
      <c r="E218" s="19">
        <f t="shared" si="12"/>
        <v>47.035714285714285</v>
      </c>
      <c r="F218" s="5">
        <v>412.78</v>
      </c>
      <c r="I218" s="123">
        <f t="shared" si="13"/>
        <v>2634</v>
      </c>
      <c r="J218" t="b">
        <f t="shared" si="14"/>
        <v>1</v>
      </c>
      <c r="K218" s="4">
        <f t="shared" si="15"/>
        <v>-0.84328777524677301</v>
      </c>
      <c r="P218" t="s">
        <v>511</v>
      </c>
      <c r="Q218">
        <v>4286</v>
      </c>
      <c r="R218">
        <v>4897.3</v>
      </c>
    </row>
    <row r="219" spans="1:18">
      <c r="A219" t="s">
        <v>1487</v>
      </c>
      <c r="B219" t="s">
        <v>363</v>
      </c>
      <c r="C219" t="s">
        <v>364</v>
      </c>
      <c r="D219" s="28">
        <v>68</v>
      </c>
      <c r="E219" s="19">
        <f t="shared" si="12"/>
        <v>2.4285714285714284</v>
      </c>
      <c r="F219" s="5">
        <v>598</v>
      </c>
      <c r="I219" s="19">
        <f t="shared" si="13"/>
        <v>136</v>
      </c>
      <c r="J219" t="b">
        <f t="shared" si="14"/>
        <v>0</v>
      </c>
      <c r="K219" s="4">
        <f t="shared" si="15"/>
        <v>3.3970588235294121</v>
      </c>
      <c r="N219"/>
      <c r="P219" t="s">
        <v>481</v>
      </c>
      <c r="Q219">
        <v>5987</v>
      </c>
      <c r="R219">
        <v>6518.57</v>
      </c>
    </row>
    <row r="220" spans="1:18" hidden="1">
      <c r="A220" t="s">
        <v>1489</v>
      </c>
      <c r="B220" t="s">
        <v>664</v>
      </c>
      <c r="C220" t="s">
        <v>665</v>
      </c>
      <c r="D220" s="28">
        <v>776</v>
      </c>
      <c r="E220" s="19">
        <f t="shared" si="12"/>
        <v>27.714285714285715</v>
      </c>
      <c r="F220" s="5">
        <v>1369.24</v>
      </c>
      <c r="I220" s="19">
        <f t="shared" si="13"/>
        <v>1552</v>
      </c>
      <c r="J220" t="b">
        <f t="shared" si="14"/>
        <v>1</v>
      </c>
      <c r="K220" s="4">
        <f t="shared" si="15"/>
        <v>-0.11775773195876293</v>
      </c>
      <c r="N220"/>
      <c r="P220" t="s">
        <v>591</v>
      </c>
      <c r="Q220">
        <v>2067</v>
      </c>
      <c r="R220">
        <v>1152.29</v>
      </c>
    </row>
    <row r="221" spans="1:18" hidden="1">
      <c r="A221" t="s">
        <v>1487</v>
      </c>
      <c r="B221" t="s">
        <v>89</v>
      </c>
      <c r="C221" t="s">
        <v>90</v>
      </c>
      <c r="D221" s="28">
        <v>597</v>
      </c>
      <c r="E221" s="19">
        <f t="shared" si="12"/>
        <v>21.321428571428573</v>
      </c>
      <c r="F221" s="5">
        <v>1116.02</v>
      </c>
      <c r="I221" s="135">
        <f t="shared" si="13"/>
        <v>1194</v>
      </c>
      <c r="J221" t="b">
        <f t="shared" si="14"/>
        <v>1</v>
      </c>
      <c r="K221" s="4">
        <f t="shared" si="15"/>
        <v>-6.5309882747068726E-2</v>
      </c>
      <c r="N221"/>
      <c r="P221" t="s">
        <v>685</v>
      </c>
      <c r="Q221">
        <v>3090</v>
      </c>
      <c r="R221">
        <v>3298.37</v>
      </c>
    </row>
    <row r="222" spans="1:18" hidden="1">
      <c r="A222" t="s">
        <v>1488</v>
      </c>
      <c r="B222" t="s">
        <v>562</v>
      </c>
      <c r="C222" t="s">
        <v>563</v>
      </c>
      <c r="D222" s="28">
        <v>494</v>
      </c>
      <c r="E222" s="19">
        <f t="shared" si="12"/>
        <v>17.642857142857142</v>
      </c>
      <c r="F222" s="5">
        <v>598.75</v>
      </c>
      <c r="I222" s="19">
        <f t="shared" si="13"/>
        <v>988</v>
      </c>
      <c r="J222" t="b">
        <f t="shared" si="14"/>
        <v>1</v>
      </c>
      <c r="K222" s="4">
        <f t="shared" si="15"/>
        <v>-0.39397773279352222</v>
      </c>
      <c r="N222"/>
      <c r="P222" t="s">
        <v>587</v>
      </c>
      <c r="Q222">
        <v>1664</v>
      </c>
      <c r="R222">
        <v>2049.73</v>
      </c>
    </row>
    <row r="223" spans="1:18" hidden="1">
      <c r="A223" t="s">
        <v>1489</v>
      </c>
      <c r="B223" s="57" t="s">
        <v>542</v>
      </c>
      <c r="C223" s="37" t="s">
        <v>543</v>
      </c>
      <c r="D223" s="28">
        <v>2265</v>
      </c>
      <c r="E223" s="19">
        <f t="shared" si="12"/>
        <v>80.892857142857139</v>
      </c>
      <c r="F223" s="5">
        <v>4607.96</v>
      </c>
      <c r="I223" s="123">
        <f t="shared" si="13"/>
        <v>4530</v>
      </c>
      <c r="J223" t="b">
        <f t="shared" si="14"/>
        <v>1</v>
      </c>
      <c r="K223" s="4">
        <f t="shared" si="15"/>
        <v>1.7209713024282536E-2</v>
      </c>
      <c r="P223" t="s">
        <v>262</v>
      </c>
      <c r="Q223">
        <v>124</v>
      </c>
      <c r="R223">
        <v>275.04000000000002</v>
      </c>
    </row>
    <row r="224" spans="1:18" hidden="1">
      <c r="A224" t="s">
        <v>1487</v>
      </c>
      <c r="B224" s="57" t="s">
        <v>468</v>
      </c>
      <c r="C224" s="37" t="s">
        <v>469</v>
      </c>
      <c r="D224" s="28">
        <v>754</v>
      </c>
      <c r="E224" s="19">
        <f t="shared" si="12"/>
        <v>26.928571428571427</v>
      </c>
      <c r="F224" s="5">
        <v>516.86</v>
      </c>
      <c r="I224" s="19">
        <f t="shared" si="13"/>
        <v>1508</v>
      </c>
      <c r="J224" t="b">
        <f t="shared" si="14"/>
        <v>1</v>
      </c>
      <c r="K224" s="4">
        <f t="shared" si="15"/>
        <v>-0.65725464190981431</v>
      </c>
      <c r="N224"/>
      <c r="P224" t="s">
        <v>1400</v>
      </c>
      <c r="Q224">
        <v>64</v>
      </c>
      <c r="R224">
        <v>178.31</v>
      </c>
    </row>
    <row r="225" spans="1:18" hidden="1">
      <c r="A225" t="s">
        <v>1487</v>
      </c>
      <c r="B225" s="57" t="s">
        <v>654</v>
      </c>
      <c r="C225" s="37" t="s">
        <v>655</v>
      </c>
      <c r="D225" s="28">
        <v>714</v>
      </c>
      <c r="E225" s="19">
        <f t="shared" si="12"/>
        <v>25.5</v>
      </c>
      <c r="F225" s="5">
        <v>1230.04</v>
      </c>
      <c r="I225" s="19">
        <f t="shared" si="13"/>
        <v>1428</v>
      </c>
      <c r="J225" t="b">
        <f t="shared" si="14"/>
        <v>1</v>
      </c>
      <c r="K225" s="4">
        <f t="shared" si="15"/>
        <v>-0.1386274509803922</v>
      </c>
      <c r="N225"/>
      <c r="P225" t="s">
        <v>128</v>
      </c>
      <c r="Q225">
        <v>1664</v>
      </c>
      <c r="R225">
        <v>1764.37</v>
      </c>
    </row>
    <row r="226" spans="1:18" ht="30" hidden="1">
      <c r="A226" t="s">
        <v>1489</v>
      </c>
      <c r="B226" s="55" t="s">
        <v>183</v>
      </c>
      <c r="C226" s="37" t="s">
        <v>184</v>
      </c>
      <c r="D226">
        <v>603</v>
      </c>
      <c r="E226" s="19">
        <f t="shared" si="12"/>
        <v>21.535714285714285</v>
      </c>
      <c r="F226" s="5">
        <v>389.87</v>
      </c>
      <c r="I226" s="19">
        <f t="shared" si="13"/>
        <v>1206</v>
      </c>
      <c r="J226" t="b">
        <f t="shared" si="14"/>
        <v>1</v>
      </c>
      <c r="K226" s="4">
        <f t="shared" si="15"/>
        <v>-0.67672470978441135</v>
      </c>
      <c r="N226"/>
      <c r="P226" t="s">
        <v>533</v>
      </c>
      <c r="Q226">
        <v>1145</v>
      </c>
      <c r="R226">
        <v>1234.98</v>
      </c>
    </row>
    <row r="227" spans="1:18" ht="30" hidden="1">
      <c r="A227" t="s">
        <v>1487</v>
      </c>
      <c r="B227" s="55" t="s">
        <v>215</v>
      </c>
      <c r="C227" s="37" t="s">
        <v>216</v>
      </c>
      <c r="D227">
        <v>252</v>
      </c>
      <c r="E227" s="19">
        <f t="shared" si="12"/>
        <v>9</v>
      </c>
      <c r="F227" s="5">
        <v>302.75</v>
      </c>
      <c r="I227" s="138">
        <f t="shared" si="13"/>
        <v>504</v>
      </c>
      <c r="J227" t="b">
        <f t="shared" si="14"/>
        <v>1</v>
      </c>
      <c r="K227" s="4">
        <f t="shared" si="15"/>
        <v>-0.39930555555555558</v>
      </c>
      <c r="N227"/>
      <c r="P227" t="s">
        <v>270</v>
      </c>
      <c r="Q227">
        <v>1134</v>
      </c>
      <c r="R227">
        <v>2253.0500000000002</v>
      </c>
    </row>
    <row r="228" spans="1:18" ht="30" hidden="1">
      <c r="A228" t="s">
        <v>1487</v>
      </c>
      <c r="B228" s="55" t="s">
        <v>347</v>
      </c>
      <c r="C228" s="37" t="s">
        <v>348</v>
      </c>
      <c r="D228" s="28">
        <v>1259</v>
      </c>
      <c r="E228" s="19">
        <f t="shared" si="12"/>
        <v>44.964285714285715</v>
      </c>
      <c r="F228" s="5">
        <v>1262.69</v>
      </c>
      <c r="I228" s="19">
        <f t="shared" si="13"/>
        <v>2518</v>
      </c>
      <c r="J228" t="b">
        <f t="shared" si="14"/>
        <v>1</v>
      </c>
      <c r="K228" s="4">
        <f t="shared" si="15"/>
        <v>-0.49853455123113577</v>
      </c>
      <c r="N228"/>
      <c r="P228" t="s">
        <v>639</v>
      </c>
      <c r="Q228">
        <v>38</v>
      </c>
      <c r="R228">
        <v>156.91</v>
      </c>
    </row>
    <row r="229" spans="1:18" hidden="1">
      <c r="A229" t="s">
        <v>1488</v>
      </c>
      <c r="B229" t="s">
        <v>275</v>
      </c>
      <c r="C229" s="27" t="s">
        <v>276</v>
      </c>
      <c r="D229" s="29">
        <v>1045</v>
      </c>
      <c r="E229" s="19">
        <f t="shared" si="12"/>
        <v>37.321428571428569</v>
      </c>
      <c r="F229" s="5">
        <v>1359.42</v>
      </c>
      <c r="I229" s="19">
        <f t="shared" si="13"/>
        <v>2090</v>
      </c>
      <c r="J229" t="b">
        <f t="shared" si="14"/>
        <v>1</v>
      </c>
      <c r="K229" s="4">
        <f t="shared" si="15"/>
        <v>-0.34955980861244018</v>
      </c>
      <c r="N229"/>
      <c r="P229" t="s">
        <v>102</v>
      </c>
      <c r="Q229">
        <v>4242</v>
      </c>
      <c r="R229">
        <v>7415.45</v>
      </c>
    </row>
    <row r="230" spans="1:18" ht="30" hidden="1">
      <c r="A230" t="s">
        <v>1487</v>
      </c>
      <c r="B230" s="55" t="s">
        <v>93</v>
      </c>
      <c r="C230" s="37" t="s">
        <v>94</v>
      </c>
      <c r="D230" s="28">
        <v>179</v>
      </c>
      <c r="E230" s="19">
        <f t="shared" si="12"/>
        <v>6.3928571428571432</v>
      </c>
      <c r="F230" s="5">
        <v>208.29</v>
      </c>
      <c r="I230" s="19">
        <f t="shared" si="13"/>
        <v>358</v>
      </c>
      <c r="J230" t="b">
        <f t="shared" si="14"/>
        <v>1</v>
      </c>
      <c r="K230" s="4">
        <f t="shared" si="15"/>
        <v>-0.41818435754189942</v>
      </c>
      <c r="N230"/>
      <c r="P230" t="s">
        <v>675</v>
      </c>
      <c r="Q230">
        <v>6399</v>
      </c>
      <c r="R230">
        <v>1838.47</v>
      </c>
    </row>
    <row r="231" spans="1:18" hidden="1">
      <c r="A231" t="s">
        <v>1489</v>
      </c>
      <c r="B231" s="55" t="s">
        <v>209</v>
      </c>
      <c r="C231" s="37" t="s">
        <v>210</v>
      </c>
      <c r="D231">
        <v>936</v>
      </c>
      <c r="E231" s="19">
        <f t="shared" si="12"/>
        <v>33.428571428571431</v>
      </c>
      <c r="F231" s="5">
        <v>1719.08</v>
      </c>
      <c r="I231" s="19">
        <f t="shared" si="13"/>
        <v>1872</v>
      </c>
      <c r="J231" t="b">
        <f t="shared" si="14"/>
        <v>1</v>
      </c>
      <c r="K231" s="4">
        <f t="shared" si="15"/>
        <v>-8.1688034188034275E-2</v>
      </c>
      <c r="N231"/>
      <c r="P231" t="s">
        <v>746</v>
      </c>
      <c r="Q231">
        <v>7632</v>
      </c>
      <c r="R231">
        <v>11858.24</v>
      </c>
    </row>
    <row r="232" spans="1:18" hidden="1">
      <c r="A232" t="s">
        <v>1487</v>
      </c>
      <c r="B232" t="s">
        <v>103</v>
      </c>
      <c r="C232" t="s">
        <v>104</v>
      </c>
      <c r="D232" s="28">
        <v>1705</v>
      </c>
      <c r="E232" s="19">
        <f t="shared" si="12"/>
        <v>60.892857142857146</v>
      </c>
      <c r="F232" s="5">
        <v>3155.68</v>
      </c>
      <c r="I232" s="19">
        <f t="shared" si="13"/>
        <v>3410</v>
      </c>
      <c r="J232" t="b">
        <f t="shared" si="14"/>
        <v>1</v>
      </c>
      <c r="K232" s="4">
        <f t="shared" si="15"/>
        <v>-7.4580645161290371E-2</v>
      </c>
      <c r="N232"/>
      <c r="P232" t="s">
        <v>722</v>
      </c>
      <c r="Q232">
        <v>3762</v>
      </c>
      <c r="R232">
        <v>6511.64</v>
      </c>
    </row>
    <row r="233" spans="1:18">
      <c r="A233" t="s">
        <v>1488</v>
      </c>
      <c r="B233" t="s">
        <v>361</v>
      </c>
      <c r="C233" t="s">
        <v>362</v>
      </c>
      <c r="D233" s="28">
        <v>296</v>
      </c>
      <c r="E233" s="19">
        <f t="shared" si="12"/>
        <v>10.571428571428571</v>
      </c>
      <c r="F233" s="5">
        <v>887.26</v>
      </c>
      <c r="I233" s="19">
        <f t="shared" si="13"/>
        <v>592</v>
      </c>
      <c r="J233" t="b">
        <f t="shared" si="14"/>
        <v>0</v>
      </c>
      <c r="K233" s="4">
        <f t="shared" si="15"/>
        <v>0.49875000000000003</v>
      </c>
      <c r="N233"/>
      <c r="P233" t="s">
        <v>760</v>
      </c>
      <c r="Q233">
        <v>3048</v>
      </c>
      <c r="R233">
        <v>4722.41</v>
      </c>
    </row>
    <row r="234" spans="1:18" hidden="1">
      <c r="A234" t="s">
        <v>1487</v>
      </c>
      <c r="B234" t="s">
        <v>45</v>
      </c>
      <c r="C234" t="s">
        <v>46</v>
      </c>
      <c r="D234" s="28">
        <v>5447</v>
      </c>
      <c r="E234" s="19">
        <f t="shared" si="12"/>
        <v>194.53571428571428</v>
      </c>
      <c r="F234" s="5">
        <v>6649.61</v>
      </c>
      <c r="I234" s="19">
        <f t="shared" si="13"/>
        <v>10894</v>
      </c>
      <c r="J234" t="b">
        <f t="shared" si="14"/>
        <v>1</v>
      </c>
      <c r="K234" s="4">
        <f t="shared" si="15"/>
        <v>-0.38960804112355429</v>
      </c>
      <c r="N234"/>
      <c r="P234" t="s">
        <v>730</v>
      </c>
      <c r="Q234">
        <v>3637</v>
      </c>
      <c r="R234">
        <v>7335.47</v>
      </c>
    </row>
    <row r="235" spans="1:18" hidden="1">
      <c r="A235" t="s">
        <v>1489</v>
      </c>
      <c r="B235" t="s">
        <v>67</v>
      </c>
      <c r="C235" t="s">
        <v>68</v>
      </c>
      <c r="D235" s="28">
        <v>538</v>
      </c>
      <c r="E235" s="19">
        <f t="shared" si="12"/>
        <v>19.214285714285715</v>
      </c>
      <c r="F235" s="5">
        <v>975.27</v>
      </c>
      <c r="I235" s="19">
        <f t="shared" si="13"/>
        <v>1076</v>
      </c>
      <c r="J235" t="b">
        <f t="shared" si="14"/>
        <v>1</v>
      </c>
      <c r="K235" s="4">
        <f t="shared" si="15"/>
        <v>-9.3615241635687796E-2</v>
      </c>
      <c r="N235"/>
      <c r="P235" t="s">
        <v>1017</v>
      </c>
      <c r="Q235">
        <v>4317</v>
      </c>
      <c r="R235">
        <v>6897.7699999999995</v>
      </c>
    </row>
    <row r="236" spans="1:18" hidden="1">
      <c r="A236" t="s">
        <v>1487</v>
      </c>
      <c r="B236" s="55" t="s">
        <v>486</v>
      </c>
      <c r="C236" s="37" t="s">
        <v>487</v>
      </c>
      <c r="D236">
        <v>302</v>
      </c>
      <c r="E236" s="19">
        <f t="shared" si="12"/>
        <v>10.785714285714286</v>
      </c>
      <c r="F236" s="5">
        <v>492.04</v>
      </c>
      <c r="I236" s="19">
        <f t="shared" si="13"/>
        <v>604</v>
      </c>
      <c r="J236" t="b">
        <f t="shared" si="14"/>
        <v>1</v>
      </c>
      <c r="K236" s="4">
        <f t="shared" si="15"/>
        <v>-0.18536423841059602</v>
      </c>
      <c r="N236"/>
      <c r="P236" t="s">
        <v>735</v>
      </c>
      <c r="Q236">
        <v>5550</v>
      </c>
      <c r="R236">
        <v>9885.65</v>
      </c>
    </row>
    <row r="237" spans="1:18" hidden="1">
      <c r="A237" t="s">
        <v>1489</v>
      </c>
      <c r="B237" t="s">
        <v>369</v>
      </c>
      <c r="C237" t="s">
        <v>370</v>
      </c>
      <c r="D237" s="28">
        <v>1234</v>
      </c>
      <c r="E237" s="19">
        <f t="shared" si="12"/>
        <v>44.071428571428569</v>
      </c>
      <c r="F237" s="5">
        <v>2346.98</v>
      </c>
      <c r="I237" s="19">
        <f t="shared" si="13"/>
        <v>2468</v>
      </c>
      <c r="J237" t="b">
        <f t="shared" si="14"/>
        <v>1</v>
      </c>
      <c r="K237" s="4">
        <f t="shared" si="15"/>
        <v>-4.9035656401944849E-2</v>
      </c>
      <c r="N237"/>
      <c r="P237" t="s">
        <v>828</v>
      </c>
      <c r="Q237">
        <v>1894</v>
      </c>
      <c r="R237">
        <v>3441.08</v>
      </c>
    </row>
    <row r="238" spans="1:18" ht="30" hidden="1">
      <c r="A238" t="s">
        <v>1487</v>
      </c>
      <c r="B238" s="55" t="s">
        <v>329</v>
      </c>
      <c r="C238" s="37" t="s">
        <v>330</v>
      </c>
      <c r="D238">
        <v>723</v>
      </c>
      <c r="E238" s="19">
        <f t="shared" si="12"/>
        <v>25.821428571428573</v>
      </c>
      <c r="F238" s="5">
        <v>842.69</v>
      </c>
      <c r="I238" s="19">
        <f t="shared" si="13"/>
        <v>1446</v>
      </c>
      <c r="J238" t="b">
        <f t="shared" si="14"/>
        <v>1</v>
      </c>
      <c r="K238" s="4">
        <f t="shared" si="15"/>
        <v>-0.41722683264177041</v>
      </c>
      <c r="N238"/>
      <c r="P238" t="s">
        <v>1401</v>
      </c>
      <c r="Q238">
        <v>2</v>
      </c>
      <c r="R238">
        <v>0</v>
      </c>
    </row>
    <row r="239" spans="1:18" ht="30" hidden="1">
      <c r="A239" t="s">
        <v>1488</v>
      </c>
      <c r="B239" s="55" t="s">
        <v>267</v>
      </c>
      <c r="C239" s="37" t="s">
        <v>268</v>
      </c>
      <c r="D239">
        <v>525</v>
      </c>
      <c r="E239" s="19">
        <f t="shared" si="12"/>
        <v>18.75</v>
      </c>
      <c r="F239" s="5">
        <v>554.1</v>
      </c>
      <c r="I239" s="19">
        <f t="shared" si="13"/>
        <v>1050</v>
      </c>
      <c r="J239" t="b">
        <f t="shared" si="14"/>
        <v>1</v>
      </c>
      <c r="K239" s="4">
        <f t="shared" si="15"/>
        <v>-0.47228571428571431</v>
      </c>
      <c r="N239"/>
      <c r="P239" t="s">
        <v>968</v>
      </c>
      <c r="Q239">
        <v>3398</v>
      </c>
      <c r="R239">
        <v>4409.53</v>
      </c>
    </row>
    <row r="240" spans="1:18" ht="30" hidden="1">
      <c r="A240" t="s">
        <v>1487</v>
      </c>
      <c r="B240" s="55" t="s">
        <v>444</v>
      </c>
      <c r="C240" s="37" t="s">
        <v>445</v>
      </c>
      <c r="D240">
        <v>799</v>
      </c>
      <c r="E240" s="19">
        <f t="shared" si="12"/>
        <v>28.535714285714285</v>
      </c>
      <c r="F240" s="5">
        <v>1631.96</v>
      </c>
      <c r="I240" s="19">
        <f t="shared" si="13"/>
        <v>1598</v>
      </c>
      <c r="J240" t="b">
        <f t="shared" si="14"/>
        <v>1</v>
      </c>
      <c r="K240" s="4">
        <f t="shared" si="15"/>
        <v>2.1251564455569527E-2</v>
      </c>
      <c r="N240"/>
      <c r="P240" t="s">
        <v>742</v>
      </c>
      <c r="Q240">
        <v>5137</v>
      </c>
      <c r="R240">
        <v>8701.9699999999993</v>
      </c>
    </row>
    <row r="241" spans="1:18" hidden="1">
      <c r="A241" t="s">
        <v>1488</v>
      </c>
      <c r="B241" t="s">
        <v>616</v>
      </c>
      <c r="C241" t="s">
        <v>617</v>
      </c>
      <c r="D241" s="28">
        <v>545</v>
      </c>
      <c r="E241" s="19">
        <f t="shared" si="12"/>
        <v>19.464285714285715</v>
      </c>
      <c r="F241" s="5">
        <v>513.38</v>
      </c>
      <c r="I241" s="19">
        <f t="shared" si="13"/>
        <v>1090</v>
      </c>
      <c r="J241" t="b">
        <f t="shared" si="14"/>
        <v>1</v>
      </c>
      <c r="K241" s="4">
        <f t="shared" si="15"/>
        <v>-0.52900917431192662</v>
      </c>
      <c r="N241"/>
      <c r="P241" t="s">
        <v>939</v>
      </c>
      <c r="Q241">
        <v>711</v>
      </c>
      <c r="R241">
        <v>1448.65</v>
      </c>
    </row>
    <row r="242" spans="1:18" hidden="1">
      <c r="A242" t="s">
        <v>1489</v>
      </c>
      <c r="B242" t="s">
        <v>233</v>
      </c>
      <c r="C242" t="s">
        <v>234</v>
      </c>
      <c r="D242" s="28">
        <v>1503</v>
      </c>
      <c r="E242" s="19">
        <f t="shared" si="12"/>
        <v>53.678571428571431</v>
      </c>
      <c r="F242" s="5">
        <v>2998.86</v>
      </c>
      <c r="I242" s="19">
        <f t="shared" si="13"/>
        <v>3006</v>
      </c>
      <c r="J242" t="b">
        <f t="shared" si="14"/>
        <v>1</v>
      </c>
      <c r="K242" s="4">
        <f t="shared" si="15"/>
        <v>-2.375249500997989E-3</v>
      </c>
      <c r="N242"/>
      <c r="P242" t="s">
        <v>839</v>
      </c>
      <c r="Q242">
        <v>2183</v>
      </c>
      <c r="R242">
        <v>3642.64</v>
      </c>
    </row>
    <row r="243" spans="1:18" hidden="1">
      <c r="A243" t="s">
        <v>1487</v>
      </c>
      <c r="B243" s="57" t="s">
        <v>404</v>
      </c>
      <c r="C243" s="37" t="s">
        <v>405</v>
      </c>
      <c r="D243" s="28">
        <v>764</v>
      </c>
      <c r="E243" s="19">
        <f t="shared" si="12"/>
        <v>27.285714285714285</v>
      </c>
      <c r="F243" s="5">
        <v>1382.28</v>
      </c>
      <c r="I243" s="19">
        <f t="shared" si="13"/>
        <v>1528</v>
      </c>
      <c r="J243" t="b">
        <f t="shared" si="14"/>
        <v>1</v>
      </c>
      <c r="K243" s="4">
        <f t="shared" si="15"/>
        <v>-9.5366492146596871E-2</v>
      </c>
      <c r="N243"/>
      <c r="P243" t="s">
        <v>818</v>
      </c>
      <c r="Q243">
        <v>1995</v>
      </c>
      <c r="R243">
        <v>4535.91</v>
      </c>
    </row>
    <row r="244" spans="1:18" ht="30" hidden="1">
      <c r="A244" t="s">
        <v>1488</v>
      </c>
      <c r="B244" s="55" t="s">
        <v>351</v>
      </c>
      <c r="C244" s="37" t="s">
        <v>352</v>
      </c>
      <c r="D244" s="28">
        <v>643</v>
      </c>
      <c r="E244" s="19">
        <f t="shared" si="12"/>
        <v>22.964285714285715</v>
      </c>
      <c r="F244" s="5">
        <v>1100.17</v>
      </c>
      <c r="I244" s="19">
        <f t="shared" si="13"/>
        <v>1286</v>
      </c>
      <c r="J244" t="b">
        <f t="shared" si="14"/>
        <v>1</v>
      </c>
      <c r="K244" s="4">
        <f t="shared" si="15"/>
        <v>-0.14450233281492997</v>
      </c>
      <c r="N244"/>
      <c r="P244" t="s">
        <v>1009</v>
      </c>
      <c r="Q244">
        <v>1870</v>
      </c>
      <c r="R244">
        <v>3839.5</v>
      </c>
    </row>
    <row r="245" spans="1:18" hidden="1">
      <c r="A245" t="s">
        <v>1488</v>
      </c>
      <c r="B245" s="55" t="s">
        <v>502</v>
      </c>
      <c r="C245" s="37" t="s">
        <v>503</v>
      </c>
      <c r="D245" s="28">
        <v>252</v>
      </c>
      <c r="E245" s="19">
        <f t="shared" si="12"/>
        <v>9</v>
      </c>
      <c r="F245" s="5">
        <v>288.31</v>
      </c>
      <c r="I245" s="135">
        <f t="shared" si="13"/>
        <v>504</v>
      </c>
      <c r="J245" t="b">
        <f t="shared" si="14"/>
        <v>1</v>
      </c>
      <c r="K245" s="4">
        <f t="shared" si="15"/>
        <v>-0.42795634920634917</v>
      </c>
      <c r="N245"/>
      <c r="P245" t="s">
        <v>1003</v>
      </c>
      <c r="Q245">
        <v>1727</v>
      </c>
      <c r="R245">
        <v>3534.84</v>
      </c>
    </row>
    <row r="246" spans="1:18" hidden="1">
      <c r="A246" t="s">
        <v>1487</v>
      </c>
      <c r="B246" t="s">
        <v>416</v>
      </c>
      <c r="C246" t="s">
        <v>417</v>
      </c>
      <c r="D246" s="28">
        <v>1356</v>
      </c>
      <c r="E246" s="19">
        <f t="shared" si="12"/>
        <v>48.428571428571431</v>
      </c>
      <c r="F246" s="5">
        <v>3098.58</v>
      </c>
      <c r="I246" s="19">
        <f t="shared" si="13"/>
        <v>2712</v>
      </c>
      <c r="J246" t="b">
        <f t="shared" si="14"/>
        <v>1</v>
      </c>
      <c r="K246" s="4">
        <f t="shared" si="15"/>
        <v>0.14254424778761066</v>
      </c>
      <c r="N246"/>
      <c r="P246" t="s">
        <v>719</v>
      </c>
      <c r="Q246">
        <v>40373</v>
      </c>
      <c r="R246">
        <v>31043.68</v>
      </c>
    </row>
    <row r="247" spans="1:18">
      <c r="A247" t="s">
        <v>1489</v>
      </c>
      <c r="B247" t="s">
        <v>377</v>
      </c>
      <c r="C247" t="s">
        <v>378</v>
      </c>
      <c r="D247" s="28">
        <v>250</v>
      </c>
      <c r="E247" s="19">
        <f t="shared" ref="E247:E296" si="16">D247/28</f>
        <v>8.9285714285714288</v>
      </c>
      <c r="F247" s="5">
        <v>1217.4100000000001</v>
      </c>
      <c r="I247" s="19">
        <f t="shared" ref="I247:I296" si="17">IF((D247/28)&gt;100,D247*2,D247*2)</f>
        <v>500</v>
      </c>
      <c r="J247" t="b">
        <f t="shared" ref="J247:J296" si="18">IF(F247&gt;1.2*I247,FALSE,TRUE)</f>
        <v>0</v>
      </c>
      <c r="K247" s="4">
        <f t="shared" ref="K247:K296" si="19">F247/I247-1</f>
        <v>1.4348200000000002</v>
      </c>
      <c r="N247"/>
      <c r="P247" t="s">
        <v>832</v>
      </c>
      <c r="Q247">
        <v>1614</v>
      </c>
      <c r="R247">
        <v>3358.06</v>
      </c>
    </row>
    <row r="248" spans="1:18" hidden="1">
      <c r="A248" t="s">
        <v>1487</v>
      </c>
      <c r="B248" t="s">
        <v>273</v>
      </c>
      <c r="C248" t="s">
        <v>274</v>
      </c>
      <c r="D248" s="28">
        <v>1284</v>
      </c>
      <c r="E248" s="19">
        <f t="shared" si="16"/>
        <v>45.857142857142854</v>
      </c>
      <c r="F248" s="5">
        <v>3009.98</v>
      </c>
      <c r="I248" s="19">
        <f t="shared" si="17"/>
        <v>2568</v>
      </c>
      <c r="J248" t="b">
        <f t="shared" si="18"/>
        <v>1</v>
      </c>
      <c r="K248" s="4">
        <f t="shared" si="19"/>
        <v>0.17211059190031164</v>
      </c>
      <c r="N248"/>
      <c r="P248" t="s">
        <v>740</v>
      </c>
      <c r="Q248">
        <v>2721</v>
      </c>
      <c r="R248">
        <v>5511.35</v>
      </c>
    </row>
    <row r="249" spans="1:18" hidden="1">
      <c r="A249" t="s">
        <v>1489</v>
      </c>
      <c r="B249" s="55" t="s">
        <v>494</v>
      </c>
      <c r="C249" s="37" t="s">
        <v>495</v>
      </c>
      <c r="D249" s="28">
        <v>249</v>
      </c>
      <c r="E249" s="19">
        <f t="shared" si="16"/>
        <v>8.8928571428571423</v>
      </c>
      <c r="F249" s="5">
        <v>587.95000000000005</v>
      </c>
      <c r="I249" s="138">
        <f t="shared" si="17"/>
        <v>498</v>
      </c>
      <c r="J249" t="b">
        <f t="shared" si="18"/>
        <v>1</v>
      </c>
      <c r="K249" s="4">
        <f t="shared" si="19"/>
        <v>0.18062248995983943</v>
      </c>
      <c r="N249"/>
      <c r="P249" t="s">
        <v>896</v>
      </c>
      <c r="Q249">
        <v>1207</v>
      </c>
      <c r="R249">
        <v>2348.6</v>
      </c>
    </row>
    <row r="250" spans="1:18" hidden="1">
      <c r="A250" t="s">
        <v>1488</v>
      </c>
      <c r="B250" s="55" t="s">
        <v>151</v>
      </c>
      <c r="C250" s="37" t="s">
        <v>152</v>
      </c>
      <c r="D250">
        <v>862</v>
      </c>
      <c r="E250" s="19">
        <f t="shared" si="16"/>
        <v>30.785714285714285</v>
      </c>
      <c r="F250" s="5">
        <v>773.26</v>
      </c>
      <c r="I250" s="19">
        <f t="shared" si="17"/>
        <v>1724</v>
      </c>
      <c r="J250" t="b">
        <f t="shared" si="18"/>
        <v>1</v>
      </c>
      <c r="K250" s="4">
        <f t="shared" si="19"/>
        <v>-0.55147331786542919</v>
      </c>
      <c r="N250"/>
      <c r="P250" t="s">
        <v>952</v>
      </c>
      <c r="Q250">
        <v>611</v>
      </c>
      <c r="R250">
        <v>1458.74</v>
      </c>
    </row>
    <row r="251" spans="1:18" hidden="1">
      <c r="A251" t="s">
        <v>1487</v>
      </c>
      <c r="B251" t="s">
        <v>289</v>
      </c>
      <c r="C251" t="s">
        <v>290</v>
      </c>
      <c r="D251" s="28">
        <v>832</v>
      </c>
      <c r="E251" s="19">
        <f t="shared" si="16"/>
        <v>29.714285714285715</v>
      </c>
      <c r="F251" s="5">
        <v>1111.48</v>
      </c>
      <c r="I251" s="19">
        <f t="shared" si="17"/>
        <v>1664</v>
      </c>
      <c r="J251" t="b">
        <f t="shared" si="18"/>
        <v>1</v>
      </c>
      <c r="K251" s="4">
        <f t="shared" si="19"/>
        <v>-0.33204326923076921</v>
      </c>
      <c r="N251"/>
      <c r="P251" t="s">
        <v>744</v>
      </c>
      <c r="Q251">
        <v>2751</v>
      </c>
      <c r="R251">
        <v>3498.09</v>
      </c>
    </row>
    <row r="252" spans="1:18" hidden="1">
      <c r="A252" t="s">
        <v>1488</v>
      </c>
      <c r="B252" t="s">
        <v>187</v>
      </c>
      <c r="C252" t="s">
        <v>188</v>
      </c>
      <c r="D252" s="28">
        <v>947</v>
      </c>
      <c r="E252" s="19">
        <f t="shared" si="16"/>
        <v>33.821428571428569</v>
      </c>
      <c r="F252" s="5">
        <v>2179.13</v>
      </c>
      <c r="I252" s="19">
        <f t="shared" si="17"/>
        <v>1894</v>
      </c>
      <c r="J252" t="b">
        <f t="shared" si="18"/>
        <v>1</v>
      </c>
      <c r="K252" s="4">
        <f t="shared" si="19"/>
        <v>0.15054382259767696</v>
      </c>
      <c r="N252"/>
      <c r="P252" t="s">
        <v>816</v>
      </c>
      <c r="Q252">
        <v>2185</v>
      </c>
      <c r="R252">
        <v>3732.5</v>
      </c>
    </row>
    <row r="253" spans="1:18" hidden="1">
      <c r="A253" t="s">
        <v>1488</v>
      </c>
      <c r="B253" s="55" t="s">
        <v>560</v>
      </c>
      <c r="C253" s="37" t="s">
        <v>561</v>
      </c>
      <c r="D253" s="28">
        <v>370</v>
      </c>
      <c r="E253" s="19">
        <f t="shared" si="16"/>
        <v>13.214285714285714</v>
      </c>
      <c r="F253" s="5">
        <v>245.65</v>
      </c>
      <c r="I253" s="19">
        <f t="shared" si="17"/>
        <v>740</v>
      </c>
      <c r="J253" t="b">
        <f t="shared" si="18"/>
        <v>1</v>
      </c>
      <c r="K253" s="4">
        <f t="shared" si="19"/>
        <v>-0.66804054054054052</v>
      </c>
      <c r="N253"/>
      <c r="P253" t="s">
        <v>937</v>
      </c>
      <c r="Q253">
        <v>1039</v>
      </c>
      <c r="R253">
        <v>1446.12</v>
      </c>
    </row>
    <row r="254" spans="1:18" hidden="1">
      <c r="A254" t="s">
        <v>1487</v>
      </c>
      <c r="B254" s="55" t="s">
        <v>524</v>
      </c>
      <c r="C254" s="37" t="s">
        <v>525</v>
      </c>
      <c r="D254">
        <v>484</v>
      </c>
      <c r="E254" s="19">
        <f t="shared" si="16"/>
        <v>17.285714285714285</v>
      </c>
      <c r="F254" s="5">
        <v>841.31</v>
      </c>
      <c r="I254" s="19">
        <f t="shared" si="17"/>
        <v>968</v>
      </c>
      <c r="J254" t="b">
        <f t="shared" si="18"/>
        <v>1</v>
      </c>
      <c r="K254" s="4">
        <f t="shared" si="19"/>
        <v>-0.13087809917355375</v>
      </c>
      <c r="N254"/>
      <c r="P254" t="s">
        <v>754</v>
      </c>
      <c r="Q254">
        <v>1195</v>
      </c>
      <c r="R254">
        <v>2255.9299999999998</v>
      </c>
    </row>
    <row r="255" spans="1:18" ht="30" hidden="1">
      <c r="A255" t="s">
        <v>1489</v>
      </c>
      <c r="B255" s="55" t="s">
        <v>576</v>
      </c>
      <c r="C255" s="37" t="s">
        <v>577</v>
      </c>
      <c r="D255">
        <v>1452</v>
      </c>
      <c r="E255" s="19">
        <f t="shared" si="16"/>
        <v>51.857142857142854</v>
      </c>
      <c r="F255" s="5">
        <v>2370.4</v>
      </c>
      <c r="I255" s="135">
        <f t="shared" si="17"/>
        <v>2904</v>
      </c>
      <c r="J255" t="b">
        <f t="shared" si="18"/>
        <v>1</v>
      </c>
      <c r="K255" s="4">
        <f t="shared" si="19"/>
        <v>-0.1837465564738292</v>
      </c>
      <c r="N255"/>
      <c r="P255" t="s">
        <v>931</v>
      </c>
      <c r="Q255">
        <v>2263</v>
      </c>
      <c r="R255">
        <v>5130.78</v>
      </c>
    </row>
    <row r="256" spans="1:18" hidden="1">
      <c r="A256" t="s">
        <v>1489</v>
      </c>
      <c r="B256" s="57" t="s">
        <v>127</v>
      </c>
      <c r="C256" s="27" t="s">
        <v>128</v>
      </c>
      <c r="D256" s="28">
        <v>1339</v>
      </c>
      <c r="E256" s="19">
        <f t="shared" si="16"/>
        <v>47.821428571428569</v>
      </c>
      <c r="F256" s="5">
        <v>2334.58</v>
      </c>
      <c r="I256" s="123">
        <f t="shared" si="17"/>
        <v>2678</v>
      </c>
      <c r="J256" t="b">
        <f t="shared" si="18"/>
        <v>1</v>
      </c>
      <c r="K256" s="4">
        <f t="shared" si="19"/>
        <v>-0.12823749066467516</v>
      </c>
      <c r="P256" t="s">
        <v>750</v>
      </c>
      <c r="Q256">
        <v>2201</v>
      </c>
      <c r="R256">
        <v>2780.43</v>
      </c>
    </row>
    <row r="257" spans="1:18" hidden="1">
      <c r="A257" t="s">
        <v>1488</v>
      </c>
      <c r="B257" s="55" t="s">
        <v>265</v>
      </c>
      <c r="C257" s="37" t="s">
        <v>266</v>
      </c>
      <c r="D257">
        <v>2193</v>
      </c>
      <c r="E257" s="19">
        <f t="shared" si="16"/>
        <v>78.321428571428569</v>
      </c>
      <c r="F257" s="5">
        <v>3044.97</v>
      </c>
      <c r="I257" s="19">
        <f t="shared" si="17"/>
        <v>4386</v>
      </c>
      <c r="J257" t="b">
        <f t="shared" si="18"/>
        <v>1</v>
      </c>
      <c r="K257" s="4">
        <f t="shared" si="19"/>
        <v>-0.30575239398084819</v>
      </c>
      <c r="N257"/>
      <c r="P257" t="s">
        <v>781</v>
      </c>
      <c r="Q257">
        <v>1667</v>
      </c>
      <c r="R257">
        <v>2965.44</v>
      </c>
    </row>
    <row r="258" spans="1:18" ht="30" hidden="1">
      <c r="A258" t="s">
        <v>1489</v>
      </c>
      <c r="B258" s="55" t="s">
        <v>438</v>
      </c>
      <c r="C258" s="37" t="s">
        <v>439</v>
      </c>
      <c r="D258">
        <v>1496</v>
      </c>
      <c r="E258" s="19">
        <f t="shared" si="16"/>
        <v>53.428571428571431</v>
      </c>
      <c r="F258" s="5">
        <v>1829.63</v>
      </c>
      <c r="I258" s="19">
        <f t="shared" si="17"/>
        <v>2992</v>
      </c>
      <c r="J258" t="b">
        <f t="shared" si="18"/>
        <v>1</v>
      </c>
      <c r="K258" s="4">
        <f t="shared" si="19"/>
        <v>-0.38849264705882347</v>
      </c>
      <c r="N258"/>
      <c r="P258" t="s">
        <v>752</v>
      </c>
      <c r="Q258">
        <v>4039</v>
      </c>
      <c r="R258">
        <v>5176.58</v>
      </c>
    </row>
    <row r="259" spans="1:18" hidden="1">
      <c r="A259" t="s">
        <v>1489</v>
      </c>
      <c r="B259" t="s">
        <v>269</v>
      </c>
      <c r="C259" t="s">
        <v>270</v>
      </c>
      <c r="D259" s="28">
        <v>1387</v>
      </c>
      <c r="E259" s="19">
        <f t="shared" si="16"/>
        <v>49.535714285714285</v>
      </c>
      <c r="F259" s="5">
        <v>2196.94</v>
      </c>
      <c r="I259" s="19">
        <f t="shared" si="17"/>
        <v>2774</v>
      </c>
      <c r="J259" t="b">
        <f t="shared" si="18"/>
        <v>1</v>
      </c>
      <c r="K259" s="4">
        <f t="shared" si="19"/>
        <v>-0.20802451333813987</v>
      </c>
      <c r="N259"/>
      <c r="P259" t="s">
        <v>1031</v>
      </c>
      <c r="Q259">
        <v>1372</v>
      </c>
      <c r="R259">
        <v>3179.39</v>
      </c>
    </row>
    <row r="260" spans="1:18" hidden="1">
      <c r="A260" t="s">
        <v>1487</v>
      </c>
      <c r="B260" s="55" t="s">
        <v>281</v>
      </c>
      <c r="C260" s="37" t="s">
        <v>282</v>
      </c>
      <c r="D260" s="28">
        <v>1096</v>
      </c>
      <c r="E260" s="19">
        <f t="shared" si="16"/>
        <v>39.142857142857146</v>
      </c>
      <c r="F260" s="5">
        <v>1548.01</v>
      </c>
      <c r="I260" s="123">
        <f t="shared" si="17"/>
        <v>2192</v>
      </c>
      <c r="J260" t="b">
        <f t="shared" si="18"/>
        <v>1</v>
      </c>
      <c r="K260" s="4">
        <f t="shared" si="19"/>
        <v>-0.29379105839416064</v>
      </c>
      <c r="N260" s="128"/>
      <c r="P260" t="s">
        <v>1390</v>
      </c>
      <c r="Q260">
        <v>3</v>
      </c>
      <c r="R260">
        <v>0</v>
      </c>
    </row>
    <row r="261" spans="1:18" hidden="1">
      <c r="A261" t="s">
        <v>1488</v>
      </c>
      <c r="B261" t="s">
        <v>197</v>
      </c>
      <c r="C261" t="s">
        <v>198</v>
      </c>
      <c r="D261" s="28">
        <v>1669</v>
      </c>
      <c r="E261" s="19">
        <f t="shared" si="16"/>
        <v>59.607142857142854</v>
      </c>
      <c r="F261" s="5">
        <v>750.88</v>
      </c>
      <c r="I261" s="19">
        <f t="shared" si="17"/>
        <v>3338</v>
      </c>
      <c r="J261" t="b">
        <f t="shared" si="18"/>
        <v>1</v>
      </c>
      <c r="K261" s="4">
        <f t="shared" si="19"/>
        <v>-0.77505092869982029</v>
      </c>
      <c r="N261"/>
      <c r="P261" t="s">
        <v>900</v>
      </c>
      <c r="Q261">
        <v>740</v>
      </c>
      <c r="R261">
        <v>1692.16</v>
      </c>
    </row>
    <row r="262" spans="1:18" hidden="1">
      <c r="A262" t="s">
        <v>1487</v>
      </c>
      <c r="B262" t="s">
        <v>163</v>
      </c>
      <c r="C262" t="s">
        <v>164</v>
      </c>
      <c r="D262" s="28">
        <v>12642</v>
      </c>
      <c r="E262" s="19">
        <f t="shared" si="16"/>
        <v>451.5</v>
      </c>
      <c r="F262" s="5">
        <v>18791.47</v>
      </c>
      <c r="I262" s="135">
        <f t="shared" si="17"/>
        <v>25284</v>
      </c>
      <c r="J262" t="b">
        <f t="shared" si="18"/>
        <v>1</v>
      </c>
      <c r="K262" s="4">
        <f t="shared" si="19"/>
        <v>-0.25678413225755414</v>
      </c>
      <c r="N262"/>
      <c r="P262" t="s">
        <v>775</v>
      </c>
      <c r="Q262">
        <v>934</v>
      </c>
      <c r="R262">
        <v>1679.4</v>
      </c>
    </row>
    <row r="263" spans="1:18" hidden="1">
      <c r="A263" t="s">
        <v>1488</v>
      </c>
      <c r="B263" t="s">
        <v>157</v>
      </c>
      <c r="C263" t="s">
        <v>158</v>
      </c>
      <c r="D263" s="28">
        <v>506</v>
      </c>
      <c r="E263" s="19">
        <f t="shared" si="16"/>
        <v>18.071428571428573</v>
      </c>
      <c r="F263" s="5">
        <v>1061.49</v>
      </c>
      <c r="I263" s="19">
        <f t="shared" si="17"/>
        <v>1012</v>
      </c>
      <c r="J263" t="b">
        <f t="shared" si="18"/>
        <v>1</v>
      </c>
      <c r="K263" s="4">
        <f t="shared" si="19"/>
        <v>4.8903162055335958E-2</v>
      </c>
      <c r="N263"/>
      <c r="P263" t="s">
        <v>935</v>
      </c>
      <c r="Q263">
        <v>1221</v>
      </c>
      <c r="R263">
        <v>1238.4000000000001</v>
      </c>
    </row>
    <row r="264" spans="1:18" hidden="1">
      <c r="A264" t="s">
        <v>1487</v>
      </c>
      <c r="B264" s="57" t="s">
        <v>564</v>
      </c>
      <c r="C264" s="37" t="s">
        <v>565</v>
      </c>
      <c r="D264" s="28">
        <v>1747</v>
      </c>
      <c r="E264" s="19">
        <f t="shared" si="16"/>
        <v>62.392857142857146</v>
      </c>
      <c r="F264" s="5">
        <v>3161.04</v>
      </c>
      <c r="I264" s="19">
        <f t="shared" si="17"/>
        <v>3494</v>
      </c>
      <c r="J264" t="b">
        <f t="shared" si="18"/>
        <v>1</v>
      </c>
      <c r="K264" s="4">
        <f t="shared" si="19"/>
        <v>-9.5294791070406393E-2</v>
      </c>
      <c r="N264"/>
      <c r="P264" t="s">
        <v>864</v>
      </c>
      <c r="Q264">
        <v>706</v>
      </c>
      <c r="R264">
        <v>887.74</v>
      </c>
    </row>
    <row r="265" spans="1:18">
      <c r="A265" t="s">
        <v>1487</v>
      </c>
      <c r="B265" s="55" t="s">
        <v>59</v>
      </c>
      <c r="C265" s="37" t="s">
        <v>60</v>
      </c>
      <c r="D265" s="28">
        <v>805</v>
      </c>
      <c r="E265" s="19">
        <f t="shared" si="16"/>
        <v>28.75</v>
      </c>
      <c r="F265" s="5">
        <v>2356.87</v>
      </c>
      <c r="I265" s="19">
        <f t="shared" si="17"/>
        <v>1610</v>
      </c>
      <c r="J265" t="b">
        <f t="shared" si="18"/>
        <v>0</v>
      </c>
      <c r="K265" s="4">
        <f t="shared" si="19"/>
        <v>0.46389440993788811</v>
      </c>
      <c r="N265"/>
      <c r="P265" t="s">
        <v>960</v>
      </c>
      <c r="Q265">
        <v>995</v>
      </c>
      <c r="R265">
        <v>1253.03</v>
      </c>
    </row>
    <row r="266" spans="1:18" hidden="1">
      <c r="A266" t="s">
        <v>1487</v>
      </c>
      <c r="B266" t="s">
        <v>63</v>
      </c>
      <c r="C266" t="s">
        <v>64</v>
      </c>
      <c r="D266" s="28">
        <v>4508</v>
      </c>
      <c r="E266" s="19">
        <f t="shared" si="16"/>
        <v>161</v>
      </c>
      <c r="F266" s="5">
        <v>4477.37</v>
      </c>
      <c r="I266" s="19">
        <f t="shared" si="17"/>
        <v>9016</v>
      </c>
      <c r="J266" t="b">
        <f t="shared" si="18"/>
        <v>1</v>
      </c>
      <c r="K266" s="4">
        <f t="shared" si="19"/>
        <v>-0.50339729370008879</v>
      </c>
      <c r="N266"/>
      <c r="P266" t="s">
        <v>868</v>
      </c>
      <c r="Q266">
        <v>942</v>
      </c>
      <c r="R266">
        <v>1905.07</v>
      </c>
    </row>
    <row r="267" spans="1:18" hidden="1">
      <c r="A267" t="s">
        <v>1487</v>
      </c>
      <c r="B267" t="s">
        <v>694</v>
      </c>
      <c r="C267" t="s">
        <v>695</v>
      </c>
      <c r="D267" s="28">
        <v>6047</v>
      </c>
      <c r="E267" s="19">
        <f t="shared" si="16"/>
        <v>215.96428571428572</v>
      </c>
      <c r="F267" s="5">
        <v>10583.45</v>
      </c>
      <c r="I267" s="19">
        <f t="shared" si="17"/>
        <v>12094</v>
      </c>
      <c r="J267" t="b">
        <f t="shared" si="18"/>
        <v>1</v>
      </c>
      <c r="K267" s="4">
        <f t="shared" si="19"/>
        <v>-0.12490077724491477</v>
      </c>
      <c r="N267"/>
      <c r="P267" t="s">
        <v>805</v>
      </c>
      <c r="Q267">
        <v>697</v>
      </c>
      <c r="R267">
        <v>933.22</v>
      </c>
    </row>
    <row r="268" spans="1:18" hidden="1">
      <c r="A268" t="s">
        <v>1489</v>
      </c>
      <c r="B268" s="55" t="s">
        <v>624</v>
      </c>
      <c r="C268" s="37" t="s">
        <v>625</v>
      </c>
      <c r="D268" s="28">
        <v>1308</v>
      </c>
      <c r="E268" s="19">
        <f t="shared" si="16"/>
        <v>46.714285714285715</v>
      </c>
      <c r="F268" s="5">
        <v>2240.23</v>
      </c>
      <c r="I268" s="19">
        <f t="shared" si="17"/>
        <v>2616</v>
      </c>
      <c r="J268" t="b">
        <f t="shared" si="18"/>
        <v>1</v>
      </c>
      <c r="K268" s="4">
        <f t="shared" si="19"/>
        <v>-0.14364296636085627</v>
      </c>
      <c r="N268"/>
      <c r="P268" t="s">
        <v>783</v>
      </c>
      <c r="Q268">
        <v>1585</v>
      </c>
      <c r="R268">
        <v>1853.67</v>
      </c>
    </row>
    <row r="269" spans="1:18" ht="30" hidden="1">
      <c r="A269" t="s">
        <v>1487</v>
      </c>
      <c r="B269" s="55" t="s">
        <v>31</v>
      </c>
      <c r="C269" s="37" t="s">
        <v>32</v>
      </c>
      <c r="D269">
        <v>3838</v>
      </c>
      <c r="E269" s="19">
        <f t="shared" si="16"/>
        <v>137.07142857142858</v>
      </c>
      <c r="F269" s="5">
        <v>7039.93</v>
      </c>
      <c r="I269" s="19">
        <f t="shared" si="17"/>
        <v>7676</v>
      </c>
      <c r="J269" t="b">
        <f t="shared" si="18"/>
        <v>1</v>
      </c>
      <c r="K269" s="4">
        <f t="shared" si="19"/>
        <v>-8.2864773319437202E-2</v>
      </c>
      <c r="N269"/>
      <c r="P269" t="s">
        <v>756</v>
      </c>
      <c r="Q269">
        <v>1841</v>
      </c>
      <c r="R269">
        <v>2630.37</v>
      </c>
    </row>
    <row r="270" spans="1:18">
      <c r="A270" t="s">
        <v>1488</v>
      </c>
      <c r="B270" t="s">
        <v>193</v>
      </c>
      <c r="C270" s="27" t="s">
        <v>194</v>
      </c>
      <c r="D270" s="28">
        <v>194</v>
      </c>
      <c r="E270" s="19">
        <f t="shared" si="16"/>
        <v>6.9285714285714288</v>
      </c>
      <c r="F270" s="5">
        <v>892.6</v>
      </c>
      <c r="I270" s="19">
        <f t="shared" si="17"/>
        <v>388</v>
      </c>
      <c r="J270" t="b">
        <f t="shared" si="18"/>
        <v>0</v>
      </c>
      <c r="K270" s="4">
        <f t="shared" si="19"/>
        <v>1.300515463917526</v>
      </c>
      <c r="N270"/>
      <c r="P270" t="s">
        <v>882</v>
      </c>
      <c r="Q270">
        <v>1079</v>
      </c>
      <c r="R270">
        <v>2122.04</v>
      </c>
    </row>
    <row r="271" spans="1:18">
      <c r="A271" t="s">
        <v>1489</v>
      </c>
      <c r="B271" s="55" t="s">
        <v>223</v>
      </c>
      <c r="C271" s="37" t="s">
        <v>224</v>
      </c>
      <c r="D271" s="28">
        <v>677</v>
      </c>
      <c r="E271" s="19">
        <f t="shared" si="16"/>
        <v>24.178571428571427</v>
      </c>
      <c r="F271" s="5">
        <v>1650.95</v>
      </c>
      <c r="I271" s="19">
        <f t="shared" si="17"/>
        <v>1354</v>
      </c>
      <c r="J271" t="b">
        <f t="shared" si="18"/>
        <v>0</v>
      </c>
      <c r="K271" s="4">
        <f t="shared" si="19"/>
        <v>0.21931314623338261</v>
      </c>
      <c r="N271"/>
      <c r="P271" t="s">
        <v>916</v>
      </c>
      <c r="Q271">
        <v>337</v>
      </c>
      <c r="R271">
        <v>529.88</v>
      </c>
    </row>
    <row r="272" spans="1:18" hidden="1">
      <c r="A272" t="s">
        <v>1487</v>
      </c>
      <c r="B272" s="55" t="s">
        <v>408</v>
      </c>
      <c r="C272" s="37" t="s">
        <v>409</v>
      </c>
      <c r="D272">
        <v>2004</v>
      </c>
      <c r="E272" s="19">
        <f t="shared" si="16"/>
        <v>71.571428571428569</v>
      </c>
      <c r="F272" s="5">
        <v>1533.18</v>
      </c>
      <c r="I272" s="19">
        <f t="shared" si="17"/>
        <v>4008</v>
      </c>
      <c r="J272" t="b">
        <f t="shared" si="18"/>
        <v>1</v>
      </c>
      <c r="K272" s="4">
        <f t="shared" si="19"/>
        <v>-0.61747005988023951</v>
      </c>
      <c r="N272"/>
      <c r="P272" t="s">
        <v>850</v>
      </c>
      <c r="Q272">
        <v>456</v>
      </c>
      <c r="R272">
        <v>569.27</v>
      </c>
    </row>
    <row r="273" spans="1:18" hidden="1">
      <c r="A273" t="s">
        <v>1488</v>
      </c>
      <c r="B273" s="55" t="s">
        <v>462</v>
      </c>
      <c r="C273" s="37" t="s">
        <v>463</v>
      </c>
      <c r="D273" s="28">
        <v>442</v>
      </c>
      <c r="E273" s="19">
        <f t="shared" si="16"/>
        <v>15.785714285714286</v>
      </c>
      <c r="F273" s="5">
        <v>847.67</v>
      </c>
      <c r="I273" s="19">
        <f t="shared" si="17"/>
        <v>884</v>
      </c>
      <c r="J273" t="b">
        <f t="shared" si="18"/>
        <v>1</v>
      </c>
      <c r="K273" s="4">
        <f t="shared" si="19"/>
        <v>-4.1097285067873357E-2</v>
      </c>
      <c r="N273"/>
      <c r="P273" t="s">
        <v>884</v>
      </c>
      <c r="Q273">
        <v>1330</v>
      </c>
      <c r="R273">
        <v>1531.91</v>
      </c>
    </row>
    <row r="274" spans="1:18" hidden="1">
      <c r="A274" t="s">
        <v>1487</v>
      </c>
      <c r="B274" s="55" t="s">
        <v>255</v>
      </c>
      <c r="C274" s="37" t="s">
        <v>256</v>
      </c>
      <c r="D274">
        <v>331</v>
      </c>
      <c r="E274" s="19">
        <f t="shared" si="16"/>
        <v>11.821428571428571</v>
      </c>
      <c r="F274" s="5">
        <v>379.19</v>
      </c>
      <c r="I274" s="19">
        <f t="shared" si="17"/>
        <v>662</v>
      </c>
      <c r="J274" t="b">
        <f t="shared" si="18"/>
        <v>1</v>
      </c>
      <c r="K274" s="4">
        <f t="shared" si="19"/>
        <v>-0.42720543806646527</v>
      </c>
      <c r="N274"/>
      <c r="P274" t="s">
        <v>777</v>
      </c>
      <c r="Q274">
        <v>736</v>
      </c>
      <c r="R274">
        <v>930.48</v>
      </c>
    </row>
    <row r="275" spans="1:18" hidden="1">
      <c r="A275" t="s">
        <v>1488</v>
      </c>
      <c r="B275" s="55" t="s">
        <v>646</v>
      </c>
      <c r="C275" s="37" t="s">
        <v>647</v>
      </c>
      <c r="D275">
        <v>945</v>
      </c>
      <c r="E275" s="19">
        <f t="shared" si="16"/>
        <v>33.75</v>
      </c>
      <c r="F275" s="5">
        <v>1571.1</v>
      </c>
      <c r="I275" s="135">
        <f t="shared" si="17"/>
        <v>1890</v>
      </c>
      <c r="J275" t="b">
        <f t="shared" si="18"/>
        <v>1</v>
      </c>
      <c r="K275" s="4">
        <f t="shared" si="19"/>
        <v>-0.16873015873015873</v>
      </c>
      <c r="N275"/>
      <c r="P275" t="s">
        <v>843</v>
      </c>
      <c r="Q275">
        <v>468</v>
      </c>
      <c r="R275">
        <v>604.41</v>
      </c>
    </row>
    <row r="276" spans="1:18">
      <c r="A276" t="s">
        <v>1488</v>
      </c>
      <c r="B276" s="55" t="s">
        <v>167</v>
      </c>
      <c r="C276" s="37" t="s">
        <v>168</v>
      </c>
      <c r="D276">
        <v>993</v>
      </c>
      <c r="E276" s="19">
        <f t="shared" si="16"/>
        <v>35.464285714285715</v>
      </c>
      <c r="F276" s="5">
        <v>2501.5300000000002</v>
      </c>
      <c r="I276" s="19">
        <f t="shared" si="17"/>
        <v>1986</v>
      </c>
      <c r="J276" t="b">
        <f t="shared" si="18"/>
        <v>0</v>
      </c>
      <c r="K276" s="4">
        <f t="shared" si="19"/>
        <v>0.25958207452165172</v>
      </c>
      <c r="N276"/>
      <c r="P276" t="s">
        <v>908</v>
      </c>
      <c r="Q276">
        <v>1391</v>
      </c>
      <c r="R276">
        <v>3435.81</v>
      </c>
    </row>
    <row r="277" spans="1:18" hidden="1">
      <c r="A277" t="s">
        <v>1488</v>
      </c>
      <c r="B277" t="s">
        <v>251</v>
      </c>
      <c r="C277" t="s">
        <v>252</v>
      </c>
      <c r="D277" s="28">
        <v>1273</v>
      </c>
      <c r="E277" s="19">
        <f t="shared" si="16"/>
        <v>45.464285714285715</v>
      </c>
      <c r="F277" s="5">
        <v>2315.13</v>
      </c>
      <c r="I277" s="19">
        <f t="shared" si="17"/>
        <v>2546</v>
      </c>
      <c r="J277" t="b">
        <f t="shared" si="18"/>
        <v>1</v>
      </c>
      <c r="K277" s="4">
        <f t="shared" si="19"/>
        <v>-9.0679497250589103E-2</v>
      </c>
      <c r="N277"/>
      <c r="P277" t="s">
        <v>841</v>
      </c>
      <c r="Q277">
        <v>1388</v>
      </c>
      <c r="R277">
        <v>939.57</v>
      </c>
    </row>
    <row r="278" spans="1:18" hidden="1">
      <c r="A278" t="s">
        <v>1487</v>
      </c>
      <c r="B278" s="57" t="s">
        <v>65</v>
      </c>
      <c r="C278" s="37" t="s">
        <v>66</v>
      </c>
      <c r="D278" s="28">
        <v>494</v>
      </c>
      <c r="E278" s="19">
        <f t="shared" si="16"/>
        <v>17.642857142857142</v>
      </c>
      <c r="F278" s="5">
        <v>1160.33</v>
      </c>
      <c r="I278" s="19">
        <f t="shared" si="17"/>
        <v>988</v>
      </c>
      <c r="J278" t="b">
        <f t="shared" si="18"/>
        <v>1</v>
      </c>
      <c r="K278" s="4">
        <f t="shared" si="19"/>
        <v>0.17442307692307679</v>
      </c>
      <c r="N278"/>
      <c r="P278" t="s">
        <v>1025</v>
      </c>
      <c r="Q278">
        <v>2475</v>
      </c>
      <c r="R278">
        <v>4662.12</v>
      </c>
    </row>
    <row r="279" spans="1:18" hidden="1">
      <c r="A279" t="s">
        <v>1487</v>
      </c>
      <c r="B279" s="55" t="s">
        <v>365</v>
      </c>
      <c r="C279" s="37" t="s">
        <v>366</v>
      </c>
      <c r="D279" s="28">
        <v>1021</v>
      </c>
      <c r="E279" s="19">
        <f t="shared" si="16"/>
        <v>36.464285714285715</v>
      </c>
      <c r="F279" s="5">
        <v>1910.29</v>
      </c>
      <c r="I279" s="19">
        <f t="shared" si="17"/>
        <v>2042</v>
      </c>
      <c r="J279" t="b">
        <f t="shared" si="18"/>
        <v>1</v>
      </c>
      <c r="K279" s="4">
        <f t="shared" si="19"/>
        <v>-6.4500489715964782E-2</v>
      </c>
      <c r="N279"/>
      <c r="P279" t="s">
        <v>914</v>
      </c>
      <c r="Q279">
        <v>480</v>
      </c>
      <c r="R279">
        <v>1367.15</v>
      </c>
    </row>
    <row r="280" spans="1:18" hidden="1">
      <c r="A280" t="s">
        <v>1489</v>
      </c>
      <c r="B280" s="55" t="s">
        <v>173</v>
      </c>
      <c r="C280" s="37" t="s">
        <v>174</v>
      </c>
      <c r="D280" s="28">
        <v>1086</v>
      </c>
      <c r="E280" s="19">
        <f t="shared" si="16"/>
        <v>38.785714285714285</v>
      </c>
      <c r="F280" s="5">
        <v>1793.89</v>
      </c>
      <c r="I280" s="19">
        <f t="shared" si="17"/>
        <v>2172</v>
      </c>
      <c r="J280" t="b">
        <f t="shared" si="18"/>
        <v>1</v>
      </c>
      <c r="K280" s="4">
        <f t="shared" si="19"/>
        <v>-0.17408379373848981</v>
      </c>
      <c r="N280"/>
      <c r="P280" t="s">
        <v>862</v>
      </c>
      <c r="Q280">
        <v>2459</v>
      </c>
      <c r="R280">
        <v>2134.25</v>
      </c>
    </row>
    <row r="281" spans="1:18">
      <c r="A281" t="s">
        <v>1488</v>
      </c>
      <c r="B281" s="55" t="s">
        <v>536</v>
      </c>
      <c r="C281" s="37" t="s">
        <v>537</v>
      </c>
      <c r="D281" s="28">
        <v>556</v>
      </c>
      <c r="E281" s="19">
        <f t="shared" si="16"/>
        <v>19.857142857142858</v>
      </c>
      <c r="F281" s="5">
        <v>1537.17</v>
      </c>
      <c r="I281" s="135">
        <f t="shared" si="17"/>
        <v>1112</v>
      </c>
      <c r="J281" t="b">
        <f t="shared" si="18"/>
        <v>0</v>
      </c>
      <c r="K281" s="4">
        <f t="shared" si="19"/>
        <v>0.38234712230215839</v>
      </c>
      <c r="N281"/>
      <c r="P281" t="s">
        <v>856</v>
      </c>
      <c r="Q281">
        <v>957</v>
      </c>
      <c r="R281">
        <v>952.57</v>
      </c>
    </row>
    <row r="282" spans="1:18" hidden="1">
      <c r="A282" t="s">
        <v>1489</v>
      </c>
      <c r="B282" s="55" t="s">
        <v>686</v>
      </c>
      <c r="C282" s="37" t="s">
        <v>687</v>
      </c>
      <c r="D282" s="28">
        <v>1845</v>
      </c>
      <c r="E282" s="19">
        <f t="shared" si="16"/>
        <v>65.892857142857139</v>
      </c>
      <c r="F282" s="5">
        <v>1493.62</v>
      </c>
      <c r="I282" s="19">
        <f t="shared" si="17"/>
        <v>3690</v>
      </c>
      <c r="J282" t="b">
        <f t="shared" si="18"/>
        <v>1</v>
      </c>
      <c r="K282" s="4">
        <f t="shared" si="19"/>
        <v>-0.5952249322493226</v>
      </c>
      <c r="N282"/>
      <c r="P282" t="s">
        <v>872</v>
      </c>
      <c r="Q282">
        <v>171</v>
      </c>
      <c r="R282">
        <v>98.72</v>
      </c>
    </row>
    <row r="283" spans="1:18" hidden="1">
      <c r="A283" t="s">
        <v>1487</v>
      </c>
      <c r="B283" s="55" t="s">
        <v>27</v>
      </c>
      <c r="C283" s="37" t="s">
        <v>28</v>
      </c>
      <c r="D283" s="28">
        <v>3201</v>
      </c>
      <c r="E283" s="19">
        <f t="shared" si="16"/>
        <v>114.32142857142857</v>
      </c>
      <c r="F283" s="5">
        <v>3958.13</v>
      </c>
      <c r="I283" s="19">
        <f t="shared" si="17"/>
        <v>6402</v>
      </c>
      <c r="J283" t="b">
        <f t="shared" si="18"/>
        <v>1</v>
      </c>
      <c r="K283" s="4">
        <f t="shared" si="19"/>
        <v>-0.38173539518900346</v>
      </c>
      <c r="N283"/>
      <c r="P283" t="s">
        <v>1419</v>
      </c>
      <c r="Q283">
        <v>0</v>
      </c>
      <c r="R283">
        <v>0</v>
      </c>
    </row>
    <row r="284" spans="1:18" ht="30" hidden="1">
      <c r="A284" t="s">
        <v>1487</v>
      </c>
      <c r="B284" s="55" t="s">
        <v>143</v>
      </c>
      <c r="C284" s="37" t="s">
        <v>144</v>
      </c>
      <c r="D284" s="28">
        <v>1905</v>
      </c>
      <c r="E284" s="19">
        <f t="shared" si="16"/>
        <v>68.035714285714292</v>
      </c>
      <c r="F284" s="5">
        <v>3624.46</v>
      </c>
      <c r="I284" s="19">
        <f t="shared" si="17"/>
        <v>3810</v>
      </c>
      <c r="J284" t="b">
        <f t="shared" si="18"/>
        <v>1</v>
      </c>
      <c r="K284" s="4">
        <f t="shared" si="19"/>
        <v>-4.8698162729658767E-2</v>
      </c>
      <c r="N284"/>
      <c r="P284" t="s">
        <v>811</v>
      </c>
      <c r="Q284">
        <v>671</v>
      </c>
      <c r="R284">
        <v>0</v>
      </c>
    </row>
    <row r="285" spans="1:18" hidden="1">
      <c r="A285" t="s">
        <v>1488</v>
      </c>
      <c r="B285" s="55" t="s">
        <v>642</v>
      </c>
      <c r="C285" s="37" t="s">
        <v>643</v>
      </c>
      <c r="D285" s="28">
        <v>977</v>
      </c>
      <c r="E285" s="19">
        <f t="shared" si="16"/>
        <v>34.892857142857146</v>
      </c>
      <c r="F285" s="5">
        <v>2148.5</v>
      </c>
      <c r="I285" s="19">
        <f t="shared" si="17"/>
        <v>1954</v>
      </c>
      <c r="J285" t="b">
        <f t="shared" si="18"/>
        <v>1</v>
      </c>
      <c r="K285" s="4">
        <f t="shared" si="19"/>
        <v>9.9539406345956927E-2</v>
      </c>
      <c r="N285"/>
      <c r="P285" t="s">
        <v>834</v>
      </c>
      <c r="Q285">
        <v>1758</v>
      </c>
      <c r="R285">
        <v>3478.4</v>
      </c>
    </row>
    <row r="286" spans="1:18" hidden="1">
      <c r="A286" t="s">
        <v>1487</v>
      </c>
      <c r="B286" s="55" t="s">
        <v>301</v>
      </c>
      <c r="C286" s="37" t="s">
        <v>302</v>
      </c>
      <c r="D286" s="28">
        <v>2539</v>
      </c>
      <c r="E286" s="19">
        <f t="shared" si="16"/>
        <v>90.678571428571431</v>
      </c>
      <c r="F286" s="5">
        <v>3847.08</v>
      </c>
      <c r="I286" s="19">
        <f t="shared" si="17"/>
        <v>5078</v>
      </c>
      <c r="J286" t="b">
        <f t="shared" si="18"/>
        <v>1</v>
      </c>
      <c r="K286" s="4">
        <f t="shared" si="19"/>
        <v>-0.24240252067743207</v>
      </c>
      <c r="N286"/>
      <c r="P286" t="s">
        <v>847</v>
      </c>
      <c r="Q286">
        <v>1810</v>
      </c>
      <c r="R286">
        <v>2248.7199999999998</v>
      </c>
    </row>
    <row r="287" spans="1:18" hidden="1">
      <c r="A287" t="s">
        <v>1488</v>
      </c>
      <c r="B287" s="55" t="s">
        <v>688</v>
      </c>
      <c r="C287" s="37" t="s">
        <v>689</v>
      </c>
      <c r="D287" s="28">
        <v>7092</v>
      </c>
      <c r="E287" s="19">
        <f t="shared" si="16"/>
        <v>253.28571428571428</v>
      </c>
      <c r="F287" s="5">
        <v>9843.42</v>
      </c>
      <c r="I287" s="19">
        <f t="shared" si="17"/>
        <v>14184</v>
      </c>
      <c r="J287" t="b">
        <f t="shared" si="18"/>
        <v>1</v>
      </c>
      <c r="K287" s="4">
        <f t="shared" si="19"/>
        <v>-0.30601945854483925</v>
      </c>
      <c r="N287"/>
      <c r="P287" t="s">
        <v>1378</v>
      </c>
      <c r="Q287">
        <v>130</v>
      </c>
      <c r="R287">
        <v>0</v>
      </c>
    </row>
    <row r="288" spans="1:18" ht="30" hidden="1">
      <c r="A288" t="s">
        <v>1489</v>
      </c>
      <c r="B288" s="55" t="s">
        <v>638</v>
      </c>
      <c r="C288" s="37" t="s">
        <v>639</v>
      </c>
      <c r="D288" s="28">
        <v>1750</v>
      </c>
      <c r="E288" s="19">
        <f t="shared" si="16"/>
        <v>62.5</v>
      </c>
      <c r="F288" s="5">
        <v>2520.71</v>
      </c>
      <c r="I288" s="19">
        <f t="shared" si="17"/>
        <v>3500</v>
      </c>
      <c r="J288" t="b">
        <f t="shared" si="18"/>
        <v>1</v>
      </c>
      <c r="K288" s="4">
        <f t="shared" si="19"/>
        <v>-0.27979714285714286</v>
      </c>
      <c r="N288"/>
      <c r="P288" t="s">
        <v>989</v>
      </c>
      <c r="Q288">
        <v>1461</v>
      </c>
      <c r="R288">
        <v>3193.14</v>
      </c>
    </row>
    <row r="289" spans="1:18" ht="30" hidden="1">
      <c r="A289" t="s">
        <v>1489</v>
      </c>
      <c r="B289" s="55" t="s">
        <v>698</v>
      </c>
      <c r="C289" s="37" t="s">
        <v>699</v>
      </c>
      <c r="D289" s="28">
        <v>60580</v>
      </c>
      <c r="E289" s="19">
        <f t="shared" si="16"/>
        <v>2163.5714285714284</v>
      </c>
      <c r="F289" s="5">
        <v>74934.87999999999</v>
      </c>
      <c r="I289" s="123">
        <f t="shared" si="17"/>
        <v>121160</v>
      </c>
      <c r="J289" t="b">
        <f t="shared" si="18"/>
        <v>1</v>
      </c>
      <c r="K289" s="4">
        <f t="shared" si="19"/>
        <v>-0.38152129415648739</v>
      </c>
      <c r="N289" s="128"/>
      <c r="P289" t="s">
        <v>880</v>
      </c>
      <c r="Q289">
        <v>898</v>
      </c>
      <c r="R289">
        <v>1140.48</v>
      </c>
    </row>
    <row r="290" spans="1:18" hidden="1">
      <c r="A290" t="s">
        <v>1487</v>
      </c>
      <c r="B290" s="55" t="s">
        <v>428</v>
      </c>
      <c r="C290" s="37" t="s">
        <v>429</v>
      </c>
      <c r="D290" s="28">
        <v>2645</v>
      </c>
      <c r="E290" s="19">
        <f t="shared" si="16"/>
        <v>94.464285714285708</v>
      </c>
      <c r="F290" s="5">
        <v>5329.42</v>
      </c>
      <c r="I290" s="19">
        <f t="shared" si="17"/>
        <v>5290</v>
      </c>
      <c r="J290" t="b">
        <f t="shared" si="18"/>
        <v>1</v>
      </c>
      <c r="K290" s="4">
        <f t="shared" si="19"/>
        <v>7.4517958412099183E-3</v>
      </c>
      <c r="N290"/>
      <c r="P290" t="s">
        <v>858</v>
      </c>
      <c r="Q290">
        <v>767</v>
      </c>
      <c r="R290">
        <v>780.51</v>
      </c>
    </row>
    <row r="291" spans="1:18" hidden="1">
      <c r="A291" t="s">
        <v>1487</v>
      </c>
      <c r="B291" s="55" t="s">
        <v>51</v>
      </c>
      <c r="C291" s="37" t="s">
        <v>52</v>
      </c>
      <c r="D291" s="28">
        <v>1493</v>
      </c>
      <c r="E291" s="19">
        <f t="shared" si="16"/>
        <v>53.321428571428569</v>
      </c>
      <c r="F291" s="5">
        <v>3061.56</v>
      </c>
      <c r="I291" s="19">
        <f t="shared" si="17"/>
        <v>2986</v>
      </c>
      <c r="J291" t="b">
        <f t="shared" si="18"/>
        <v>1</v>
      </c>
      <c r="K291" s="4">
        <f t="shared" si="19"/>
        <v>2.5304755525787037E-2</v>
      </c>
      <c r="N291"/>
      <c r="P291" t="s">
        <v>1005</v>
      </c>
      <c r="Q291">
        <v>1069</v>
      </c>
      <c r="R291">
        <v>1609.44</v>
      </c>
    </row>
    <row r="292" spans="1:18" hidden="1">
      <c r="A292" t="s">
        <v>1488</v>
      </c>
      <c r="B292" s="55" t="s">
        <v>610</v>
      </c>
      <c r="C292" s="37" t="s">
        <v>611</v>
      </c>
      <c r="D292" s="28">
        <v>2452</v>
      </c>
      <c r="E292" s="19">
        <f t="shared" si="16"/>
        <v>87.571428571428569</v>
      </c>
      <c r="F292" s="5">
        <v>5431.34</v>
      </c>
      <c r="I292" s="19">
        <f t="shared" si="17"/>
        <v>4904</v>
      </c>
      <c r="J292" t="b">
        <f t="shared" si="18"/>
        <v>1</v>
      </c>
      <c r="K292" s="4">
        <f t="shared" si="19"/>
        <v>0.10753262642740613</v>
      </c>
      <c r="N292"/>
      <c r="P292" t="s">
        <v>986</v>
      </c>
      <c r="Q292">
        <v>1050</v>
      </c>
      <c r="R292">
        <v>2642.42</v>
      </c>
    </row>
    <row r="293" spans="1:18">
      <c r="A293" t="s">
        <v>1487</v>
      </c>
      <c r="B293" s="55" t="s">
        <v>578</v>
      </c>
      <c r="C293" s="37" t="s">
        <v>579</v>
      </c>
      <c r="D293" s="28">
        <v>806</v>
      </c>
      <c r="E293" s="19">
        <f t="shared" si="16"/>
        <v>28.785714285714285</v>
      </c>
      <c r="F293" s="5">
        <v>3080.86</v>
      </c>
      <c r="I293" s="135">
        <f t="shared" si="17"/>
        <v>1612</v>
      </c>
      <c r="J293" t="b">
        <f t="shared" si="18"/>
        <v>0</v>
      </c>
      <c r="K293" s="4">
        <f t="shared" si="19"/>
        <v>0.91120347394540957</v>
      </c>
      <c r="N293"/>
      <c r="P293" t="s">
        <v>922</v>
      </c>
      <c r="Q293">
        <v>1599</v>
      </c>
      <c r="R293">
        <v>2462.29</v>
      </c>
    </row>
    <row r="294" spans="1:18" hidden="1">
      <c r="A294" t="s">
        <v>1488</v>
      </c>
      <c r="B294" s="55" t="s">
        <v>117</v>
      </c>
      <c r="C294" s="37" t="s">
        <v>118</v>
      </c>
      <c r="D294" s="28">
        <v>1474</v>
      </c>
      <c r="E294" s="19">
        <f t="shared" si="16"/>
        <v>52.642857142857146</v>
      </c>
      <c r="F294" s="5">
        <v>2545.0300000000002</v>
      </c>
      <c r="I294" s="19">
        <f t="shared" si="17"/>
        <v>2948</v>
      </c>
      <c r="J294" t="b">
        <f t="shared" si="18"/>
        <v>1</v>
      </c>
      <c r="K294" s="4">
        <f t="shared" si="19"/>
        <v>-0.13669267299864307</v>
      </c>
      <c r="N294"/>
      <c r="P294" t="s">
        <v>912</v>
      </c>
      <c r="Q294">
        <v>986</v>
      </c>
      <c r="R294">
        <v>1511.76</v>
      </c>
    </row>
    <row r="295" spans="1:18" hidden="1">
      <c r="A295" t="s">
        <v>1487</v>
      </c>
      <c r="B295" t="s">
        <v>538</v>
      </c>
      <c r="C295" t="s">
        <v>539</v>
      </c>
      <c r="D295" s="19">
        <v>694</v>
      </c>
      <c r="E295" s="19">
        <f t="shared" si="16"/>
        <v>24.785714285714285</v>
      </c>
      <c r="F295" s="5">
        <v>1567.23</v>
      </c>
      <c r="I295" s="19">
        <f t="shared" si="17"/>
        <v>1388</v>
      </c>
      <c r="J295" t="b">
        <f t="shared" si="18"/>
        <v>1</v>
      </c>
      <c r="K295" s="4">
        <f t="shared" si="19"/>
        <v>0.12912824207492801</v>
      </c>
      <c r="N295"/>
      <c r="P295" t="s">
        <v>966</v>
      </c>
      <c r="Q295">
        <v>1097</v>
      </c>
      <c r="R295">
        <v>2322.02</v>
      </c>
    </row>
    <row r="296" spans="1:18" hidden="1">
      <c r="A296" t="s">
        <v>1487</v>
      </c>
      <c r="B296" t="s">
        <v>41</v>
      </c>
      <c r="C296" t="s">
        <v>42</v>
      </c>
      <c r="D296" s="19">
        <v>677</v>
      </c>
      <c r="E296" s="19">
        <f t="shared" si="16"/>
        <v>24.178571428571427</v>
      </c>
      <c r="F296" s="5">
        <v>1431.25</v>
      </c>
      <c r="I296" s="19">
        <f t="shared" si="17"/>
        <v>1354</v>
      </c>
      <c r="J296" t="b">
        <f t="shared" si="18"/>
        <v>1</v>
      </c>
      <c r="K296" s="4">
        <f t="shared" si="19"/>
        <v>5.705317577547997E-2</v>
      </c>
      <c r="N296"/>
      <c r="P296" t="s">
        <v>1023</v>
      </c>
      <c r="Q296">
        <v>4451</v>
      </c>
      <c r="R296">
        <v>6429.45</v>
      </c>
    </row>
    <row r="297" spans="1:18" hidden="1">
      <c r="A297" t="s">
        <v>1488</v>
      </c>
      <c r="B297" t="s">
        <v>620</v>
      </c>
      <c r="C297" t="s">
        <v>621</v>
      </c>
      <c r="D297" s="19">
        <v>6529</v>
      </c>
      <c r="E297" s="19">
        <f t="shared" ref="E297:E338" si="20">D297/28</f>
        <v>233.17857142857142</v>
      </c>
      <c r="F297" s="5">
        <v>8053.79</v>
      </c>
      <c r="I297" s="19">
        <f t="shared" ref="I297:I338" si="21">IF((D297/28)&gt;100,D297*2,D297*2)</f>
        <v>13058</v>
      </c>
      <c r="J297" t="b">
        <f t="shared" ref="J297:J338" si="22">IF(F297&gt;1.2*I297,FALSE,TRUE)</f>
        <v>1</v>
      </c>
      <c r="K297" s="4">
        <f t="shared" ref="K297:K338" si="23">F297/I297-1</f>
        <v>-0.38322943789247976</v>
      </c>
      <c r="N297"/>
      <c r="P297" t="s">
        <v>978</v>
      </c>
      <c r="Q297">
        <v>1048</v>
      </c>
      <c r="R297">
        <v>1274.44</v>
      </c>
    </row>
    <row r="298" spans="1:18" hidden="1">
      <c r="A298" t="s">
        <v>1488</v>
      </c>
      <c r="B298" t="s">
        <v>169</v>
      </c>
      <c r="C298" t="s">
        <v>170</v>
      </c>
      <c r="D298" s="19">
        <v>2369</v>
      </c>
      <c r="E298" s="19">
        <f t="shared" si="20"/>
        <v>84.607142857142861</v>
      </c>
      <c r="F298" s="5">
        <v>4407.3999999999996</v>
      </c>
      <c r="I298" s="138">
        <f t="shared" si="21"/>
        <v>4738</v>
      </c>
      <c r="J298" t="b">
        <f t="shared" si="22"/>
        <v>1</v>
      </c>
      <c r="K298" s="4">
        <f t="shared" si="23"/>
        <v>-6.9776276910088697E-2</v>
      </c>
      <c r="P298" t="s">
        <v>1384</v>
      </c>
      <c r="Q298">
        <v>140</v>
      </c>
      <c r="R298">
        <v>0</v>
      </c>
    </row>
    <row r="299" spans="1:18">
      <c r="A299" t="s">
        <v>1487</v>
      </c>
      <c r="B299" s="133" t="s">
        <v>632</v>
      </c>
      <c r="C299" s="37" t="s">
        <v>633</v>
      </c>
      <c r="D299">
        <v>1047</v>
      </c>
      <c r="E299" s="19">
        <f t="shared" si="20"/>
        <v>37.392857142857146</v>
      </c>
      <c r="F299" s="135">
        <v>3686.83</v>
      </c>
      <c r="I299" s="19">
        <f t="shared" si="21"/>
        <v>2094</v>
      </c>
      <c r="J299" t="b">
        <f t="shared" si="22"/>
        <v>0</v>
      </c>
      <c r="K299" s="4">
        <f t="shared" si="23"/>
        <v>0.76066380133715383</v>
      </c>
      <c r="N299"/>
      <c r="P299" t="s">
        <v>824</v>
      </c>
      <c r="Q299">
        <v>931</v>
      </c>
      <c r="R299">
        <v>1583.03</v>
      </c>
    </row>
    <row r="300" spans="1:18" hidden="1">
      <c r="A300" t="s">
        <v>1489</v>
      </c>
      <c r="B300" t="s">
        <v>195</v>
      </c>
      <c r="C300" t="s">
        <v>196</v>
      </c>
      <c r="D300" s="19">
        <v>1073</v>
      </c>
      <c r="E300" s="19">
        <f t="shared" si="20"/>
        <v>38.321428571428569</v>
      </c>
      <c r="F300" s="5">
        <v>1966.01</v>
      </c>
      <c r="I300" s="19">
        <f t="shared" si="21"/>
        <v>2146</v>
      </c>
      <c r="J300" t="b">
        <f t="shared" si="22"/>
        <v>1</v>
      </c>
      <c r="K300" s="4">
        <f t="shared" si="23"/>
        <v>-8.3872320596458549E-2</v>
      </c>
      <c r="N300"/>
      <c r="P300" t="s">
        <v>920</v>
      </c>
      <c r="Q300">
        <v>348</v>
      </c>
      <c r="R300">
        <v>233.13</v>
      </c>
    </row>
    <row r="301" spans="1:18" hidden="1">
      <c r="A301" t="s">
        <v>1487</v>
      </c>
      <c r="B301" t="s">
        <v>353</v>
      </c>
      <c r="C301" t="s">
        <v>354</v>
      </c>
      <c r="D301" s="19">
        <v>1883</v>
      </c>
      <c r="E301" s="19">
        <f t="shared" si="20"/>
        <v>67.25</v>
      </c>
      <c r="F301" s="5">
        <v>2584.02</v>
      </c>
      <c r="I301" s="19">
        <f t="shared" si="21"/>
        <v>3766</v>
      </c>
      <c r="J301" t="b">
        <f t="shared" si="22"/>
        <v>1</v>
      </c>
      <c r="K301" s="4">
        <f t="shared" si="23"/>
        <v>-0.31385554965480622</v>
      </c>
      <c r="N301"/>
      <c r="P301" t="s">
        <v>807</v>
      </c>
      <c r="Q301">
        <v>1493</v>
      </c>
      <c r="R301">
        <v>2515.94</v>
      </c>
    </row>
    <row r="302" spans="1:18" hidden="1">
      <c r="A302" t="s">
        <v>1487</v>
      </c>
      <c r="B302" s="24" t="s">
        <v>464</v>
      </c>
      <c r="C302" s="23" t="s">
        <v>465</v>
      </c>
      <c r="D302" s="19">
        <v>1425</v>
      </c>
      <c r="E302" s="19">
        <f t="shared" si="20"/>
        <v>50.892857142857146</v>
      </c>
      <c r="F302" s="5">
        <v>3280.26</v>
      </c>
      <c r="I302" s="19">
        <f t="shared" si="21"/>
        <v>2850</v>
      </c>
      <c r="J302" t="b">
        <f t="shared" si="22"/>
        <v>1</v>
      </c>
      <c r="K302" s="4">
        <f t="shared" si="23"/>
        <v>0.15096842105263164</v>
      </c>
      <c r="N302"/>
      <c r="P302" t="s">
        <v>993</v>
      </c>
      <c r="Q302">
        <v>1954</v>
      </c>
      <c r="R302">
        <v>2412.92</v>
      </c>
    </row>
    <row r="303" spans="1:18" hidden="1">
      <c r="A303" t="s">
        <v>1488</v>
      </c>
      <c r="B303" s="56" t="s">
        <v>29</v>
      </c>
      <c r="C303" s="37" t="s">
        <v>30</v>
      </c>
      <c r="D303" s="19">
        <v>3285</v>
      </c>
      <c r="E303" s="19">
        <f t="shared" si="20"/>
        <v>117.32142857142857</v>
      </c>
      <c r="F303" s="5">
        <v>4621.49</v>
      </c>
      <c r="I303" s="19">
        <f t="shared" si="21"/>
        <v>6570</v>
      </c>
      <c r="J303" t="b">
        <f t="shared" si="22"/>
        <v>1</v>
      </c>
      <c r="K303" s="4">
        <f t="shared" si="23"/>
        <v>-0.2965768645357687</v>
      </c>
      <c r="N303"/>
      <c r="P303" t="s">
        <v>1490</v>
      </c>
      <c r="Q303">
        <v>595</v>
      </c>
      <c r="R303">
        <v>486.99</v>
      </c>
    </row>
    <row r="304" spans="1:18" hidden="1">
      <c r="A304" t="s">
        <v>1489</v>
      </c>
      <c r="B304" t="s">
        <v>570</v>
      </c>
      <c r="C304" t="s">
        <v>571</v>
      </c>
      <c r="D304" s="19">
        <v>907</v>
      </c>
      <c r="E304" s="19">
        <f t="shared" si="20"/>
        <v>32.392857142857146</v>
      </c>
      <c r="F304" s="5">
        <v>1565.12</v>
      </c>
      <c r="I304" s="19">
        <f t="shared" si="21"/>
        <v>1814</v>
      </c>
      <c r="J304" t="b">
        <f t="shared" si="22"/>
        <v>1</v>
      </c>
      <c r="K304" s="4">
        <f t="shared" si="23"/>
        <v>-0.13719955898566705</v>
      </c>
      <c r="N304"/>
      <c r="P304" t="s">
        <v>929</v>
      </c>
      <c r="Q304">
        <v>1003</v>
      </c>
      <c r="R304">
        <v>879.2</v>
      </c>
    </row>
    <row r="305" spans="1:18" hidden="1">
      <c r="A305" t="s">
        <v>1487</v>
      </c>
      <c r="B305" t="s">
        <v>101</v>
      </c>
      <c r="C305" t="s">
        <v>102</v>
      </c>
      <c r="D305" s="19">
        <v>2662</v>
      </c>
      <c r="E305" s="19">
        <f t="shared" si="20"/>
        <v>95.071428571428569</v>
      </c>
      <c r="F305" s="5">
        <v>5555.27</v>
      </c>
      <c r="I305" s="19">
        <f t="shared" si="21"/>
        <v>5324</v>
      </c>
      <c r="J305" t="b">
        <f t="shared" si="22"/>
        <v>1</v>
      </c>
      <c r="K305" s="4">
        <f t="shared" si="23"/>
        <v>4.3439143501126987E-2</v>
      </c>
      <c r="N305"/>
      <c r="P305" t="s">
        <v>894</v>
      </c>
      <c r="Q305">
        <v>721</v>
      </c>
      <c r="R305">
        <v>855.88</v>
      </c>
    </row>
    <row r="306" spans="1:18">
      <c r="A306" t="s">
        <v>1487</v>
      </c>
      <c r="B306" t="s">
        <v>600</v>
      </c>
      <c r="C306" t="s">
        <v>601</v>
      </c>
      <c r="D306" s="19">
        <v>1074</v>
      </c>
      <c r="E306" s="19">
        <f t="shared" si="20"/>
        <v>38.357142857142854</v>
      </c>
      <c r="F306" s="5">
        <v>2583.94</v>
      </c>
      <c r="I306" s="19">
        <f t="shared" si="21"/>
        <v>2148</v>
      </c>
      <c r="J306" t="b">
        <f t="shared" si="22"/>
        <v>0</v>
      </c>
      <c r="K306" s="4">
        <f t="shared" si="23"/>
        <v>0.20295158286778392</v>
      </c>
      <c r="N306"/>
      <c r="P306" t="s">
        <v>1011</v>
      </c>
      <c r="Q306">
        <v>1221</v>
      </c>
      <c r="R306">
        <v>0</v>
      </c>
    </row>
    <row r="307" spans="1:18" hidden="1">
      <c r="A307" t="s">
        <v>1488</v>
      </c>
      <c r="B307" t="s">
        <v>644</v>
      </c>
      <c r="C307" t="s">
        <v>645</v>
      </c>
      <c r="D307" s="19">
        <v>1280</v>
      </c>
      <c r="E307" s="19">
        <f t="shared" si="20"/>
        <v>45.714285714285715</v>
      </c>
      <c r="F307" s="5">
        <v>2601.58</v>
      </c>
      <c r="I307" s="19">
        <f t="shared" si="21"/>
        <v>2560</v>
      </c>
      <c r="J307" t="b">
        <f t="shared" si="22"/>
        <v>1</v>
      </c>
      <c r="K307" s="4">
        <f t="shared" si="23"/>
        <v>1.624218750000006E-2</v>
      </c>
      <c r="N307"/>
      <c r="P307" t="s">
        <v>836</v>
      </c>
      <c r="Q307">
        <v>722</v>
      </c>
      <c r="R307">
        <v>486.87</v>
      </c>
    </row>
    <row r="308" spans="1:18" hidden="1">
      <c r="A308" t="s">
        <v>1489</v>
      </c>
      <c r="B308" t="s">
        <v>690</v>
      </c>
      <c r="C308" t="s">
        <v>691</v>
      </c>
      <c r="D308" s="19">
        <v>3688</v>
      </c>
      <c r="E308" s="19">
        <f t="shared" si="20"/>
        <v>131.71428571428572</v>
      </c>
      <c r="F308" s="5">
        <v>2857.9</v>
      </c>
      <c r="I308" s="19">
        <f t="shared" si="21"/>
        <v>7376</v>
      </c>
      <c r="J308" t="b">
        <f t="shared" si="22"/>
        <v>1</v>
      </c>
      <c r="K308" s="4">
        <f t="shared" si="23"/>
        <v>-0.61254067245119304</v>
      </c>
      <c r="N308"/>
      <c r="P308" t="s">
        <v>878</v>
      </c>
      <c r="Q308">
        <v>1270</v>
      </c>
      <c r="R308">
        <v>2839.08</v>
      </c>
    </row>
    <row r="309" spans="1:18" hidden="1">
      <c r="A309" t="s">
        <v>1487</v>
      </c>
      <c r="B309" t="s">
        <v>528</v>
      </c>
      <c r="C309" t="s">
        <v>529</v>
      </c>
      <c r="D309" s="19">
        <v>1988</v>
      </c>
      <c r="E309" s="19">
        <f t="shared" si="20"/>
        <v>71</v>
      </c>
      <c r="F309" s="5">
        <v>2138.9700000000003</v>
      </c>
      <c r="I309" s="123">
        <f t="shared" si="21"/>
        <v>3976</v>
      </c>
      <c r="J309" t="b">
        <f t="shared" si="22"/>
        <v>1</v>
      </c>
      <c r="K309" s="4">
        <f t="shared" si="23"/>
        <v>-0.46202967806841044</v>
      </c>
      <c r="P309" t="s">
        <v>765</v>
      </c>
      <c r="Q309">
        <v>3590</v>
      </c>
      <c r="R309">
        <v>3329.15</v>
      </c>
    </row>
    <row r="310" spans="1:18" hidden="1">
      <c r="A310" t="s">
        <v>1488</v>
      </c>
      <c r="B310" t="s">
        <v>672</v>
      </c>
      <c r="C310" t="s">
        <v>673</v>
      </c>
      <c r="D310" s="19">
        <v>2997</v>
      </c>
      <c r="E310" s="19">
        <f t="shared" si="20"/>
        <v>107.03571428571429</v>
      </c>
      <c r="F310" s="5">
        <v>2529.4299999999998</v>
      </c>
      <c r="I310" s="19">
        <f t="shared" si="21"/>
        <v>5994</v>
      </c>
      <c r="J310" t="b">
        <f t="shared" si="22"/>
        <v>1</v>
      </c>
      <c r="K310" s="4">
        <f t="shared" si="23"/>
        <v>-0.57800633967300641</v>
      </c>
      <c r="N310"/>
      <c r="P310" t="s">
        <v>803</v>
      </c>
      <c r="Q310">
        <v>1071</v>
      </c>
      <c r="R310">
        <v>1111.29</v>
      </c>
    </row>
    <row r="311" spans="1:18" hidden="1">
      <c r="A311" t="s">
        <v>1489</v>
      </c>
      <c r="B311" s="27" t="s">
        <v>35</v>
      </c>
      <c r="C311" s="27" t="s">
        <v>36</v>
      </c>
      <c r="D311" s="19">
        <v>1218</v>
      </c>
      <c r="E311" s="19">
        <f t="shared" si="20"/>
        <v>43.5</v>
      </c>
      <c r="F311" s="5">
        <v>2314.7199999999998</v>
      </c>
      <c r="I311" s="19">
        <f t="shared" si="21"/>
        <v>2436</v>
      </c>
      <c r="J311" t="b">
        <f t="shared" si="22"/>
        <v>1</v>
      </c>
      <c r="K311" s="4">
        <f t="shared" si="23"/>
        <v>-4.9786535303776747E-2</v>
      </c>
      <c r="N311"/>
      <c r="P311" t="s">
        <v>902</v>
      </c>
      <c r="Q311">
        <v>1019</v>
      </c>
      <c r="R311">
        <v>2154.46</v>
      </c>
    </row>
    <row r="312" spans="1:18" hidden="1">
      <c r="A312" t="s">
        <v>1488</v>
      </c>
      <c r="B312" s="5" t="s">
        <v>700</v>
      </c>
      <c r="C312" t="s">
        <v>701</v>
      </c>
      <c r="D312" s="19">
        <v>21615</v>
      </c>
      <c r="E312" s="19">
        <f t="shared" si="20"/>
        <v>771.96428571428567</v>
      </c>
      <c r="F312" s="5">
        <v>19716.219999999998</v>
      </c>
      <c r="I312" s="19">
        <f t="shared" si="21"/>
        <v>43230</v>
      </c>
      <c r="J312" t="b">
        <f t="shared" si="22"/>
        <v>1</v>
      </c>
      <c r="K312" s="4">
        <f t="shared" si="23"/>
        <v>-0.5439227388387694</v>
      </c>
      <c r="N312"/>
      <c r="P312" t="s">
        <v>976</v>
      </c>
      <c r="Q312">
        <v>2100</v>
      </c>
      <c r="R312">
        <v>2900.04</v>
      </c>
    </row>
    <row r="313" spans="1:18" hidden="1">
      <c r="A313" t="s">
        <v>1489</v>
      </c>
      <c r="B313" t="s">
        <v>550</v>
      </c>
      <c r="C313" t="s">
        <v>551</v>
      </c>
      <c r="D313" s="19">
        <v>2757</v>
      </c>
      <c r="E313" s="19">
        <f t="shared" si="20"/>
        <v>98.464285714285708</v>
      </c>
      <c r="F313" s="5">
        <v>4755.7700000000004</v>
      </c>
      <c r="I313" s="19">
        <f t="shared" si="21"/>
        <v>5514</v>
      </c>
      <c r="J313" t="b">
        <f t="shared" si="22"/>
        <v>1</v>
      </c>
      <c r="K313" s="4">
        <f t="shared" si="23"/>
        <v>-0.1375099746100833</v>
      </c>
      <c r="N313"/>
      <c r="P313" t="s">
        <v>1033</v>
      </c>
      <c r="Q313">
        <v>2322</v>
      </c>
      <c r="R313">
        <v>2781.16</v>
      </c>
    </row>
    <row r="314" spans="1:18" hidden="1">
      <c r="A314" t="s">
        <v>1487</v>
      </c>
      <c r="B314" t="s">
        <v>69</v>
      </c>
      <c r="C314" t="s">
        <v>70</v>
      </c>
      <c r="D314" s="19">
        <v>1157</v>
      </c>
      <c r="E314" s="19">
        <f t="shared" si="20"/>
        <v>41.321428571428569</v>
      </c>
      <c r="F314" s="5">
        <v>1966.32</v>
      </c>
      <c r="I314" s="135">
        <f t="shared" si="21"/>
        <v>2314</v>
      </c>
      <c r="J314" t="b">
        <f t="shared" si="22"/>
        <v>1</v>
      </c>
      <c r="K314" s="4">
        <f t="shared" si="23"/>
        <v>-0.15025064822817635</v>
      </c>
      <c r="N314"/>
      <c r="P314" t="s">
        <v>860</v>
      </c>
      <c r="Q314">
        <v>485</v>
      </c>
      <c r="R314">
        <v>329.07</v>
      </c>
    </row>
    <row r="315" spans="1:18" hidden="1">
      <c r="A315" t="s">
        <v>1489</v>
      </c>
      <c r="B315" t="s">
        <v>47</v>
      </c>
      <c r="C315" t="s">
        <v>48</v>
      </c>
      <c r="D315" s="19">
        <v>6697</v>
      </c>
      <c r="E315" s="19">
        <f t="shared" si="20"/>
        <v>239.17857142857142</v>
      </c>
      <c r="F315" s="5">
        <v>10565.92</v>
      </c>
      <c r="I315" s="19">
        <f t="shared" si="21"/>
        <v>13394</v>
      </c>
      <c r="J315" t="b">
        <f t="shared" si="22"/>
        <v>1</v>
      </c>
      <c r="K315" s="4">
        <f t="shared" si="23"/>
        <v>-0.21114528893534423</v>
      </c>
      <c r="N315"/>
      <c r="P315" t="s">
        <v>910</v>
      </c>
      <c r="Q315">
        <v>1498</v>
      </c>
      <c r="R315">
        <v>723.63</v>
      </c>
    </row>
    <row r="316" spans="1:18" hidden="1">
      <c r="A316" t="s">
        <v>1487</v>
      </c>
      <c r="B316" s="5" t="s">
        <v>678</v>
      </c>
      <c r="C316" s="27" t="s">
        <v>679</v>
      </c>
      <c r="D316" s="19">
        <v>3111</v>
      </c>
      <c r="E316" s="19">
        <f t="shared" si="20"/>
        <v>111.10714285714286</v>
      </c>
      <c r="F316" s="5">
        <v>3039.42</v>
      </c>
      <c r="I316" s="19">
        <f t="shared" si="21"/>
        <v>6222</v>
      </c>
      <c r="J316" t="b">
        <f t="shared" si="22"/>
        <v>1</v>
      </c>
      <c r="K316" s="4">
        <f t="shared" si="23"/>
        <v>-0.51150433944069429</v>
      </c>
      <c r="N316"/>
      <c r="P316" t="s">
        <v>1027</v>
      </c>
      <c r="Q316">
        <v>10278</v>
      </c>
      <c r="R316">
        <v>8437.92</v>
      </c>
    </row>
    <row r="317" spans="1:18">
      <c r="A317" t="s">
        <v>1487</v>
      </c>
      <c r="B317" t="s">
        <v>37</v>
      </c>
      <c r="C317" s="5" t="s">
        <v>38</v>
      </c>
      <c r="D317" s="19">
        <v>528</v>
      </c>
      <c r="E317" s="19">
        <f t="shared" si="20"/>
        <v>18.857142857142858</v>
      </c>
      <c r="F317" s="5">
        <v>1344.24</v>
      </c>
      <c r="I317" s="19">
        <f t="shared" si="21"/>
        <v>1056</v>
      </c>
      <c r="J317" t="b">
        <f t="shared" si="22"/>
        <v>0</v>
      </c>
      <c r="K317" s="4">
        <f t="shared" si="23"/>
        <v>0.27295454545454545</v>
      </c>
      <c r="N317"/>
      <c r="P317" t="s">
        <v>1015</v>
      </c>
      <c r="Q317">
        <v>1468</v>
      </c>
      <c r="R317">
        <v>459.8</v>
      </c>
    </row>
    <row r="318" spans="1:18" hidden="1">
      <c r="A318" t="s">
        <v>1487</v>
      </c>
      <c r="B318" s="27" t="s">
        <v>450</v>
      </c>
      <c r="C318" s="27" t="s">
        <v>451</v>
      </c>
      <c r="D318" s="19">
        <v>5949</v>
      </c>
      <c r="E318" s="19">
        <f t="shared" si="20"/>
        <v>212.46428571428572</v>
      </c>
      <c r="F318" s="5">
        <v>9002.74</v>
      </c>
      <c r="I318" s="19">
        <f t="shared" si="21"/>
        <v>11898</v>
      </c>
      <c r="J318" t="b">
        <f t="shared" si="22"/>
        <v>1</v>
      </c>
      <c r="K318" s="4">
        <f t="shared" si="23"/>
        <v>-0.24334005715246265</v>
      </c>
      <c r="N318"/>
      <c r="P318" t="s">
        <v>956</v>
      </c>
      <c r="Q318">
        <v>1079</v>
      </c>
      <c r="R318">
        <v>2197.5700000000002</v>
      </c>
    </row>
    <row r="319" spans="1:18" hidden="1">
      <c r="A319" t="s">
        <v>1487</v>
      </c>
      <c r="B319" t="s">
        <v>540</v>
      </c>
      <c r="C319" t="s">
        <v>541</v>
      </c>
      <c r="D319" s="19">
        <v>2941</v>
      </c>
      <c r="E319" s="19">
        <f t="shared" si="20"/>
        <v>105.03571428571429</v>
      </c>
      <c r="F319" s="5">
        <v>3700.84</v>
      </c>
      <c r="I319" s="19">
        <f t="shared" si="21"/>
        <v>5882</v>
      </c>
      <c r="J319" t="b">
        <f t="shared" si="22"/>
        <v>1</v>
      </c>
      <c r="K319" s="4">
        <f t="shared" si="23"/>
        <v>-0.37081944916694998</v>
      </c>
      <c r="N319"/>
      <c r="P319" t="s">
        <v>972</v>
      </c>
      <c r="Q319">
        <v>1017</v>
      </c>
      <c r="R319">
        <v>1281.21</v>
      </c>
    </row>
    <row r="320" spans="1:18" hidden="1">
      <c r="A320" t="s">
        <v>1488</v>
      </c>
      <c r="B320" t="s">
        <v>55</v>
      </c>
      <c r="C320" t="s">
        <v>56</v>
      </c>
      <c r="D320" s="19">
        <v>1643</v>
      </c>
      <c r="E320" s="19">
        <f t="shared" si="20"/>
        <v>58.678571428571431</v>
      </c>
      <c r="F320" s="5">
        <v>3241.66</v>
      </c>
      <c r="I320" s="19">
        <f t="shared" si="21"/>
        <v>3286</v>
      </c>
      <c r="J320" t="b">
        <f t="shared" si="22"/>
        <v>1</v>
      </c>
      <c r="K320" s="4">
        <f t="shared" si="23"/>
        <v>-1.3493609251369443E-2</v>
      </c>
      <c r="N320"/>
      <c r="P320" t="s">
        <v>852</v>
      </c>
      <c r="Q320">
        <v>1132</v>
      </c>
      <c r="R320">
        <v>960.15</v>
      </c>
    </row>
    <row r="321" spans="1:18" hidden="1">
      <c r="A321" t="s">
        <v>1489</v>
      </c>
      <c r="B321" t="s">
        <v>530</v>
      </c>
      <c r="C321" t="s">
        <v>531</v>
      </c>
      <c r="D321" s="19">
        <v>1183</v>
      </c>
      <c r="E321" s="19">
        <f t="shared" si="20"/>
        <v>42.25</v>
      </c>
      <c r="F321" s="5">
        <v>2522.1799999999998</v>
      </c>
      <c r="I321" s="19">
        <f t="shared" si="21"/>
        <v>2366</v>
      </c>
      <c r="J321" t="b">
        <f t="shared" si="22"/>
        <v>1</v>
      </c>
      <c r="K321" s="4">
        <f t="shared" si="23"/>
        <v>6.6010143702451396E-2</v>
      </c>
      <c r="N321"/>
      <c r="P321" t="s">
        <v>769</v>
      </c>
      <c r="Q321">
        <v>1142</v>
      </c>
      <c r="R321">
        <v>598.61</v>
      </c>
    </row>
    <row r="322" spans="1:18">
      <c r="A322" t="s">
        <v>1487</v>
      </c>
      <c r="B322" t="s">
        <v>604</v>
      </c>
      <c r="C322" t="s">
        <v>605</v>
      </c>
      <c r="D322" s="19">
        <v>2418</v>
      </c>
      <c r="E322" s="19">
        <f t="shared" si="20"/>
        <v>86.357142857142861</v>
      </c>
      <c r="F322" s="5">
        <v>6085.08</v>
      </c>
      <c r="I322" s="19">
        <f t="shared" si="21"/>
        <v>4836</v>
      </c>
      <c r="J322" t="b">
        <f t="shared" si="22"/>
        <v>0</v>
      </c>
      <c r="K322" s="4">
        <f t="shared" si="23"/>
        <v>0.25828784119106696</v>
      </c>
      <c r="N322"/>
      <c r="P322" t="s">
        <v>927</v>
      </c>
      <c r="Q322">
        <v>1001</v>
      </c>
      <c r="R322">
        <v>1293.8800000000001</v>
      </c>
    </row>
    <row r="323" spans="1:18" hidden="1">
      <c r="A323" t="s">
        <v>1488</v>
      </c>
      <c r="B323" t="s">
        <v>109</v>
      </c>
      <c r="C323" t="s">
        <v>110</v>
      </c>
      <c r="D323" s="19">
        <v>913</v>
      </c>
      <c r="E323" s="19">
        <f t="shared" si="20"/>
        <v>32.607142857142854</v>
      </c>
      <c r="F323" s="5">
        <v>794.58</v>
      </c>
      <c r="I323" s="19">
        <f t="shared" si="21"/>
        <v>1826</v>
      </c>
      <c r="J323" t="b">
        <f t="shared" si="22"/>
        <v>1</v>
      </c>
      <c r="K323" s="4">
        <f t="shared" si="23"/>
        <v>-0.56485213581599125</v>
      </c>
      <c r="N323"/>
      <c r="P323" t="s">
        <v>787</v>
      </c>
      <c r="Q323">
        <v>442</v>
      </c>
      <c r="R323">
        <v>0</v>
      </c>
    </row>
    <row r="324" spans="1:18" hidden="1">
      <c r="A324" t="s">
        <v>1487</v>
      </c>
      <c r="B324" t="s">
        <v>25</v>
      </c>
      <c r="C324" t="s">
        <v>26</v>
      </c>
      <c r="D324" s="19">
        <v>618</v>
      </c>
      <c r="E324" s="19">
        <f t="shared" si="20"/>
        <v>22.071428571428573</v>
      </c>
      <c r="F324" s="5">
        <v>1100.54</v>
      </c>
      <c r="I324" s="19">
        <f t="shared" si="21"/>
        <v>1236</v>
      </c>
      <c r="J324" t="b">
        <f t="shared" si="22"/>
        <v>1</v>
      </c>
      <c r="K324" s="4">
        <f t="shared" si="23"/>
        <v>-0.10959546925566344</v>
      </c>
      <c r="N324"/>
      <c r="P324" t="s">
        <v>854</v>
      </c>
      <c r="Q324">
        <v>352</v>
      </c>
      <c r="R324">
        <v>304.18</v>
      </c>
    </row>
    <row r="325" spans="1:18">
      <c r="A325" t="s">
        <v>1487</v>
      </c>
      <c r="B325" s="56" t="s">
        <v>53</v>
      </c>
      <c r="C325" s="37" t="s">
        <v>54</v>
      </c>
      <c r="D325" s="19">
        <v>1719</v>
      </c>
      <c r="E325" s="19">
        <f t="shared" si="20"/>
        <v>61.392857142857146</v>
      </c>
      <c r="F325" s="5">
        <v>4872.88</v>
      </c>
      <c r="I325" s="19">
        <f t="shared" si="21"/>
        <v>3438</v>
      </c>
      <c r="J325" t="b">
        <f t="shared" si="22"/>
        <v>0</v>
      </c>
      <c r="K325" s="4">
        <f>F325/I325-1</f>
        <v>0.41735892961023846</v>
      </c>
      <c r="N325"/>
      <c r="P325" t="s">
        <v>1491</v>
      </c>
      <c r="Q325">
        <v>433</v>
      </c>
      <c r="R325">
        <v>283.95999999999998</v>
      </c>
    </row>
    <row r="326" spans="1:18" hidden="1">
      <c r="A326" t="s">
        <v>1487</v>
      </c>
      <c r="B326" t="s">
        <v>676</v>
      </c>
      <c r="C326" t="s">
        <v>677</v>
      </c>
      <c r="D326" s="19">
        <v>2239</v>
      </c>
      <c r="E326" s="19">
        <f t="shared" si="20"/>
        <v>79.964285714285708</v>
      </c>
      <c r="F326" s="5">
        <v>3180.3</v>
      </c>
      <c r="I326" s="19">
        <f t="shared" si="21"/>
        <v>4478</v>
      </c>
      <c r="J326" t="b">
        <f t="shared" si="22"/>
        <v>1</v>
      </c>
      <c r="K326" s="4">
        <f t="shared" si="23"/>
        <v>-0.28979455113890129</v>
      </c>
      <c r="N326"/>
      <c r="P326" t="s">
        <v>962</v>
      </c>
      <c r="Q326">
        <v>1773</v>
      </c>
      <c r="R326">
        <v>658.97</v>
      </c>
    </row>
    <row r="327" spans="1:18" hidden="1">
      <c r="A327" t="s">
        <v>1487</v>
      </c>
      <c r="B327" t="s">
        <v>656</v>
      </c>
      <c r="C327" t="s">
        <v>657</v>
      </c>
      <c r="D327" s="19">
        <v>1809</v>
      </c>
      <c r="E327" s="19">
        <f t="shared" si="20"/>
        <v>64.607142857142861</v>
      </c>
      <c r="F327" s="5">
        <v>3251.16</v>
      </c>
      <c r="I327" s="19">
        <f t="shared" si="21"/>
        <v>3618</v>
      </c>
      <c r="J327" t="b">
        <f t="shared" si="22"/>
        <v>1</v>
      </c>
      <c r="K327" s="4">
        <f t="shared" si="23"/>
        <v>-0.1013930348258707</v>
      </c>
      <c r="N327"/>
      <c r="P327" t="s">
        <v>726</v>
      </c>
      <c r="Q327">
        <v>4088</v>
      </c>
      <c r="R327">
        <v>1357.7</v>
      </c>
    </row>
    <row r="328" spans="1:18" hidden="1">
      <c r="A328" t="s">
        <v>1487</v>
      </c>
      <c r="B328" t="s">
        <v>43</v>
      </c>
      <c r="C328" t="s">
        <v>44</v>
      </c>
      <c r="D328" s="19">
        <v>1077</v>
      </c>
      <c r="E328" s="19">
        <f t="shared" si="20"/>
        <v>38.464285714285715</v>
      </c>
      <c r="F328" s="5">
        <v>2544.52</v>
      </c>
      <c r="I328" s="19">
        <f t="shared" si="21"/>
        <v>2154</v>
      </c>
      <c r="J328" t="b">
        <f t="shared" si="22"/>
        <v>1</v>
      </c>
      <c r="K328" s="4">
        <f t="shared" si="23"/>
        <v>0.1812999071494894</v>
      </c>
      <c r="N328"/>
      <c r="P328" t="s">
        <v>866</v>
      </c>
      <c r="Q328">
        <v>307</v>
      </c>
      <c r="R328">
        <v>316.98</v>
      </c>
    </row>
    <row r="329" spans="1:18" hidden="1">
      <c r="A329" t="s">
        <v>1487</v>
      </c>
      <c r="B329" t="s">
        <v>379</v>
      </c>
      <c r="C329" t="s">
        <v>380</v>
      </c>
      <c r="D329" s="19">
        <v>1417</v>
      </c>
      <c r="E329" s="19">
        <f t="shared" si="20"/>
        <v>50.607142857142854</v>
      </c>
      <c r="F329" s="5">
        <v>3239.6</v>
      </c>
      <c r="I329" s="19">
        <f t="shared" si="21"/>
        <v>2834</v>
      </c>
      <c r="J329" t="b">
        <f t="shared" si="22"/>
        <v>1</v>
      </c>
      <c r="K329" s="4">
        <f t="shared" si="23"/>
        <v>0.14311926605504577</v>
      </c>
      <c r="N329"/>
      <c r="P329" t="s">
        <v>950</v>
      </c>
      <c r="Q329">
        <v>1359</v>
      </c>
      <c r="R329">
        <v>2670.18</v>
      </c>
    </row>
    <row r="330" spans="1:18" hidden="1">
      <c r="A330" t="s">
        <v>1487</v>
      </c>
      <c r="B330" t="s">
        <v>125</v>
      </c>
      <c r="C330" t="s">
        <v>126</v>
      </c>
      <c r="D330" s="19">
        <v>1228</v>
      </c>
      <c r="E330" s="19">
        <f t="shared" si="20"/>
        <v>43.857142857142854</v>
      </c>
      <c r="F330" s="5">
        <v>2350.4</v>
      </c>
      <c r="I330" s="19">
        <f t="shared" si="21"/>
        <v>2456</v>
      </c>
      <c r="J330" t="b">
        <f t="shared" si="22"/>
        <v>1</v>
      </c>
      <c r="K330" s="4">
        <f t="shared" si="23"/>
        <v>-4.2996742671009724E-2</v>
      </c>
      <c r="N330"/>
      <c r="P330" t="s">
        <v>733</v>
      </c>
      <c r="Q330">
        <v>4341</v>
      </c>
      <c r="R330">
        <v>5128.26</v>
      </c>
    </row>
    <row r="331" spans="1:18" hidden="1">
      <c r="A331" t="s">
        <v>1487</v>
      </c>
      <c r="B331" t="s">
        <v>17</v>
      </c>
      <c r="C331" t="s">
        <v>18</v>
      </c>
      <c r="D331" s="19">
        <v>4108</v>
      </c>
      <c r="E331" s="19">
        <f t="shared" si="20"/>
        <v>146.71428571428572</v>
      </c>
      <c r="F331" s="5">
        <v>3845.1</v>
      </c>
      <c r="I331" s="19">
        <f t="shared" si="21"/>
        <v>8216</v>
      </c>
      <c r="J331" t="b">
        <f t="shared" si="22"/>
        <v>1</v>
      </c>
      <c r="K331" s="4">
        <f t="shared" si="23"/>
        <v>-0.53199853943524833</v>
      </c>
      <c r="N331"/>
      <c r="P331" t="s">
        <v>799</v>
      </c>
      <c r="Q331">
        <v>2197</v>
      </c>
      <c r="R331">
        <v>3365.88</v>
      </c>
    </row>
    <row r="332" spans="1:18" hidden="1">
      <c r="A332" t="s">
        <v>1489</v>
      </c>
      <c r="B332" t="s">
        <v>49</v>
      </c>
      <c r="C332" t="s">
        <v>50</v>
      </c>
      <c r="D332" s="19">
        <v>1796</v>
      </c>
      <c r="E332" s="19">
        <f t="shared" si="20"/>
        <v>64.142857142857139</v>
      </c>
      <c r="F332" s="5">
        <v>2602.86</v>
      </c>
      <c r="I332" s="19">
        <f t="shared" si="21"/>
        <v>3592</v>
      </c>
      <c r="J332" t="b">
        <f t="shared" si="22"/>
        <v>1</v>
      </c>
      <c r="K332" s="4">
        <f t="shared" si="23"/>
        <v>-0.27537305122494427</v>
      </c>
      <c r="N332"/>
      <c r="P332" t="s">
        <v>822</v>
      </c>
      <c r="Q332">
        <v>680</v>
      </c>
      <c r="R332">
        <v>313.06</v>
      </c>
    </row>
    <row r="333" spans="1:18" hidden="1">
      <c r="A333" t="s">
        <v>1487</v>
      </c>
      <c r="B333" s="5" t="s">
        <v>662</v>
      </c>
      <c r="C333" s="5" t="s">
        <v>663</v>
      </c>
      <c r="D333" s="19">
        <v>3195</v>
      </c>
      <c r="E333" s="19">
        <f t="shared" si="20"/>
        <v>114.10714285714286</v>
      </c>
      <c r="F333" s="5">
        <v>1276.24</v>
      </c>
      <c r="I333" s="19">
        <f t="shared" si="21"/>
        <v>6390</v>
      </c>
      <c r="J333" t="b">
        <f t="shared" si="22"/>
        <v>1</v>
      </c>
      <c r="K333" s="4">
        <f t="shared" si="23"/>
        <v>-0.80027543035993742</v>
      </c>
      <c r="N333"/>
      <c r="P333" t="s">
        <v>974</v>
      </c>
      <c r="Q333">
        <v>556</v>
      </c>
      <c r="R333">
        <v>825.59</v>
      </c>
    </row>
    <row r="334" spans="1:18" hidden="1">
      <c r="A334" t="s">
        <v>1487</v>
      </c>
      <c r="B334" t="s">
        <v>15</v>
      </c>
      <c r="C334" s="27" t="s">
        <v>16</v>
      </c>
      <c r="D334" s="19">
        <v>12307</v>
      </c>
      <c r="E334" s="19">
        <f t="shared" si="20"/>
        <v>439.53571428571428</v>
      </c>
      <c r="F334" s="19">
        <v>12143.25</v>
      </c>
      <c r="I334" s="19">
        <f t="shared" si="21"/>
        <v>24614</v>
      </c>
      <c r="J334" t="b">
        <f t="shared" si="22"/>
        <v>1</v>
      </c>
      <c r="K334" s="4">
        <f t="shared" si="23"/>
        <v>-0.50665271796538558</v>
      </c>
      <c r="N334"/>
      <c r="P334" t="s">
        <v>809</v>
      </c>
      <c r="Q334">
        <v>709</v>
      </c>
      <c r="R334">
        <v>343.68</v>
      </c>
    </row>
    <row r="335" spans="1:18" hidden="1">
      <c r="A335" t="s">
        <v>1489</v>
      </c>
      <c r="B335" t="s">
        <v>21</v>
      </c>
      <c r="C335" t="s">
        <v>22</v>
      </c>
      <c r="D335" s="19">
        <v>10712</v>
      </c>
      <c r="E335" s="19">
        <f t="shared" si="20"/>
        <v>382.57142857142856</v>
      </c>
      <c r="F335" s="5">
        <v>16270.87</v>
      </c>
      <c r="I335" s="135">
        <f t="shared" si="21"/>
        <v>21424</v>
      </c>
      <c r="J335" t="b">
        <f t="shared" si="22"/>
        <v>1</v>
      </c>
      <c r="K335" s="4">
        <f t="shared" si="23"/>
        <v>-0.24053071321882002</v>
      </c>
      <c r="N335"/>
      <c r="P335" t="s">
        <v>789</v>
      </c>
      <c r="Q335">
        <v>1391</v>
      </c>
      <c r="R335">
        <v>753.72</v>
      </c>
    </row>
    <row r="336" spans="1:18" hidden="1">
      <c r="A336" t="s">
        <v>1489</v>
      </c>
      <c r="B336" t="s">
        <v>107</v>
      </c>
      <c r="C336" t="s">
        <v>108</v>
      </c>
      <c r="D336" s="19">
        <v>19401</v>
      </c>
      <c r="E336" s="19">
        <f t="shared" si="20"/>
        <v>692.89285714285711</v>
      </c>
      <c r="F336" s="5">
        <v>16555.47</v>
      </c>
      <c r="I336" s="19">
        <f t="shared" si="21"/>
        <v>38802</v>
      </c>
      <c r="J336" t="b">
        <f t="shared" si="22"/>
        <v>1</v>
      </c>
      <c r="K336" s="4">
        <f t="shared" si="23"/>
        <v>-0.57333462192670481</v>
      </c>
      <c r="N336"/>
      <c r="P336" t="s">
        <v>1001</v>
      </c>
      <c r="Q336">
        <v>994</v>
      </c>
      <c r="R336">
        <v>2606.08</v>
      </c>
    </row>
    <row r="337" spans="1:18" hidden="1">
      <c r="A337" t="s">
        <v>1488</v>
      </c>
      <c r="B337" t="s">
        <v>721</v>
      </c>
      <c r="C337" t="s">
        <v>722</v>
      </c>
      <c r="D337" s="19">
        <v>5467</v>
      </c>
      <c r="E337" s="19">
        <f t="shared" si="20"/>
        <v>195.25</v>
      </c>
      <c r="F337" s="5">
        <v>6450.6</v>
      </c>
      <c r="I337" s="19">
        <f t="shared" si="21"/>
        <v>10934</v>
      </c>
      <c r="J337" t="b">
        <f t="shared" si="22"/>
        <v>1</v>
      </c>
      <c r="K337" s="4">
        <f t="shared" si="23"/>
        <v>-0.41004207060545084</v>
      </c>
      <c r="N337"/>
      <c r="P337" t="s">
        <v>945</v>
      </c>
      <c r="Q337">
        <v>2392</v>
      </c>
      <c r="R337">
        <v>3804.61</v>
      </c>
    </row>
    <row r="338" spans="1:18" hidden="1">
      <c r="A338" t="s">
        <v>1489</v>
      </c>
      <c r="B338" t="s">
        <v>718</v>
      </c>
      <c r="C338" t="s">
        <v>719</v>
      </c>
      <c r="D338" s="19">
        <v>50683</v>
      </c>
      <c r="E338" s="19">
        <f t="shared" si="20"/>
        <v>1810.1071428571429</v>
      </c>
      <c r="F338" s="5">
        <v>48176.539999999994</v>
      </c>
      <c r="I338" s="19">
        <f t="shared" si="21"/>
        <v>101366</v>
      </c>
      <c r="J338" t="b">
        <f t="shared" si="22"/>
        <v>1</v>
      </c>
      <c r="K338" s="4">
        <f t="shared" si="23"/>
        <v>-0.52472683148195653</v>
      </c>
      <c r="N338"/>
      <c r="P338" t="s">
        <v>785</v>
      </c>
      <c r="Q338">
        <v>968</v>
      </c>
      <c r="R338">
        <v>2030.96</v>
      </c>
    </row>
    <row r="339" spans="1:18" hidden="1">
      <c r="A339" t="s">
        <v>1487</v>
      </c>
      <c r="B339" t="s">
        <v>723</v>
      </c>
      <c r="C339" t="s">
        <v>724</v>
      </c>
      <c r="D339" s="19">
        <v>748</v>
      </c>
      <c r="E339" s="19">
        <f t="shared" ref="E339:E361" si="24">D339/28</f>
        <v>26.714285714285715</v>
      </c>
      <c r="F339" s="5">
        <v>0</v>
      </c>
      <c r="I339" s="19">
        <f t="shared" ref="I339:I402" si="25">IF((D339/28)&gt;100,D339*2,D339*2)</f>
        <v>1496</v>
      </c>
      <c r="J339" t="b">
        <f t="shared" ref="J339:J362" si="26">IF(F339&gt;1.2*I339,FALSE,TRUE)</f>
        <v>1</v>
      </c>
      <c r="K339" s="4">
        <f t="shared" ref="K339:K362" si="27">F339/I339-1</f>
        <v>-1</v>
      </c>
      <c r="N339"/>
      <c r="P339" t="s">
        <v>984</v>
      </c>
      <c r="Q339">
        <v>1050</v>
      </c>
      <c r="R339">
        <v>214.39</v>
      </c>
    </row>
    <row r="340" spans="1:18" hidden="1">
      <c r="A340" t="s">
        <v>1488</v>
      </c>
      <c r="B340" t="s">
        <v>770</v>
      </c>
      <c r="C340" t="s">
        <v>771</v>
      </c>
      <c r="D340" s="19">
        <v>549</v>
      </c>
      <c r="E340" s="19">
        <f t="shared" si="24"/>
        <v>19.607142857142858</v>
      </c>
      <c r="F340" s="5">
        <v>539.20000000000005</v>
      </c>
      <c r="I340" s="19">
        <f t="shared" si="25"/>
        <v>1098</v>
      </c>
      <c r="J340" t="b">
        <f t="shared" si="26"/>
        <v>1</v>
      </c>
      <c r="K340" s="4">
        <f t="shared" si="27"/>
        <v>-0.50892531876138425</v>
      </c>
      <c r="N340"/>
      <c r="P340" t="s">
        <v>1013</v>
      </c>
      <c r="Q340">
        <v>932</v>
      </c>
      <c r="R340">
        <v>1821.75</v>
      </c>
    </row>
    <row r="341" spans="1:18" hidden="1">
      <c r="A341" t="s">
        <v>1487</v>
      </c>
      <c r="B341" t="s">
        <v>739</v>
      </c>
      <c r="C341" t="s">
        <v>740</v>
      </c>
      <c r="D341" s="19">
        <v>3151</v>
      </c>
      <c r="E341" s="19">
        <f t="shared" si="24"/>
        <v>112.53571428571429</v>
      </c>
      <c r="F341" s="5">
        <v>3290.76</v>
      </c>
      <c r="I341" s="19">
        <f t="shared" si="25"/>
        <v>6302</v>
      </c>
      <c r="J341" t="b">
        <f t="shared" si="26"/>
        <v>1</v>
      </c>
      <c r="K341" s="4">
        <f t="shared" si="27"/>
        <v>-0.47782291336083782</v>
      </c>
      <c r="N341"/>
      <c r="P341" t="s">
        <v>933</v>
      </c>
      <c r="Q341">
        <v>2202</v>
      </c>
      <c r="R341">
        <v>4728.72</v>
      </c>
    </row>
    <row r="342" spans="1:18" hidden="1">
      <c r="A342" t="s">
        <v>1489</v>
      </c>
      <c r="B342" s="27" t="s">
        <v>1022</v>
      </c>
      <c r="C342" t="s">
        <v>1023</v>
      </c>
      <c r="D342" s="19">
        <v>2076</v>
      </c>
      <c r="E342" s="19">
        <f t="shared" si="24"/>
        <v>74.142857142857139</v>
      </c>
      <c r="F342" s="5">
        <v>1267.54</v>
      </c>
      <c r="I342" s="123">
        <f t="shared" si="25"/>
        <v>4152</v>
      </c>
      <c r="J342" t="b">
        <f t="shared" si="26"/>
        <v>1</v>
      </c>
      <c r="K342" s="4">
        <f t="shared" si="27"/>
        <v>-0.69471579961464358</v>
      </c>
      <c r="P342" t="s">
        <v>826</v>
      </c>
      <c r="Q342">
        <v>1002</v>
      </c>
      <c r="R342">
        <v>1222.03</v>
      </c>
    </row>
    <row r="343" spans="1:18" ht="30" hidden="1">
      <c r="A343" t="s">
        <v>1488</v>
      </c>
      <c r="B343" s="55" t="s">
        <v>1026</v>
      </c>
      <c r="C343" s="37" t="s">
        <v>1027</v>
      </c>
      <c r="D343">
        <v>9909</v>
      </c>
      <c r="E343" s="19">
        <f t="shared" si="24"/>
        <v>353.89285714285717</v>
      </c>
      <c r="F343" s="135">
        <v>7746.6</v>
      </c>
      <c r="I343" s="19">
        <f t="shared" si="25"/>
        <v>19818</v>
      </c>
      <c r="J343" t="b">
        <f t="shared" si="26"/>
        <v>1</v>
      </c>
      <c r="K343" s="4">
        <f t="shared" si="27"/>
        <v>-0.6091129276415379</v>
      </c>
      <c r="N343"/>
      <c r="P343" t="s">
        <v>1021</v>
      </c>
      <c r="Q343">
        <v>871</v>
      </c>
      <c r="R343">
        <v>1788.28</v>
      </c>
    </row>
    <row r="344" spans="1:18" hidden="1">
      <c r="A344" t="s">
        <v>1488</v>
      </c>
      <c r="B344" t="s">
        <v>992</v>
      </c>
      <c r="C344" t="s">
        <v>993</v>
      </c>
      <c r="D344" s="19">
        <v>2538</v>
      </c>
      <c r="E344" s="19">
        <f t="shared" si="24"/>
        <v>90.642857142857139</v>
      </c>
      <c r="F344" s="5">
        <v>2319.6999999999998</v>
      </c>
      <c r="I344" s="19">
        <f t="shared" si="25"/>
        <v>5076</v>
      </c>
      <c r="J344" t="b">
        <f t="shared" si="26"/>
        <v>1</v>
      </c>
      <c r="K344" s="4">
        <f t="shared" si="27"/>
        <v>-0.54300630417651696</v>
      </c>
      <c r="N344"/>
      <c r="Q344">
        <v>0</v>
      </c>
      <c r="R344">
        <v>0</v>
      </c>
    </row>
    <row r="345" spans="1:18" hidden="1">
      <c r="A345" t="s">
        <v>1487</v>
      </c>
      <c r="B345" s="54" t="s">
        <v>889</v>
      </c>
      <c r="C345" s="37" t="s">
        <v>890</v>
      </c>
      <c r="D345" s="19">
        <v>824</v>
      </c>
      <c r="E345" s="19">
        <f t="shared" si="24"/>
        <v>29.428571428571427</v>
      </c>
      <c r="F345" s="5">
        <v>1724.05</v>
      </c>
      <c r="I345" s="19">
        <f t="shared" si="25"/>
        <v>1648</v>
      </c>
      <c r="J345" t="b">
        <f t="shared" si="26"/>
        <v>1</v>
      </c>
      <c r="K345" s="4">
        <f t="shared" si="27"/>
        <v>4.6146844660194253E-2</v>
      </c>
      <c r="N345"/>
      <c r="Q345">
        <v>0</v>
      </c>
      <c r="R345">
        <v>0</v>
      </c>
    </row>
    <row r="346" spans="1:18" hidden="1">
      <c r="A346" t="s">
        <v>1489</v>
      </c>
      <c r="B346" t="s">
        <v>800</v>
      </c>
      <c r="C346" t="s">
        <v>801</v>
      </c>
      <c r="D346" s="19">
        <v>824</v>
      </c>
      <c r="E346" s="19">
        <f t="shared" si="24"/>
        <v>29.428571428571427</v>
      </c>
      <c r="F346" s="5">
        <v>1481.91</v>
      </c>
      <c r="I346" s="19">
        <f t="shared" si="25"/>
        <v>1648</v>
      </c>
      <c r="J346" t="b">
        <f t="shared" si="26"/>
        <v>1</v>
      </c>
      <c r="K346" s="4">
        <f t="shared" si="27"/>
        <v>-0.10078276699029121</v>
      </c>
      <c r="N346"/>
      <c r="Q346">
        <v>0</v>
      </c>
      <c r="R346">
        <v>0</v>
      </c>
    </row>
    <row r="347" spans="1:18" hidden="1">
      <c r="A347" t="s">
        <v>1488</v>
      </c>
      <c r="B347" t="s">
        <v>1012</v>
      </c>
      <c r="C347" t="s">
        <v>1013</v>
      </c>
      <c r="D347" s="19">
        <v>1471</v>
      </c>
      <c r="E347" s="19">
        <f t="shared" si="24"/>
        <v>52.535714285714285</v>
      </c>
      <c r="F347" s="5">
        <v>828.93</v>
      </c>
      <c r="I347" s="19">
        <f t="shared" si="25"/>
        <v>2942</v>
      </c>
      <c r="J347" t="b">
        <f t="shared" si="26"/>
        <v>1</v>
      </c>
      <c r="K347" s="4">
        <f t="shared" si="27"/>
        <v>-0.71824269204622704</v>
      </c>
      <c r="N347"/>
      <c r="Q347">
        <v>0</v>
      </c>
      <c r="R347">
        <v>0</v>
      </c>
    </row>
    <row r="348" spans="1:18" hidden="1">
      <c r="A348" t="s">
        <v>1487</v>
      </c>
      <c r="B348" s="27" t="s">
        <v>790</v>
      </c>
      <c r="C348" s="27" t="s">
        <v>791</v>
      </c>
      <c r="D348" s="19">
        <v>1023</v>
      </c>
      <c r="E348" s="19">
        <f t="shared" si="24"/>
        <v>36.535714285714285</v>
      </c>
      <c r="F348" s="5">
        <v>1112.25</v>
      </c>
      <c r="I348" s="138">
        <f t="shared" si="25"/>
        <v>2046</v>
      </c>
      <c r="J348" t="b">
        <f t="shared" si="26"/>
        <v>1</v>
      </c>
      <c r="K348" s="4">
        <f t="shared" si="27"/>
        <v>-0.45637829912023464</v>
      </c>
      <c r="N348"/>
      <c r="Q348">
        <v>0</v>
      </c>
      <c r="R348">
        <v>0</v>
      </c>
    </row>
    <row r="349" spans="1:18" hidden="1">
      <c r="A349" t="s">
        <v>1488</v>
      </c>
      <c r="B349" t="s">
        <v>737</v>
      </c>
      <c r="C349" t="s">
        <v>738</v>
      </c>
      <c r="D349" s="19">
        <v>572</v>
      </c>
      <c r="E349" s="19">
        <f t="shared" si="24"/>
        <v>20.428571428571427</v>
      </c>
      <c r="F349" s="5">
        <v>1053.94</v>
      </c>
      <c r="I349" s="135">
        <f t="shared" si="25"/>
        <v>1144</v>
      </c>
      <c r="J349" t="b">
        <f t="shared" si="26"/>
        <v>1</v>
      </c>
      <c r="K349" s="4">
        <f t="shared" si="27"/>
        <v>-7.8723776223776132E-2</v>
      </c>
      <c r="N349"/>
      <c r="P349" t="s">
        <v>1257</v>
      </c>
      <c r="Q349">
        <v>2357</v>
      </c>
      <c r="R349">
        <v>4551.13</v>
      </c>
    </row>
    <row r="350" spans="1:18" hidden="1">
      <c r="A350" t="s">
        <v>1487</v>
      </c>
      <c r="B350" t="s">
        <v>928</v>
      </c>
      <c r="C350" t="s">
        <v>929</v>
      </c>
      <c r="D350" s="19">
        <v>1003</v>
      </c>
      <c r="E350" s="19">
        <f t="shared" si="24"/>
        <v>35.821428571428569</v>
      </c>
      <c r="F350" s="5">
        <v>853.77</v>
      </c>
      <c r="I350" s="19">
        <f t="shared" si="25"/>
        <v>2006</v>
      </c>
      <c r="J350" t="b">
        <f t="shared" si="26"/>
        <v>1</v>
      </c>
      <c r="K350" s="4">
        <f t="shared" si="27"/>
        <v>-0.57439182452642079</v>
      </c>
      <c r="N350"/>
      <c r="P350" t="s">
        <v>1195</v>
      </c>
      <c r="Q350">
        <v>1605</v>
      </c>
      <c r="R350">
        <v>1997.57</v>
      </c>
    </row>
    <row r="351" spans="1:18" hidden="1">
      <c r="A351" t="s">
        <v>1487</v>
      </c>
      <c r="B351" t="s">
        <v>951</v>
      </c>
      <c r="C351" t="s">
        <v>952</v>
      </c>
      <c r="D351" s="19">
        <v>1088</v>
      </c>
      <c r="E351" s="19">
        <f t="shared" si="24"/>
        <v>38.857142857142854</v>
      </c>
      <c r="F351" s="5">
        <v>1420.31</v>
      </c>
      <c r="I351" s="138">
        <f t="shared" si="25"/>
        <v>2176</v>
      </c>
      <c r="J351" t="b">
        <f t="shared" si="26"/>
        <v>1</v>
      </c>
      <c r="K351" s="4">
        <f t="shared" si="27"/>
        <v>-0.34728400735294118</v>
      </c>
      <c r="N351"/>
      <c r="P351" t="s">
        <v>1231</v>
      </c>
      <c r="Q351">
        <v>2820</v>
      </c>
      <c r="R351">
        <v>5352.41</v>
      </c>
    </row>
    <row r="352" spans="1:18" hidden="1">
      <c r="A352" t="s">
        <v>1489</v>
      </c>
      <c r="B352" t="s">
        <v>983</v>
      </c>
      <c r="C352" t="s">
        <v>984</v>
      </c>
      <c r="D352" s="19">
        <v>1086</v>
      </c>
      <c r="E352" s="19">
        <f t="shared" si="24"/>
        <v>38.785714285714285</v>
      </c>
      <c r="F352" s="5">
        <v>259.42</v>
      </c>
      <c r="I352" s="19">
        <f t="shared" si="25"/>
        <v>2172</v>
      </c>
      <c r="J352" t="b">
        <f t="shared" si="26"/>
        <v>1</v>
      </c>
      <c r="K352" s="4">
        <f t="shared" si="27"/>
        <v>-0.88056169429097608</v>
      </c>
      <c r="N352"/>
      <c r="P352" t="s">
        <v>1192</v>
      </c>
      <c r="Q352">
        <v>4202</v>
      </c>
      <c r="R352">
        <v>3829.56</v>
      </c>
    </row>
    <row r="353" spans="1:18" hidden="1">
      <c r="A353" t="s">
        <v>1488</v>
      </c>
      <c r="B353" t="s">
        <v>815</v>
      </c>
      <c r="C353" t="s">
        <v>816</v>
      </c>
      <c r="D353" s="19">
        <v>2531</v>
      </c>
      <c r="E353" s="19">
        <f t="shared" si="24"/>
        <v>90.392857142857139</v>
      </c>
      <c r="F353" s="5">
        <v>2641.16</v>
      </c>
      <c r="I353" s="19">
        <f t="shared" si="25"/>
        <v>5062</v>
      </c>
      <c r="J353" t="b">
        <f t="shared" si="26"/>
        <v>1</v>
      </c>
      <c r="K353" s="4">
        <f t="shared" si="27"/>
        <v>-0.47823785065191626</v>
      </c>
      <c r="N353"/>
      <c r="P353" t="s">
        <v>1087</v>
      </c>
      <c r="Q353">
        <v>1460</v>
      </c>
      <c r="R353">
        <v>3168.75</v>
      </c>
    </row>
    <row r="354" spans="1:18" hidden="1">
      <c r="A354" t="s">
        <v>1487</v>
      </c>
      <c r="B354" t="s">
        <v>1010</v>
      </c>
      <c r="C354" t="s">
        <v>1011</v>
      </c>
      <c r="D354" s="19">
        <v>2038</v>
      </c>
      <c r="E354" s="19">
        <f t="shared" si="24"/>
        <v>72.785714285714292</v>
      </c>
      <c r="F354" s="5">
        <v>0</v>
      </c>
      <c r="I354" s="19">
        <f t="shared" si="25"/>
        <v>4076</v>
      </c>
      <c r="J354" t="b">
        <f t="shared" si="26"/>
        <v>1</v>
      </c>
      <c r="K354" s="4">
        <f t="shared" si="27"/>
        <v>-1</v>
      </c>
      <c r="N354"/>
      <c r="P354" t="s">
        <v>1106</v>
      </c>
      <c r="Q354">
        <v>871</v>
      </c>
      <c r="R354">
        <v>1459.05</v>
      </c>
    </row>
    <row r="355" spans="1:18" hidden="1">
      <c r="A355" t="s">
        <v>1487</v>
      </c>
      <c r="B355" t="s">
        <v>1006</v>
      </c>
      <c r="C355" t="s">
        <v>1007</v>
      </c>
      <c r="D355" s="19">
        <v>2288</v>
      </c>
      <c r="E355" s="19">
        <f t="shared" si="24"/>
        <v>81.714285714285708</v>
      </c>
      <c r="F355" s="5">
        <v>2039.93</v>
      </c>
      <c r="I355" s="138">
        <f t="shared" si="25"/>
        <v>4576</v>
      </c>
      <c r="J355" t="b">
        <f t="shared" si="26"/>
        <v>1</v>
      </c>
      <c r="K355" s="4">
        <f t="shared" si="27"/>
        <v>-0.5542111013986013</v>
      </c>
      <c r="P355" t="s">
        <v>1292</v>
      </c>
      <c r="Q355">
        <v>4871</v>
      </c>
      <c r="R355">
        <v>8603.15</v>
      </c>
    </row>
    <row r="356" spans="1:18" hidden="1">
      <c r="A356" t="s">
        <v>1488</v>
      </c>
      <c r="B356" t="s">
        <v>838</v>
      </c>
      <c r="C356" t="s">
        <v>839</v>
      </c>
      <c r="D356" s="19">
        <v>1429</v>
      </c>
      <c r="E356" s="19">
        <f t="shared" si="24"/>
        <v>51.035714285714285</v>
      </c>
      <c r="F356" s="5">
        <v>1151.07</v>
      </c>
      <c r="I356" s="19">
        <f t="shared" si="25"/>
        <v>2858</v>
      </c>
      <c r="J356" t="b">
        <f t="shared" si="26"/>
        <v>1</v>
      </c>
      <c r="K356" s="4">
        <f t="shared" si="27"/>
        <v>-0.59724632610216943</v>
      </c>
      <c r="N356"/>
      <c r="P356" t="s">
        <v>1037</v>
      </c>
      <c r="Q356">
        <v>10863</v>
      </c>
      <c r="R356">
        <v>10572.08</v>
      </c>
    </row>
    <row r="357" spans="1:18" hidden="1">
      <c r="A357" t="s">
        <v>1488</v>
      </c>
      <c r="B357" t="s">
        <v>959</v>
      </c>
      <c r="C357" s="5" t="s">
        <v>960</v>
      </c>
      <c r="D357" s="19">
        <v>1285</v>
      </c>
      <c r="E357" s="19">
        <f t="shared" si="24"/>
        <v>45.892857142857146</v>
      </c>
      <c r="F357" s="5">
        <v>1159.28</v>
      </c>
      <c r="I357" s="19">
        <f t="shared" si="25"/>
        <v>2570</v>
      </c>
      <c r="J357" t="b">
        <f t="shared" si="26"/>
        <v>1</v>
      </c>
      <c r="K357" s="4">
        <f t="shared" si="27"/>
        <v>-0.54891828793774322</v>
      </c>
      <c r="N357"/>
      <c r="P357" t="s">
        <v>1121</v>
      </c>
      <c r="Q357">
        <v>2105</v>
      </c>
      <c r="R357">
        <v>5222.25</v>
      </c>
    </row>
    <row r="358" spans="1:18" hidden="1">
      <c r="A358" t="s">
        <v>1487</v>
      </c>
      <c r="B358" t="s">
        <v>762</v>
      </c>
      <c r="C358" t="s">
        <v>763</v>
      </c>
      <c r="D358" s="19">
        <v>750</v>
      </c>
      <c r="E358" s="19">
        <f t="shared" si="24"/>
        <v>26.785714285714285</v>
      </c>
      <c r="F358" s="5">
        <v>910.55</v>
      </c>
      <c r="I358" s="123">
        <f t="shared" si="25"/>
        <v>1500</v>
      </c>
      <c r="J358" t="b">
        <f t="shared" si="26"/>
        <v>1</v>
      </c>
      <c r="K358" s="4">
        <f t="shared" si="27"/>
        <v>-0.39296666666666669</v>
      </c>
      <c r="P358" t="s">
        <v>1233</v>
      </c>
      <c r="Q358">
        <v>1161</v>
      </c>
      <c r="R358">
        <v>1374.2</v>
      </c>
    </row>
    <row r="359" spans="1:18" hidden="1">
      <c r="A359" t="s">
        <v>1489</v>
      </c>
      <c r="B359" t="s">
        <v>957</v>
      </c>
      <c r="C359" t="s">
        <v>958</v>
      </c>
      <c r="D359" s="19">
        <v>1948</v>
      </c>
      <c r="E359" s="19">
        <f t="shared" si="24"/>
        <v>69.571428571428569</v>
      </c>
      <c r="F359" s="5">
        <v>1770.2</v>
      </c>
      <c r="I359" s="19">
        <f t="shared" si="25"/>
        <v>3896</v>
      </c>
      <c r="J359" t="b">
        <f t="shared" si="26"/>
        <v>1</v>
      </c>
      <c r="K359" s="4">
        <f t="shared" si="27"/>
        <v>-0.54563655030800828</v>
      </c>
      <c r="N359"/>
      <c r="P359" t="s">
        <v>1085</v>
      </c>
      <c r="Q359">
        <v>2704</v>
      </c>
      <c r="R359">
        <v>3791.04</v>
      </c>
    </row>
    <row r="360" spans="1:18" hidden="1">
      <c r="A360" t="s">
        <v>1489</v>
      </c>
      <c r="B360" t="s">
        <v>998</v>
      </c>
      <c r="C360" s="27" t="s">
        <v>999</v>
      </c>
      <c r="D360" s="19">
        <v>1514</v>
      </c>
      <c r="E360" s="19">
        <f t="shared" si="24"/>
        <v>54.071428571428569</v>
      </c>
      <c r="F360" s="5">
        <v>763.62</v>
      </c>
      <c r="I360" s="19">
        <f t="shared" si="25"/>
        <v>3028</v>
      </c>
      <c r="J360" t="b">
        <f t="shared" si="26"/>
        <v>1</v>
      </c>
      <c r="K360" s="4">
        <f t="shared" si="27"/>
        <v>-0.74781373844121535</v>
      </c>
      <c r="N360"/>
      <c r="P360" t="s">
        <v>1155</v>
      </c>
      <c r="Q360">
        <v>1464</v>
      </c>
      <c r="R360">
        <v>1310.06</v>
      </c>
    </row>
    <row r="361" spans="1:18" ht="16.5" hidden="1" customHeight="1">
      <c r="A361" t="s">
        <v>1489</v>
      </c>
      <c r="B361" t="s">
        <v>751</v>
      </c>
      <c r="C361" t="s">
        <v>752</v>
      </c>
      <c r="D361" s="19">
        <v>3015</v>
      </c>
      <c r="E361" s="19">
        <f t="shared" si="24"/>
        <v>107.67857142857143</v>
      </c>
      <c r="F361" s="5">
        <v>3437.74</v>
      </c>
      <c r="I361" s="19">
        <f t="shared" si="25"/>
        <v>6030</v>
      </c>
      <c r="J361" t="b">
        <f t="shared" si="26"/>
        <v>1</v>
      </c>
      <c r="K361" s="4">
        <f t="shared" si="27"/>
        <v>-0.42989386401326701</v>
      </c>
      <c r="N361"/>
      <c r="P361" t="s">
        <v>1210</v>
      </c>
      <c r="Q361">
        <v>432</v>
      </c>
      <c r="R361">
        <v>657.51</v>
      </c>
    </row>
    <row r="362" spans="1:18" hidden="1">
      <c r="A362" t="s">
        <v>1488</v>
      </c>
      <c r="B362" t="s">
        <v>786</v>
      </c>
      <c r="C362" s="5" t="s">
        <v>787</v>
      </c>
      <c r="D362" s="19">
        <v>385</v>
      </c>
      <c r="E362" s="19">
        <f>D362/28</f>
        <v>13.75</v>
      </c>
      <c r="F362" s="5">
        <v>0</v>
      </c>
      <c r="I362" s="124">
        <f t="shared" si="25"/>
        <v>770</v>
      </c>
      <c r="J362" t="b">
        <f t="shared" si="26"/>
        <v>1</v>
      </c>
      <c r="K362" s="4">
        <f t="shared" si="27"/>
        <v>-1</v>
      </c>
      <c r="P362" t="s">
        <v>1112</v>
      </c>
      <c r="Q362">
        <v>1424</v>
      </c>
      <c r="R362">
        <v>3264.21</v>
      </c>
    </row>
    <row r="363" spans="1:18" hidden="1">
      <c r="B363" t="s">
        <v>909</v>
      </c>
      <c r="C363" t="s">
        <v>910</v>
      </c>
      <c r="D363" s="19">
        <v>1614</v>
      </c>
      <c r="E363" s="19">
        <f t="shared" ref="E363:E426" si="28">D363/28</f>
        <v>57.642857142857146</v>
      </c>
      <c r="F363" s="5">
        <v>1118.98</v>
      </c>
      <c r="I363" s="124">
        <f t="shared" si="25"/>
        <v>3228</v>
      </c>
      <c r="J363" t="b">
        <f t="shared" ref="J363:J426" si="29">IF(F363&gt;1.2*I363,FALSE,TRUE)</f>
        <v>1</v>
      </c>
      <c r="K363" s="4">
        <f t="shared" ref="K363:K426" si="30">F363/I363-1</f>
        <v>-0.65335192069392811</v>
      </c>
      <c r="P363" t="s">
        <v>1267</v>
      </c>
      <c r="Q363">
        <v>1014</v>
      </c>
      <c r="R363">
        <v>1354.39</v>
      </c>
    </row>
    <row r="364" spans="1:18" hidden="1">
      <c r="B364" t="s">
        <v>1030</v>
      </c>
      <c r="C364" t="s">
        <v>1031</v>
      </c>
      <c r="D364" s="19">
        <v>3071</v>
      </c>
      <c r="E364" s="19">
        <f t="shared" si="28"/>
        <v>109.67857142857143</v>
      </c>
      <c r="F364" s="5">
        <v>2982.73</v>
      </c>
      <c r="I364" s="124">
        <f t="shared" si="25"/>
        <v>6142</v>
      </c>
      <c r="J364" t="b">
        <f t="shared" si="29"/>
        <v>1</v>
      </c>
      <c r="K364" s="4">
        <f t="shared" si="30"/>
        <v>-0.51437154021491371</v>
      </c>
      <c r="P364" t="s">
        <v>1104</v>
      </c>
      <c r="Q364">
        <v>1525</v>
      </c>
      <c r="R364">
        <v>2359.86</v>
      </c>
    </row>
    <row r="365" spans="1:18" hidden="1">
      <c r="B365" t="s">
        <v>932</v>
      </c>
      <c r="C365" t="s">
        <v>933</v>
      </c>
      <c r="D365" s="19">
        <v>1158</v>
      </c>
      <c r="E365" s="19">
        <f t="shared" si="28"/>
        <v>41.357142857142854</v>
      </c>
      <c r="F365" s="5">
        <v>2670.39</v>
      </c>
      <c r="I365" s="124">
        <f t="shared" si="25"/>
        <v>2316</v>
      </c>
      <c r="J365" t="b">
        <f t="shared" si="29"/>
        <v>1</v>
      </c>
      <c r="K365" s="4">
        <f t="shared" si="30"/>
        <v>0.1530181347150259</v>
      </c>
      <c r="P365" t="s">
        <v>1060</v>
      </c>
      <c r="Q365">
        <v>816</v>
      </c>
      <c r="R365">
        <v>2073.8200000000002</v>
      </c>
    </row>
    <row r="366" spans="1:18" hidden="1">
      <c r="B366" t="s">
        <v>732</v>
      </c>
      <c r="C366" t="s">
        <v>733</v>
      </c>
      <c r="D366" s="19">
        <v>2644</v>
      </c>
      <c r="E366" s="19">
        <f t="shared" si="28"/>
        <v>94.428571428571431</v>
      </c>
      <c r="F366" s="5">
        <v>1529.53</v>
      </c>
      <c r="I366" s="135">
        <f t="shared" si="25"/>
        <v>5288</v>
      </c>
      <c r="J366" t="b">
        <f t="shared" si="29"/>
        <v>1</v>
      </c>
      <c r="K366" s="4">
        <f t="shared" si="30"/>
        <v>-0.71075453857791226</v>
      </c>
      <c r="P366" t="s">
        <v>1100</v>
      </c>
      <c r="Q366">
        <v>1682</v>
      </c>
      <c r="R366">
        <v>580.09</v>
      </c>
    </row>
    <row r="367" spans="1:18" hidden="1">
      <c r="B367" t="s">
        <v>859</v>
      </c>
      <c r="C367" t="s">
        <v>860</v>
      </c>
      <c r="D367" s="19">
        <v>484</v>
      </c>
      <c r="E367" s="19">
        <f t="shared" si="28"/>
        <v>17.285714285714285</v>
      </c>
      <c r="F367" s="5">
        <v>330.07</v>
      </c>
      <c r="I367" s="124">
        <f t="shared" si="25"/>
        <v>968</v>
      </c>
      <c r="J367" t="b">
        <f t="shared" si="29"/>
        <v>1</v>
      </c>
      <c r="K367" s="4">
        <f t="shared" si="30"/>
        <v>-0.65901859504132232</v>
      </c>
      <c r="P367" t="s">
        <v>1190</v>
      </c>
      <c r="Q367">
        <v>261</v>
      </c>
      <c r="R367">
        <v>1405.71</v>
      </c>
    </row>
    <row r="368" spans="1:18" hidden="1">
      <c r="B368" s="54" t="s">
        <v>808</v>
      </c>
      <c r="C368" s="37" t="s">
        <v>809</v>
      </c>
      <c r="D368" s="19">
        <v>744</v>
      </c>
      <c r="E368" s="19">
        <f t="shared" si="28"/>
        <v>26.571428571428573</v>
      </c>
      <c r="F368" s="5">
        <v>512.51</v>
      </c>
      <c r="I368" s="124">
        <f t="shared" si="25"/>
        <v>1488</v>
      </c>
      <c r="J368" t="b">
        <f t="shared" si="29"/>
        <v>1</v>
      </c>
      <c r="K368" s="4">
        <f t="shared" si="30"/>
        <v>-0.65557123655913974</v>
      </c>
      <c r="P368" t="s">
        <v>1274</v>
      </c>
      <c r="Q368">
        <v>1366</v>
      </c>
      <c r="R368">
        <v>3088.32</v>
      </c>
    </row>
    <row r="369" spans="2:18" hidden="1">
      <c r="B369" s="27" t="s">
        <v>938</v>
      </c>
      <c r="C369" s="27" t="s">
        <v>939</v>
      </c>
      <c r="D369" s="19">
        <v>916</v>
      </c>
      <c r="E369" s="19">
        <f t="shared" si="28"/>
        <v>32.714285714285715</v>
      </c>
      <c r="F369" s="5">
        <v>1681.32</v>
      </c>
      <c r="I369" s="124">
        <f t="shared" si="25"/>
        <v>1832</v>
      </c>
      <c r="J369" t="b">
        <f t="shared" si="29"/>
        <v>1</v>
      </c>
      <c r="K369" s="4">
        <f t="shared" si="30"/>
        <v>-8.2248908296943313E-2</v>
      </c>
      <c r="P369" t="s">
        <v>1199</v>
      </c>
      <c r="Q369">
        <v>1601</v>
      </c>
      <c r="R369">
        <v>3000.95</v>
      </c>
    </row>
    <row r="370" spans="2:18" hidden="1">
      <c r="B370" t="s">
        <v>1020</v>
      </c>
      <c r="C370" t="s">
        <v>1021</v>
      </c>
      <c r="D370" s="19">
        <v>2019</v>
      </c>
      <c r="E370" s="19">
        <f t="shared" si="28"/>
        <v>72.107142857142861</v>
      </c>
      <c r="F370" s="5">
        <v>2597.29</v>
      </c>
      <c r="I370" s="124">
        <f t="shared" si="25"/>
        <v>4038</v>
      </c>
      <c r="J370" t="b">
        <f t="shared" si="29"/>
        <v>1</v>
      </c>
      <c r="K370" s="4">
        <f t="shared" si="30"/>
        <v>-0.35678801386825165</v>
      </c>
      <c r="P370" t="s">
        <v>1040</v>
      </c>
      <c r="Q370">
        <v>7185</v>
      </c>
      <c r="R370">
        <v>9078.4500000000007</v>
      </c>
    </row>
    <row r="371" spans="2:18" hidden="1">
      <c r="B371" t="s">
        <v>846</v>
      </c>
      <c r="C371" t="s">
        <v>847</v>
      </c>
      <c r="D371" s="19">
        <v>1265</v>
      </c>
      <c r="E371" s="19">
        <f t="shared" si="28"/>
        <v>45.178571428571431</v>
      </c>
      <c r="F371" s="5">
        <v>1451.23</v>
      </c>
      <c r="I371" s="124">
        <f t="shared" si="25"/>
        <v>2530</v>
      </c>
      <c r="J371" t="b">
        <f t="shared" si="29"/>
        <v>1</v>
      </c>
      <c r="K371" s="4">
        <f t="shared" si="30"/>
        <v>-0.42639130434782613</v>
      </c>
      <c r="P371" t="s">
        <v>1288</v>
      </c>
      <c r="Q371">
        <v>1016</v>
      </c>
      <c r="R371">
        <v>2364.4699999999998</v>
      </c>
    </row>
    <row r="372" spans="2:18" hidden="1">
      <c r="B372" t="s">
        <v>861</v>
      </c>
      <c r="C372" t="s">
        <v>862</v>
      </c>
      <c r="D372" s="19">
        <v>762</v>
      </c>
      <c r="E372" s="19">
        <f t="shared" si="28"/>
        <v>27.214285714285715</v>
      </c>
      <c r="F372" s="5">
        <v>943.22</v>
      </c>
      <c r="I372" s="124">
        <f t="shared" si="25"/>
        <v>1524</v>
      </c>
      <c r="J372" t="b">
        <f t="shared" si="29"/>
        <v>1</v>
      </c>
      <c r="K372" s="4">
        <f t="shared" si="30"/>
        <v>-0.38108923884514434</v>
      </c>
      <c r="P372" t="s">
        <v>1159</v>
      </c>
      <c r="Q372">
        <v>1074</v>
      </c>
      <c r="R372">
        <v>1191.3399999999999</v>
      </c>
    </row>
    <row r="373" spans="2:18" hidden="1">
      <c r="B373" t="s">
        <v>901</v>
      </c>
      <c r="C373" t="s">
        <v>902</v>
      </c>
      <c r="D373" s="19">
        <v>1131</v>
      </c>
      <c r="E373" s="19">
        <f t="shared" si="28"/>
        <v>40.392857142857146</v>
      </c>
      <c r="F373" s="5">
        <v>1599.73</v>
      </c>
      <c r="I373" s="124">
        <f t="shared" si="25"/>
        <v>2262</v>
      </c>
      <c r="J373" t="b">
        <f t="shared" si="29"/>
        <v>1</v>
      </c>
      <c r="K373" s="4">
        <f t="shared" si="30"/>
        <v>-0.29278072502210428</v>
      </c>
      <c r="Q373">
        <v>0</v>
      </c>
      <c r="R373">
        <v>0</v>
      </c>
    </row>
    <row r="374" spans="2:18" hidden="1">
      <c r="B374" t="s">
        <v>792</v>
      </c>
      <c r="C374" t="s">
        <v>793</v>
      </c>
      <c r="D374" s="19">
        <v>889</v>
      </c>
      <c r="E374" s="19">
        <f t="shared" si="28"/>
        <v>31.75</v>
      </c>
      <c r="F374" s="5">
        <v>1163.06</v>
      </c>
      <c r="I374" s="124">
        <f t="shared" si="25"/>
        <v>1778</v>
      </c>
      <c r="J374" t="b">
        <f t="shared" si="29"/>
        <v>1</v>
      </c>
      <c r="K374" s="4">
        <f t="shared" si="30"/>
        <v>-0.34586051743532065</v>
      </c>
      <c r="P374" t="s">
        <v>1128</v>
      </c>
      <c r="Q374">
        <v>539</v>
      </c>
      <c r="R374">
        <v>1057.49</v>
      </c>
    </row>
    <row r="375" spans="2:18" hidden="1">
      <c r="B375" s="134" t="s">
        <v>806</v>
      </c>
      <c r="C375" s="37" t="s">
        <v>807</v>
      </c>
      <c r="D375">
        <v>626</v>
      </c>
      <c r="E375" s="19">
        <f t="shared" si="28"/>
        <v>22.357142857142858</v>
      </c>
      <c r="F375" s="135">
        <v>1311.18</v>
      </c>
      <c r="I375" s="124">
        <f t="shared" si="25"/>
        <v>1252</v>
      </c>
      <c r="J375" t="b">
        <f t="shared" si="29"/>
        <v>1</v>
      </c>
      <c r="K375" s="4">
        <f t="shared" si="30"/>
        <v>4.7268370607028709E-2</v>
      </c>
      <c r="P375" t="s">
        <v>1110</v>
      </c>
      <c r="Q375">
        <v>1075</v>
      </c>
      <c r="R375">
        <v>1761.57</v>
      </c>
    </row>
    <row r="376" spans="2:18" hidden="1">
      <c r="B376" t="s">
        <v>796</v>
      </c>
      <c r="C376" t="s">
        <v>797</v>
      </c>
      <c r="D376" s="19">
        <v>745</v>
      </c>
      <c r="E376" s="19">
        <f t="shared" si="28"/>
        <v>26.607142857142858</v>
      </c>
      <c r="F376" s="5">
        <v>848.93</v>
      </c>
      <c r="I376" s="124">
        <f t="shared" si="25"/>
        <v>1490</v>
      </c>
      <c r="J376" t="b">
        <f t="shared" si="29"/>
        <v>1</v>
      </c>
      <c r="K376" s="4">
        <f t="shared" si="30"/>
        <v>-0.43024832214765107</v>
      </c>
      <c r="P376" t="s">
        <v>1229</v>
      </c>
      <c r="Q376">
        <v>1470</v>
      </c>
      <c r="R376">
        <v>2032.1</v>
      </c>
    </row>
    <row r="377" spans="2:18" hidden="1">
      <c r="B377" t="s">
        <v>729</v>
      </c>
      <c r="C377" t="s">
        <v>730</v>
      </c>
      <c r="D377" s="19">
        <v>2017</v>
      </c>
      <c r="E377" s="19">
        <f t="shared" si="28"/>
        <v>72.035714285714292</v>
      </c>
      <c r="F377" s="5">
        <v>3949.18</v>
      </c>
      <c r="I377" s="135">
        <f t="shared" si="25"/>
        <v>4034</v>
      </c>
      <c r="J377" t="b">
        <f t="shared" si="29"/>
        <v>1</v>
      </c>
      <c r="K377" s="4">
        <f t="shared" si="30"/>
        <v>-2.1026276648487885E-2</v>
      </c>
      <c r="P377" t="s">
        <v>1259</v>
      </c>
      <c r="Q377">
        <v>1676</v>
      </c>
      <c r="R377">
        <v>2748.23</v>
      </c>
    </row>
    <row r="378" spans="2:18" hidden="1">
      <c r="B378" t="s">
        <v>774</v>
      </c>
      <c r="C378" t="s">
        <v>775</v>
      </c>
      <c r="D378" s="19">
        <v>816</v>
      </c>
      <c r="E378" s="19">
        <f t="shared" si="28"/>
        <v>29.142857142857142</v>
      </c>
      <c r="F378" s="5">
        <v>1840.56</v>
      </c>
      <c r="I378" s="124">
        <f t="shared" si="25"/>
        <v>1632</v>
      </c>
      <c r="J378" t="b">
        <f t="shared" si="29"/>
        <v>1</v>
      </c>
      <c r="K378" s="4">
        <f t="shared" si="30"/>
        <v>0.12779411764705872</v>
      </c>
      <c r="P378" t="s">
        <v>1146</v>
      </c>
      <c r="Q378">
        <v>556</v>
      </c>
      <c r="R378">
        <v>399.59</v>
      </c>
    </row>
    <row r="379" spans="2:18" hidden="1">
      <c r="B379" t="s">
        <v>926</v>
      </c>
      <c r="C379" t="s">
        <v>927</v>
      </c>
      <c r="D379" s="19">
        <v>826</v>
      </c>
      <c r="E379" s="19">
        <f t="shared" si="28"/>
        <v>29.5</v>
      </c>
      <c r="F379" s="5">
        <v>1025.23</v>
      </c>
      <c r="I379" s="124">
        <f t="shared" si="25"/>
        <v>1652</v>
      </c>
      <c r="J379" t="b">
        <f t="shared" si="29"/>
        <v>1</v>
      </c>
      <c r="K379" s="4">
        <f t="shared" si="30"/>
        <v>-0.37940072639225175</v>
      </c>
      <c r="P379" t="s">
        <v>1203</v>
      </c>
      <c r="Q379">
        <v>1179</v>
      </c>
      <c r="R379">
        <v>2708.58</v>
      </c>
    </row>
    <row r="380" spans="2:18" hidden="1">
      <c r="B380" t="s">
        <v>747</v>
      </c>
      <c r="C380" t="s">
        <v>748</v>
      </c>
      <c r="D380" s="19">
        <v>455</v>
      </c>
      <c r="E380" s="19">
        <f t="shared" si="28"/>
        <v>16.25</v>
      </c>
      <c r="F380" s="5">
        <v>862.51</v>
      </c>
      <c r="I380" s="124">
        <f t="shared" si="25"/>
        <v>910</v>
      </c>
      <c r="J380" t="b">
        <f t="shared" si="29"/>
        <v>1</v>
      </c>
      <c r="K380" s="4">
        <f t="shared" si="30"/>
        <v>-5.2186813186813175E-2</v>
      </c>
      <c r="P380" t="s">
        <v>1237</v>
      </c>
      <c r="Q380">
        <v>1553</v>
      </c>
      <c r="R380">
        <v>1075</v>
      </c>
    </row>
    <row r="381" spans="2:18" hidden="1">
      <c r="B381" t="s">
        <v>985</v>
      </c>
      <c r="C381" t="s">
        <v>986</v>
      </c>
      <c r="D381" s="19">
        <v>1163</v>
      </c>
      <c r="E381" s="19">
        <f t="shared" si="28"/>
        <v>41.535714285714285</v>
      </c>
      <c r="F381" s="5">
        <v>2137.4699999999998</v>
      </c>
      <c r="I381" s="124">
        <f t="shared" si="25"/>
        <v>2326</v>
      </c>
      <c r="J381" t="b">
        <f t="shared" si="29"/>
        <v>1</v>
      </c>
      <c r="K381" s="4">
        <f t="shared" si="30"/>
        <v>-8.1053310404127332E-2</v>
      </c>
      <c r="P381" t="s">
        <v>1197</v>
      </c>
      <c r="Q381">
        <v>1400</v>
      </c>
      <c r="R381">
        <v>1440.96</v>
      </c>
    </row>
    <row r="382" spans="2:18" hidden="1">
      <c r="B382" t="s">
        <v>849</v>
      </c>
      <c r="C382" t="s">
        <v>850</v>
      </c>
      <c r="D382" s="19">
        <v>313</v>
      </c>
      <c r="E382" s="19">
        <f t="shared" si="28"/>
        <v>11.178571428571429</v>
      </c>
      <c r="F382" s="5">
        <v>240.43</v>
      </c>
      <c r="I382" s="124">
        <f t="shared" si="25"/>
        <v>626</v>
      </c>
      <c r="J382" t="b">
        <f t="shared" si="29"/>
        <v>1</v>
      </c>
      <c r="K382" s="4">
        <f t="shared" si="30"/>
        <v>-0.61592651757188499</v>
      </c>
      <c r="P382" t="s">
        <v>1051</v>
      </c>
      <c r="Q382">
        <v>1462</v>
      </c>
      <c r="R382">
        <v>1070.9000000000001</v>
      </c>
    </row>
    <row r="383" spans="2:18" hidden="1">
      <c r="B383" t="s">
        <v>810</v>
      </c>
      <c r="C383" t="s">
        <v>811</v>
      </c>
      <c r="D383" s="19">
        <v>494</v>
      </c>
      <c r="E383" s="19">
        <f t="shared" si="28"/>
        <v>17.642857142857142</v>
      </c>
      <c r="F383" s="5">
        <v>151.87</v>
      </c>
      <c r="I383" s="124">
        <f t="shared" si="25"/>
        <v>988</v>
      </c>
      <c r="J383" t="b">
        <f t="shared" si="29"/>
        <v>1</v>
      </c>
      <c r="K383" s="4">
        <f t="shared" si="30"/>
        <v>-0.84628542510121463</v>
      </c>
      <c r="P383" t="s">
        <v>1047</v>
      </c>
      <c r="Q383">
        <v>7031</v>
      </c>
      <c r="R383">
        <v>6062.04</v>
      </c>
    </row>
    <row r="384" spans="2:18" hidden="1">
      <c r="B384" s="27" t="s">
        <v>1004</v>
      </c>
      <c r="C384" s="27" t="s">
        <v>1005</v>
      </c>
      <c r="D384" s="19">
        <v>1321</v>
      </c>
      <c r="E384" s="19">
        <f t="shared" si="28"/>
        <v>47.178571428571431</v>
      </c>
      <c r="F384" s="5">
        <v>899.67</v>
      </c>
      <c r="I384" s="124">
        <f t="shared" si="25"/>
        <v>2642</v>
      </c>
      <c r="J384" t="b">
        <f t="shared" si="29"/>
        <v>1</v>
      </c>
      <c r="K384" s="4">
        <f t="shared" si="30"/>
        <v>-0.65947388342165025</v>
      </c>
      <c r="P384" t="s">
        <v>1227</v>
      </c>
      <c r="Q384">
        <v>1743</v>
      </c>
      <c r="R384">
        <v>2986.39</v>
      </c>
    </row>
    <row r="385" spans="2:18" hidden="1">
      <c r="B385" t="s">
        <v>755</v>
      </c>
      <c r="C385" t="s">
        <v>756</v>
      </c>
      <c r="D385" s="19">
        <v>1306</v>
      </c>
      <c r="E385" s="19">
        <f t="shared" si="28"/>
        <v>46.642857142857146</v>
      </c>
      <c r="F385" s="5">
        <v>556.01</v>
      </c>
      <c r="I385" s="124">
        <f t="shared" si="25"/>
        <v>2612</v>
      </c>
      <c r="J385" t="b">
        <f t="shared" si="29"/>
        <v>1</v>
      </c>
      <c r="K385" s="4">
        <f t="shared" si="30"/>
        <v>-0.78713246554364469</v>
      </c>
      <c r="P385" t="s">
        <v>1130</v>
      </c>
      <c r="Q385">
        <v>1235</v>
      </c>
      <c r="R385">
        <v>2031.46</v>
      </c>
    </row>
    <row r="386" spans="2:18" ht="30" hidden="1">
      <c r="B386" s="55" t="s">
        <v>944</v>
      </c>
      <c r="C386" s="37" t="s">
        <v>945</v>
      </c>
      <c r="D386" s="19">
        <v>3005</v>
      </c>
      <c r="E386" s="19">
        <f t="shared" si="28"/>
        <v>107.32142857142857</v>
      </c>
      <c r="F386" s="5">
        <v>3765.73</v>
      </c>
      <c r="I386" s="124">
        <f t="shared" si="25"/>
        <v>6010</v>
      </c>
      <c r="J386" t="b">
        <f t="shared" si="29"/>
        <v>1</v>
      </c>
      <c r="K386" s="4">
        <f t="shared" si="30"/>
        <v>-0.37342262895174705</v>
      </c>
      <c r="P386" t="s">
        <v>1411</v>
      </c>
      <c r="Q386">
        <v>1</v>
      </c>
      <c r="R386">
        <v>0</v>
      </c>
    </row>
    <row r="387" spans="2:18" hidden="1">
      <c r="B387" t="s">
        <v>967</v>
      </c>
      <c r="C387" t="s">
        <v>968</v>
      </c>
      <c r="D387" s="19">
        <v>2815</v>
      </c>
      <c r="E387" s="19">
        <f t="shared" si="28"/>
        <v>100.53571428571429</v>
      </c>
      <c r="F387" s="5">
        <v>2067.4699999999998</v>
      </c>
      <c r="I387" s="124">
        <f t="shared" si="25"/>
        <v>5630</v>
      </c>
      <c r="J387" t="b">
        <f t="shared" si="29"/>
        <v>1</v>
      </c>
      <c r="K387" s="4">
        <f t="shared" si="30"/>
        <v>-0.63277619893428061</v>
      </c>
      <c r="P387" t="s">
        <v>1091</v>
      </c>
      <c r="Q387">
        <v>1060</v>
      </c>
      <c r="R387">
        <v>1987.32</v>
      </c>
    </row>
    <row r="388" spans="2:18" hidden="1">
      <c r="B388" s="27" t="s">
        <v>851</v>
      </c>
      <c r="C388" s="37" t="s">
        <v>852</v>
      </c>
      <c r="D388" s="19">
        <v>746</v>
      </c>
      <c r="E388" s="19">
        <f t="shared" si="28"/>
        <v>26.642857142857142</v>
      </c>
      <c r="F388" s="5">
        <v>461.53</v>
      </c>
      <c r="I388" s="124">
        <f t="shared" si="25"/>
        <v>1492</v>
      </c>
      <c r="J388" t="b">
        <f t="shared" si="29"/>
        <v>1</v>
      </c>
      <c r="K388" s="4">
        <f t="shared" si="30"/>
        <v>-0.69066353887399468</v>
      </c>
      <c r="P388" t="s">
        <v>1072</v>
      </c>
      <c r="Q388">
        <v>810</v>
      </c>
      <c r="R388">
        <v>987.64</v>
      </c>
    </row>
    <row r="389" spans="2:18" hidden="1">
      <c r="B389" t="s">
        <v>883</v>
      </c>
      <c r="C389" t="s">
        <v>884</v>
      </c>
      <c r="D389" s="19">
        <v>1295</v>
      </c>
      <c r="E389" s="19">
        <f t="shared" si="28"/>
        <v>46.25</v>
      </c>
      <c r="F389" s="5">
        <v>1210.42</v>
      </c>
      <c r="I389" s="124">
        <f t="shared" si="25"/>
        <v>2590</v>
      </c>
      <c r="J389" t="b">
        <f t="shared" si="29"/>
        <v>1</v>
      </c>
      <c r="K389" s="4">
        <f t="shared" si="30"/>
        <v>-0.53265637065637061</v>
      </c>
      <c r="P389" t="s">
        <v>1093</v>
      </c>
      <c r="Q389">
        <v>1161</v>
      </c>
      <c r="R389">
        <v>2264.92</v>
      </c>
    </row>
    <row r="390" spans="2:18" ht="30" hidden="1">
      <c r="B390" s="134" t="s">
        <v>994</v>
      </c>
      <c r="C390" s="37" t="s">
        <v>995</v>
      </c>
      <c r="D390">
        <v>1201</v>
      </c>
      <c r="E390" s="19">
        <f t="shared" si="28"/>
        <v>42.892857142857146</v>
      </c>
      <c r="F390" s="135">
        <v>1654.88</v>
      </c>
      <c r="I390" s="124">
        <f t="shared" si="25"/>
        <v>2402</v>
      </c>
      <c r="J390" t="b">
        <f t="shared" si="29"/>
        <v>1</v>
      </c>
      <c r="K390" s="4">
        <f t="shared" si="30"/>
        <v>-0.3110407993338884</v>
      </c>
      <c r="P390" t="s">
        <v>1058</v>
      </c>
      <c r="Q390">
        <v>1609</v>
      </c>
      <c r="R390">
        <v>1661.07</v>
      </c>
    </row>
    <row r="391" spans="2:18" hidden="1">
      <c r="B391" t="s">
        <v>734</v>
      </c>
      <c r="C391" t="s">
        <v>735</v>
      </c>
      <c r="D391" s="19">
        <v>4449</v>
      </c>
      <c r="E391" s="19">
        <f t="shared" si="28"/>
        <v>158.89285714285714</v>
      </c>
      <c r="F391" s="5">
        <v>6917.01</v>
      </c>
      <c r="I391" s="124">
        <f t="shared" si="25"/>
        <v>8898</v>
      </c>
      <c r="J391" t="b">
        <f t="shared" si="29"/>
        <v>1</v>
      </c>
      <c r="K391" s="4">
        <f t="shared" si="30"/>
        <v>-0.22263317599460553</v>
      </c>
      <c r="P391" t="s">
        <v>1253</v>
      </c>
      <c r="Q391">
        <v>1107</v>
      </c>
      <c r="R391">
        <v>1110.52</v>
      </c>
    </row>
    <row r="392" spans="2:18" hidden="1">
      <c r="B392" t="s">
        <v>934</v>
      </c>
      <c r="C392" t="s">
        <v>935</v>
      </c>
      <c r="D392" s="19">
        <v>737</v>
      </c>
      <c r="E392" s="19">
        <f t="shared" si="28"/>
        <v>26.321428571428573</v>
      </c>
      <c r="F392" s="5">
        <v>538.70000000000005</v>
      </c>
      <c r="I392" s="124">
        <f t="shared" si="25"/>
        <v>1474</v>
      </c>
      <c r="J392" t="b">
        <f t="shared" si="29"/>
        <v>1</v>
      </c>
      <c r="K392" s="4">
        <f t="shared" si="30"/>
        <v>-0.63453188602442334</v>
      </c>
      <c r="P392" t="s">
        <v>1136</v>
      </c>
      <c r="Q392">
        <v>550</v>
      </c>
      <c r="R392">
        <v>515.15</v>
      </c>
    </row>
    <row r="393" spans="2:18" hidden="1">
      <c r="B393" t="s">
        <v>921</v>
      </c>
      <c r="C393" t="s">
        <v>922</v>
      </c>
      <c r="D393" s="19">
        <v>1189</v>
      </c>
      <c r="E393" s="19">
        <f t="shared" si="28"/>
        <v>42.464285714285715</v>
      </c>
      <c r="F393" s="5">
        <v>908.79</v>
      </c>
      <c r="I393" s="124">
        <f t="shared" si="25"/>
        <v>2378</v>
      </c>
      <c r="J393" t="b">
        <f t="shared" si="29"/>
        <v>1</v>
      </c>
      <c r="K393" s="4">
        <f t="shared" si="30"/>
        <v>-0.61783431455004201</v>
      </c>
      <c r="P393" t="s">
        <v>1213</v>
      </c>
      <c r="Q393">
        <v>925</v>
      </c>
      <c r="R393">
        <v>1261.25</v>
      </c>
    </row>
    <row r="394" spans="2:18" hidden="1">
      <c r="B394" t="s">
        <v>764</v>
      </c>
      <c r="C394" t="s">
        <v>765</v>
      </c>
      <c r="D394" s="19">
        <v>3294</v>
      </c>
      <c r="E394" s="19">
        <f t="shared" si="28"/>
        <v>117.64285714285714</v>
      </c>
      <c r="F394" s="5">
        <v>1529.61</v>
      </c>
      <c r="I394" s="124">
        <f t="shared" si="25"/>
        <v>6588</v>
      </c>
      <c r="J394" t="b">
        <f t="shared" si="29"/>
        <v>1</v>
      </c>
      <c r="K394" s="4">
        <f t="shared" si="30"/>
        <v>-0.76781876138433514</v>
      </c>
      <c r="P394" t="s">
        <v>1241</v>
      </c>
      <c r="Q394">
        <v>1375</v>
      </c>
      <c r="R394">
        <v>2480.4</v>
      </c>
    </row>
    <row r="395" spans="2:18" hidden="1">
      <c r="B395" t="s">
        <v>766</v>
      </c>
      <c r="C395" t="s">
        <v>767</v>
      </c>
      <c r="D395" s="19">
        <v>667</v>
      </c>
      <c r="E395" s="19">
        <f t="shared" si="28"/>
        <v>23.821428571428573</v>
      </c>
      <c r="F395" s="5">
        <v>1125.3399999999999</v>
      </c>
      <c r="I395" s="124">
        <f t="shared" si="25"/>
        <v>1334</v>
      </c>
      <c r="J395" t="b">
        <f t="shared" si="29"/>
        <v>1</v>
      </c>
      <c r="K395" s="4">
        <f t="shared" si="30"/>
        <v>-0.15641679160419797</v>
      </c>
      <c r="P395" t="s">
        <v>1074</v>
      </c>
      <c r="Q395">
        <v>770</v>
      </c>
      <c r="R395">
        <v>85.89</v>
      </c>
    </row>
    <row r="396" spans="2:18" hidden="1">
      <c r="B396" t="s">
        <v>867</v>
      </c>
      <c r="C396" t="s">
        <v>868</v>
      </c>
      <c r="D396" s="19">
        <v>0</v>
      </c>
      <c r="E396" s="19">
        <f t="shared" si="28"/>
        <v>0</v>
      </c>
      <c r="F396" s="5">
        <v>0</v>
      </c>
      <c r="I396" s="135">
        <f t="shared" si="25"/>
        <v>0</v>
      </c>
      <c r="J396" t="b">
        <f t="shared" si="29"/>
        <v>1</v>
      </c>
      <c r="K396" s="4" t="e">
        <f t="shared" si="30"/>
        <v>#DIV/0!</v>
      </c>
      <c r="P396" t="s">
        <v>1167</v>
      </c>
      <c r="Q396">
        <v>1104</v>
      </c>
      <c r="R396">
        <v>2117</v>
      </c>
    </row>
    <row r="397" spans="2:18" hidden="1">
      <c r="B397" t="s">
        <v>979</v>
      </c>
      <c r="C397" t="s">
        <v>980</v>
      </c>
      <c r="D397" s="19">
        <v>1187</v>
      </c>
      <c r="E397" s="19">
        <f t="shared" si="28"/>
        <v>42.392857142857146</v>
      </c>
      <c r="F397" s="5">
        <v>747.08</v>
      </c>
      <c r="I397" s="124">
        <f t="shared" si="25"/>
        <v>2374</v>
      </c>
      <c r="J397" t="b">
        <f t="shared" si="29"/>
        <v>1</v>
      </c>
      <c r="K397" s="4">
        <f t="shared" si="30"/>
        <v>-0.68530749789385004</v>
      </c>
      <c r="P397" t="s">
        <v>1270</v>
      </c>
      <c r="Q397">
        <v>1299</v>
      </c>
      <c r="R397">
        <v>2181.89</v>
      </c>
    </row>
    <row r="398" spans="2:18" hidden="1">
      <c r="B398" t="s">
        <v>869</v>
      </c>
      <c r="C398" t="s">
        <v>870</v>
      </c>
      <c r="D398" s="19">
        <v>0</v>
      </c>
      <c r="E398" s="19">
        <f t="shared" si="28"/>
        <v>0</v>
      </c>
      <c r="F398" s="5">
        <v>0</v>
      </c>
      <c r="I398" s="124">
        <f t="shared" si="25"/>
        <v>0</v>
      </c>
      <c r="J398" t="b">
        <f t="shared" si="29"/>
        <v>1</v>
      </c>
      <c r="K398" s="4" t="e">
        <f t="shared" si="30"/>
        <v>#DIV/0!</v>
      </c>
      <c r="P398" t="s">
        <v>1247</v>
      </c>
      <c r="Q398">
        <v>930</v>
      </c>
      <c r="R398">
        <v>2178.85</v>
      </c>
    </row>
    <row r="399" spans="2:18" hidden="1">
      <c r="B399" t="s">
        <v>969</v>
      </c>
      <c r="C399" t="s">
        <v>970</v>
      </c>
      <c r="D399" s="19">
        <v>1207</v>
      </c>
      <c r="E399" s="19">
        <f t="shared" si="28"/>
        <v>43.107142857142854</v>
      </c>
      <c r="F399" s="5">
        <v>1705.39</v>
      </c>
      <c r="I399" s="124">
        <f t="shared" si="25"/>
        <v>2414</v>
      </c>
      <c r="J399" t="b">
        <f t="shared" si="29"/>
        <v>1</v>
      </c>
      <c r="K399" s="4">
        <f t="shared" si="30"/>
        <v>-0.29354183927091959</v>
      </c>
      <c r="P399" t="s">
        <v>1083</v>
      </c>
      <c r="Q399">
        <v>531</v>
      </c>
      <c r="R399">
        <v>251.56</v>
      </c>
    </row>
    <row r="400" spans="2:18" hidden="1">
      <c r="B400" t="s">
        <v>835</v>
      </c>
      <c r="C400" t="s">
        <v>836</v>
      </c>
      <c r="D400" s="19">
        <v>593</v>
      </c>
      <c r="E400" s="19">
        <f t="shared" si="28"/>
        <v>21.178571428571427</v>
      </c>
      <c r="F400" s="5">
        <v>323.18</v>
      </c>
      <c r="I400" s="124">
        <f t="shared" si="25"/>
        <v>1186</v>
      </c>
      <c r="J400" t="b">
        <f t="shared" si="29"/>
        <v>1</v>
      </c>
      <c r="K400" s="4">
        <f t="shared" si="30"/>
        <v>-0.72750421585160208</v>
      </c>
      <c r="P400" t="s">
        <v>1208</v>
      </c>
      <c r="Q400">
        <v>1122</v>
      </c>
      <c r="R400">
        <v>2440.81</v>
      </c>
    </row>
    <row r="401" spans="2:18" hidden="1">
      <c r="B401" t="s">
        <v>871</v>
      </c>
      <c r="C401" t="s">
        <v>872</v>
      </c>
      <c r="D401" s="19">
        <v>0</v>
      </c>
      <c r="E401" s="19">
        <f t="shared" si="28"/>
        <v>0</v>
      </c>
      <c r="F401" s="5">
        <v>0</v>
      </c>
      <c r="I401" s="124">
        <f t="shared" si="25"/>
        <v>0</v>
      </c>
      <c r="J401" t="b">
        <f t="shared" si="29"/>
        <v>1</v>
      </c>
      <c r="K401" s="4" t="e">
        <f t="shared" si="30"/>
        <v>#DIV/0!</v>
      </c>
      <c r="P401" t="s">
        <v>1123</v>
      </c>
      <c r="Q401">
        <v>325</v>
      </c>
      <c r="R401">
        <v>978.93</v>
      </c>
    </row>
    <row r="402" spans="2:18" hidden="1">
      <c r="B402" t="s">
        <v>905</v>
      </c>
      <c r="C402" t="s">
        <v>906</v>
      </c>
      <c r="D402" s="19">
        <v>476</v>
      </c>
      <c r="E402" s="19">
        <f t="shared" si="28"/>
        <v>17</v>
      </c>
      <c r="F402" s="5">
        <v>247</v>
      </c>
      <c r="I402" s="124">
        <f t="shared" si="25"/>
        <v>952</v>
      </c>
      <c r="J402" t="b">
        <f t="shared" si="29"/>
        <v>1</v>
      </c>
      <c r="K402" s="4">
        <f t="shared" si="30"/>
        <v>-0.74054621848739499</v>
      </c>
      <c r="P402" t="s">
        <v>1239</v>
      </c>
      <c r="Q402">
        <v>1173</v>
      </c>
      <c r="R402">
        <v>2045.63</v>
      </c>
    </row>
    <row r="403" spans="2:18" hidden="1">
      <c r="B403" t="s">
        <v>919</v>
      </c>
      <c r="C403" t="s">
        <v>920</v>
      </c>
      <c r="D403" s="19">
        <v>304</v>
      </c>
      <c r="E403" s="19">
        <f t="shared" si="28"/>
        <v>10.857142857142858</v>
      </c>
      <c r="F403" s="5">
        <v>133.5</v>
      </c>
      <c r="I403" s="124">
        <f t="shared" ref="I403:I466" si="31">IF((D403/28)&gt;100,D403*2,D403*2)</f>
        <v>608</v>
      </c>
      <c r="J403" t="b">
        <f t="shared" si="29"/>
        <v>1</v>
      </c>
      <c r="K403" s="4">
        <f t="shared" si="30"/>
        <v>-0.78042763157894735</v>
      </c>
      <c r="P403" t="s">
        <v>1476</v>
      </c>
      <c r="Q403">
        <v>0</v>
      </c>
      <c r="R403">
        <v>0</v>
      </c>
    </row>
    <row r="404" spans="2:18" hidden="1">
      <c r="B404" t="s">
        <v>853</v>
      </c>
      <c r="C404" t="s">
        <v>854</v>
      </c>
      <c r="D404" s="19">
        <v>265</v>
      </c>
      <c r="E404" s="19">
        <f t="shared" si="28"/>
        <v>9.4642857142857135</v>
      </c>
      <c r="F404" s="5">
        <v>116.27</v>
      </c>
      <c r="I404" s="124">
        <f t="shared" si="31"/>
        <v>530</v>
      </c>
      <c r="J404" t="b">
        <f t="shared" si="29"/>
        <v>1</v>
      </c>
      <c r="K404" s="4">
        <f t="shared" si="30"/>
        <v>-0.78062264150943395</v>
      </c>
      <c r="Q404">
        <v>0</v>
      </c>
      <c r="R404">
        <v>0</v>
      </c>
    </row>
    <row r="405" spans="2:18" hidden="1">
      <c r="B405" t="s">
        <v>865</v>
      </c>
      <c r="C405" t="s">
        <v>866</v>
      </c>
      <c r="D405" s="19">
        <v>185</v>
      </c>
      <c r="E405" s="19">
        <f t="shared" si="28"/>
        <v>6.6071428571428568</v>
      </c>
      <c r="F405" s="5">
        <v>159.54</v>
      </c>
      <c r="I405" s="124">
        <f t="shared" si="31"/>
        <v>370</v>
      </c>
      <c r="J405" t="b">
        <f t="shared" si="29"/>
        <v>1</v>
      </c>
      <c r="K405" s="4">
        <f t="shared" si="30"/>
        <v>-0.56881081081081075</v>
      </c>
      <c r="Q405">
        <v>0</v>
      </c>
      <c r="R405">
        <v>0</v>
      </c>
    </row>
    <row r="406" spans="2:18" ht="30" hidden="1">
      <c r="B406" s="24" t="s">
        <v>821</v>
      </c>
      <c r="C406" s="23" t="s">
        <v>822</v>
      </c>
      <c r="D406" s="19">
        <v>551</v>
      </c>
      <c r="E406" s="19">
        <f t="shared" si="28"/>
        <v>19.678571428571427</v>
      </c>
      <c r="F406" s="5">
        <v>208.09</v>
      </c>
      <c r="I406" s="124">
        <f t="shared" si="31"/>
        <v>1102</v>
      </c>
      <c r="J406" t="b">
        <f t="shared" si="29"/>
        <v>1</v>
      </c>
      <c r="K406" s="4">
        <f t="shared" si="30"/>
        <v>-0.81117059891107079</v>
      </c>
      <c r="P406" t="s">
        <v>1243</v>
      </c>
      <c r="Q406">
        <v>1253</v>
      </c>
      <c r="R406">
        <v>1938.81</v>
      </c>
    </row>
    <row r="407" spans="2:18" hidden="1">
      <c r="B407" s="133" t="s">
        <v>881</v>
      </c>
      <c r="C407" s="37" t="s">
        <v>882</v>
      </c>
      <c r="D407">
        <v>493</v>
      </c>
      <c r="E407" s="19">
        <f t="shared" si="28"/>
        <v>17.607142857142858</v>
      </c>
      <c r="F407" s="135">
        <v>198.98</v>
      </c>
      <c r="I407" s="124">
        <f t="shared" si="31"/>
        <v>986</v>
      </c>
      <c r="J407" t="b">
        <f t="shared" si="29"/>
        <v>1</v>
      </c>
      <c r="K407" s="4">
        <f t="shared" si="30"/>
        <v>-0.79819472616632858</v>
      </c>
      <c r="Q407">
        <v>0</v>
      </c>
      <c r="R407">
        <v>0</v>
      </c>
    </row>
    <row r="408" spans="2:18" hidden="1">
      <c r="B408" t="s">
        <v>863</v>
      </c>
      <c r="C408" t="s">
        <v>864</v>
      </c>
      <c r="D408" s="19">
        <v>569</v>
      </c>
      <c r="E408" s="19">
        <f t="shared" si="28"/>
        <v>20.321428571428573</v>
      </c>
      <c r="F408" s="5">
        <v>483.11</v>
      </c>
      <c r="I408" s="124">
        <f t="shared" si="31"/>
        <v>1138</v>
      </c>
      <c r="J408" t="b">
        <f t="shared" si="29"/>
        <v>1</v>
      </c>
      <c r="K408" s="4">
        <f t="shared" si="30"/>
        <v>-0.57547451669595784</v>
      </c>
      <c r="P408" t="s">
        <v>1161</v>
      </c>
      <c r="Q408">
        <v>566</v>
      </c>
      <c r="R408">
        <v>1224.96</v>
      </c>
    </row>
    <row r="409" spans="2:18" hidden="1">
      <c r="B409" t="s">
        <v>844</v>
      </c>
      <c r="C409" t="s">
        <v>845</v>
      </c>
      <c r="D409" s="19">
        <v>127</v>
      </c>
      <c r="E409" s="19">
        <f t="shared" si="28"/>
        <v>4.5357142857142856</v>
      </c>
      <c r="F409" s="5">
        <v>0</v>
      </c>
      <c r="I409" s="124">
        <f t="shared" si="31"/>
        <v>254</v>
      </c>
      <c r="J409" t="b">
        <f t="shared" si="29"/>
        <v>1</v>
      </c>
      <c r="K409" s="4">
        <f t="shared" si="30"/>
        <v>-1</v>
      </c>
      <c r="P409" t="s">
        <v>1173</v>
      </c>
      <c r="Q409">
        <v>601</v>
      </c>
      <c r="R409">
        <v>1605.96</v>
      </c>
    </row>
    <row r="410" spans="2:18" hidden="1">
      <c r="B410" s="133" t="s">
        <v>831</v>
      </c>
      <c r="C410" s="27" t="s">
        <v>832</v>
      </c>
      <c r="D410">
        <v>1550</v>
      </c>
      <c r="E410" s="19">
        <f t="shared" si="28"/>
        <v>55.357142857142854</v>
      </c>
      <c r="F410" s="135">
        <v>1953.43</v>
      </c>
      <c r="I410" s="124">
        <f t="shared" si="31"/>
        <v>3100</v>
      </c>
      <c r="J410" t="b">
        <f t="shared" si="29"/>
        <v>1</v>
      </c>
      <c r="K410" s="4">
        <f t="shared" si="30"/>
        <v>-0.36986129032258064</v>
      </c>
      <c r="P410" t="s">
        <v>1064</v>
      </c>
      <c r="Q410">
        <v>375</v>
      </c>
      <c r="R410">
        <v>652.58000000000004</v>
      </c>
    </row>
    <row r="411" spans="2:18" hidden="1">
      <c r="B411" t="s">
        <v>977</v>
      </c>
      <c r="C411" t="s">
        <v>978</v>
      </c>
      <c r="D411" s="19">
        <v>1080</v>
      </c>
      <c r="E411" s="19">
        <f t="shared" si="28"/>
        <v>38.571428571428569</v>
      </c>
      <c r="F411" s="5">
        <v>1137.8699999999999</v>
      </c>
      <c r="I411" s="124">
        <f t="shared" si="31"/>
        <v>2160</v>
      </c>
      <c r="J411" t="b">
        <f t="shared" si="29"/>
        <v>1</v>
      </c>
      <c r="K411" s="4">
        <f t="shared" si="30"/>
        <v>-0.47320833333333334</v>
      </c>
      <c r="P411" t="s">
        <v>1114</v>
      </c>
      <c r="Q411">
        <v>17</v>
      </c>
      <c r="R411">
        <v>31</v>
      </c>
    </row>
    <row r="412" spans="2:18" hidden="1">
      <c r="B412" t="s">
        <v>915</v>
      </c>
      <c r="C412" t="s">
        <v>916</v>
      </c>
      <c r="D412" s="19">
        <v>584</v>
      </c>
      <c r="E412" s="19">
        <f t="shared" si="28"/>
        <v>20.857142857142858</v>
      </c>
      <c r="F412" s="5">
        <v>562.41</v>
      </c>
      <c r="I412" s="124">
        <f t="shared" si="31"/>
        <v>1168</v>
      </c>
      <c r="J412" t="b">
        <f t="shared" si="29"/>
        <v>1</v>
      </c>
      <c r="K412" s="4">
        <f t="shared" si="30"/>
        <v>-0.51848458904109584</v>
      </c>
      <c r="P412" t="s">
        <v>1089</v>
      </c>
      <c r="Q412">
        <v>0</v>
      </c>
      <c r="R412">
        <v>0</v>
      </c>
    </row>
    <row r="413" spans="2:18" hidden="1">
      <c r="B413" t="s">
        <v>802</v>
      </c>
      <c r="C413" t="s">
        <v>803</v>
      </c>
      <c r="D413" s="19">
        <v>907</v>
      </c>
      <c r="E413" s="19">
        <f t="shared" si="28"/>
        <v>32.392857142857146</v>
      </c>
      <c r="F413" s="5">
        <v>708.32</v>
      </c>
      <c r="I413" s="124">
        <f t="shared" si="31"/>
        <v>1814</v>
      </c>
      <c r="J413" t="b">
        <f t="shared" si="29"/>
        <v>1</v>
      </c>
      <c r="K413" s="4">
        <f t="shared" si="30"/>
        <v>-0.60952590959206177</v>
      </c>
      <c r="P413" t="s">
        <v>1149</v>
      </c>
      <c r="Q413">
        <v>966</v>
      </c>
      <c r="R413">
        <v>591.04999999999995</v>
      </c>
    </row>
    <row r="414" spans="2:18" hidden="1">
      <c r="B414" t="s">
        <v>955</v>
      </c>
      <c r="C414" t="s">
        <v>956</v>
      </c>
      <c r="D414" s="19">
        <v>1177</v>
      </c>
      <c r="E414" s="19">
        <f t="shared" si="28"/>
        <v>42.035714285714285</v>
      </c>
      <c r="F414" s="5">
        <v>938.91</v>
      </c>
      <c r="I414" s="124">
        <f t="shared" si="31"/>
        <v>2354</v>
      </c>
      <c r="J414" t="b">
        <f t="shared" si="29"/>
        <v>1</v>
      </c>
      <c r="K414" s="4">
        <f t="shared" si="30"/>
        <v>-0.60114273576890398</v>
      </c>
      <c r="P414" t="s">
        <v>1151</v>
      </c>
      <c r="Q414">
        <v>22</v>
      </c>
      <c r="R414">
        <v>26.05</v>
      </c>
    </row>
    <row r="415" spans="2:18" ht="30" hidden="1">
      <c r="B415" s="24" t="s">
        <v>823</v>
      </c>
      <c r="C415" s="23" t="s">
        <v>824</v>
      </c>
      <c r="D415" s="19">
        <v>604</v>
      </c>
      <c r="E415" s="19">
        <f t="shared" si="28"/>
        <v>21.571428571428573</v>
      </c>
      <c r="F415" s="5">
        <v>907.71</v>
      </c>
      <c r="I415" s="124">
        <f t="shared" si="31"/>
        <v>1208</v>
      </c>
      <c r="J415" t="b">
        <f t="shared" si="29"/>
        <v>1</v>
      </c>
      <c r="K415" s="4">
        <f t="shared" si="30"/>
        <v>-0.24858443708609268</v>
      </c>
      <c r="P415" t="s">
        <v>1079</v>
      </c>
      <c r="Q415">
        <v>1292</v>
      </c>
      <c r="R415">
        <v>1954.98</v>
      </c>
    </row>
    <row r="416" spans="2:18" hidden="1">
      <c r="B416" t="s">
        <v>975</v>
      </c>
      <c r="C416" t="s">
        <v>976</v>
      </c>
      <c r="D416" s="19">
        <v>1779</v>
      </c>
      <c r="E416" s="19">
        <f t="shared" si="28"/>
        <v>63.535714285714285</v>
      </c>
      <c r="F416" s="5">
        <v>1533.17</v>
      </c>
      <c r="I416" s="124">
        <f t="shared" si="31"/>
        <v>3558</v>
      </c>
      <c r="J416" t="b">
        <f t="shared" si="29"/>
        <v>1</v>
      </c>
      <c r="K416" s="4">
        <f t="shared" si="30"/>
        <v>-0.56909218662169758</v>
      </c>
      <c r="P416" t="s">
        <v>1049</v>
      </c>
      <c r="Q416">
        <v>840</v>
      </c>
      <c r="R416">
        <v>462.91</v>
      </c>
    </row>
    <row r="417" spans="2:18" hidden="1">
      <c r="B417" t="s">
        <v>899</v>
      </c>
      <c r="C417" t="s">
        <v>900</v>
      </c>
      <c r="D417" s="19">
        <v>573</v>
      </c>
      <c r="E417" s="19">
        <f t="shared" si="28"/>
        <v>20.464285714285715</v>
      </c>
      <c r="F417" s="5">
        <v>1047.6199999999999</v>
      </c>
      <c r="I417" s="124">
        <f t="shared" si="31"/>
        <v>1146</v>
      </c>
      <c r="J417" t="b">
        <f t="shared" si="29"/>
        <v>1</v>
      </c>
      <c r="K417" s="4">
        <f t="shared" si="30"/>
        <v>-8.5846422338568984E-2</v>
      </c>
      <c r="P417" t="s">
        <v>1144</v>
      </c>
      <c r="Q417">
        <v>142</v>
      </c>
      <c r="R417">
        <v>0</v>
      </c>
    </row>
    <row r="418" spans="2:18" hidden="1">
      <c r="B418" t="s">
        <v>893</v>
      </c>
      <c r="C418" t="s">
        <v>894</v>
      </c>
      <c r="D418" s="19">
        <v>667</v>
      </c>
      <c r="E418" s="19">
        <f t="shared" si="28"/>
        <v>23.821428571428573</v>
      </c>
      <c r="F418" s="5">
        <v>661.13</v>
      </c>
      <c r="I418" s="135">
        <f t="shared" si="31"/>
        <v>1334</v>
      </c>
      <c r="J418" t="b">
        <f t="shared" si="29"/>
        <v>1</v>
      </c>
      <c r="K418" s="4">
        <f t="shared" si="30"/>
        <v>-0.50440029985007495</v>
      </c>
      <c r="P418" t="s">
        <v>1070</v>
      </c>
      <c r="Q418">
        <v>131</v>
      </c>
      <c r="R418">
        <v>513.11</v>
      </c>
    </row>
    <row r="419" spans="2:18" hidden="1">
      <c r="B419" t="s">
        <v>768</v>
      </c>
      <c r="C419" t="s">
        <v>769</v>
      </c>
      <c r="D419" s="19">
        <v>631</v>
      </c>
      <c r="E419" s="19">
        <f t="shared" si="28"/>
        <v>22.535714285714285</v>
      </c>
      <c r="F419" s="5">
        <v>876.82</v>
      </c>
      <c r="I419" s="124">
        <f t="shared" si="31"/>
        <v>1262</v>
      </c>
      <c r="J419" t="b">
        <f t="shared" si="29"/>
        <v>1</v>
      </c>
      <c r="K419" s="4">
        <f t="shared" si="30"/>
        <v>-0.30521394611727415</v>
      </c>
      <c r="P419" t="s">
        <v>1134</v>
      </c>
      <c r="Q419">
        <v>0</v>
      </c>
      <c r="R419">
        <v>0</v>
      </c>
    </row>
    <row r="420" spans="2:18" hidden="1">
      <c r="B420" t="s">
        <v>804</v>
      </c>
      <c r="C420" t="s">
        <v>805</v>
      </c>
      <c r="D420" s="19">
        <v>474</v>
      </c>
      <c r="E420" s="19">
        <f t="shared" si="28"/>
        <v>16.928571428571427</v>
      </c>
      <c r="F420" s="5">
        <v>337.45</v>
      </c>
      <c r="I420" s="124">
        <f t="shared" si="31"/>
        <v>948</v>
      </c>
      <c r="J420" t="b">
        <f t="shared" si="29"/>
        <v>1</v>
      </c>
      <c r="K420" s="4">
        <f t="shared" si="30"/>
        <v>-0.64404008438818572</v>
      </c>
      <c r="P420" t="s">
        <v>1284</v>
      </c>
      <c r="Q420">
        <v>683</v>
      </c>
      <c r="R420">
        <v>642.48</v>
      </c>
    </row>
    <row r="421" spans="2:18" ht="30" hidden="1">
      <c r="B421" s="134" t="s">
        <v>842</v>
      </c>
      <c r="C421" s="37" t="s">
        <v>843</v>
      </c>
      <c r="D421">
        <v>372</v>
      </c>
      <c r="E421" s="19">
        <f t="shared" si="28"/>
        <v>13.285714285714286</v>
      </c>
      <c r="F421" s="135">
        <v>194.92</v>
      </c>
      <c r="I421" s="135">
        <f t="shared" si="31"/>
        <v>744</v>
      </c>
      <c r="J421" t="b">
        <f t="shared" si="29"/>
        <v>1</v>
      </c>
      <c r="K421" s="4">
        <f t="shared" si="30"/>
        <v>-0.73801075268817207</v>
      </c>
      <c r="P421" t="s">
        <v>1138</v>
      </c>
      <c r="Q421">
        <v>276</v>
      </c>
      <c r="R421">
        <v>0</v>
      </c>
    </row>
    <row r="422" spans="2:18" hidden="1">
      <c r="B422" t="s">
        <v>772</v>
      </c>
      <c r="C422" t="s">
        <v>773</v>
      </c>
      <c r="D422" s="19">
        <v>849</v>
      </c>
      <c r="E422" s="19">
        <f t="shared" si="28"/>
        <v>30.321428571428573</v>
      </c>
      <c r="F422" s="5">
        <v>335.87</v>
      </c>
      <c r="I422" s="124">
        <f t="shared" si="31"/>
        <v>1698</v>
      </c>
      <c r="J422" t="b">
        <f t="shared" si="29"/>
        <v>1</v>
      </c>
      <c r="K422" s="4">
        <f t="shared" si="30"/>
        <v>-0.80219670200235571</v>
      </c>
      <c r="P422" t="s">
        <v>1169</v>
      </c>
      <c r="Q422">
        <v>295</v>
      </c>
      <c r="R422">
        <v>114.7</v>
      </c>
    </row>
    <row r="423" spans="2:18" hidden="1">
      <c r="B423" s="27" t="s">
        <v>782</v>
      </c>
      <c r="C423" s="27" t="s">
        <v>783</v>
      </c>
      <c r="D423" s="19">
        <v>978</v>
      </c>
      <c r="E423" s="19">
        <f t="shared" si="28"/>
        <v>34.928571428571431</v>
      </c>
      <c r="F423" s="5">
        <v>1464.9</v>
      </c>
      <c r="I423" s="124">
        <f t="shared" si="31"/>
        <v>1956</v>
      </c>
      <c r="J423" t="b">
        <f t="shared" si="29"/>
        <v>1</v>
      </c>
      <c r="K423" s="4">
        <f t="shared" si="30"/>
        <v>-0.25107361963190178</v>
      </c>
      <c r="P423" t="s">
        <v>1381</v>
      </c>
      <c r="Q423">
        <v>279</v>
      </c>
      <c r="R423">
        <v>0</v>
      </c>
    </row>
    <row r="424" spans="2:18" hidden="1">
      <c r="B424" t="s">
        <v>971</v>
      </c>
      <c r="C424" t="s">
        <v>972</v>
      </c>
      <c r="D424" s="19">
        <v>1064</v>
      </c>
      <c r="E424" s="19">
        <f t="shared" si="28"/>
        <v>38</v>
      </c>
      <c r="F424" s="5">
        <v>596.91999999999996</v>
      </c>
      <c r="I424" s="124">
        <f t="shared" si="31"/>
        <v>2128</v>
      </c>
      <c r="J424" t="b">
        <f t="shared" si="29"/>
        <v>1</v>
      </c>
      <c r="K424" s="4">
        <f t="shared" si="30"/>
        <v>-0.71949248120300746</v>
      </c>
      <c r="P424" t="s">
        <v>1219</v>
      </c>
      <c r="Q424">
        <v>1946</v>
      </c>
      <c r="R424">
        <v>2591</v>
      </c>
    </row>
    <row r="425" spans="2:18" ht="30" hidden="1">
      <c r="B425" s="134" t="s">
        <v>988</v>
      </c>
      <c r="C425" s="37" t="s">
        <v>989</v>
      </c>
      <c r="D425">
        <v>1492</v>
      </c>
      <c r="E425" s="19">
        <f t="shared" si="28"/>
        <v>53.285714285714285</v>
      </c>
      <c r="F425" s="135">
        <v>1555.42</v>
      </c>
      <c r="I425" s="124">
        <f t="shared" si="31"/>
        <v>2984</v>
      </c>
      <c r="J425" t="b">
        <f t="shared" si="29"/>
        <v>1</v>
      </c>
      <c r="K425" s="4">
        <f t="shared" si="30"/>
        <v>-0.47874664879356565</v>
      </c>
      <c r="P425" t="s">
        <v>1215</v>
      </c>
      <c r="Q425">
        <v>1462</v>
      </c>
      <c r="R425">
        <v>2207.94</v>
      </c>
    </row>
    <row r="426" spans="2:18" hidden="1">
      <c r="B426" t="s">
        <v>784</v>
      </c>
      <c r="C426" t="s">
        <v>785</v>
      </c>
      <c r="D426" s="19">
        <v>735</v>
      </c>
      <c r="E426" s="19">
        <f t="shared" si="28"/>
        <v>26.25</v>
      </c>
      <c r="F426" s="5">
        <v>963.5</v>
      </c>
      <c r="I426" s="124">
        <f t="shared" si="31"/>
        <v>1470</v>
      </c>
      <c r="J426" t="b">
        <f t="shared" si="29"/>
        <v>1</v>
      </c>
      <c r="K426" s="4">
        <f t="shared" si="30"/>
        <v>-0.34455782312925165</v>
      </c>
      <c r="P426" t="s">
        <v>1272</v>
      </c>
      <c r="Q426">
        <v>2083</v>
      </c>
      <c r="R426">
        <v>2456.46</v>
      </c>
    </row>
    <row r="427" spans="2:18" hidden="1">
      <c r="B427" t="s">
        <v>825</v>
      </c>
      <c r="C427" t="s">
        <v>826</v>
      </c>
      <c r="D427" s="19">
        <v>737</v>
      </c>
      <c r="E427" s="19">
        <f t="shared" ref="E427:E490" si="32">D427/28</f>
        <v>26.321428571428573</v>
      </c>
      <c r="F427" s="5">
        <v>678.39</v>
      </c>
      <c r="I427" s="124">
        <f t="shared" si="31"/>
        <v>1474</v>
      </c>
      <c r="J427" t="b">
        <f t="shared" ref="J427:J490" si="33">IF(F427&gt;1.2*I427,FALSE,TRUE)</f>
        <v>1</v>
      </c>
      <c r="K427" s="4">
        <f t="shared" ref="K427:K490" si="34">F427/I427-1</f>
        <v>-0.53976255088195391</v>
      </c>
      <c r="P427" t="s">
        <v>1157</v>
      </c>
      <c r="Q427">
        <v>336</v>
      </c>
      <c r="R427">
        <v>1014.8</v>
      </c>
    </row>
    <row r="428" spans="2:18" hidden="1">
      <c r="B428" s="57" t="s">
        <v>817</v>
      </c>
      <c r="C428" s="37" t="s">
        <v>818</v>
      </c>
      <c r="D428" s="19">
        <v>1063</v>
      </c>
      <c r="E428" s="19">
        <f t="shared" si="32"/>
        <v>37.964285714285715</v>
      </c>
      <c r="F428" s="5">
        <v>651.21</v>
      </c>
      <c r="I428" s="124">
        <f t="shared" si="31"/>
        <v>2126</v>
      </c>
      <c r="J428" t="b">
        <f t="shared" si="33"/>
        <v>1</v>
      </c>
      <c r="K428" s="4">
        <f t="shared" si="34"/>
        <v>-0.69369238005644407</v>
      </c>
      <c r="P428" t="s">
        <v>1263</v>
      </c>
      <c r="Q428">
        <v>1332</v>
      </c>
      <c r="R428">
        <v>1485.85</v>
      </c>
    </row>
    <row r="429" spans="2:18" hidden="1">
      <c r="B429" t="s">
        <v>895</v>
      </c>
      <c r="C429" t="s">
        <v>896</v>
      </c>
      <c r="D429" s="19">
        <v>685</v>
      </c>
      <c r="E429" s="19">
        <f t="shared" si="32"/>
        <v>24.464285714285715</v>
      </c>
      <c r="F429" s="5">
        <v>177.74</v>
      </c>
      <c r="I429" s="124">
        <f t="shared" si="31"/>
        <v>1370</v>
      </c>
      <c r="J429" t="b">
        <f t="shared" si="33"/>
        <v>1</v>
      </c>
      <c r="K429" s="4">
        <f t="shared" si="34"/>
        <v>-0.87026277372262772</v>
      </c>
      <c r="P429" t="s">
        <v>1108</v>
      </c>
      <c r="Q429">
        <v>796</v>
      </c>
      <c r="R429">
        <v>1368.16</v>
      </c>
    </row>
    <row r="430" spans="2:18" hidden="1">
      <c r="B430" t="s">
        <v>1032</v>
      </c>
      <c r="C430" t="s">
        <v>1033</v>
      </c>
      <c r="D430" s="19">
        <v>4000</v>
      </c>
      <c r="E430" s="19">
        <f t="shared" si="32"/>
        <v>142.85714285714286</v>
      </c>
      <c r="F430" s="5">
        <v>2643.99</v>
      </c>
      <c r="I430" s="124">
        <f t="shared" si="31"/>
        <v>8000</v>
      </c>
      <c r="J430" t="b">
        <f t="shared" si="33"/>
        <v>1</v>
      </c>
      <c r="K430" s="4">
        <f t="shared" si="34"/>
        <v>-0.66950125000000005</v>
      </c>
      <c r="P430" t="s">
        <v>1276</v>
      </c>
      <c r="Q430">
        <v>3891</v>
      </c>
      <c r="R430">
        <v>3675.14</v>
      </c>
    </row>
    <row r="431" spans="2:18" hidden="1">
      <c r="B431" t="s">
        <v>855</v>
      </c>
      <c r="C431" t="s">
        <v>856</v>
      </c>
      <c r="D431" s="19">
        <v>726</v>
      </c>
      <c r="E431" s="19">
        <f t="shared" si="32"/>
        <v>25.928571428571427</v>
      </c>
      <c r="F431" s="5">
        <v>180.15</v>
      </c>
      <c r="I431" s="124">
        <f t="shared" si="31"/>
        <v>1452</v>
      </c>
      <c r="J431" t="b">
        <f t="shared" si="33"/>
        <v>1</v>
      </c>
      <c r="K431" s="4">
        <f t="shared" si="34"/>
        <v>-0.87592975206611567</v>
      </c>
      <c r="P431" t="s">
        <v>1116</v>
      </c>
      <c r="Q431">
        <v>1452</v>
      </c>
      <c r="R431">
        <v>3178.29</v>
      </c>
    </row>
    <row r="432" spans="2:18" hidden="1">
      <c r="B432" t="s">
        <v>857</v>
      </c>
      <c r="C432" s="27" t="s">
        <v>858</v>
      </c>
      <c r="D432" s="19">
        <v>745</v>
      </c>
      <c r="E432" s="19">
        <f t="shared" si="32"/>
        <v>26.607142857142858</v>
      </c>
      <c r="F432" s="5">
        <v>1128.3399999999999</v>
      </c>
      <c r="I432" s="124">
        <f t="shared" si="31"/>
        <v>1490</v>
      </c>
      <c r="J432" t="b">
        <f t="shared" si="33"/>
        <v>1</v>
      </c>
      <c r="K432" s="4">
        <f t="shared" si="34"/>
        <v>-0.24272483221476515</v>
      </c>
      <c r="P432" t="s">
        <v>1186</v>
      </c>
      <c r="Q432">
        <v>1547</v>
      </c>
      <c r="R432">
        <v>2379.5700000000002</v>
      </c>
    </row>
    <row r="433" spans="2:18" hidden="1">
      <c r="B433" t="s">
        <v>911</v>
      </c>
      <c r="C433" t="s">
        <v>912</v>
      </c>
      <c r="D433" s="19">
        <v>862</v>
      </c>
      <c r="E433" s="19">
        <f t="shared" si="32"/>
        <v>30.785714285714285</v>
      </c>
      <c r="F433" s="5">
        <v>710.17</v>
      </c>
      <c r="I433" s="124">
        <f t="shared" si="31"/>
        <v>1724</v>
      </c>
      <c r="J433" t="b">
        <f t="shared" si="33"/>
        <v>1</v>
      </c>
      <c r="K433" s="4">
        <f t="shared" si="34"/>
        <v>-0.58806844547563808</v>
      </c>
      <c r="P433" t="s">
        <v>1171</v>
      </c>
      <c r="Q433">
        <v>303</v>
      </c>
      <c r="R433">
        <v>0</v>
      </c>
    </row>
    <row r="434" spans="2:18" hidden="1">
      <c r="B434" t="s">
        <v>776</v>
      </c>
      <c r="C434" t="s">
        <v>777</v>
      </c>
      <c r="D434" s="19">
        <v>601</v>
      </c>
      <c r="E434" s="19">
        <f t="shared" si="32"/>
        <v>21.464285714285715</v>
      </c>
      <c r="F434" s="5">
        <v>325.12</v>
      </c>
      <c r="I434" s="124">
        <f t="shared" si="31"/>
        <v>1202</v>
      </c>
      <c r="J434" t="b">
        <f t="shared" si="33"/>
        <v>1</v>
      </c>
      <c r="K434" s="4">
        <f t="shared" si="34"/>
        <v>-0.72951747088186358</v>
      </c>
      <c r="P434" t="s">
        <v>1265</v>
      </c>
      <c r="Q434">
        <v>1797</v>
      </c>
      <c r="R434">
        <v>1445.79</v>
      </c>
    </row>
    <row r="435" spans="2:18" hidden="1">
      <c r="B435" t="s">
        <v>827</v>
      </c>
      <c r="C435" t="s">
        <v>828</v>
      </c>
      <c r="D435">
        <v>933</v>
      </c>
      <c r="E435" s="19">
        <f t="shared" si="32"/>
        <v>33.321428571428569</v>
      </c>
      <c r="F435" s="5">
        <v>1313.37</v>
      </c>
      <c r="I435" s="124">
        <f t="shared" si="31"/>
        <v>1866</v>
      </c>
      <c r="J435" t="b">
        <f t="shared" si="33"/>
        <v>1</v>
      </c>
      <c r="K435" s="4">
        <f t="shared" si="34"/>
        <v>-0.29615755627009654</v>
      </c>
      <c r="P435" t="s">
        <v>1142</v>
      </c>
      <c r="Q435">
        <v>313</v>
      </c>
      <c r="R435">
        <v>201.38</v>
      </c>
    </row>
    <row r="436" spans="2:18" ht="30" hidden="1">
      <c r="B436" s="55" t="s">
        <v>936</v>
      </c>
      <c r="C436" s="37" t="s">
        <v>937</v>
      </c>
      <c r="D436">
        <v>1001</v>
      </c>
      <c r="E436" s="19">
        <f t="shared" si="32"/>
        <v>35.75</v>
      </c>
      <c r="F436" s="5">
        <v>687.96</v>
      </c>
      <c r="I436" s="124">
        <f t="shared" si="31"/>
        <v>2002</v>
      </c>
      <c r="J436" t="b">
        <f t="shared" si="33"/>
        <v>1</v>
      </c>
      <c r="K436" s="4">
        <f t="shared" si="34"/>
        <v>-0.65636363636363637</v>
      </c>
      <c r="P436" t="s">
        <v>1180</v>
      </c>
      <c r="Q436">
        <v>742</v>
      </c>
      <c r="R436">
        <v>704.89</v>
      </c>
    </row>
    <row r="437" spans="2:18" ht="30" hidden="1">
      <c r="B437" s="55" t="s">
        <v>833</v>
      </c>
      <c r="C437" s="37" t="s">
        <v>834</v>
      </c>
      <c r="D437">
        <v>1535</v>
      </c>
      <c r="E437" s="19">
        <f t="shared" si="32"/>
        <v>54.821428571428569</v>
      </c>
      <c r="F437" s="5">
        <v>2009.42</v>
      </c>
      <c r="I437" s="135">
        <f t="shared" si="31"/>
        <v>3070</v>
      </c>
      <c r="J437" t="b">
        <f t="shared" si="33"/>
        <v>1</v>
      </c>
      <c r="K437" s="4">
        <f t="shared" si="34"/>
        <v>-0.34546579804560262</v>
      </c>
      <c r="P437" t="s">
        <v>1201</v>
      </c>
      <c r="Q437">
        <v>356</v>
      </c>
      <c r="R437">
        <v>199.27</v>
      </c>
    </row>
    <row r="438" spans="2:18" ht="30" hidden="1">
      <c r="B438" s="140" t="s">
        <v>913</v>
      </c>
      <c r="C438" s="37" t="s">
        <v>914</v>
      </c>
      <c r="D438" s="19">
        <v>345</v>
      </c>
      <c r="E438" s="19">
        <f t="shared" si="32"/>
        <v>12.321428571428571</v>
      </c>
      <c r="F438" s="135">
        <v>532.54</v>
      </c>
      <c r="I438" s="124">
        <f t="shared" si="31"/>
        <v>690</v>
      </c>
      <c r="J438" t="b">
        <f t="shared" si="33"/>
        <v>1</v>
      </c>
      <c r="K438" s="4">
        <f t="shared" si="34"/>
        <v>-0.22820289855072473</v>
      </c>
      <c r="P438" t="s">
        <v>1068</v>
      </c>
      <c r="Q438">
        <v>1874</v>
      </c>
      <c r="R438">
        <v>3772.22</v>
      </c>
    </row>
    <row r="439" spans="2:18" hidden="1">
      <c r="B439" t="s">
        <v>930</v>
      </c>
      <c r="C439" t="s">
        <v>931</v>
      </c>
      <c r="D439">
        <v>1396</v>
      </c>
      <c r="E439" s="19">
        <f t="shared" si="32"/>
        <v>49.857142857142854</v>
      </c>
      <c r="F439" s="5">
        <v>1617.24</v>
      </c>
      <c r="I439" s="124">
        <f t="shared" si="31"/>
        <v>2792</v>
      </c>
      <c r="J439" t="b">
        <f t="shared" si="33"/>
        <v>1</v>
      </c>
      <c r="K439" s="4">
        <f t="shared" si="34"/>
        <v>-0.4207593123209169</v>
      </c>
      <c r="P439" t="s">
        <v>1140</v>
      </c>
      <c r="Q439">
        <v>434</v>
      </c>
      <c r="R439">
        <v>676.99</v>
      </c>
    </row>
    <row r="440" spans="2:18" hidden="1">
      <c r="B440" t="s">
        <v>1014</v>
      </c>
      <c r="C440" t="s">
        <v>1015</v>
      </c>
      <c r="D440">
        <v>1762</v>
      </c>
      <c r="E440" s="19">
        <f t="shared" si="32"/>
        <v>62.928571428571431</v>
      </c>
      <c r="F440" s="5">
        <v>328.98</v>
      </c>
      <c r="I440" s="124">
        <f t="shared" si="31"/>
        <v>3524</v>
      </c>
      <c r="J440" t="b">
        <f t="shared" si="33"/>
        <v>1</v>
      </c>
      <c r="K440" s="4">
        <f t="shared" si="34"/>
        <v>-0.90664585698070377</v>
      </c>
      <c r="P440" t="s">
        <v>1163</v>
      </c>
      <c r="Q440">
        <v>922</v>
      </c>
      <c r="R440">
        <v>615.99</v>
      </c>
    </row>
    <row r="441" spans="2:18" hidden="1">
      <c r="B441" t="s">
        <v>840</v>
      </c>
      <c r="C441" t="s">
        <v>841</v>
      </c>
      <c r="D441">
        <v>887</v>
      </c>
      <c r="E441" s="19">
        <f t="shared" si="32"/>
        <v>31.678571428571427</v>
      </c>
      <c r="F441" s="5">
        <v>874.53</v>
      </c>
      <c r="I441" s="124">
        <f t="shared" si="31"/>
        <v>1774</v>
      </c>
      <c r="J441" t="b">
        <f t="shared" si="33"/>
        <v>1</v>
      </c>
      <c r="K441" s="4">
        <f t="shared" si="34"/>
        <v>-0.50702931228861337</v>
      </c>
      <c r="P441" t="s">
        <v>1261</v>
      </c>
      <c r="Q441">
        <v>1303</v>
      </c>
      <c r="R441">
        <v>976.48</v>
      </c>
    </row>
    <row r="442" spans="2:18" hidden="1">
      <c r="B442" t="s">
        <v>879</v>
      </c>
      <c r="C442" t="s">
        <v>880</v>
      </c>
      <c r="D442">
        <v>764</v>
      </c>
      <c r="E442" s="19">
        <f t="shared" si="32"/>
        <v>27.285714285714285</v>
      </c>
      <c r="F442" s="5">
        <v>731.7</v>
      </c>
      <c r="I442" s="124">
        <f t="shared" si="31"/>
        <v>1528</v>
      </c>
      <c r="J442" t="b">
        <f t="shared" si="33"/>
        <v>1</v>
      </c>
      <c r="K442" s="4">
        <f t="shared" si="34"/>
        <v>-0.52113874345549738</v>
      </c>
      <c r="P442" t="s">
        <v>1056</v>
      </c>
      <c r="Q442">
        <v>1967</v>
      </c>
      <c r="R442">
        <v>2669.32</v>
      </c>
    </row>
    <row r="443" spans="2:18" hidden="1">
      <c r="B443" s="56" t="s">
        <v>877</v>
      </c>
      <c r="C443" s="37" t="s">
        <v>878</v>
      </c>
      <c r="D443">
        <v>1054</v>
      </c>
      <c r="E443" s="19">
        <f t="shared" si="32"/>
        <v>37.642857142857146</v>
      </c>
      <c r="F443" s="5">
        <v>1788.34</v>
      </c>
      <c r="I443" s="124">
        <f t="shared" si="31"/>
        <v>2108</v>
      </c>
      <c r="J443" t="b">
        <f t="shared" si="33"/>
        <v>1</v>
      </c>
      <c r="K443" s="4">
        <f t="shared" si="34"/>
        <v>-0.151641366223909</v>
      </c>
      <c r="P443" t="s">
        <v>1217</v>
      </c>
      <c r="Q443">
        <v>2648</v>
      </c>
      <c r="R443">
        <v>1533.95</v>
      </c>
    </row>
    <row r="444" spans="2:18" hidden="1">
      <c r="B444" s="55" t="s">
        <v>903</v>
      </c>
      <c r="C444" s="37" t="s">
        <v>904</v>
      </c>
      <c r="D444">
        <v>208</v>
      </c>
      <c r="E444" s="19">
        <f t="shared" si="32"/>
        <v>7.4285714285714288</v>
      </c>
      <c r="F444" s="5">
        <v>359.62</v>
      </c>
      <c r="I444" s="124">
        <f t="shared" si="31"/>
        <v>416</v>
      </c>
      <c r="J444" t="b">
        <f t="shared" si="33"/>
        <v>1</v>
      </c>
      <c r="K444" s="4">
        <f t="shared" si="34"/>
        <v>-0.13552884615384619</v>
      </c>
      <c r="P444" t="s">
        <v>1175</v>
      </c>
      <c r="Q444">
        <v>1099</v>
      </c>
      <c r="R444">
        <v>1681.39</v>
      </c>
    </row>
    <row r="445" spans="2:18" hidden="1">
      <c r="B445" t="s">
        <v>891</v>
      </c>
      <c r="C445" t="s">
        <v>892</v>
      </c>
      <c r="D445">
        <v>291</v>
      </c>
      <c r="E445" s="19">
        <f t="shared" si="32"/>
        <v>10.392857142857142</v>
      </c>
      <c r="F445" s="5">
        <v>320.92</v>
      </c>
      <c r="I445" s="124">
        <f t="shared" si="31"/>
        <v>582</v>
      </c>
      <c r="J445" t="b">
        <f t="shared" si="33"/>
        <v>1</v>
      </c>
      <c r="K445" s="4">
        <f t="shared" si="34"/>
        <v>-0.44859106529209625</v>
      </c>
      <c r="P445" t="s">
        <v>1062</v>
      </c>
      <c r="Q445">
        <v>3298</v>
      </c>
      <c r="R445">
        <v>6920.57</v>
      </c>
    </row>
    <row r="446" spans="2:18" hidden="1">
      <c r="B446" s="56" t="s">
        <v>949</v>
      </c>
      <c r="C446" s="37" t="s">
        <v>950</v>
      </c>
      <c r="D446">
        <v>1544</v>
      </c>
      <c r="E446" s="19">
        <f t="shared" si="32"/>
        <v>55.142857142857146</v>
      </c>
      <c r="F446" s="5">
        <v>2354.84</v>
      </c>
      <c r="I446" s="135">
        <f t="shared" si="31"/>
        <v>3088</v>
      </c>
      <c r="J446" t="b">
        <f t="shared" si="33"/>
        <v>1</v>
      </c>
      <c r="K446" s="4">
        <f t="shared" si="34"/>
        <v>-0.2374222797927461</v>
      </c>
      <c r="P446" t="s">
        <v>1132</v>
      </c>
      <c r="Q446">
        <v>355</v>
      </c>
      <c r="R446">
        <v>1017.38</v>
      </c>
    </row>
    <row r="447" spans="2:18" hidden="1">
      <c r="B447" t="s">
        <v>780</v>
      </c>
      <c r="C447" t="s">
        <v>781</v>
      </c>
      <c r="D447">
        <v>1177</v>
      </c>
      <c r="E447" s="19">
        <f t="shared" si="32"/>
        <v>42.035714285714285</v>
      </c>
      <c r="F447" s="5">
        <v>1288.8699999999999</v>
      </c>
      <c r="I447" s="124">
        <f t="shared" si="31"/>
        <v>2354</v>
      </c>
      <c r="J447" t="b">
        <f t="shared" si="33"/>
        <v>1</v>
      </c>
      <c r="K447" s="4">
        <f t="shared" si="34"/>
        <v>-0.45247663551401873</v>
      </c>
      <c r="P447" t="s">
        <v>1125</v>
      </c>
      <c r="Q447">
        <v>4192</v>
      </c>
      <c r="R447">
        <v>3703.72</v>
      </c>
    </row>
    <row r="448" spans="2:18" hidden="1">
      <c r="B448" s="57" t="s">
        <v>961</v>
      </c>
      <c r="C448" s="37" t="s">
        <v>962</v>
      </c>
      <c r="D448">
        <v>1548</v>
      </c>
      <c r="E448" s="19">
        <f t="shared" si="32"/>
        <v>55.285714285714285</v>
      </c>
      <c r="F448" s="5">
        <v>617.62</v>
      </c>
      <c r="I448" s="124">
        <f t="shared" si="31"/>
        <v>3096</v>
      </c>
      <c r="J448" t="b">
        <f t="shared" si="33"/>
        <v>1</v>
      </c>
      <c r="K448" s="4">
        <f t="shared" si="34"/>
        <v>-0.80051033591731269</v>
      </c>
      <c r="P448" t="s">
        <v>1295</v>
      </c>
      <c r="Q448">
        <v>5893</v>
      </c>
      <c r="R448">
        <v>4482.1899999999996</v>
      </c>
    </row>
    <row r="449" spans="2:18" hidden="1">
      <c r="B449" t="s">
        <v>887</v>
      </c>
      <c r="C449" t="s">
        <v>888</v>
      </c>
      <c r="D449">
        <v>487</v>
      </c>
      <c r="E449" s="19">
        <f t="shared" si="32"/>
        <v>17.392857142857142</v>
      </c>
      <c r="F449" s="5">
        <v>859.77</v>
      </c>
      <c r="I449" s="124">
        <f t="shared" si="31"/>
        <v>974</v>
      </c>
      <c r="J449" t="b">
        <f t="shared" si="33"/>
        <v>1</v>
      </c>
      <c r="K449" s="4">
        <f t="shared" si="34"/>
        <v>-0.1172792607802875</v>
      </c>
      <c r="P449" t="s">
        <v>1066</v>
      </c>
      <c r="Q449">
        <v>1168</v>
      </c>
      <c r="R449">
        <v>1022.36</v>
      </c>
    </row>
    <row r="450" spans="2:18" hidden="1">
      <c r="B450" t="s">
        <v>965</v>
      </c>
      <c r="C450" t="s">
        <v>966</v>
      </c>
      <c r="D450">
        <v>1444</v>
      </c>
      <c r="E450" s="19">
        <f t="shared" si="32"/>
        <v>51.571428571428569</v>
      </c>
      <c r="F450" s="5">
        <v>1689.91</v>
      </c>
      <c r="I450" s="124">
        <f t="shared" si="31"/>
        <v>2888</v>
      </c>
      <c r="J450" t="b">
        <f t="shared" si="33"/>
        <v>1</v>
      </c>
      <c r="K450" s="4">
        <f t="shared" si="34"/>
        <v>-0.41485110803324099</v>
      </c>
      <c r="P450" t="s">
        <v>1153</v>
      </c>
      <c r="Q450">
        <v>660</v>
      </c>
      <c r="R450">
        <v>1099.67</v>
      </c>
    </row>
    <row r="451" spans="2:18" hidden="1">
      <c r="B451" t="s">
        <v>749</v>
      </c>
      <c r="C451" t="s">
        <v>750</v>
      </c>
      <c r="D451">
        <v>1344</v>
      </c>
      <c r="E451" s="19">
        <f t="shared" si="32"/>
        <v>48</v>
      </c>
      <c r="F451" s="5">
        <v>1338.31</v>
      </c>
      <c r="I451" s="124">
        <f t="shared" si="31"/>
        <v>2688</v>
      </c>
      <c r="J451" t="b">
        <f t="shared" si="33"/>
        <v>1</v>
      </c>
      <c r="K451" s="4">
        <f t="shared" si="34"/>
        <v>-0.50211681547619047</v>
      </c>
      <c r="P451" t="s">
        <v>1102</v>
      </c>
      <c r="Q451">
        <v>1341</v>
      </c>
      <c r="R451">
        <v>2691.33</v>
      </c>
    </row>
    <row r="452" spans="2:18" hidden="1">
      <c r="B452" t="s">
        <v>794</v>
      </c>
      <c r="C452" t="s">
        <v>795</v>
      </c>
      <c r="D452">
        <v>565</v>
      </c>
      <c r="E452" s="19">
        <f t="shared" si="32"/>
        <v>20.178571428571427</v>
      </c>
      <c r="F452" s="5">
        <v>573.41</v>
      </c>
      <c r="I452" s="124">
        <f t="shared" si="31"/>
        <v>1130</v>
      </c>
      <c r="J452" t="b">
        <f t="shared" si="33"/>
        <v>1</v>
      </c>
      <c r="K452" s="4">
        <f t="shared" si="34"/>
        <v>-0.49255752212389381</v>
      </c>
      <c r="P452" t="s">
        <v>1184</v>
      </c>
      <c r="Q452">
        <v>3129</v>
      </c>
      <c r="R452">
        <v>2951.94</v>
      </c>
    </row>
    <row r="453" spans="2:18" hidden="1">
      <c r="B453" t="s">
        <v>743</v>
      </c>
      <c r="C453" t="s">
        <v>744</v>
      </c>
      <c r="D453">
        <v>1279</v>
      </c>
      <c r="E453" s="19">
        <f t="shared" si="32"/>
        <v>45.678571428571431</v>
      </c>
      <c r="F453" s="5">
        <v>1760.49</v>
      </c>
      <c r="I453" s="124">
        <f t="shared" si="31"/>
        <v>2558</v>
      </c>
      <c r="J453" t="b">
        <f t="shared" si="33"/>
        <v>1</v>
      </c>
      <c r="K453" s="4">
        <f t="shared" si="34"/>
        <v>-0.31177091477716967</v>
      </c>
      <c r="P453" t="s">
        <v>1098</v>
      </c>
      <c r="Q453">
        <v>3780</v>
      </c>
      <c r="R453">
        <v>6358.12</v>
      </c>
    </row>
    <row r="454" spans="2:18" hidden="1">
      <c r="B454" t="s">
        <v>981</v>
      </c>
      <c r="C454" t="s">
        <v>982</v>
      </c>
      <c r="D454">
        <v>1677</v>
      </c>
      <c r="E454" s="19">
        <f t="shared" si="32"/>
        <v>59.892857142857146</v>
      </c>
      <c r="F454" s="5">
        <v>1377.09</v>
      </c>
      <c r="I454" s="124">
        <f t="shared" si="31"/>
        <v>3354</v>
      </c>
      <c r="J454" t="b">
        <f t="shared" si="33"/>
        <v>1</v>
      </c>
      <c r="K454" s="4">
        <f t="shared" si="34"/>
        <v>-0.5894186046511628</v>
      </c>
      <c r="P454" t="s">
        <v>1255</v>
      </c>
      <c r="Q454">
        <v>4424</v>
      </c>
      <c r="R454">
        <v>4518.8</v>
      </c>
    </row>
    <row r="455" spans="2:18" hidden="1">
      <c r="B455" t="s">
        <v>885</v>
      </c>
      <c r="C455" t="s">
        <v>886</v>
      </c>
      <c r="D455">
        <v>1041</v>
      </c>
      <c r="E455" s="19">
        <f t="shared" si="32"/>
        <v>37.178571428571431</v>
      </c>
      <c r="F455" s="5">
        <v>1122.6400000000001</v>
      </c>
      <c r="I455" s="124">
        <f t="shared" si="31"/>
        <v>2082</v>
      </c>
      <c r="J455" t="b">
        <f t="shared" si="33"/>
        <v>1</v>
      </c>
      <c r="K455" s="4">
        <f t="shared" si="34"/>
        <v>-0.46078770413064352</v>
      </c>
      <c r="P455" t="s">
        <v>1251</v>
      </c>
      <c r="Q455">
        <v>910</v>
      </c>
      <c r="R455">
        <v>2003.82</v>
      </c>
    </row>
    <row r="456" spans="2:18" hidden="1">
      <c r="B456" t="s">
        <v>753</v>
      </c>
      <c r="C456" t="s">
        <v>754</v>
      </c>
      <c r="D456">
        <v>764</v>
      </c>
      <c r="E456" s="19">
        <f t="shared" si="32"/>
        <v>27.285714285714285</v>
      </c>
      <c r="F456" s="5">
        <v>547.55999999999995</v>
      </c>
      <c r="I456" s="124">
        <f t="shared" si="31"/>
        <v>1528</v>
      </c>
      <c r="J456" t="b">
        <f t="shared" si="33"/>
        <v>1</v>
      </c>
      <c r="K456" s="4">
        <f t="shared" si="34"/>
        <v>-0.64164921465968594</v>
      </c>
    </row>
    <row r="457" spans="2:18" hidden="1">
      <c r="B457" t="s">
        <v>759</v>
      </c>
      <c r="C457" t="s">
        <v>760</v>
      </c>
      <c r="D457">
        <v>2658</v>
      </c>
      <c r="E457" s="19">
        <f t="shared" si="32"/>
        <v>94.928571428571431</v>
      </c>
      <c r="F457" s="5">
        <v>2048.86</v>
      </c>
      <c r="I457" s="124">
        <f t="shared" si="31"/>
        <v>5316</v>
      </c>
      <c r="J457" t="b">
        <f t="shared" si="33"/>
        <v>1</v>
      </c>
      <c r="K457" s="4">
        <f t="shared" si="34"/>
        <v>-0.61458615500376212</v>
      </c>
    </row>
    <row r="458" spans="2:18" hidden="1">
      <c r="B458" t="s">
        <v>907</v>
      </c>
      <c r="C458" t="s">
        <v>908</v>
      </c>
      <c r="D458">
        <v>1194</v>
      </c>
      <c r="E458" s="19">
        <f t="shared" si="32"/>
        <v>42.642857142857146</v>
      </c>
      <c r="F458" s="5">
        <v>2320.14</v>
      </c>
      <c r="I458" s="124">
        <f t="shared" si="31"/>
        <v>2388</v>
      </c>
      <c r="J458" t="b">
        <f t="shared" si="33"/>
        <v>1</v>
      </c>
      <c r="K458" s="4">
        <f t="shared" si="34"/>
        <v>-2.8417085427135724E-2</v>
      </c>
    </row>
    <row r="459" spans="2:18" hidden="1">
      <c r="B459" t="s">
        <v>996</v>
      </c>
      <c r="C459" t="s">
        <v>997</v>
      </c>
      <c r="D459">
        <v>929</v>
      </c>
      <c r="E459" s="19">
        <f t="shared" si="32"/>
        <v>33.178571428571431</v>
      </c>
      <c r="F459" s="5">
        <v>1522.87</v>
      </c>
      <c r="I459" s="124">
        <f t="shared" si="31"/>
        <v>1858</v>
      </c>
      <c r="J459" t="b">
        <f t="shared" si="33"/>
        <v>1</v>
      </c>
      <c r="K459" s="4">
        <f t="shared" si="34"/>
        <v>-0.18037136706135637</v>
      </c>
    </row>
    <row r="460" spans="2:18" hidden="1">
      <c r="B460" t="s">
        <v>1016</v>
      </c>
      <c r="C460" t="s">
        <v>1017</v>
      </c>
      <c r="D460">
        <v>3239</v>
      </c>
      <c r="E460" s="19">
        <f t="shared" si="32"/>
        <v>115.67857142857143</v>
      </c>
      <c r="F460" s="5">
        <v>3042.22</v>
      </c>
      <c r="I460" s="124">
        <f t="shared" si="31"/>
        <v>6478</v>
      </c>
      <c r="J460" t="b">
        <f t="shared" si="33"/>
        <v>1</v>
      </c>
      <c r="K460" s="4">
        <f t="shared" si="34"/>
        <v>-0.53037665946279722</v>
      </c>
    </row>
    <row r="461" spans="2:18" hidden="1">
      <c r="B461" t="s">
        <v>1024</v>
      </c>
      <c r="C461" t="s">
        <v>1025</v>
      </c>
      <c r="D461">
        <v>4945</v>
      </c>
      <c r="E461" s="19">
        <f t="shared" si="32"/>
        <v>176.60714285714286</v>
      </c>
      <c r="F461" s="5">
        <v>5313.16</v>
      </c>
      <c r="I461" s="124">
        <f t="shared" si="31"/>
        <v>9890</v>
      </c>
      <c r="J461" t="b">
        <f t="shared" si="33"/>
        <v>1</v>
      </c>
      <c r="K461" s="4">
        <f t="shared" si="34"/>
        <v>-0.46277451971688577</v>
      </c>
    </row>
    <row r="462" spans="2:18" hidden="1">
      <c r="B462" t="s">
        <v>727</v>
      </c>
      <c r="C462" t="s">
        <v>728</v>
      </c>
      <c r="D462">
        <v>1116</v>
      </c>
      <c r="E462" s="19">
        <f t="shared" si="32"/>
        <v>39.857142857142854</v>
      </c>
      <c r="F462" s="5">
        <v>971.26</v>
      </c>
      <c r="I462" s="124">
        <f t="shared" si="31"/>
        <v>2232</v>
      </c>
      <c r="J462" t="b">
        <f t="shared" si="33"/>
        <v>1</v>
      </c>
      <c r="K462" s="4">
        <f t="shared" si="34"/>
        <v>-0.56484767025089599</v>
      </c>
    </row>
    <row r="463" spans="2:18" hidden="1">
      <c r="B463" t="s">
        <v>788</v>
      </c>
      <c r="C463" t="s">
        <v>789</v>
      </c>
      <c r="D463">
        <v>1325</v>
      </c>
      <c r="E463" s="19">
        <f t="shared" si="32"/>
        <v>47.321428571428569</v>
      </c>
      <c r="F463" s="5">
        <v>1066.4000000000001</v>
      </c>
      <c r="I463" s="124">
        <f t="shared" si="31"/>
        <v>2650</v>
      </c>
      <c r="J463" t="b">
        <f t="shared" si="33"/>
        <v>1</v>
      </c>
      <c r="K463" s="4">
        <f t="shared" si="34"/>
        <v>-0.59758490566037725</v>
      </c>
    </row>
    <row r="464" spans="2:18" hidden="1">
      <c r="B464" t="s">
        <v>798</v>
      </c>
      <c r="C464" t="s">
        <v>799</v>
      </c>
      <c r="D464">
        <v>1826</v>
      </c>
      <c r="E464" s="19">
        <f t="shared" si="32"/>
        <v>65.214285714285708</v>
      </c>
      <c r="F464" s="5">
        <v>1944.61</v>
      </c>
      <c r="I464" s="124">
        <f t="shared" si="31"/>
        <v>3652</v>
      </c>
      <c r="J464" t="b">
        <f t="shared" si="33"/>
        <v>1</v>
      </c>
      <c r="K464" s="4">
        <f t="shared" si="34"/>
        <v>-0.46752190580503838</v>
      </c>
    </row>
    <row r="465" spans="2:11" hidden="1">
      <c r="B465" t="s">
        <v>973</v>
      </c>
      <c r="C465" t="s">
        <v>974</v>
      </c>
      <c r="D465">
        <v>589</v>
      </c>
      <c r="E465" s="19">
        <f t="shared" si="32"/>
        <v>21.035714285714285</v>
      </c>
      <c r="F465" s="5">
        <v>449.98</v>
      </c>
      <c r="I465" s="124">
        <f t="shared" si="31"/>
        <v>1178</v>
      </c>
      <c r="J465" t="b">
        <f t="shared" si="33"/>
        <v>1</v>
      </c>
      <c r="K465" s="4">
        <f t="shared" si="34"/>
        <v>-0.61801358234295423</v>
      </c>
    </row>
    <row r="466" spans="2:11" hidden="1">
      <c r="B466" t="s">
        <v>757</v>
      </c>
      <c r="C466" t="s">
        <v>758</v>
      </c>
      <c r="D466">
        <v>442</v>
      </c>
      <c r="E466" s="19">
        <f t="shared" si="32"/>
        <v>15.785714285714286</v>
      </c>
      <c r="F466" s="5">
        <v>653.13</v>
      </c>
      <c r="I466" s="124">
        <f t="shared" si="31"/>
        <v>884</v>
      </c>
      <c r="J466" t="b">
        <f t="shared" si="33"/>
        <v>1</v>
      </c>
      <c r="K466" s="4">
        <f t="shared" si="34"/>
        <v>-0.26116515837104071</v>
      </c>
    </row>
    <row r="467" spans="2:11" hidden="1">
      <c r="B467" t="s">
        <v>819</v>
      </c>
      <c r="C467" t="s">
        <v>820</v>
      </c>
      <c r="D467">
        <v>1959</v>
      </c>
      <c r="E467" s="19">
        <f t="shared" si="32"/>
        <v>69.964285714285708</v>
      </c>
      <c r="F467" s="5">
        <v>2868.86</v>
      </c>
      <c r="I467" s="124">
        <f t="shared" ref="I467:I530" si="35">IF((D467/28)&gt;100,D467*2,D467*2)</f>
        <v>3918</v>
      </c>
      <c r="J467" t="b">
        <f t="shared" si="33"/>
        <v>1</v>
      </c>
      <c r="K467" s="4">
        <f t="shared" si="34"/>
        <v>-0.26777437468095966</v>
      </c>
    </row>
    <row r="468" spans="2:11" hidden="1">
      <c r="B468" t="s">
        <v>1000</v>
      </c>
      <c r="C468" t="s">
        <v>1001</v>
      </c>
      <c r="D468">
        <v>760</v>
      </c>
      <c r="E468" s="19">
        <f t="shared" si="32"/>
        <v>27.142857142857142</v>
      </c>
      <c r="F468" s="5">
        <v>353.24</v>
      </c>
      <c r="I468" s="124">
        <f t="shared" si="35"/>
        <v>1520</v>
      </c>
      <c r="J468" t="b">
        <f t="shared" si="33"/>
        <v>1</v>
      </c>
      <c r="K468" s="4">
        <f t="shared" si="34"/>
        <v>-0.76760526315789468</v>
      </c>
    </row>
    <row r="469" spans="2:11" hidden="1">
      <c r="B469" t="s">
        <v>897</v>
      </c>
      <c r="C469" t="s">
        <v>898</v>
      </c>
      <c r="D469">
        <v>1000</v>
      </c>
      <c r="E469" s="19">
        <f t="shared" si="32"/>
        <v>35.714285714285715</v>
      </c>
      <c r="F469" s="5">
        <v>1152.47</v>
      </c>
      <c r="I469" s="124">
        <f t="shared" si="35"/>
        <v>2000</v>
      </c>
      <c r="J469" t="b">
        <f t="shared" si="33"/>
        <v>1</v>
      </c>
      <c r="K469" s="4">
        <f t="shared" si="34"/>
        <v>-0.42376499999999995</v>
      </c>
    </row>
    <row r="470" spans="2:11" hidden="1">
      <c r="B470" t="s">
        <v>745</v>
      </c>
      <c r="C470" t="s">
        <v>746</v>
      </c>
      <c r="D470">
        <v>3242</v>
      </c>
      <c r="E470" s="19">
        <f t="shared" si="32"/>
        <v>115.78571428571429</v>
      </c>
      <c r="F470" s="5">
        <v>2823.58</v>
      </c>
      <c r="I470" s="124">
        <f t="shared" si="35"/>
        <v>6484</v>
      </c>
      <c r="J470" t="b">
        <f t="shared" si="33"/>
        <v>1</v>
      </c>
      <c r="K470" s="4">
        <f t="shared" si="34"/>
        <v>-0.5645311536088834</v>
      </c>
    </row>
    <row r="471" spans="2:11" hidden="1">
      <c r="B471" t="s">
        <v>725</v>
      </c>
      <c r="C471" t="s">
        <v>726</v>
      </c>
      <c r="D471">
        <v>5001</v>
      </c>
      <c r="E471" s="19">
        <f t="shared" si="32"/>
        <v>178.60714285714286</v>
      </c>
      <c r="F471" s="5">
        <v>2156.4899999999998</v>
      </c>
      <c r="I471" s="124">
        <f t="shared" si="35"/>
        <v>10002</v>
      </c>
      <c r="J471" t="b">
        <f t="shared" si="33"/>
        <v>1</v>
      </c>
      <c r="K471" s="4">
        <f t="shared" si="34"/>
        <v>-0.7843941211757649</v>
      </c>
    </row>
    <row r="472" spans="2:11" hidden="1">
      <c r="B472" t="s">
        <v>1008</v>
      </c>
      <c r="C472" t="s">
        <v>1009</v>
      </c>
      <c r="D472">
        <v>1344</v>
      </c>
      <c r="E472" s="19">
        <f t="shared" si="32"/>
        <v>48</v>
      </c>
      <c r="F472" s="5">
        <v>1809.9900000000002</v>
      </c>
      <c r="I472" s="124">
        <f t="shared" si="35"/>
        <v>2688</v>
      </c>
      <c r="J472" t="b">
        <f t="shared" si="33"/>
        <v>1</v>
      </c>
      <c r="K472" s="4">
        <f t="shared" si="34"/>
        <v>-0.32664062499999991</v>
      </c>
    </row>
    <row r="473" spans="2:11" hidden="1">
      <c r="B473" t="s">
        <v>741</v>
      </c>
      <c r="C473" t="s">
        <v>742</v>
      </c>
      <c r="D473">
        <v>3538</v>
      </c>
      <c r="E473" s="19">
        <f t="shared" si="32"/>
        <v>126.35714285714286</v>
      </c>
      <c r="F473" s="5">
        <v>3299.65</v>
      </c>
      <c r="I473" s="124">
        <f t="shared" si="35"/>
        <v>7076</v>
      </c>
      <c r="J473" t="b">
        <f t="shared" si="33"/>
        <v>1</v>
      </c>
      <c r="K473" s="4">
        <f t="shared" si="34"/>
        <v>-0.53368428490672692</v>
      </c>
    </row>
    <row r="474" spans="2:11" hidden="1">
      <c r="B474" t="s">
        <v>1002</v>
      </c>
      <c r="C474" t="s">
        <v>1003</v>
      </c>
      <c r="D474">
        <v>993</v>
      </c>
      <c r="E474" s="19">
        <f t="shared" si="32"/>
        <v>35.464285714285715</v>
      </c>
      <c r="F474" s="5">
        <v>1350.4</v>
      </c>
      <c r="I474" s="124">
        <f t="shared" si="35"/>
        <v>1986</v>
      </c>
      <c r="J474" t="b">
        <f t="shared" si="33"/>
        <v>1</v>
      </c>
      <c r="K474" s="4">
        <f t="shared" si="34"/>
        <v>-0.32004028197381662</v>
      </c>
    </row>
    <row r="475" spans="2:11">
      <c r="B475" t="s">
        <v>942</v>
      </c>
      <c r="C475" t="s">
        <v>943</v>
      </c>
      <c r="D475">
        <v>195</v>
      </c>
      <c r="E475" s="19">
        <f t="shared" si="32"/>
        <v>6.9642857142857144</v>
      </c>
      <c r="F475" s="5">
        <v>828.34</v>
      </c>
      <c r="I475" s="124">
        <f t="shared" si="35"/>
        <v>390</v>
      </c>
      <c r="J475" t="b">
        <f t="shared" si="33"/>
        <v>0</v>
      </c>
      <c r="K475" s="4">
        <f t="shared" si="34"/>
        <v>1.1239487179487182</v>
      </c>
    </row>
    <row r="476" spans="2:11" hidden="1">
      <c r="B476" t="s">
        <v>1018</v>
      </c>
      <c r="C476" t="s">
        <v>1019</v>
      </c>
      <c r="D476">
        <v>1044</v>
      </c>
      <c r="E476" s="19">
        <f t="shared" si="32"/>
        <v>37.285714285714285</v>
      </c>
      <c r="F476" s="5">
        <v>1834.47</v>
      </c>
      <c r="I476" s="124">
        <f t="shared" si="35"/>
        <v>2088</v>
      </c>
      <c r="J476" t="b">
        <f t="shared" si="33"/>
        <v>1</v>
      </c>
      <c r="K476" s="4">
        <f t="shared" si="34"/>
        <v>-0.12142241379310348</v>
      </c>
    </row>
    <row r="477" spans="2:11">
      <c r="B477" t="s">
        <v>953</v>
      </c>
      <c r="C477" t="s">
        <v>954</v>
      </c>
      <c r="D477">
        <v>178</v>
      </c>
      <c r="E477" s="19">
        <f t="shared" si="32"/>
        <v>6.3571428571428568</v>
      </c>
      <c r="F477" s="5">
        <v>478.59</v>
      </c>
      <c r="I477" s="124">
        <f t="shared" si="35"/>
        <v>356</v>
      </c>
      <c r="J477" t="b">
        <f t="shared" si="33"/>
        <v>0</v>
      </c>
      <c r="K477" s="4">
        <f t="shared" si="34"/>
        <v>0.3443539325842695</v>
      </c>
    </row>
    <row r="478" spans="2:11" hidden="1">
      <c r="B478" t="s">
        <v>1294</v>
      </c>
      <c r="C478" t="s">
        <v>1295</v>
      </c>
      <c r="D478">
        <v>6152</v>
      </c>
      <c r="E478" s="19">
        <f t="shared" si="32"/>
        <v>219.71428571428572</v>
      </c>
      <c r="F478" s="5">
        <v>4172.37</v>
      </c>
      <c r="I478" s="124">
        <f t="shared" si="35"/>
        <v>12304</v>
      </c>
      <c r="J478" t="b">
        <f t="shared" si="33"/>
        <v>1</v>
      </c>
      <c r="K478" s="4">
        <f t="shared" si="34"/>
        <v>-0.66089320546163854</v>
      </c>
    </row>
    <row r="479" spans="2:11" hidden="1">
      <c r="B479" t="s">
        <v>1271</v>
      </c>
      <c r="C479" t="s">
        <v>1272</v>
      </c>
      <c r="D479">
        <v>1644</v>
      </c>
      <c r="E479" s="19">
        <f t="shared" si="32"/>
        <v>58.714285714285715</v>
      </c>
      <c r="F479" s="5">
        <v>1664.58</v>
      </c>
      <c r="I479" s="124">
        <f t="shared" si="35"/>
        <v>3288</v>
      </c>
      <c r="J479" t="b">
        <f t="shared" si="33"/>
        <v>1</v>
      </c>
      <c r="K479" s="4">
        <f t="shared" si="34"/>
        <v>-0.49374087591240878</v>
      </c>
    </row>
    <row r="480" spans="2:11" hidden="1">
      <c r="B480" t="s">
        <v>1264</v>
      </c>
      <c r="C480" t="s">
        <v>1265</v>
      </c>
      <c r="D480">
        <v>2094</v>
      </c>
      <c r="E480" s="19">
        <f t="shared" si="32"/>
        <v>74.785714285714292</v>
      </c>
      <c r="F480" s="5">
        <v>1449.77</v>
      </c>
      <c r="I480" s="124">
        <f t="shared" si="35"/>
        <v>4188</v>
      </c>
      <c r="J480" t="b">
        <f t="shared" si="33"/>
        <v>1</v>
      </c>
      <c r="K480" s="4">
        <f t="shared" si="34"/>
        <v>-0.65382760267430751</v>
      </c>
    </row>
    <row r="481" spans="2:11" hidden="1">
      <c r="B481" t="s">
        <v>1291</v>
      </c>
      <c r="C481" t="s">
        <v>1292</v>
      </c>
      <c r="D481">
        <v>4768</v>
      </c>
      <c r="E481" s="19">
        <f t="shared" si="32"/>
        <v>170.28571428571428</v>
      </c>
      <c r="F481" s="5">
        <v>4339.4399999999996</v>
      </c>
      <c r="I481" s="124">
        <f t="shared" si="35"/>
        <v>9536</v>
      </c>
      <c r="J481" t="b">
        <f t="shared" si="33"/>
        <v>1</v>
      </c>
      <c r="K481" s="4">
        <f t="shared" si="34"/>
        <v>-0.54494127516778534</v>
      </c>
    </row>
    <row r="482" spans="2:11" hidden="1">
      <c r="B482" t="s">
        <v>1289</v>
      </c>
      <c r="C482" t="s">
        <v>1290</v>
      </c>
      <c r="D482">
        <v>2019</v>
      </c>
      <c r="E482" s="19">
        <f t="shared" si="32"/>
        <v>72.107142857142861</v>
      </c>
      <c r="F482" s="5">
        <v>3776.47</v>
      </c>
      <c r="I482" s="124">
        <f t="shared" si="35"/>
        <v>4038</v>
      </c>
      <c r="J482" t="b">
        <f t="shared" si="33"/>
        <v>1</v>
      </c>
      <c r="K482" s="4">
        <f t="shared" si="34"/>
        <v>-6.4767211490837084E-2</v>
      </c>
    </row>
    <row r="483" spans="2:11" hidden="1">
      <c r="B483" t="s">
        <v>1256</v>
      </c>
      <c r="C483" t="s">
        <v>1257</v>
      </c>
      <c r="D483">
        <v>2423</v>
      </c>
      <c r="E483" s="19">
        <f t="shared" si="32"/>
        <v>86.535714285714292</v>
      </c>
      <c r="F483" s="5">
        <v>3272.51</v>
      </c>
      <c r="I483" s="124">
        <f t="shared" si="35"/>
        <v>4846</v>
      </c>
      <c r="J483" t="b">
        <f t="shared" si="33"/>
        <v>1</v>
      </c>
      <c r="K483" s="4">
        <f t="shared" si="34"/>
        <v>-0.32469872059430449</v>
      </c>
    </row>
    <row r="484" spans="2:11" hidden="1">
      <c r="B484" t="s">
        <v>1050</v>
      </c>
      <c r="C484" t="s">
        <v>1051</v>
      </c>
      <c r="D484">
        <v>891</v>
      </c>
      <c r="E484" s="19">
        <f t="shared" si="32"/>
        <v>31.821428571428573</v>
      </c>
      <c r="F484" s="5">
        <v>673.48</v>
      </c>
      <c r="I484" s="124">
        <f t="shared" si="35"/>
        <v>1782</v>
      </c>
      <c r="J484" t="b">
        <f t="shared" si="33"/>
        <v>1</v>
      </c>
      <c r="K484" s="4">
        <f t="shared" si="34"/>
        <v>-0.6220650953984288</v>
      </c>
    </row>
    <row r="485" spans="2:11" hidden="1">
      <c r="B485" t="s">
        <v>1269</v>
      </c>
      <c r="C485" t="s">
        <v>1270</v>
      </c>
      <c r="D485">
        <v>1914</v>
      </c>
      <c r="E485" s="19">
        <f t="shared" si="32"/>
        <v>68.357142857142861</v>
      </c>
      <c r="F485" s="5">
        <v>2524.5100000000002</v>
      </c>
      <c r="I485" s="124">
        <f t="shared" si="35"/>
        <v>3828</v>
      </c>
      <c r="J485" t="b">
        <f t="shared" si="33"/>
        <v>1</v>
      </c>
      <c r="K485" s="4">
        <f t="shared" si="34"/>
        <v>-0.34051462904911178</v>
      </c>
    </row>
    <row r="486" spans="2:11" hidden="1">
      <c r="B486" t="s">
        <v>1084</v>
      </c>
      <c r="C486" t="s">
        <v>1085</v>
      </c>
      <c r="D486">
        <v>2440</v>
      </c>
      <c r="E486" s="19">
        <f t="shared" si="32"/>
        <v>87.142857142857139</v>
      </c>
      <c r="F486" s="5">
        <v>2037.3</v>
      </c>
      <c r="I486" s="124">
        <f t="shared" si="35"/>
        <v>4880</v>
      </c>
      <c r="J486" t="b">
        <f t="shared" si="33"/>
        <v>1</v>
      </c>
      <c r="K486" s="4">
        <f t="shared" si="34"/>
        <v>-0.58252049180327869</v>
      </c>
    </row>
    <row r="487" spans="2:11" ht="30" hidden="1">
      <c r="B487" s="55" t="s">
        <v>1097</v>
      </c>
      <c r="C487" s="27" t="s">
        <v>1098</v>
      </c>
      <c r="D487">
        <v>2974</v>
      </c>
      <c r="E487" s="19">
        <f t="shared" si="32"/>
        <v>106.21428571428571</v>
      </c>
      <c r="F487" s="5">
        <v>4932.99</v>
      </c>
      <c r="I487" s="135">
        <f t="shared" si="35"/>
        <v>5948</v>
      </c>
      <c r="J487" t="b">
        <f t="shared" si="33"/>
        <v>1</v>
      </c>
      <c r="K487" s="4">
        <f t="shared" si="34"/>
        <v>-0.17064727639542709</v>
      </c>
    </row>
    <row r="488" spans="2:11" hidden="1">
      <c r="B488" t="s">
        <v>1216</v>
      </c>
      <c r="C488" t="s">
        <v>1217</v>
      </c>
      <c r="D488">
        <v>2585</v>
      </c>
      <c r="E488" s="19">
        <f t="shared" si="32"/>
        <v>92.321428571428569</v>
      </c>
      <c r="F488" s="5">
        <v>1401.58</v>
      </c>
      <c r="I488" s="124">
        <f t="shared" si="35"/>
        <v>5170</v>
      </c>
      <c r="J488" t="b">
        <f t="shared" si="33"/>
        <v>1</v>
      </c>
      <c r="K488" s="4">
        <f t="shared" si="34"/>
        <v>-0.72890135396518374</v>
      </c>
    </row>
    <row r="489" spans="2:11" hidden="1">
      <c r="B489" t="s">
        <v>1277</v>
      </c>
      <c r="C489" t="s">
        <v>1278</v>
      </c>
      <c r="D489">
        <v>1541</v>
      </c>
      <c r="E489" s="19">
        <f t="shared" si="32"/>
        <v>55.035714285714285</v>
      </c>
      <c r="F489" s="5">
        <v>2823.28</v>
      </c>
      <c r="I489" s="124">
        <f t="shared" si="35"/>
        <v>3082</v>
      </c>
      <c r="J489" t="b">
        <f t="shared" si="33"/>
        <v>1</v>
      </c>
      <c r="K489" s="4">
        <f t="shared" si="34"/>
        <v>-8.3945489941596341E-2</v>
      </c>
    </row>
    <row r="490" spans="2:11" ht="30" hidden="1">
      <c r="B490" s="55" t="s">
        <v>1224</v>
      </c>
      <c r="C490" s="37" t="s">
        <v>1225</v>
      </c>
      <c r="D490">
        <v>1564</v>
      </c>
      <c r="E490" s="19">
        <f t="shared" si="32"/>
        <v>55.857142857142854</v>
      </c>
      <c r="F490" s="5">
        <v>1302.68</v>
      </c>
      <c r="I490" s="124">
        <f t="shared" si="35"/>
        <v>3128</v>
      </c>
      <c r="J490" t="b">
        <f t="shared" si="33"/>
        <v>1</v>
      </c>
      <c r="K490" s="4">
        <f t="shared" si="34"/>
        <v>-0.58354219948849106</v>
      </c>
    </row>
    <row r="491" spans="2:11" hidden="1">
      <c r="B491" t="s">
        <v>1242</v>
      </c>
      <c r="C491" t="s">
        <v>1243</v>
      </c>
      <c r="D491">
        <v>1326</v>
      </c>
      <c r="E491" s="19">
        <f t="shared" ref="E491:E554" si="36">D491/28</f>
        <v>47.357142857142854</v>
      </c>
      <c r="F491" s="5">
        <v>1530.78</v>
      </c>
      <c r="I491" s="124">
        <f t="shared" si="35"/>
        <v>2652</v>
      </c>
      <c r="J491" t="b">
        <f t="shared" ref="J491:J554" si="37">IF(F491&gt;1.2*I491,FALSE,TRUE)</f>
        <v>1</v>
      </c>
      <c r="K491" s="4">
        <f t="shared" ref="K491:K554" si="38">F491/I491-1</f>
        <v>-0.42278280542986424</v>
      </c>
    </row>
    <row r="492" spans="2:11" hidden="1">
      <c r="B492" t="s">
        <v>1065</v>
      </c>
      <c r="C492" t="s">
        <v>1066</v>
      </c>
      <c r="D492">
        <v>886</v>
      </c>
      <c r="E492" s="19">
        <f t="shared" si="36"/>
        <v>31.642857142857142</v>
      </c>
      <c r="F492" s="5">
        <v>1378.74</v>
      </c>
      <c r="I492" s="124">
        <f t="shared" si="35"/>
        <v>1772</v>
      </c>
      <c r="J492" t="b">
        <f t="shared" si="37"/>
        <v>1</v>
      </c>
      <c r="K492" s="4">
        <f t="shared" si="38"/>
        <v>-0.22193002257336347</v>
      </c>
    </row>
    <row r="493" spans="2:11" hidden="1">
      <c r="B493" t="s">
        <v>1230</v>
      </c>
      <c r="C493" t="s">
        <v>1231</v>
      </c>
      <c r="D493">
        <v>2320</v>
      </c>
      <c r="E493" s="19">
        <f t="shared" si="36"/>
        <v>82.857142857142861</v>
      </c>
      <c r="F493" s="5">
        <v>982.77</v>
      </c>
      <c r="I493" s="124">
        <f t="shared" si="35"/>
        <v>4640</v>
      </c>
      <c r="J493" t="b">
        <f t="shared" si="37"/>
        <v>1</v>
      </c>
      <c r="K493" s="4">
        <f t="shared" si="38"/>
        <v>-0.78819612068965517</v>
      </c>
    </row>
    <row r="494" spans="2:11" hidden="1">
      <c r="B494" t="s">
        <v>1285</v>
      </c>
      <c r="C494" t="s">
        <v>1286</v>
      </c>
      <c r="D494">
        <v>1956</v>
      </c>
      <c r="E494" s="19">
        <f t="shared" si="36"/>
        <v>69.857142857142861</v>
      </c>
      <c r="F494" s="5">
        <v>2241.02</v>
      </c>
      <c r="I494" s="124">
        <f t="shared" si="35"/>
        <v>3912</v>
      </c>
      <c r="J494" t="b">
        <f t="shared" si="37"/>
        <v>1</v>
      </c>
      <c r="K494" s="4">
        <f t="shared" si="38"/>
        <v>-0.42714212678936603</v>
      </c>
    </row>
    <row r="495" spans="2:11" hidden="1">
      <c r="B495" t="s">
        <v>1266</v>
      </c>
      <c r="C495" t="s">
        <v>1267</v>
      </c>
      <c r="D495">
        <v>1303</v>
      </c>
      <c r="E495" s="19">
        <f t="shared" si="36"/>
        <v>46.535714285714285</v>
      </c>
      <c r="F495" s="5">
        <v>1057.07</v>
      </c>
      <c r="I495" s="124">
        <f t="shared" si="35"/>
        <v>2606</v>
      </c>
      <c r="J495" t="b">
        <f t="shared" si="37"/>
        <v>1</v>
      </c>
      <c r="K495" s="4">
        <f t="shared" si="38"/>
        <v>-0.59437068303914042</v>
      </c>
    </row>
    <row r="496" spans="2:11" hidden="1">
      <c r="B496" t="s">
        <v>1061</v>
      </c>
      <c r="C496" t="s">
        <v>1062</v>
      </c>
      <c r="D496">
        <v>1765</v>
      </c>
      <c r="E496" s="19">
        <f t="shared" si="36"/>
        <v>63.035714285714285</v>
      </c>
      <c r="F496" s="5">
        <v>1896.78</v>
      </c>
      <c r="I496" s="124">
        <f t="shared" si="35"/>
        <v>3530</v>
      </c>
      <c r="J496" t="b">
        <f t="shared" si="37"/>
        <v>1</v>
      </c>
      <c r="K496" s="4">
        <f t="shared" si="38"/>
        <v>-0.4626685552407932</v>
      </c>
    </row>
    <row r="497" spans="2:11" hidden="1">
      <c r="B497" t="s">
        <v>1103</v>
      </c>
      <c r="C497" t="s">
        <v>1104</v>
      </c>
      <c r="D497">
        <v>1105</v>
      </c>
      <c r="E497" s="19">
        <f t="shared" si="36"/>
        <v>39.464285714285715</v>
      </c>
      <c r="F497" s="5">
        <v>1377.37</v>
      </c>
      <c r="I497" s="124">
        <f t="shared" si="35"/>
        <v>2210</v>
      </c>
      <c r="J497" t="b">
        <f t="shared" si="37"/>
        <v>1</v>
      </c>
      <c r="K497" s="4">
        <f t="shared" si="38"/>
        <v>-0.37675565610859729</v>
      </c>
    </row>
    <row r="498" spans="2:11" hidden="1">
      <c r="B498" t="s">
        <v>1258</v>
      </c>
      <c r="C498" t="s">
        <v>1259</v>
      </c>
      <c r="D498">
        <v>2023</v>
      </c>
      <c r="E498" s="19">
        <f t="shared" si="36"/>
        <v>72.25</v>
      </c>
      <c r="F498" s="5">
        <v>2237.81</v>
      </c>
      <c r="I498" s="124">
        <f t="shared" si="35"/>
        <v>4046</v>
      </c>
      <c r="J498" t="b">
        <f t="shared" si="37"/>
        <v>1</v>
      </c>
      <c r="K498" s="4">
        <f t="shared" si="38"/>
        <v>-0.44690805734058325</v>
      </c>
    </row>
    <row r="499" spans="2:11" hidden="1">
      <c r="B499" t="s">
        <v>1152</v>
      </c>
      <c r="C499" t="s">
        <v>1153</v>
      </c>
      <c r="D499">
        <v>520</v>
      </c>
      <c r="E499" s="19">
        <f t="shared" si="36"/>
        <v>18.571428571428573</v>
      </c>
      <c r="F499" s="5">
        <v>442.53</v>
      </c>
      <c r="I499" s="124">
        <f t="shared" si="35"/>
        <v>1040</v>
      </c>
      <c r="J499" t="b">
        <f t="shared" si="37"/>
        <v>1</v>
      </c>
      <c r="K499" s="4">
        <f t="shared" si="38"/>
        <v>-0.5744903846153846</v>
      </c>
    </row>
    <row r="500" spans="2:11" hidden="1">
      <c r="B500" t="s">
        <v>1115</v>
      </c>
      <c r="C500" t="s">
        <v>1116</v>
      </c>
      <c r="D500">
        <v>973</v>
      </c>
      <c r="E500" s="19">
        <f t="shared" si="36"/>
        <v>34.75</v>
      </c>
      <c r="F500" s="5">
        <v>1802.74</v>
      </c>
      <c r="I500" s="124">
        <f t="shared" si="35"/>
        <v>1946</v>
      </c>
      <c r="J500" t="b">
        <f t="shared" si="37"/>
        <v>1</v>
      </c>
      <c r="K500" s="4">
        <f t="shared" si="38"/>
        <v>-7.3617677286742067E-2</v>
      </c>
    </row>
    <row r="501" spans="2:11" hidden="1">
      <c r="B501" t="s">
        <v>1260</v>
      </c>
      <c r="C501" t="s">
        <v>1261</v>
      </c>
      <c r="D501">
        <v>1296</v>
      </c>
      <c r="E501" s="19">
        <f t="shared" si="36"/>
        <v>46.285714285714285</v>
      </c>
      <c r="F501" s="5">
        <v>1411.96</v>
      </c>
      <c r="I501" s="124">
        <f t="shared" si="35"/>
        <v>2592</v>
      </c>
      <c r="J501" t="b">
        <f t="shared" si="37"/>
        <v>1</v>
      </c>
      <c r="K501" s="4">
        <f t="shared" si="38"/>
        <v>-0.45526234567901236</v>
      </c>
    </row>
    <row r="502" spans="2:11" hidden="1">
      <c r="B502" t="s">
        <v>1273</v>
      </c>
      <c r="C502" t="s">
        <v>1274</v>
      </c>
      <c r="D502">
        <v>1790</v>
      </c>
      <c r="E502" s="19">
        <f t="shared" si="36"/>
        <v>63.928571428571431</v>
      </c>
      <c r="F502" s="5">
        <v>2938.02</v>
      </c>
      <c r="I502" s="124">
        <f t="shared" si="35"/>
        <v>3580</v>
      </c>
      <c r="J502" t="b">
        <f t="shared" si="37"/>
        <v>1</v>
      </c>
      <c r="K502" s="4">
        <f t="shared" si="38"/>
        <v>-0.17932402234636868</v>
      </c>
    </row>
    <row r="503" spans="2:11" hidden="1">
      <c r="B503" t="s">
        <v>1218</v>
      </c>
      <c r="C503" t="s">
        <v>1219</v>
      </c>
      <c r="D503">
        <v>1671</v>
      </c>
      <c r="E503" s="19">
        <f t="shared" si="36"/>
        <v>59.678571428571431</v>
      </c>
      <c r="F503" s="5">
        <v>1699.52</v>
      </c>
      <c r="I503" s="124">
        <f t="shared" si="35"/>
        <v>3342</v>
      </c>
      <c r="J503" t="b">
        <f t="shared" si="37"/>
        <v>1</v>
      </c>
      <c r="K503" s="4">
        <f t="shared" si="38"/>
        <v>-0.49146618791143026</v>
      </c>
    </row>
    <row r="504" spans="2:11" hidden="1">
      <c r="B504" t="s">
        <v>1095</v>
      </c>
      <c r="C504" t="s">
        <v>1096</v>
      </c>
      <c r="D504">
        <v>828</v>
      </c>
      <c r="E504" s="19">
        <f t="shared" si="36"/>
        <v>29.571428571428573</v>
      </c>
      <c r="F504" s="5">
        <v>1810.68</v>
      </c>
      <c r="I504" s="124">
        <f t="shared" si="35"/>
        <v>1656</v>
      </c>
      <c r="J504" t="b">
        <f t="shared" si="37"/>
        <v>1</v>
      </c>
      <c r="K504" s="4">
        <f t="shared" si="38"/>
        <v>9.3405797101449251E-2</v>
      </c>
    </row>
    <row r="505" spans="2:11" hidden="1">
      <c r="B505" t="s">
        <v>1183</v>
      </c>
      <c r="C505" t="s">
        <v>1184</v>
      </c>
      <c r="D505">
        <v>2741</v>
      </c>
      <c r="E505" s="19">
        <f t="shared" si="36"/>
        <v>97.892857142857139</v>
      </c>
      <c r="F505" s="5">
        <v>2919.72</v>
      </c>
      <c r="I505" s="124">
        <f t="shared" si="35"/>
        <v>5482</v>
      </c>
      <c r="J505" t="b">
        <f t="shared" si="37"/>
        <v>1</v>
      </c>
      <c r="K505" s="4">
        <f t="shared" si="38"/>
        <v>-0.46739875957679677</v>
      </c>
    </row>
    <row r="506" spans="2:11" hidden="1">
      <c r="B506" t="s">
        <v>1194</v>
      </c>
      <c r="C506" t="s">
        <v>1195</v>
      </c>
      <c r="D506">
        <v>1338</v>
      </c>
      <c r="E506" s="19">
        <f t="shared" si="36"/>
        <v>47.785714285714285</v>
      </c>
      <c r="F506" s="5">
        <v>971.32</v>
      </c>
      <c r="I506" s="124">
        <f t="shared" si="35"/>
        <v>2676</v>
      </c>
      <c r="J506" t="b">
        <f t="shared" si="37"/>
        <v>1</v>
      </c>
      <c r="K506" s="4">
        <f t="shared" si="38"/>
        <v>-0.63702541106128541</v>
      </c>
    </row>
    <row r="507" spans="2:11" hidden="1">
      <c r="B507" t="s">
        <v>1212</v>
      </c>
      <c r="C507" t="s">
        <v>1213</v>
      </c>
      <c r="D507">
        <v>831</v>
      </c>
      <c r="E507" s="19">
        <f t="shared" si="36"/>
        <v>29.678571428571427</v>
      </c>
      <c r="F507" s="5">
        <v>1594.96</v>
      </c>
      <c r="I507" s="124">
        <f t="shared" si="35"/>
        <v>1662</v>
      </c>
      <c r="J507" t="b">
        <f t="shared" si="37"/>
        <v>1</v>
      </c>
      <c r="K507" s="4">
        <f t="shared" si="38"/>
        <v>-4.0336943441636519E-2</v>
      </c>
    </row>
    <row r="508" spans="2:11" hidden="1">
      <c r="B508" t="s">
        <v>1174</v>
      </c>
      <c r="C508" t="s">
        <v>1175</v>
      </c>
      <c r="D508">
        <v>791</v>
      </c>
      <c r="E508" s="19">
        <f t="shared" si="36"/>
        <v>28.25</v>
      </c>
      <c r="F508" s="5">
        <v>1522.3</v>
      </c>
      <c r="I508" s="124">
        <f t="shared" si="35"/>
        <v>1582</v>
      </c>
      <c r="J508" t="b">
        <f t="shared" si="37"/>
        <v>1</v>
      </c>
      <c r="K508" s="4">
        <f t="shared" si="38"/>
        <v>-3.7737041719342668E-2</v>
      </c>
    </row>
    <row r="509" spans="2:11" hidden="1">
      <c r="B509" t="s">
        <v>1073</v>
      </c>
      <c r="C509" t="s">
        <v>1074</v>
      </c>
      <c r="D509">
        <v>6</v>
      </c>
      <c r="E509" s="19">
        <f t="shared" si="36"/>
        <v>0.21428571428571427</v>
      </c>
      <c r="F509" s="5">
        <v>0</v>
      </c>
      <c r="I509" s="124">
        <f t="shared" si="35"/>
        <v>12</v>
      </c>
      <c r="J509" t="b">
        <f t="shared" si="37"/>
        <v>1</v>
      </c>
      <c r="K509" s="4">
        <f t="shared" si="38"/>
        <v>-1</v>
      </c>
    </row>
    <row r="510" spans="2:11" hidden="1">
      <c r="B510" t="s">
        <v>1170</v>
      </c>
      <c r="C510" t="s">
        <v>1171</v>
      </c>
      <c r="D510">
        <v>216</v>
      </c>
      <c r="E510" s="19">
        <f t="shared" si="36"/>
        <v>7.7142857142857144</v>
      </c>
      <c r="F510" s="5">
        <v>0</v>
      </c>
      <c r="I510" s="124">
        <f t="shared" si="35"/>
        <v>432</v>
      </c>
      <c r="J510" t="b">
        <f t="shared" si="37"/>
        <v>1</v>
      </c>
      <c r="K510" s="4">
        <f t="shared" si="38"/>
        <v>-1</v>
      </c>
    </row>
    <row r="511" spans="2:11" hidden="1">
      <c r="B511" t="s">
        <v>1166</v>
      </c>
      <c r="C511" t="s">
        <v>1167</v>
      </c>
      <c r="D511">
        <v>903</v>
      </c>
      <c r="E511" s="19">
        <f t="shared" si="36"/>
        <v>32.25</v>
      </c>
      <c r="F511" s="5">
        <v>1379.48</v>
      </c>
      <c r="I511" s="124">
        <f t="shared" si="35"/>
        <v>1806</v>
      </c>
      <c r="J511" t="b">
        <f t="shared" si="37"/>
        <v>1</v>
      </c>
      <c r="K511" s="4">
        <f t="shared" si="38"/>
        <v>-0.23616832779623476</v>
      </c>
    </row>
    <row r="512" spans="2:11" hidden="1">
      <c r="B512" t="s">
        <v>1117</v>
      </c>
      <c r="C512" t="s">
        <v>1118</v>
      </c>
      <c r="D512">
        <v>647</v>
      </c>
      <c r="E512" s="19">
        <f t="shared" si="36"/>
        <v>23.107142857142858</v>
      </c>
      <c r="F512" s="5">
        <v>873.73</v>
      </c>
      <c r="I512" s="124">
        <f t="shared" si="35"/>
        <v>1294</v>
      </c>
      <c r="J512" t="b">
        <f t="shared" si="37"/>
        <v>1</v>
      </c>
      <c r="K512" s="4">
        <f t="shared" si="38"/>
        <v>-0.32478361669242661</v>
      </c>
    </row>
    <row r="513" spans="2:11" hidden="1">
      <c r="B513" t="s">
        <v>1099</v>
      </c>
      <c r="C513" t="s">
        <v>1100</v>
      </c>
      <c r="D513">
        <v>1175</v>
      </c>
      <c r="E513" s="19">
        <f t="shared" si="36"/>
        <v>41.964285714285715</v>
      </c>
      <c r="F513" s="5">
        <v>1071.57</v>
      </c>
      <c r="I513" s="124">
        <f t="shared" si="35"/>
        <v>2350</v>
      </c>
      <c r="J513" t="b">
        <f t="shared" si="37"/>
        <v>1</v>
      </c>
      <c r="K513" s="4">
        <f t="shared" si="38"/>
        <v>-0.54401276595744685</v>
      </c>
    </row>
    <row r="514" spans="2:11" hidden="1">
      <c r="B514" t="s">
        <v>1078</v>
      </c>
      <c r="C514" t="s">
        <v>1079</v>
      </c>
      <c r="D514">
        <v>876</v>
      </c>
      <c r="E514" s="19">
        <f t="shared" si="36"/>
        <v>31.285714285714285</v>
      </c>
      <c r="F514" s="5">
        <v>1279.46</v>
      </c>
      <c r="I514" s="124">
        <f t="shared" si="35"/>
        <v>1752</v>
      </c>
      <c r="J514" t="b">
        <f t="shared" si="37"/>
        <v>1</v>
      </c>
      <c r="K514" s="4">
        <f t="shared" si="38"/>
        <v>-0.26971461187214607</v>
      </c>
    </row>
    <row r="515" spans="2:11" hidden="1">
      <c r="B515" t="s">
        <v>1214</v>
      </c>
      <c r="C515" t="s">
        <v>1215</v>
      </c>
      <c r="D515">
        <v>1002</v>
      </c>
      <c r="E515" s="19">
        <f t="shared" si="36"/>
        <v>35.785714285714285</v>
      </c>
      <c r="F515" s="5">
        <v>1714.93</v>
      </c>
      <c r="I515" s="124">
        <f t="shared" si="35"/>
        <v>2004</v>
      </c>
      <c r="J515" t="b">
        <f t="shared" si="37"/>
        <v>1</v>
      </c>
      <c r="K515" s="4">
        <f t="shared" si="38"/>
        <v>-0.14424650698602792</v>
      </c>
    </row>
    <row r="516" spans="2:11" hidden="1">
      <c r="B516" s="27" t="s">
        <v>1156</v>
      </c>
      <c r="C516" s="27" t="s">
        <v>1157</v>
      </c>
      <c r="D516">
        <v>388</v>
      </c>
      <c r="E516" s="19">
        <f t="shared" si="36"/>
        <v>13.857142857142858</v>
      </c>
      <c r="F516" s="5">
        <v>841.4</v>
      </c>
      <c r="I516" s="124">
        <f t="shared" si="35"/>
        <v>776</v>
      </c>
      <c r="J516" t="b">
        <f t="shared" si="37"/>
        <v>1</v>
      </c>
      <c r="K516" s="4">
        <f t="shared" si="38"/>
        <v>8.427835051546384E-2</v>
      </c>
    </row>
    <row r="517" spans="2:11" hidden="1">
      <c r="B517" t="s">
        <v>1148</v>
      </c>
      <c r="C517" t="s">
        <v>1149</v>
      </c>
      <c r="D517">
        <v>956</v>
      </c>
      <c r="E517" s="19">
        <f t="shared" si="36"/>
        <v>34.142857142857146</v>
      </c>
      <c r="F517" s="5">
        <v>501.88</v>
      </c>
      <c r="I517" s="124">
        <f t="shared" si="35"/>
        <v>1912</v>
      </c>
      <c r="J517" t="b">
        <f t="shared" si="37"/>
        <v>1</v>
      </c>
      <c r="K517" s="4">
        <f t="shared" si="38"/>
        <v>-0.73751046025104605</v>
      </c>
    </row>
    <row r="518" spans="2:11" hidden="1">
      <c r="B518" t="s">
        <v>1101</v>
      </c>
      <c r="C518" t="s">
        <v>1102</v>
      </c>
      <c r="D518">
        <v>563</v>
      </c>
      <c r="E518" s="19">
        <f t="shared" si="36"/>
        <v>20.107142857142858</v>
      </c>
      <c r="F518" s="5">
        <v>467.49</v>
      </c>
      <c r="I518" s="124">
        <f t="shared" si="35"/>
        <v>1126</v>
      </c>
      <c r="J518" t="b">
        <f t="shared" si="37"/>
        <v>1</v>
      </c>
      <c r="K518" s="4">
        <f t="shared" si="38"/>
        <v>-0.58482238010657195</v>
      </c>
    </row>
    <row r="519" spans="2:11" hidden="1">
      <c r="B519" t="s">
        <v>1053</v>
      </c>
      <c r="C519" t="s">
        <v>1054</v>
      </c>
      <c r="D519">
        <v>325</v>
      </c>
      <c r="E519" s="19">
        <f t="shared" si="36"/>
        <v>11.607142857142858</v>
      </c>
      <c r="F519" s="5">
        <v>640.88</v>
      </c>
      <c r="I519" s="124">
        <f t="shared" si="35"/>
        <v>650</v>
      </c>
      <c r="J519" t="b">
        <f t="shared" si="37"/>
        <v>1</v>
      </c>
      <c r="K519" s="4">
        <f t="shared" si="38"/>
        <v>-1.4030769230769291E-2</v>
      </c>
    </row>
    <row r="520" spans="2:11" hidden="1">
      <c r="B520" t="s">
        <v>1228</v>
      </c>
      <c r="C520" t="s">
        <v>1229</v>
      </c>
      <c r="D520">
        <v>1432</v>
      </c>
      <c r="E520" s="19">
        <f t="shared" si="36"/>
        <v>51.142857142857146</v>
      </c>
      <c r="F520" s="5">
        <v>1556.84</v>
      </c>
      <c r="I520" s="124">
        <f t="shared" si="35"/>
        <v>2864</v>
      </c>
      <c r="J520" t="b">
        <f t="shared" si="37"/>
        <v>1</v>
      </c>
      <c r="K520" s="4">
        <f t="shared" si="38"/>
        <v>-0.45641061452513965</v>
      </c>
    </row>
    <row r="521" spans="2:11" hidden="1">
      <c r="B521" t="s">
        <v>1179</v>
      </c>
      <c r="C521" t="s">
        <v>1180</v>
      </c>
      <c r="D521">
        <v>716</v>
      </c>
      <c r="E521" s="19">
        <f t="shared" si="36"/>
        <v>25.571428571428573</v>
      </c>
      <c r="F521" s="5">
        <v>700.34</v>
      </c>
      <c r="I521" s="124">
        <f t="shared" si="35"/>
        <v>1432</v>
      </c>
      <c r="J521" t="b">
        <f t="shared" si="37"/>
        <v>1</v>
      </c>
      <c r="K521" s="4">
        <f t="shared" si="38"/>
        <v>-0.51093575418994419</v>
      </c>
    </row>
    <row r="522" spans="2:11" hidden="1">
      <c r="B522" t="s">
        <v>1063</v>
      </c>
      <c r="C522" t="s">
        <v>1064</v>
      </c>
      <c r="D522">
        <v>8</v>
      </c>
      <c r="E522" s="19">
        <f t="shared" si="36"/>
        <v>0.2857142857142857</v>
      </c>
      <c r="F522" s="5">
        <v>0</v>
      </c>
      <c r="I522" s="124">
        <f t="shared" si="35"/>
        <v>16</v>
      </c>
      <c r="J522" t="b">
        <f t="shared" si="37"/>
        <v>1</v>
      </c>
      <c r="K522" s="4">
        <f t="shared" si="38"/>
        <v>-1</v>
      </c>
    </row>
    <row r="523" spans="2:11" hidden="1">
      <c r="B523" t="s">
        <v>1232</v>
      </c>
      <c r="C523" t="s">
        <v>1233</v>
      </c>
      <c r="D523">
        <v>1090</v>
      </c>
      <c r="E523" s="19">
        <f t="shared" si="36"/>
        <v>38.928571428571431</v>
      </c>
      <c r="F523" s="5">
        <v>1869.68</v>
      </c>
      <c r="I523" s="124">
        <f t="shared" si="35"/>
        <v>2180</v>
      </c>
      <c r="J523" t="b">
        <f t="shared" si="37"/>
        <v>1</v>
      </c>
      <c r="K523" s="4">
        <f t="shared" si="38"/>
        <v>-0.14234862385321101</v>
      </c>
    </row>
    <row r="524" spans="2:11" hidden="1">
      <c r="B524" t="s">
        <v>1246</v>
      </c>
      <c r="C524" t="s">
        <v>1247</v>
      </c>
      <c r="D524">
        <v>1017</v>
      </c>
      <c r="E524" s="19">
        <f t="shared" si="36"/>
        <v>36.321428571428569</v>
      </c>
      <c r="F524" s="5">
        <v>1830.01</v>
      </c>
      <c r="I524" s="124">
        <f t="shared" si="35"/>
        <v>2034</v>
      </c>
      <c r="J524" t="b">
        <f t="shared" si="37"/>
        <v>1</v>
      </c>
      <c r="K524" s="4">
        <f t="shared" si="38"/>
        <v>-0.10029006882989189</v>
      </c>
    </row>
    <row r="525" spans="2:11" hidden="1">
      <c r="B525" s="55" t="s">
        <v>1122</v>
      </c>
      <c r="C525" s="37" t="s">
        <v>1123</v>
      </c>
      <c r="D525">
        <v>359</v>
      </c>
      <c r="E525" s="19">
        <f t="shared" si="36"/>
        <v>12.821428571428571</v>
      </c>
      <c r="F525" s="5">
        <v>309.10000000000002</v>
      </c>
      <c r="I525" s="135">
        <f t="shared" si="35"/>
        <v>718</v>
      </c>
      <c r="J525" t="b">
        <f t="shared" si="37"/>
        <v>1</v>
      </c>
      <c r="K525" s="4">
        <f t="shared" si="38"/>
        <v>-0.5694986072423398</v>
      </c>
    </row>
    <row r="526" spans="2:11" hidden="1">
      <c r="B526" s="55" t="s">
        <v>1069</v>
      </c>
      <c r="C526" t="s">
        <v>1070</v>
      </c>
      <c r="D526">
        <v>13</v>
      </c>
      <c r="E526" s="19">
        <f t="shared" si="36"/>
        <v>0.4642857142857143</v>
      </c>
      <c r="F526" s="5">
        <v>22.2</v>
      </c>
      <c r="I526" s="124">
        <f t="shared" si="35"/>
        <v>26</v>
      </c>
      <c r="J526" t="b">
        <f t="shared" si="37"/>
        <v>1</v>
      </c>
      <c r="K526" s="4">
        <f t="shared" si="38"/>
        <v>-0.14615384615384619</v>
      </c>
    </row>
    <row r="527" spans="2:11" hidden="1">
      <c r="B527" s="56" t="s">
        <v>1279</v>
      </c>
      <c r="C527" s="37" t="s">
        <v>1280</v>
      </c>
      <c r="D527">
        <v>1459</v>
      </c>
      <c r="E527" s="19">
        <f t="shared" si="36"/>
        <v>52.107142857142854</v>
      </c>
      <c r="F527" s="5">
        <v>1523.88</v>
      </c>
      <c r="I527" s="135">
        <f t="shared" si="35"/>
        <v>2918</v>
      </c>
      <c r="J527" t="b">
        <f t="shared" si="37"/>
        <v>1</v>
      </c>
      <c r="K527" s="4">
        <f t="shared" si="38"/>
        <v>-0.47776559287182996</v>
      </c>
    </row>
    <row r="528" spans="2:11" hidden="1">
      <c r="B528" t="s">
        <v>1198</v>
      </c>
      <c r="C528" t="s">
        <v>1199</v>
      </c>
      <c r="D528">
        <v>927</v>
      </c>
      <c r="E528" s="19">
        <f t="shared" si="36"/>
        <v>33.107142857142854</v>
      </c>
      <c r="F528" s="5">
        <v>1768.73</v>
      </c>
      <c r="I528" s="124">
        <f t="shared" si="35"/>
        <v>1854</v>
      </c>
      <c r="J528" t="b">
        <f t="shared" si="37"/>
        <v>1</v>
      </c>
      <c r="K528" s="4">
        <f t="shared" si="38"/>
        <v>-4.5992448759439086E-2</v>
      </c>
    </row>
    <row r="529" spans="2:11" hidden="1">
      <c r="B529" t="s">
        <v>1154</v>
      </c>
      <c r="C529" t="s">
        <v>1155</v>
      </c>
      <c r="D529">
        <v>1134</v>
      </c>
      <c r="E529" s="19">
        <f t="shared" si="36"/>
        <v>40.5</v>
      </c>
      <c r="F529" s="5">
        <v>722.27</v>
      </c>
      <c r="I529" s="124">
        <f t="shared" si="35"/>
        <v>2268</v>
      </c>
      <c r="J529" t="b">
        <f t="shared" si="37"/>
        <v>1</v>
      </c>
      <c r="K529" s="4">
        <f t="shared" si="38"/>
        <v>-0.68153880070546746</v>
      </c>
    </row>
    <row r="530" spans="2:11" hidden="1">
      <c r="B530" s="27" t="s">
        <v>1135</v>
      </c>
      <c r="C530" s="27" t="s">
        <v>1136</v>
      </c>
      <c r="D530">
        <v>1</v>
      </c>
      <c r="E530" s="19">
        <f t="shared" si="36"/>
        <v>3.5714285714285712E-2</v>
      </c>
      <c r="F530" s="5">
        <v>0</v>
      </c>
      <c r="I530" s="124">
        <f t="shared" si="35"/>
        <v>2</v>
      </c>
      <c r="J530" t="b">
        <f t="shared" si="37"/>
        <v>1</v>
      </c>
      <c r="K530" s="4">
        <f t="shared" si="38"/>
        <v>-1</v>
      </c>
    </row>
    <row r="531" spans="2:11" hidden="1">
      <c r="B531" t="s">
        <v>1124</v>
      </c>
      <c r="C531" t="s">
        <v>1125</v>
      </c>
      <c r="D531">
        <v>3779</v>
      </c>
      <c r="E531" s="19">
        <f t="shared" si="36"/>
        <v>134.96428571428572</v>
      </c>
      <c r="F531" s="5">
        <v>2520.17</v>
      </c>
      <c r="I531" s="124">
        <f t="shared" ref="I531:I557" si="39">IF((D531/28)&gt;100,D531*2,D531*2)</f>
        <v>7558</v>
      </c>
      <c r="J531" t="b">
        <f t="shared" si="37"/>
        <v>1</v>
      </c>
      <c r="K531" s="4">
        <f t="shared" si="38"/>
        <v>-0.66655596718708654</v>
      </c>
    </row>
    <row r="532" spans="2:11" hidden="1">
      <c r="B532" t="s">
        <v>1076</v>
      </c>
      <c r="C532" t="s">
        <v>1077</v>
      </c>
      <c r="D532">
        <v>890</v>
      </c>
      <c r="E532" s="19">
        <f t="shared" si="36"/>
        <v>31.785714285714285</v>
      </c>
      <c r="F532" s="5">
        <v>1570.13</v>
      </c>
      <c r="I532" s="124">
        <f t="shared" si="39"/>
        <v>1780</v>
      </c>
      <c r="J532" t="b">
        <f t="shared" si="37"/>
        <v>1</v>
      </c>
      <c r="K532" s="4">
        <f t="shared" si="38"/>
        <v>-0.11790449438202244</v>
      </c>
    </row>
    <row r="533" spans="2:11" hidden="1">
      <c r="B533" t="s">
        <v>1209</v>
      </c>
      <c r="C533" t="s">
        <v>1210</v>
      </c>
      <c r="D533">
        <v>416</v>
      </c>
      <c r="E533" s="19">
        <f t="shared" si="36"/>
        <v>14.857142857142858</v>
      </c>
      <c r="F533" s="5">
        <v>498.39</v>
      </c>
      <c r="I533" s="124">
        <f t="shared" si="39"/>
        <v>832</v>
      </c>
      <c r="J533" t="b">
        <f t="shared" si="37"/>
        <v>1</v>
      </c>
      <c r="K533" s="4">
        <f t="shared" si="38"/>
        <v>-0.40097355769230769</v>
      </c>
    </row>
    <row r="534" spans="2:11" hidden="1">
      <c r="B534" s="27" t="s">
        <v>1133</v>
      </c>
      <c r="C534" t="s">
        <v>1134</v>
      </c>
      <c r="D534">
        <v>375</v>
      </c>
      <c r="E534" s="19">
        <f t="shared" si="36"/>
        <v>13.392857142857142</v>
      </c>
      <c r="F534" s="5">
        <v>180.75</v>
      </c>
      <c r="I534" s="135">
        <f t="shared" si="39"/>
        <v>750</v>
      </c>
      <c r="J534" t="b">
        <f t="shared" si="37"/>
        <v>1</v>
      </c>
      <c r="K534" s="4">
        <f t="shared" si="38"/>
        <v>-0.75900000000000001</v>
      </c>
    </row>
    <row r="535" spans="2:11" hidden="1">
      <c r="B535" s="56" t="s">
        <v>1158</v>
      </c>
      <c r="C535" s="37" t="s">
        <v>1159</v>
      </c>
      <c r="D535">
        <v>828</v>
      </c>
      <c r="E535" s="19">
        <f t="shared" si="36"/>
        <v>29.571428571428573</v>
      </c>
      <c r="F535" s="5">
        <v>637.51</v>
      </c>
      <c r="I535" s="135">
        <f t="shared" si="39"/>
        <v>1656</v>
      </c>
      <c r="J535" t="b">
        <f t="shared" si="37"/>
        <v>1</v>
      </c>
      <c r="K535" s="4">
        <f t="shared" si="38"/>
        <v>-0.61503019323671504</v>
      </c>
    </row>
    <row r="536" spans="2:11" hidden="1">
      <c r="B536" s="27" t="s">
        <v>1262</v>
      </c>
      <c r="C536" s="27" t="s">
        <v>1263</v>
      </c>
      <c r="D536">
        <v>1235</v>
      </c>
      <c r="E536" s="19">
        <f t="shared" si="36"/>
        <v>44.107142857142854</v>
      </c>
      <c r="F536" s="5">
        <v>1177.3900000000001</v>
      </c>
      <c r="I536" s="124">
        <f t="shared" si="39"/>
        <v>2470</v>
      </c>
      <c r="J536" t="b">
        <f t="shared" si="37"/>
        <v>1</v>
      </c>
      <c r="K536" s="4">
        <f t="shared" si="38"/>
        <v>-0.52332388663967611</v>
      </c>
    </row>
    <row r="537" spans="2:11" hidden="1">
      <c r="B537" t="s">
        <v>1160</v>
      </c>
      <c r="C537" t="s">
        <v>1161</v>
      </c>
      <c r="D537">
        <v>403</v>
      </c>
      <c r="E537" s="19">
        <f t="shared" si="36"/>
        <v>14.392857142857142</v>
      </c>
      <c r="F537" s="5">
        <v>546.85</v>
      </c>
      <c r="I537" s="124">
        <f t="shared" si="39"/>
        <v>806</v>
      </c>
      <c r="J537" t="b">
        <f t="shared" si="37"/>
        <v>1</v>
      </c>
      <c r="K537" s="4">
        <f t="shared" si="38"/>
        <v>-0.32152605459057071</v>
      </c>
    </row>
    <row r="538" spans="2:11" hidden="1">
      <c r="B538" t="s">
        <v>1137</v>
      </c>
      <c r="C538" t="s">
        <v>1138</v>
      </c>
      <c r="D538">
        <v>255</v>
      </c>
      <c r="E538" s="19">
        <f t="shared" si="36"/>
        <v>9.1071428571428577</v>
      </c>
      <c r="F538" s="5">
        <v>0</v>
      </c>
      <c r="I538" s="124">
        <f t="shared" si="39"/>
        <v>510</v>
      </c>
      <c r="J538" t="b">
        <f t="shared" si="37"/>
        <v>1</v>
      </c>
      <c r="K538" s="4">
        <f t="shared" si="38"/>
        <v>-1</v>
      </c>
    </row>
    <row r="539" spans="2:11" hidden="1">
      <c r="B539" t="s">
        <v>1168</v>
      </c>
      <c r="C539" t="s">
        <v>1169</v>
      </c>
      <c r="D539">
        <v>266</v>
      </c>
      <c r="E539" s="19">
        <f t="shared" si="36"/>
        <v>9.5</v>
      </c>
      <c r="F539" s="5">
        <v>328.44</v>
      </c>
      <c r="I539" s="124">
        <f t="shared" si="39"/>
        <v>532</v>
      </c>
      <c r="J539" t="b">
        <f t="shared" si="37"/>
        <v>1</v>
      </c>
      <c r="K539" s="4">
        <f t="shared" si="38"/>
        <v>-0.38263157894736843</v>
      </c>
    </row>
    <row r="540" spans="2:11" hidden="1">
      <c r="B540" t="s">
        <v>1162</v>
      </c>
      <c r="C540" t="s">
        <v>1163</v>
      </c>
      <c r="D540">
        <v>893</v>
      </c>
      <c r="E540" s="19">
        <f t="shared" si="36"/>
        <v>31.892857142857142</v>
      </c>
      <c r="F540" s="5">
        <v>660.62</v>
      </c>
      <c r="I540" s="124">
        <f t="shared" si="39"/>
        <v>1786</v>
      </c>
      <c r="J540" t="b">
        <f t="shared" si="37"/>
        <v>1</v>
      </c>
      <c r="K540" s="4">
        <f t="shared" si="38"/>
        <v>-0.63011198208286667</v>
      </c>
    </row>
    <row r="541" spans="2:11" hidden="1">
      <c r="B541" t="s">
        <v>1164</v>
      </c>
      <c r="C541" t="s">
        <v>1165</v>
      </c>
      <c r="D541">
        <v>686</v>
      </c>
      <c r="E541" s="19">
        <f t="shared" si="36"/>
        <v>24.5</v>
      </c>
      <c r="F541" s="5">
        <v>1090.55</v>
      </c>
      <c r="I541" s="124">
        <f t="shared" si="39"/>
        <v>1372</v>
      </c>
      <c r="J541" t="b">
        <f t="shared" si="37"/>
        <v>1</v>
      </c>
      <c r="K541" s="4">
        <f t="shared" si="38"/>
        <v>-0.20513848396501466</v>
      </c>
    </row>
    <row r="542" spans="2:11" hidden="1">
      <c r="B542" t="s">
        <v>1252</v>
      </c>
      <c r="C542" t="s">
        <v>1253</v>
      </c>
      <c r="D542">
        <v>1055</v>
      </c>
      <c r="E542" s="19">
        <f t="shared" si="36"/>
        <v>37.678571428571431</v>
      </c>
      <c r="F542" s="5">
        <v>1297.68</v>
      </c>
      <c r="I542" s="124">
        <f>IF((D542/28)&gt;100,D542*2,D542*2)</f>
        <v>2110</v>
      </c>
      <c r="J542" t="b">
        <f t="shared" si="37"/>
        <v>1</v>
      </c>
      <c r="K542" s="4">
        <f t="shared" si="38"/>
        <v>-0.38498578199052125</v>
      </c>
    </row>
    <row r="543" spans="2:11" hidden="1">
      <c r="B543" t="s">
        <v>1226</v>
      </c>
      <c r="C543" s="5" t="s">
        <v>1227</v>
      </c>
      <c r="D543">
        <v>1162</v>
      </c>
      <c r="E543" s="19">
        <f t="shared" si="36"/>
        <v>41.5</v>
      </c>
      <c r="F543" s="5">
        <v>742.58</v>
      </c>
      <c r="I543" s="124">
        <f t="shared" si="39"/>
        <v>2324</v>
      </c>
      <c r="J543" t="b">
        <f t="shared" si="37"/>
        <v>1</v>
      </c>
      <c r="K543" s="4">
        <f t="shared" si="38"/>
        <v>-0.680473321858864</v>
      </c>
    </row>
    <row r="544" spans="2:11" ht="30" hidden="1">
      <c r="B544" s="55" t="s">
        <v>1107</v>
      </c>
      <c r="C544" s="37" t="s">
        <v>1108</v>
      </c>
      <c r="D544">
        <v>491</v>
      </c>
      <c r="E544" s="19">
        <f t="shared" si="36"/>
        <v>17.535714285714285</v>
      </c>
      <c r="F544" s="5">
        <v>361.43</v>
      </c>
      <c r="I544" s="124">
        <f t="shared" si="39"/>
        <v>982</v>
      </c>
      <c r="J544" t="b">
        <f t="shared" si="37"/>
        <v>1</v>
      </c>
      <c r="K544" s="4">
        <f t="shared" si="38"/>
        <v>-0.6319450101832994</v>
      </c>
    </row>
    <row r="545" spans="2:11">
      <c r="B545" t="s">
        <v>1189</v>
      </c>
      <c r="C545" t="s">
        <v>1190</v>
      </c>
      <c r="D545">
        <v>219</v>
      </c>
      <c r="E545" s="19">
        <f t="shared" si="36"/>
        <v>7.8214285714285712</v>
      </c>
      <c r="F545" s="5">
        <v>953</v>
      </c>
      <c r="I545" s="124">
        <f t="shared" si="39"/>
        <v>438</v>
      </c>
      <c r="J545" t="b">
        <f t="shared" si="37"/>
        <v>0</v>
      </c>
      <c r="K545" s="4">
        <f t="shared" si="38"/>
        <v>1.1757990867579911</v>
      </c>
    </row>
    <row r="546" spans="2:11" hidden="1">
      <c r="B546" t="s">
        <v>1283</v>
      </c>
      <c r="C546" t="s">
        <v>1284</v>
      </c>
      <c r="D546">
        <v>1287</v>
      </c>
      <c r="E546" s="19">
        <f t="shared" si="36"/>
        <v>45.964285714285715</v>
      </c>
      <c r="F546" s="5">
        <v>1345.53</v>
      </c>
      <c r="I546" s="124">
        <f t="shared" si="39"/>
        <v>2574</v>
      </c>
      <c r="J546" t="b">
        <f t="shared" si="37"/>
        <v>1</v>
      </c>
      <c r="K546" s="4">
        <f t="shared" si="38"/>
        <v>-0.47726107226107228</v>
      </c>
    </row>
    <row r="547" spans="2:11" hidden="1">
      <c r="B547" t="s">
        <v>1150</v>
      </c>
      <c r="C547" t="s">
        <v>1151</v>
      </c>
      <c r="D547">
        <v>18</v>
      </c>
      <c r="E547" s="19">
        <f t="shared" si="36"/>
        <v>0.6428571428571429</v>
      </c>
      <c r="F547" s="5">
        <v>9.1</v>
      </c>
      <c r="I547" s="135">
        <f t="shared" si="39"/>
        <v>36</v>
      </c>
      <c r="J547" t="b">
        <f t="shared" si="37"/>
        <v>1</v>
      </c>
      <c r="K547" s="4">
        <f t="shared" si="38"/>
        <v>-0.74722222222222223</v>
      </c>
    </row>
    <row r="548" spans="2:11" ht="30">
      <c r="B548" s="55" t="s">
        <v>1131</v>
      </c>
      <c r="C548" t="s">
        <v>1132</v>
      </c>
      <c r="D548">
        <v>254</v>
      </c>
      <c r="E548" s="19">
        <f t="shared" si="36"/>
        <v>9.0714285714285712</v>
      </c>
      <c r="F548" s="5">
        <v>611.54999999999995</v>
      </c>
      <c r="I548" s="124">
        <f t="shared" si="39"/>
        <v>508</v>
      </c>
      <c r="J548" t="b">
        <f t="shared" si="37"/>
        <v>0</v>
      </c>
      <c r="K548" s="4">
        <f t="shared" si="38"/>
        <v>0.20383858267716537</v>
      </c>
    </row>
    <row r="549" spans="2:11" hidden="1">
      <c r="B549" t="s">
        <v>1105</v>
      </c>
      <c r="C549" t="s">
        <v>1106</v>
      </c>
      <c r="D549">
        <v>766</v>
      </c>
      <c r="E549" s="19">
        <f t="shared" si="36"/>
        <v>27.357142857142858</v>
      </c>
      <c r="F549" s="5">
        <v>1174.81</v>
      </c>
      <c r="I549" s="124">
        <f t="shared" si="39"/>
        <v>1532</v>
      </c>
      <c r="J549" t="b">
        <f t="shared" si="37"/>
        <v>1</v>
      </c>
      <c r="K549" s="4">
        <f t="shared" si="38"/>
        <v>-0.23315274151436038</v>
      </c>
    </row>
    <row r="550" spans="2:11" hidden="1">
      <c r="B550" t="s">
        <v>1139</v>
      </c>
      <c r="C550" t="s">
        <v>1140</v>
      </c>
      <c r="D550">
        <v>0</v>
      </c>
      <c r="E550" s="19">
        <f t="shared" si="36"/>
        <v>0</v>
      </c>
      <c r="F550" s="5">
        <v>0</v>
      </c>
      <c r="I550" s="124">
        <f t="shared" si="39"/>
        <v>0</v>
      </c>
      <c r="J550" t="b">
        <f t="shared" si="37"/>
        <v>1</v>
      </c>
      <c r="K550" s="4" t="e">
        <f t="shared" si="38"/>
        <v>#DIV/0!</v>
      </c>
    </row>
    <row r="551" spans="2:11" hidden="1">
      <c r="B551" s="37" t="s">
        <v>1145</v>
      </c>
      <c r="C551" s="37" t="s">
        <v>1146</v>
      </c>
      <c r="D551">
        <v>1</v>
      </c>
      <c r="E551" s="19">
        <f t="shared" si="36"/>
        <v>3.5714285714285712E-2</v>
      </c>
      <c r="F551" s="5">
        <v>0</v>
      </c>
      <c r="I551" s="124">
        <f t="shared" si="39"/>
        <v>2</v>
      </c>
      <c r="J551" t="b">
        <f t="shared" si="37"/>
        <v>1</v>
      </c>
      <c r="K551" s="4">
        <f t="shared" si="38"/>
        <v>-1</v>
      </c>
    </row>
    <row r="552" spans="2:11" ht="30" hidden="1">
      <c r="B552" s="55" t="s">
        <v>1141</v>
      </c>
      <c r="C552" s="37" t="s">
        <v>1142</v>
      </c>
      <c r="D552">
        <v>0</v>
      </c>
      <c r="E552" s="19">
        <f t="shared" si="36"/>
        <v>0</v>
      </c>
      <c r="F552" s="5">
        <v>0</v>
      </c>
      <c r="I552" s="135">
        <f t="shared" si="39"/>
        <v>0</v>
      </c>
      <c r="J552" t="b">
        <f t="shared" si="37"/>
        <v>1</v>
      </c>
      <c r="K552" s="4" t="e">
        <f t="shared" si="38"/>
        <v>#DIV/0!</v>
      </c>
    </row>
    <row r="553" spans="2:11" ht="30" hidden="1">
      <c r="B553" s="55" t="s">
        <v>1143</v>
      </c>
      <c r="C553" s="37" t="s">
        <v>1144</v>
      </c>
      <c r="D553">
        <v>0</v>
      </c>
      <c r="E553" s="19">
        <f t="shared" si="36"/>
        <v>0</v>
      </c>
      <c r="F553" s="5">
        <v>0</v>
      </c>
      <c r="I553" s="124">
        <f t="shared" si="39"/>
        <v>0</v>
      </c>
      <c r="J553" t="b">
        <f t="shared" si="37"/>
        <v>1</v>
      </c>
      <c r="K553" s="4" t="e">
        <f t="shared" si="38"/>
        <v>#DIV/0!</v>
      </c>
    </row>
    <row r="554" spans="2:11" ht="30" hidden="1">
      <c r="B554" s="55" t="s">
        <v>1113</v>
      </c>
      <c r="C554" s="37" t="s">
        <v>1114</v>
      </c>
      <c r="D554">
        <v>1</v>
      </c>
      <c r="E554" s="19">
        <f t="shared" si="36"/>
        <v>3.5714285714285712E-2</v>
      </c>
      <c r="F554" s="5">
        <v>0</v>
      </c>
      <c r="I554" s="124">
        <f t="shared" si="39"/>
        <v>2</v>
      </c>
      <c r="J554" t="b">
        <f t="shared" si="37"/>
        <v>1</v>
      </c>
      <c r="K554" s="4">
        <f t="shared" si="38"/>
        <v>-1</v>
      </c>
    </row>
    <row r="555" spans="2:11">
      <c r="B555" s="55" t="s">
        <v>1177</v>
      </c>
      <c r="C555" s="37" t="s">
        <v>1178</v>
      </c>
      <c r="D555">
        <v>271</v>
      </c>
      <c r="E555" s="19">
        <f t="shared" ref="E555:E557" si="40">D555/28</f>
        <v>9.6785714285714288</v>
      </c>
      <c r="F555" s="5">
        <v>859.45</v>
      </c>
      <c r="I555" s="135">
        <f t="shared" si="39"/>
        <v>542</v>
      </c>
      <c r="J555" t="b">
        <f t="shared" ref="J555:J557" si="41">IF(F555&gt;1.2*I555,FALSE,TRUE)</f>
        <v>0</v>
      </c>
      <c r="K555" s="4">
        <f t="shared" ref="K555:K557" si="42">F555/I555-1</f>
        <v>0.58570110701107025</v>
      </c>
    </row>
    <row r="556" spans="2:11" ht="30" hidden="1">
      <c r="B556" s="55" t="s">
        <v>1088</v>
      </c>
      <c r="C556" s="145" t="s">
        <v>1089</v>
      </c>
      <c r="D556">
        <v>132</v>
      </c>
      <c r="E556" s="19">
        <f t="shared" si="40"/>
        <v>4.7142857142857144</v>
      </c>
      <c r="F556" s="5">
        <v>141.25</v>
      </c>
      <c r="I556" s="135">
        <f t="shared" si="39"/>
        <v>264</v>
      </c>
      <c r="J556" t="b">
        <f t="shared" si="41"/>
        <v>1</v>
      </c>
      <c r="K556" s="4">
        <f t="shared" si="42"/>
        <v>-0.46496212121212122</v>
      </c>
    </row>
    <row r="557" spans="2:11" ht="30" hidden="1">
      <c r="B557" s="55" t="s">
        <v>1044</v>
      </c>
      <c r="C557" s="37" t="s">
        <v>1045</v>
      </c>
      <c r="D557">
        <v>3285</v>
      </c>
      <c r="E557" s="19">
        <f t="shared" si="40"/>
        <v>117.32142857142857</v>
      </c>
      <c r="F557" s="5">
        <v>4482.9799999999996</v>
      </c>
      <c r="I557" s="135">
        <f t="shared" si="39"/>
        <v>6570</v>
      </c>
      <c r="J557" t="b">
        <f t="shared" si="41"/>
        <v>1</v>
      </c>
      <c r="K557" s="4">
        <f t="shared" si="42"/>
        <v>-0.31765905631659064</v>
      </c>
    </row>
    <row r="558" spans="2:11" hidden="1">
      <c r="B558" t="s">
        <v>1172</v>
      </c>
      <c r="C558" t="s">
        <v>1173</v>
      </c>
      <c r="D558">
        <v>313</v>
      </c>
      <c r="F558" s="135">
        <v>727.7</v>
      </c>
    </row>
    <row r="559" spans="2:11" hidden="1">
      <c r="B559" t="s">
        <v>1207</v>
      </c>
      <c r="C559" t="s">
        <v>1208</v>
      </c>
      <c r="D559">
        <v>629</v>
      </c>
      <c r="F559" s="135">
        <v>2135.34</v>
      </c>
    </row>
    <row r="560" spans="2:11" hidden="1">
      <c r="B560" t="s">
        <v>1055</v>
      </c>
      <c r="C560" t="s">
        <v>1056</v>
      </c>
      <c r="D560">
        <v>1178</v>
      </c>
      <c r="F560" s="135">
        <v>1118.1500000000001</v>
      </c>
    </row>
    <row r="561" spans="2:6" hidden="1">
      <c r="B561" t="s">
        <v>1111</v>
      </c>
      <c r="C561" t="s">
        <v>1112</v>
      </c>
      <c r="D561">
        <v>1410</v>
      </c>
      <c r="F561" s="135">
        <v>2182.37</v>
      </c>
    </row>
    <row r="562" spans="2:6" hidden="1">
      <c r="B562" t="s">
        <v>1240</v>
      </c>
      <c r="C562" t="s">
        <v>1241</v>
      </c>
      <c r="D562">
        <v>1735</v>
      </c>
      <c r="F562" s="135">
        <v>2427.6799999999998</v>
      </c>
    </row>
    <row r="563" spans="2:6" hidden="1">
      <c r="B563" t="s">
        <v>1092</v>
      </c>
      <c r="C563" t="s">
        <v>1093</v>
      </c>
      <c r="D563">
        <v>1225</v>
      </c>
      <c r="F563" s="135">
        <v>1189.3900000000001</v>
      </c>
    </row>
    <row r="564" spans="2:6" hidden="1">
      <c r="B564" t="s">
        <v>1281</v>
      </c>
      <c r="C564" t="s">
        <v>1282</v>
      </c>
      <c r="D564">
        <v>1498</v>
      </c>
      <c r="F564" s="135">
        <v>3609.87</v>
      </c>
    </row>
    <row r="565" spans="2:6" hidden="1">
      <c r="B565" t="s">
        <v>1250</v>
      </c>
      <c r="C565" t="s">
        <v>1251</v>
      </c>
      <c r="D565">
        <v>408</v>
      </c>
      <c r="F565" s="135">
        <v>205.24</v>
      </c>
    </row>
    <row r="566" spans="2:6" hidden="1">
      <c r="B566" t="s">
        <v>1127</v>
      </c>
      <c r="C566" t="s">
        <v>1128</v>
      </c>
      <c r="D566">
        <v>910</v>
      </c>
      <c r="F566" s="135">
        <v>1616.6</v>
      </c>
    </row>
    <row r="567" spans="2:6" hidden="1">
      <c r="B567" t="s">
        <v>1202</v>
      </c>
      <c r="C567" t="s">
        <v>1203</v>
      </c>
      <c r="D567">
        <v>980</v>
      </c>
      <c r="F567" s="135">
        <v>2267.9699999999998</v>
      </c>
    </row>
    <row r="568" spans="2:6" hidden="1">
      <c r="B568" t="s">
        <v>1086</v>
      </c>
      <c r="C568" t="s">
        <v>1087</v>
      </c>
      <c r="D568">
        <v>1559</v>
      </c>
      <c r="F568" s="135">
        <v>2170.8200000000002</v>
      </c>
    </row>
    <row r="569" spans="2:6" hidden="1">
      <c r="B569" t="s">
        <v>1082</v>
      </c>
      <c r="C569" t="s">
        <v>1083</v>
      </c>
      <c r="D569">
        <v>475</v>
      </c>
      <c r="F569" s="135">
        <v>426.99</v>
      </c>
    </row>
    <row r="570" spans="2:6" hidden="1">
      <c r="B570" t="s">
        <v>1181</v>
      </c>
      <c r="C570" t="s">
        <v>1182</v>
      </c>
      <c r="D570">
        <v>823</v>
      </c>
      <c r="F570" s="135">
        <v>1387.2</v>
      </c>
    </row>
    <row r="571" spans="2:6" hidden="1">
      <c r="B571" t="s">
        <v>1120</v>
      </c>
      <c r="C571" t="s">
        <v>1121</v>
      </c>
      <c r="D571">
        <v>1122</v>
      </c>
      <c r="F571" s="135">
        <v>1612.08</v>
      </c>
    </row>
    <row r="572" spans="2:6" hidden="1">
      <c r="B572" t="s">
        <v>1236</v>
      </c>
      <c r="C572" t="s">
        <v>1237</v>
      </c>
      <c r="D572">
        <v>1208</v>
      </c>
      <c r="F572" s="135">
        <v>1127.74</v>
      </c>
    </row>
    <row r="573" spans="2:6" hidden="1">
      <c r="B573" t="s">
        <v>1200</v>
      </c>
      <c r="C573" t="s">
        <v>1201</v>
      </c>
      <c r="D573">
        <v>372</v>
      </c>
      <c r="F573" s="135">
        <v>174.76</v>
      </c>
    </row>
    <row r="574" spans="2:6" hidden="1">
      <c r="B574" t="s">
        <v>1071</v>
      </c>
      <c r="C574" t="s">
        <v>1072</v>
      </c>
      <c r="D574">
        <v>864</v>
      </c>
      <c r="F574" s="135">
        <v>843.84</v>
      </c>
    </row>
    <row r="575" spans="2:6" hidden="1">
      <c r="B575" t="s">
        <v>1059</v>
      </c>
      <c r="C575" t="s">
        <v>1060</v>
      </c>
      <c r="D575">
        <v>1205</v>
      </c>
      <c r="F575" s="135">
        <v>1933.6</v>
      </c>
    </row>
    <row r="576" spans="2:6" hidden="1">
      <c r="B576" t="s">
        <v>1185</v>
      </c>
      <c r="C576" t="s">
        <v>1186</v>
      </c>
      <c r="D576">
        <v>1183</v>
      </c>
      <c r="F576" s="135">
        <v>1378.76</v>
      </c>
    </row>
    <row r="577" spans="2:6" hidden="1">
      <c r="B577" t="s">
        <v>1238</v>
      </c>
      <c r="C577" t="s">
        <v>1239</v>
      </c>
      <c r="D577">
        <v>1240</v>
      </c>
      <c r="F577" s="135">
        <v>2146.34</v>
      </c>
    </row>
    <row r="578" spans="2:6" hidden="1">
      <c r="B578" t="s">
        <v>1287</v>
      </c>
      <c r="C578" t="s">
        <v>1288</v>
      </c>
      <c r="D578">
        <v>1339</v>
      </c>
      <c r="F578" s="135">
        <v>1702.27</v>
      </c>
    </row>
    <row r="579" spans="2:6" hidden="1">
      <c r="B579" t="s">
        <v>1196</v>
      </c>
      <c r="C579" t="s">
        <v>1197</v>
      </c>
      <c r="D579">
        <v>1308</v>
      </c>
      <c r="F579" s="135">
        <v>1170.07</v>
      </c>
    </row>
    <row r="580" spans="2:6" hidden="1">
      <c r="B580" t="s">
        <v>1067</v>
      </c>
      <c r="C580" t="s">
        <v>1068</v>
      </c>
      <c r="D580">
        <v>1137</v>
      </c>
      <c r="F580" s="135">
        <v>1066.4000000000001</v>
      </c>
    </row>
    <row r="581" spans="2:6" hidden="1">
      <c r="B581" t="s">
        <v>1109</v>
      </c>
      <c r="C581" t="s">
        <v>1110</v>
      </c>
      <c r="D581">
        <v>1077</v>
      </c>
      <c r="F581" s="135">
        <v>1220.92</v>
      </c>
    </row>
    <row r="582" spans="2:6" hidden="1">
      <c r="B582" t="s">
        <v>1090</v>
      </c>
      <c r="C582" t="s">
        <v>1091</v>
      </c>
      <c r="D582">
        <v>1246</v>
      </c>
      <c r="F582" s="135">
        <v>2247.5300000000002</v>
      </c>
    </row>
    <row r="583" spans="2:6" hidden="1">
      <c r="B583" t="s">
        <v>1129</v>
      </c>
      <c r="C583" t="s">
        <v>1130</v>
      </c>
      <c r="D583">
        <v>526</v>
      </c>
      <c r="F583" s="135">
        <v>616.26</v>
      </c>
    </row>
    <row r="584" spans="2:6" hidden="1">
      <c r="B584" t="s">
        <v>1191</v>
      </c>
      <c r="C584" t="s">
        <v>1192</v>
      </c>
      <c r="D584">
        <v>3268</v>
      </c>
      <c r="F584" s="135">
        <v>2222.52</v>
      </c>
    </row>
    <row r="585" spans="2:6" hidden="1">
      <c r="B585" t="s">
        <v>1080</v>
      </c>
      <c r="C585" t="s">
        <v>1081</v>
      </c>
      <c r="D585">
        <v>395</v>
      </c>
      <c r="F585" s="135">
        <v>553.41</v>
      </c>
    </row>
    <row r="586" spans="2:6" hidden="1">
      <c r="B586" t="s">
        <v>1248</v>
      </c>
      <c r="C586" t="s">
        <v>1249</v>
      </c>
      <c r="D586">
        <v>249</v>
      </c>
      <c r="F586" s="135">
        <v>1040.6500000000001</v>
      </c>
    </row>
    <row r="587" spans="2:6" hidden="1">
      <c r="B587" t="s">
        <v>1048</v>
      </c>
      <c r="C587" t="s">
        <v>1049</v>
      </c>
      <c r="D587">
        <v>1422</v>
      </c>
      <c r="F587" s="135">
        <v>1334.37</v>
      </c>
    </row>
    <row r="588" spans="2:6" hidden="1">
      <c r="B588" t="s">
        <v>1275</v>
      </c>
      <c r="C588" t="s">
        <v>1276</v>
      </c>
      <c r="D588">
        <v>5647</v>
      </c>
      <c r="F588" s="135">
        <v>7173.38</v>
      </c>
    </row>
    <row r="589" spans="2:6" hidden="1">
      <c r="B589" t="s">
        <v>932</v>
      </c>
      <c r="C589" t="s">
        <v>1176</v>
      </c>
      <c r="D589">
        <v>1202</v>
      </c>
      <c r="F589" s="135">
        <v>3086.69</v>
      </c>
    </row>
    <row r="590" spans="2:6" hidden="1">
      <c r="B590" t="s">
        <v>1046</v>
      </c>
      <c r="C590" t="s">
        <v>1047</v>
      </c>
      <c r="D590">
        <v>5310</v>
      </c>
      <c r="F590" s="135">
        <v>5405.73</v>
      </c>
    </row>
    <row r="591" spans="2:6" hidden="1">
      <c r="B591" t="s">
        <v>1205</v>
      </c>
      <c r="C591" t="s">
        <v>1206</v>
      </c>
      <c r="D591">
        <v>611</v>
      </c>
      <c r="F591" s="135">
        <v>2072.69</v>
      </c>
    </row>
    <row r="592" spans="2:6" hidden="1">
      <c r="B592" t="s">
        <v>1057</v>
      </c>
      <c r="C592" t="s">
        <v>1058</v>
      </c>
      <c r="D592">
        <v>1897</v>
      </c>
      <c r="F592" s="135">
        <v>1871.7</v>
      </c>
    </row>
    <row r="593" spans="2:6" hidden="1">
      <c r="B593" t="s">
        <v>1254</v>
      </c>
      <c r="C593" t="s">
        <v>1255</v>
      </c>
      <c r="D593">
        <v>3570</v>
      </c>
      <c r="F593" s="135">
        <v>4714.21</v>
      </c>
    </row>
    <row r="594" spans="2:6" hidden="1">
      <c r="B594" t="s">
        <v>1039</v>
      </c>
      <c r="C594" t="s">
        <v>1040</v>
      </c>
      <c r="D594">
        <v>6892</v>
      </c>
      <c r="F594" s="135">
        <v>6645.38</v>
      </c>
    </row>
    <row r="595" spans="2:6" hidden="1">
      <c r="B595" t="s">
        <v>1244</v>
      </c>
      <c r="C595" t="s">
        <v>1245</v>
      </c>
      <c r="D595">
        <v>2799</v>
      </c>
      <c r="F595" s="135">
        <v>5601.25</v>
      </c>
    </row>
    <row r="596" spans="2:6" hidden="1">
      <c r="B596" t="s">
        <v>1042</v>
      </c>
      <c r="C596" t="s">
        <v>1043</v>
      </c>
      <c r="D596">
        <v>5085</v>
      </c>
      <c r="F596" s="135">
        <v>4982.4399999999996</v>
      </c>
    </row>
    <row r="597" spans="2:6" hidden="1">
      <c r="B597" t="s">
        <v>1036</v>
      </c>
      <c r="C597" t="s">
        <v>1037</v>
      </c>
      <c r="D597">
        <v>12292</v>
      </c>
      <c r="F597" s="135">
        <v>12299.44</v>
      </c>
    </row>
    <row r="598" spans="2:6" hidden="1">
      <c r="B598" t="s">
        <v>1220</v>
      </c>
      <c r="C598" t="s">
        <v>1221</v>
      </c>
      <c r="D598">
        <v>0</v>
      </c>
      <c r="F598" s="135">
        <v>0.75</v>
      </c>
    </row>
    <row r="599" spans="2:6" hidden="1">
      <c r="B599" t="s">
        <v>1187</v>
      </c>
      <c r="C599" t="s">
        <v>1188</v>
      </c>
      <c r="D599">
        <v>0</v>
      </c>
      <c r="F599" s="135">
        <v>0</v>
      </c>
    </row>
  </sheetData>
  <autoFilter ref="A1:N599" xr:uid="{EAD0D377-3820-4DB4-B8D5-8AE187021F68}">
    <filterColumn colId="9">
      <filters>
        <filter val="FALSE"/>
      </filters>
    </filterColumn>
  </autoFilter>
  <sortState xmlns:xlrd2="http://schemas.microsoft.com/office/spreadsheetml/2017/richdata2" ref="A2:F361">
    <sortCondition descending="1" ref="E1:E36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1368</v>
      </c>
      <c r="B1" t="s">
        <v>1477</v>
      </c>
    </row>
    <row r="2" spans="1:2">
      <c r="A2" t="s">
        <v>703</v>
      </c>
      <c r="B2" t="s">
        <v>1334</v>
      </c>
    </row>
    <row r="3" spans="1:2">
      <c r="A3" t="s">
        <v>32</v>
      </c>
      <c r="B3" t="s">
        <v>1334</v>
      </c>
    </row>
    <row r="4" spans="1:2">
      <c r="A4" t="s">
        <v>1492</v>
      </c>
      <c r="B4" t="s">
        <v>1334</v>
      </c>
    </row>
    <row r="5" spans="1:2">
      <c r="A5" t="s">
        <v>386</v>
      </c>
      <c r="B5" t="s">
        <v>1334</v>
      </c>
    </row>
    <row r="6" spans="1:2">
      <c r="A6" t="s">
        <v>1493</v>
      </c>
      <c r="B6" t="s">
        <v>1334</v>
      </c>
    </row>
    <row r="7" spans="1:2">
      <c r="A7" t="s">
        <v>164</v>
      </c>
      <c r="B7" t="s">
        <v>1334</v>
      </c>
    </row>
    <row r="8" spans="1:2">
      <c r="A8" t="s">
        <v>22</v>
      </c>
      <c r="B8" t="s">
        <v>1334</v>
      </c>
    </row>
    <row r="9" spans="1:2">
      <c r="A9" t="s">
        <v>481</v>
      </c>
      <c r="B9" t="s">
        <v>1334</v>
      </c>
    </row>
    <row r="10" spans="1:2">
      <c r="A10" t="s">
        <v>1392</v>
      </c>
      <c r="B10" t="s">
        <v>1334</v>
      </c>
    </row>
    <row r="11" spans="1:2">
      <c r="A11" t="s">
        <v>48</v>
      </c>
      <c r="B11" t="s">
        <v>1334</v>
      </c>
    </row>
    <row r="12" spans="1:2">
      <c r="A12" t="s">
        <v>699</v>
      </c>
      <c r="B12" t="s">
        <v>1334</v>
      </c>
    </row>
    <row r="13" spans="1:2">
      <c r="A13" t="s">
        <v>443</v>
      </c>
      <c r="B13" t="s">
        <v>1334</v>
      </c>
    </row>
    <row r="14" spans="1:2">
      <c r="A14" t="s">
        <v>569</v>
      </c>
      <c r="B14" t="s">
        <v>1334</v>
      </c>
    </row>
    <row r="15" spans="1:2">
      <c r="A15" t="s">
        <v>427</v>
      </c>
      <c r="B15" t="s">
        <v>1334</v>
      </c>
    </row>
    <row r="16" spans="1:2">
      <c r="A16" t="s">
        <v>1494</v>
      </c>
      <c r="B16" t="s">
        <v>1334</v>
      </c>
    </row>
    <row r="17" spans="1:2">
      <c r="A17" t="s">
        <v>553</v>
      </c>
      <c r="B17" t="s">
        <v>1334</v>
      </c>
    </row>
    <row r="18" spans="1:2">
      <c r="A18" t="s">
        <v>242</v>
      </c>
      <c r="B18" t="s">
        <v>1334</v>
      </c>
    </row>
    <row r="19" spans="1:2">
      <c r="A19" t="s">
        <v>557</v>
      </c>
      <c r="B19" t="s">
        <v>1334</v>
      </c>
    </row>
    <row r="20" spans="1:2">
      <c r="A20" t="s">
        <v>1495</v>
      </c>
      <c r="B20" t="s">
        <v>1334</v>
      </c>
    </row>
    <row r="21" spans="1:2">
      <c r="A21" t="s">
        <v>304</v>
      </c>
      <c r="B21" t="s">
        <v>1334</v>
      </c>
    </row>
    <row r="22" spans="1:2">
      <c r="A22" t="s">
        <v>252</v>
      </c>
      <c r="B22" t="s">
        <v>1334</v>
      </c>
    </row>
    <row r="23" spans="1:2">
      <c r="A23" t="s">
        <v>1496</v>
      </c>
      <c r="B23" t="s">
        <v>1334</v>
      </c>
    </row>
    <row r="24" spans="1:2">
      <c r="A24" t="s">
        <v>483</v>
      </c>
      <c r="B24" t="s">
        <v>1334</v>
      </c>
    </row>
    <row r="25" spans="1:2">
      <c r="A25" t="s">
        <v>300</v>
      </c>
      <c r="B25" t="s">
        <v>1334</v>
      </c>
    </row>
    <row r="26" spans="1:2">
      <c r="A26" t="s">
        <v>360</v>
      </c>
      <c r="B26" t="s">
        <v>1334</v>
      </c>
    </row>
    <row r="27" spans="1:2">
      <c r="A27" t="s">
        <v>220</v>
      </c>
      <c r="B27" t="s">
        <v>1334</v>
      </c>
    </row>
    <row r="28" spans="1:2">
      <c r="A28" t="s">
        <v>685</v>
      </c>
      <c r="B28" t="s">
        <v>1334</v>
      </c>
    </row>
    <row r="29" spans="1:2">
      <c r="A29" t="s">
        <v>497</v>
      </c>
      <c r="B29" t="s">
        <v>1334</v>
      </c>
    </row>
    <row r="30" spans="1:2">
      <c r="A30" t="s">
        <v>597</v>
      </c>
      <c r="B30" t="s">
        <v>1334</v>
      </c>
    </row>
    <row r="31" spans="1:2">
      <c r="A31" t="s">
        <v>1497</v>
      </c>
      <c r="B31" t="s">
        <v>1334</v>
      </c>
    </row>
    <row r="32" spans="1:2">
      <c r="A32" t="s">
        <v>437</v>
      </c>
      <c r="B32" t="s">
        <v>1334</v>
      </c>
    </row>
    <row r="33" spans="1:2">
      <c r="A33" t="s">
        <v>76</v>
      </c>
      <c r="B33" t="s">
        <v>1334</v>
      </c>
    </row>
    <row r="34" spans="1:2">
      <c r="A34" t="s">
        <v>62</v>
      </c>
      <c r="B34" t="s">
        <v>1334</v>
      </c>
    </row>
    <row r="35" spans="1:2">
      <c r="A35" t="s">
        <v>286</v>
      </c>
      <c r="B35" t="s">
        <v>1334</v>
      </c>
    </row>
    <row r="36" spans="1:2">
      <c r="A36" t="s">
        <v>312</v>
      </c>
      <c r="B36" t="s">
        <v>1334</v>
      </c>
    </row>
    <row r="37" spans="1:2">
      <c r="A37" t="s">
        <v>467</v>
      </c>
      <c r="B37" t="s">
        <v>1334</v>
      </c>
    </row>
    <row r="38" spans="1:2">
      <c r="A38" t="s">
        <v>180</v>
      </c>
      <c r="B38" t="s">
        <v>1334</v>
      </c>
    </row>
    <row r="39" spans="1:2">
      <c r="A39" t="s">
        <v>376</v>
      </c>
      <c r="B39" t="s">
        <v>1334</v>
      </c>
    </row>
    <row r="40" spans="1:2">
      <c r="A40" t="s">
        <v>58</v>
      </c>
      <c r="B40" t="s">
        <v>1334</v>
      </c>
    </row>
    <row r="41" spans="1:2">
      <c r="A41" t="s">
        <v>637</v>
      </c>
      <c r="B41" t="s">
        <v>1334</v>
      </c>
    </row>
    <row r="42" spans="1:2">
      <c r="A42" t="s">
        <v>577</v>
      </c>
      <c r="B42" t="s">
        <v>1334</v>
      </c>
    </row>
    <row r="43" spans="1:2">
      <c r="A43" t="s">
        <v>160</v>
      </c>
      <c r="B43" t="s">
        <v>1334</v>
      </c>
    </row>
    <row r="44" spans="1:2">
      <c r="A44" t="s">
        <v>154</v>
      </c>
      <c r="B44" t="s">
        <v>1334</v>
      </c>
    </row>
    <row r="45" spans="1:2">
      <c r="A45" t="s">
        <v>294</v>
      </c>
      <c r="B45" t="s">
        <v>1334</v>
      </c>
    </row>
    <row r="46" spans="1:2">
      <c r="A46" t="s">
        <v>589</v>
      </c>
      <c r="B46" t="s">
        <v>1334</v>
      </c>
    </row>
    <row r="47" spans="1:2">
      <c r="A47" t="s">
        <v>1498</v>
      </c>
      <c r="B47" t="s">
        <v>1334</v>
      </c>
    </row>
    <row r="48" spans="1:2">
      <c r="A48" t="s">
        <v>575</v>
      </c>
      <c r="B48" t="s">
        <v>1334</v>
      </c>
    </row>
    <row r="49" spans="1:2">
      <c r="A49" t="s">
        <v>1376</v>
      </c>
      <c r="B49" t="s">
        <v>1334</v>
      </c>
    </row>
    <row r="50" spans="1:2">
      <c r="A50" t="s">
        <v>152</v>
      </c>
      <c r="B50" t="s">
        <v>1334</v>
      </c>
    </row>
    <row r="51" spans="1:2">
      <c r="A51" t="s">
        <v>94</v>
      </c>
      <c r="B51" t="s">
        <v>1334</v>
      </c>
    </row>
    <row r="52" spans="1:2">
      <c r="A52" t="s">
        <v>567</v>
      </c>
      <c r="B52" t="s">
        <v>1334</v>
      </c>
    </row>
    <row r="53" spans="1:2">
      <c r="A53" t="s">
        <v>673</v>
      </c>
      <c r="B53" t="s">
        <v>1334</v>
      </c>
    </row>
    <row r="54" spans="1:2">
      <c r="A54" t="s">
        <v>639</v>
      </c>
      <c r="B54" t="s">
        <v>1334</v>
      </c>
    </row>
    <row r="55" spans="1:2">
      <c r="A55" t="s">
        <v>356</v>
      </c>
      <c r="B55" t="s">
        <v>1334</v>
      </c>
    </row>
    <row r="56" spans="1:2">
      <c r="A56" t="s">
        <v>276</v>
      </c>
      <c r="B56" t="s">
        <v>1334</v>
      </c>
    </row>
    <row r="57" spans="1:2">
      <c r="A57" t="s">
        <v>372</v>
      </c>
      <c r="B57" t="s">
        <v>1334</v>
      </c>
    </row>
    <row r="58" spans="1:2">
      <c r="A58" t="s">
        <v>338</v>
      </c>
      <c r="B58" t="s">
        <v>1334</v>
      </c>
    </row>
    <row r="59" spans="1:2">
      <c r="A59" t="s">
        <v>1391</v>
      </c>
      <c r="B59" t="s">
        <v>1334</v>
      </c>
    </row>
    <row r="60" spans="1:2">
      <c r="A60" t="s">
        <v>178</v>
      </c>
      <c r="B60" t="s">
        <v>1334</v>
      </c>
    </row>
    <row r="61" spans="1:2">
      <c r="A61" t="s">
        <v>1499</v>
      </c>
      <c r="B61" t="s">
        <v>1334</v>
      </c>
    </row>
    <row r="62" spans="1:2">
      <c r="A62" t="s">
        <v>697</v>
      </c>
      <c r="B62" t="s">
        <v>1334</v>
      </c>
    </row>
    <row r="63" spans="1:2">
      <c r="A63" t="s">
        <v>1500</v>
      </c>
      <c r="B63" t="s">
        <v>1334</v>
      </c>
    </row>
    <row r="64" spans="1:2">
      <c r="A64" t="s">
        <v>1501</v>
      </c>
      <c r="B64" t="s">
        <v>1334</v>
      </c>
    </row>
    <row r="65" spans="1:2">
      <c r="A65" t="s">
        <v>384</v>
      </c>
      <c r="B65" t="s">
        <v>1334</v>
      </c>
    </row>
    <row r="66" spans="1:2">
      <c r="A66" t="s">
        <v>511</v>
      </c>
      <c r="B66" t="s">
        <v>1334</v>
      </c>
    </row>
    <row r="67" spans="1:2">
      <c r="A67" t="s">
        <v>473</v>
      </c>
      <c r="B67" t="s">
        <v>1334</v>
      </c>
    </row>
    <row r="68" spans="1:2">
      <c r="A68" t="s">
        <v>1502</v>
      </c>
      <c r="B68" t="s">
        <v>1334</v>
      </c>
    </row>
    <row r="69" spans="1:2">
      <c r="A69" t="s">
        <v>459</v>
      </c>
      <c r="B69" t="s">
        <v>1334</v>
      </c>
    </row>
    <row r="70" spans="1:2">
      <c r="A70" t="s">
        <v>469</v>
      </c>
      <c r="B70" t="s">
        <v>1334</v>
      </c>
    </row>
    <row r="71" spans="1:2">
      <c r="A71" t="s">
        <v>264</v>
      </c>
      <c r="B71" t="s">
        <v>1334</v>
      </c>
    </row>
    <row r="72" spans="1:2">
      <c r="A72" t="s">
        <v>82</v>
      </c>
      <c r="B72" t="s">
        <v>1334</v>
      </c>
    </row>
    <row r="73" spans="1:2">
      <c r="A73" t="s">
        <v>431</v>
      </c>
      <c r="B73" t="s">
        <v>1334</v>
      </c>
    </row>
    <row r="74" spans="1:2">
      <c r="A74" t="s">
        <v>232</v>
      </c>
      <c r="B74" t="s">
        <v>1334</v>
      </c>
    </row>
    <row r="75" spans="1:2">
      <c r="A75" t="s">
        <v>184</v>
      </c>
      <c r="B75" t="s">
        <v>1334</v>
      </c>
    </row>
    <row r="76" spans="1:2">
      <c r="A76" t="s">
        <v>1503</v>
      </c>
      <c r="B76" t="s">
        <v>1334</v>
      </c>
    </row>
    <row r="77" spans="1:2">
      <c r="A77" t="s">
        <v>477</v>
      </c>
      <c r="B77" t="s">
        <v>1334</v>
      </c>
    </row>
    <row r="78" spans="1:2">
      <c r="A78" t="s">
        <v>1394</v>
      </c>
      <c r="B78" t="s">
        <v>1334</v>
      </c>
    </row>
    <row r="79" spans="1:2">
      <c r="A79" t="s">
        <v>370</v>
      </c>
      <c r="B79" t="s">
        <v>1334</v>
      </c>
    </row>
    <row r="80" spans="1:2">
      <c r="A80" t="s">
        <v>1393</v>
      </c>
      <c r="B80" t="s">
        <v>1334</v>
      </c>
    </row>
    <row r="81" spans="1:2">
      <c r="A81" t="s">
        <v>613</v>
      </c>
      <c r="B81" t="s">
        <v>1334</v>
      </c>
    </row>
    <row r="82" spans="1:2">
      <c r="A82" t="s">
        <v>1504</v>
      </c>
      <c r="B82" t="s">
        <v>1334</v>
      </c>
    </row>
    <row r="83" spans="1:2">
      <c r="A83" t="s">
        <v>176</v>
      </c>
      <c r="B83" t="s">
        <v>1334</v>
      </c>
    </row>
    <row r="84" spans="1:2">
      <c r="A84" t="s">
        <v>393</v>
      </c>
      <c r="B84" t="s">
        <v>1334</v>
      </c>
    </row>
    <row r="85" spans="1:2">
      <c r="A85" t="s">
        <v>1505</v>
      </c>
      <c r="B85" t="s">
        <v>1334</v>
      </c>
    </row>
    <row r="86" spans="1:2">
      <c r="A86" t="s">
        <v>435</v>
      </c>
      <c r="B86" t="s">
        <v>1334</v>
      </c>
    </row>
    <row r="87" spans="1:2">
      <c r="A87" t="s">
        <v>701</v>
      </c>
      <c r="B87" t="s">
        <v>1334</v>
      </c>
    </row>
    <row r="88" spans="1:2">
      <c r="A88" t="s">
        <v>1395</v>
      </c>
      <c r="B88" t="s">
        <v>1334</v>
      </c>
    </row>
    <row r="89" spans="1:2">
      <c r="A89" t="s">
        <v>296</v>
      </c>
      <c r="B89" t="s">
        <v>1334</v>
      </c>
    </row>
    <row r="90" spans="1:2">
      <c r="A90" t="s">
        <v>389</v>
      </c>
      <c r="B90" t="s">
        <v>1334</v>
      </c>
    </row>
    <row r="91" spans="1:2">
      <c r="A91" t="s">
        <v>204</v>
      </c>
      <c r="B91" t="s">
        <v>1334</v>
      </c>
    </row>
    <row r="92" spans="1:2">
      <c r="A92" t="s">
        <v>423</v>
      </c>
      <c r="B92" t="s">
        <v>1334</v>
      </c>
    </row>
    <row r="93" spans="1:2">
      <c r="A93" t="s">
        <v>405</v>
      </c>
      <c r="B93" t="s">
        <v>1334</v>
      </c>
    </row>
    <row r="94" spans="1:2">
      <c r="A94" t="s">
        <v>1389</v>
      </c>
      <c r="B94" t="s">
        <v>1334</v>
      </c>
    </row>
    <row r="95" spans="1:2">
      <c r="A95" t="s">
        <v>415</v>
      </c>
      <c r="B95" t="s">
        <v>1334</v>
      </c>
    </row>
    <row r="96" spans="1:2">
      <c r="A96" t="s">
        <v>629</v>
      </c>
      <c r="B96" t="s">
        <v>1334</v>
      </c>
    </row>
    <row r="97" spans="1:2">
      <c r="A97" t="s">
        <v>292</v>
      </c>
      <c r="B97" t="s">
        <v>1334</v>
      </c>
    </row>
    <row r="98" spans="1:2">
      <c r="A98" t="s">
        <v>310</v>
      </c>
      <c r="B98" t="s">
        <v>1334</v>
      </c>
    </row>
    <row r="99" spans="1:2">
      <c r="A99" t="s">
        <v>1380</v>
      </c>
      <c r="B99" t="s">
        <v>1334</v>
      </c>
    </row>
    <row r="100" spans="1:2">
      <c r="A100" t="s">
        <v>96</v>
      </c>
      <c r="B100" t="s">
        <v>1334</v>
      </c>
    </row>
    <row r="101" spans="1:2">
      <c r="A101" t="s">
        <v>190</v>
      </c>
      <c r="B101" t="s">
        <v>1334</v>
      </c>
    </row>
    <row r="102" spans="1:2">
      <c r="A102" t="s">
        <v>150</v>
      </c>
      <c r="B102" t="s">
        <v>1334</v>
      </c>
    </row>
    <row r="103" spans="1:2">
      <c r="A103" t="s">
        <v>216</v>
      </c>
      <c r="B103" t="s">
        <v>1334</v>
      </c>
    </row>
    <row r="104" spans="1:2">
      <c r="A104" t="s">
        <v>290</v>
      </c>
      <c r="B104" t="s">
        <v>1334</v>
      </c>
    </row>
    <row r="105" spans="1:2">
      <c r="A105" t="s">
        <v>222</v>
      </c>
      <c r="B105" t="s">
        <v>1334</v>
      </c>
    </row>
    <row r="106" spans="1:2">
      <c r="A106" t="s">
        <v>1388</v>
      </c>
      <c r="B106" t="s">
        <v>1334</v>
      </c>
    </row>
    <row r="107" spans="1:2">
      <c r="A107" t="s">
        <v>238</v>
      </c>
      <c r="B107" t="s">
        <v>1334</v>
      </c>
    </row>
    <row r="108" spans="1:2">
      <c r="A108" t="s">
        <v>284</v>
      </c>
      <c r="B108" t="s">
        <v>1334</v>
      </c>
    </row>
    <row r="109" spans="1:2">
      <c r="A109" t="s">
        <v>316</v>
      </c>
      <c r="B109" t="s">
        <v>1334</v>
      </c>
    </row>
    <row r="110" spans="1:2">
      <c r="A110" t="s">
        <v>1506</v>
      </c>
      <c r="B110" t="s">
        <v>1334</v>
      </c>
    </row>
    <row r="111" spans="1:2">
      <c r="A111" t="s">
        <v>519</v>
      </c>
      <c r="B111" t="s">
        <v>1334</v>
      </c>
    </row>
    <row r="112" spans="1:2">
      <c r="A112" t="s">
        <v>336</v>
      </c>
      <c r="B112" t="s">
        <v>1334</v>
      </c>
    </row>
    <row r="113" spans="1:2">
      <c r="A113" t="s">
        <v>509</v>
      </c>
      <c r="B113" t="s">
        <v>1334</v>
      </c>
    </row>
    <row r="114" spans="1:2">
      <c r="A114" t="s">
        <v>340</v>
      </c>
      <c r="B114" t="s">
        <v>1334</v>
      </c>
    </row>
    <row r="115" spans="1:2">
      <c r="A115" t="s">
        <v>449</v>
      </c>
      <c r="B115" t="s">
        <v>1334</v>
      </c>
    </row>
    <row r="116" spans="1:2">
      <c r="A116" t="s">
        <v>433</v>
      </c>
      <c r="B116" t="s">
        <v>1334</v>
      </c>
    </row>
    <row r="117" spans="1:2">
      <c r="A117" t="s">
        <v>471</v>
      </c>
      <c r="B117" t="s">
        <v>1334</v>
      </c>
    </row>
    <row r="118" spans="1:2">
      <c r="A118" t="s">
        <v>200</v>
      </c>
      <c r="B118" t="s">
        <v>1334</v>
      </c>
    </row>
    <row r="119" spans="1:2">
      <c r="A119" t="s">
        <v>1507</v>
      </c>
      <c r="B119" t="s">
        <v>1334</v>
      </c>
    </row>
    <row r="120" spans="1:2">
      <c r="A120" t="s">
        <v>441</v>
      </c>
      <c r="B120" t="s">
        <v>1334</v>
      </c>
    </row>
    <row r="121" spans="1:2">
      <c r="A121" t="s">
        <v>172</v>
      </c>
      <c r="B121" t="s">
        <v>1334</v>
      </c>
    </row>
    <row r="122" spans="1:2">
      <c r="A122" t="s">
        <v>445</v>
      </c>
      <c r="B122" t="s">
        <v>1334</v>
      </c>
    </row>
    <row r="123" spans="1:2">
      <c r="A123" t="s">
        <v>1508</v>
      </c>
      <c r="B123" t="s">
        <v>1334</v>
      </c>
    </row>
    <row r="124" spans="1:2">
      <c r="A124" t="s">
        <v>162</v>
      </c>
      <c r="B124" t="s">
        <v>1334</v>
      </c>
    </row>
    <row r="125" spans="1:2">
      <c r="A125" t="s">
        <v>330</v>
      </c>
      <c r="B125" t="s">
        <v>1334</v>
      </c>
    </row>
    <row r="126" spans="1:2">
      <c r="A126" t="s">
        <v>407</v>
      </c>
      <c r="B126" t="s">
        <v>1334</v>
      </c>
    </row>
    <row r="127" spans="1:2">
      <c r="A127" t="s">
        <v>348</v>
      </c>
      <c r="B127" t="s">
        <v>1334</v>
      </c>
    </row>
    <row r="128" spans="1:2">
      <c r="A128" t="s">
        <v>254</v>
      </c>
      <c r="B128" t="s">
        <v>1334</v>
      </c>
    </row>
    <row r="129" spans="1:2">
      <c r="A129" t="s">
        <v>288</v>
      </c>
      <c r="B129" t="s">
        <v>1334</v>
      </c>
    </row>
    <row r="130" spans="1:2">
      <c r="A130" t="s">
        <v>1509</v>
      </c>
      <c r="B130" t="s">
        <v>1334</v>
      </c>
    </row>
    <row r="131" spans="1:2">
      <c r="A131" t="s">
        <v>1396</v>
      </c>
      <c r="B131" t="s">
        <v>1334</v>
      </c>
    </row>
    <row r="132" spans="1:2">
      <c r="A132" t="s">
        <v>268</v>
      </c>
      <c r="B132" t="s">
        <v>1334</v>
      </c>
    </row>
    <row r="133" spans="1:2">
      <c r="A133" t="s">
        <v>156</v>
      </c>
      <c r="B133" t="s">
        <v>1334</v>
      </c>
    </row>
    <row r="134" spans="1:2">
      <c r="A134" t="s">
        <v>403</v>
      </c>
      <c r="B134" t="s">
        <v>1334</v>
      </c>
    </row>
    <row r="135" spans="1:2">
      <c r="A135" t="s">
        <v>523</v>
      </c>
      <c r="B135" t="s">
        <v>1334</v>
      </c>
    </row>
    <row r="136" spans="1:2">
      <c r="A136" t="s">
        <v>517</v>
      </c>
      <c r="B136" t="s">
        <v>1334</v>
      </c>
    </row>
    <row r="137" spans="1:2">
      <c r="A137" t="s">
        <v>593</v>
      </c>
      <c r="B137" t="s">
        <v>1334</v>
      </c>
    </row>
    <row r="138" spans="1:2">
      <c r="A138" t="s">
        <v>250</v>
      </c>
      <c r="B138" t="s">
        <v>1334</v>
      </c>
    </row>
    <row r="139" spans="1:2">
      <c r="A139" t="s">
        <v>258</v>
      </c>
      <c r="B139" t="s">
        <v>1334</v>
      </c>
    </row>
    <row r="140" spans="1:2">
      <c r="A140" t="s">
        <v>595</v>
      </c>
      <c r="B140" t="s">
        <v>1334</v>
      </c>
    </row>
    <row r="141" spans="1:2">
      <c r="A141" t="s">
        <v>368</v>
      </c>
      <c r="B141" t="s">
        <v>1334</v>
      </c>
    </row>
    <row r="142" spans="1:2">
      <c r="A142" t="s">
        <v>134</v>
      </c>
      <c r="B142" t="s">
        <v>1334</v>
      </c>
    </row>
    <row r="143" spans="1:2">
      <c r="A143" t="s">
        <v>1510</v>
      </c>
      <c r="B143" t="s">
        <v>1334</v>
      </c>
    </row>
    <row r="144" spans="1:2">
      <c r="A144" t="s">
        <v>226</v>
      </c>
      <c r="B144" t="s">
        <v>1334</v>
      </c>
    </row>
    <row r="145" spans="1:2">
      <c r="A145" t="s">
        <v>104</v>
      </c>
      <c r="B145" t="s">
        <v>1334</v>
      </c>
    </row>
    <row r="146" spans="1:2">
      <c r="A146" t="s">
        <v>308</v>
      </c>
      <c r="B146" t="s">
        <v>1334</v>
      </c>
    </row>
    <row r="147" spans="1:2">
      <c r="A147" t="s">
        <v>334</v>
      </c>
      <c r="B147" t="s">
        <v>1334</v>
      </c>
    </row>
    <row r="148" spans="1:2">
      <c r="A148" t="s">
        <v>272</v>
      </c>
      <c r="B148" t="s">
        <v>1334</v>
      </c>
    </row>
    <row r="149" spans="1:2">
      <c r="A149" t="s">
        <v>236</v>
      </c>
      <c r="B149" t="s">
        <v>1334</v>
      </c>
    </row>
    <row r="150" spans="1:2">
      <c r="A150" t="s">
        <v>248</v>
      </c>
      <c r="B150" t="s">
        <v>1334</v>
      </c>
    </row>
    <row r="151" spans="1:2">
      <c r="A151" t="s">
        <v>192</v>
      </c>
      <c r="B151" t="s">
        <v>1334</v>
      </c>
    </row>
    <row r="152" spans="1:2">
      <c r="A152" t="s">
        <v>128</v>
      </c>
      <c r="B152" t="s">
        <v>1334</v>
      </c>
    </row>
    <row r="153" spans="1:2">
      <c r="A153" t="s">
        <v>142</v>
      </c>
      <c r="B153" t="s">
        <v>1334</v>
      </c>
    </row>
    <row r="154" spans="1:2">
      <c r="A154" t="s">
        <v>228</v>
      </c>
      <c r="B154" t="s">
        <v>1334</v>
      </c>
    </row>
    <row r="155" spans="1:2">
      <c r="A155" t="s">
        <v>358</v>
      </c>
      <c r="B155" t="s">
        <v>1334</v>
      </c>
    </row>
    <row r="156" spans="1:2">
      <c r="A156" t="s">
        <v>507</v>
      </c>
      <c r="B156" t="s">
        <v>1334</v>
      </c>
    </row>
    <row r="157" spans="1:2">
      <c r="A157" t="s">
        <v>1511</v>
      </c>
      <c r="B157" t="s">
        <v>1334</v>
      </c>
    </row>
    <row r="158" spans="1:2">
      <c r="A158" t="s">
        <v>401</v>
      </c>
      <c r="B158" t="s">
        <v>1334</v>
      </c>
    </row>
    <row r="159" spans="1:2">
      <c r="A159" t="s">
        <v>693</v>
      </c>
      <c r="B159" t="s">
        <v>1334</v>
      </c>
    </row>
    <row r="160" spans="1:2">
      <c r="A160" t="s">
        <v>581</v>
      </c>
      <c r="B160" t="s">
        <v>1334</v>
      </c>
    </row>
    <row r="161" spans="1:2">
      <c r="A161" t="s">
        <v>439</v>
      </c>
      <c r="B161" t="s">
        <v>1334</v>
      </c>
    </row>
    <row r="162" spans="1:2">
      <c r="A162" t="s">
        <v>30</v>
      </c>
      <c r="B162" t="s">
        <v>1334</v>
      </c>
    </row>
    <row r="163" spans="1:2">
      <c r="A163" t="s">
        <v>64</v>
      </c>
      <c r="B163" t="s">
        <v>1334</v>
      </c>
    </row>
    <row r="164" spans="1:2">
      <c r="A164" t="s">
        <v>218</v>
      </c>
      <c r="B164" t="s">
        <v>1334</v>
      </c>
    </row>
    <row r="165" spans="1:2">
      <c r="A165" t="s">
        <v>240</v>
      </c>
      <c r="B165" t="s">
        <v>1334</v>
      </c>
    </row>
    <row r="166" spans="1:2">
      <c r="A166" t="s">
        <v>461</v>
      </c>
      <c r="B166" t="s">
        <v>1334</v>
      </c>
    </row>
    <row r="167" spans="1:2">
      <c r="A167" t="s">
        <v>587</v>
      </c>
      <c r="B167" t="s">
        <v>1334</v>
      </c>
    </row>
    <row r="168" spans="1:2">
      <c r="A168" t="s">
        <v>260</v>
      </c>
      <c r="B168" t="s">
        <v>1334</v>
      </c>
    </row>
    <row r="169" spans="1:2">
      <c r="A169" t="s">
        <v>280</v>
      </c>
      <c r="B169" t="s">
        <v>1334</v>
      </c>
    </row>
    <row r="170" spans="1:2">
      <c r="A170" t="s">
        <v>545</v>
      </c>
      <c r="B170" t="s">
        <v>1334</v>
      </c>
    </row>
    <row r="171" spans="1:2">
      <c r="A171" t="s">
        <v>114</v>
      </c>
      <c r="B171" t="s">
        <v>1334</v>
      </c>
    </row>
    <row r="172" spans="1:2">
      <c r="A172" t="s">
        <v>605</v>
      </c>
      <c r="B172" t="s">
        <v>1334</v>
      </c>
    </row>
    <row r="173" spans="1:2">
      <c r="A173" t="s">
        <v>635</v>
      </c>
      <c r="B173" t="s">
        <v>1334</v>
      </c>
    </row>
    <row r="174" spans="1:2">
      <c r="A174" t="s">
        <v>559</v>
      </c>
      <c r="B174" t="s">
        <v>1334</v>
      </c>
    </row>
    <row r="175" spans="1:2">
      <c r="A175" t="s">
        <v>382</v>
      </c>
      <c r="B175" t="s">
        <v>1334</v>
      </c>
    </row>
    <row r="176" spans="1:2">
      <c r="A176" t="s">
        <v>98</v>
      </c>
      <c r="B176" t="s">
        <v>1334</v>
      </c>
    </row>
    <row r="177" spans="1:2">
      <c r="A177" t="s">
        <v>148</v>
      </c>
      <c r="B177" t="s">
        <v>1334</v>
      </c>
    </row>
    <row r="178" spans="1:2">
      <c r="A178" t="s">
        <v>475</v>
      </c>
      <c r="B178" t="s">
        <v>1334</v>
      </c>
    </row>
    <row r="179" spans="1:2">
      <c r="A179" t="s">
        <v>565</v>
      </c>
      <c r="B179" t="s">
        <v>1334</v>
      </c>
    </row>
    <row r="180" spans="1:2">
      <c r="A180" t="s">
        <v>421</v>
      </c>
      <c r="B180" t="s">
        <v>1334</v>
      </c>
    </row>
    <row r="181" spans="1:2">
      <c r="A181" t="s">
        <v>451</v>
      </c>
      <c r="B181" t="s">
        <v>1334</v>
      </c>
    </row>
    <row r="182" spans="1:2">
      <c r="A182" t="s">
        <v>419</v>
      </c>
      <c r="B182" t="s">
        <v>1334</v>
      </c>
    </row>
    <row r="183" spans="1:2">
      <c r="A183" t="s">
        <v>136</v>
      </c>
      <c r="B183" t="s">
        <v>1334</v>
      </c>
    </row>
    <row r="184" spans="1:2">
      <c r="A184" t="s">
        <v>78</v>
      </c>
      <c r="B184" t="s">
        <v>1334</v>
      </c>
    </row>
    <row r="185" spans="1:2">
      <c r="A185" t="s">
        <v>342</v>
      </c>
      <c r="B185" t="s">
        <v>1334</v>
      </c>
    </row>
    <row r="186" spans="1:2">
      <c r="A186" t="s">
        <v>80</v>
      </c>
      <c r="B186" t="s">
        <v>1334</v>
      </c>
    </row>
    <row r="187" spans="1:2">
      <c r="A187" t="s">
        <v>681</v>
      </c>
      <c r="B187" t="s">
        <v>1334</v>
      </c>
    </row>
    <row r="188" spans="1:2">
      <c r="A188" t="s">
        <v>641</v>
      </c>
      <c r="B188" t="s">
        <v>1334</v>
      </c>
    </row>
    <row r="189" spans="1:2">
      <c r="A189" t="s">
        <v>144</v>
      </c>
      <c r="B189" t="s">
        <v>1334</v>
      </c>
    </row>
    <row r="190" spans="1:2">
      <c r="A190" t="s">
        <v>619</v>
      </c>
      <c r="B190" t="s">
        <v>1334</v>
      </c>
    </row>
    <row r="191" spans="1:2">
      <c r="A191" t="s">
        <v>1377</v>
      </c>
      <c r="B191" t="s">
        <v>1334</v>
      </c>
    </row>
    <row r="192" spans="1:2">
      <c r="A192" t="s">
        <v>206</v>
      </c>
      <c r="B192" t="s">
        <v>1334</v>
      </c>
    </row>
    <row r="193" spans="1:2">
      <c r="A193" t="s">
        <v>585</v>
      </c>
      <c r="B193" t="s">
        <v>1334</v>
      </c>
    </row>
    <row r="194" spans="1:2">
      <c r="A194" t="s">
        <v>166</v>
      </c>
      <c r="B194" t="s">
        <v>1334</v>
      </c>
    </row>
    <row r="195" spans="1:2">
      <c r="A195" t="s">
        <v>138</v>
      </c>
      <c r="B195" t="s">
        <v>1334</v>
      </c>
    </row>
    <row r="196" spans="1:2">
      <c r="A196" t="s">
        <v>515</v>
      </c>
      <c r="B196" t="s">
        <v>1334</v>
      </c>
    </row>
    <row r="197" spans="1:2">
      <c r="A197" t="s">
        <v>397</v>
      </c>
      <c r="B197" t="s">
        <v>1334</v>
      </c>
    </row>
    <row r="198" spans="1:2">
      <c r="A198" t="s">
        <v>102</v>
      </c>
      <c r="B198" t="s">
        <v>1334</v>
      </c>
    </row>
    <row r="199" spans="1:2">
      <c r="A199" t="s">
        <v>513</v>
      </c>
      <c r="B199" t="s">
        <v>1334</v>
      </c>
    </row>
    <row r="200" spans="1:2">
      <c r="A200" t="s">
        <v>591</v>
      </c>
      <c r="B200" t="s">
        <v>1334</v>
      </c>
    </row>
    <row r="201" spans="1:2">
      <c r="A201" t="s">
        <v>705</v>
      </c>
      <c r="B201" t="s">
        <v>1334</v>
      </c>
    </row>
    <row r="202" spans="1:2">
      <c r="A202" t="s">
        <v>24</v>
      </c>
      <c r="B202" t="s">
        <v>1334</v>
      </c>
    </row>
    <row r="203" spans="1:2">
      <c r="A203" t="s">
        <v>352</v>
      </c>
      <c r="B203" t="s">
        <v>1334</v>
      </c>
    </row>
    <row r="204" spans="1:2">
      <c r="A204" t="s">
        <v>1512</v>
      </c>
      <c r="B204" t="s">
        <v>1334</v>
      </c>
    </row>
    <row r="205" spans="1:2">
      <c r="A205" t="s">
        <v>399</v>
      </c>
      <c r="B205" t="s">
        <v>1334</v>
      </c>
    </row>
    <row r="206" spans="1:2">
      <c r="A206" t="s">
        <v>1400</v>
      </c>
      <c r="B206" t="s">
        <v>1334</v>
      </c>
    </row>
    <row r="207" spans="1:2">
      <c r="A207" t="s">
        <v>719</v>
      </c>
      <c r="B207" t="s">
        <v>1335</v>
      </c>
    </row>
    <row r="208" spans="1:2">
      <c r="A208" t="s">
        <v>976</v>
      </c>
      <c r="B208" t="s">
        <v>1335</v>
      </c>
    </row>
    <row r="209" spans="1:2">
      <c r="A209" t="s">
        <v>847</v>
      </c>
      <c r="B209" t="s">
        <v>1335</v>
      </c>
    </row>
    <row r="210" spans="1:2">
      <c r="A210" t="s">
        <v>910</v>
      </c>
      <c r="B210" t="s">
        <v>1335</v>
      </c>
    </row>
    <row r="211" spans="1:2">
      <c r="A211" s="5" t="s">
        <v>781</v>
      </c>
      <c r="B211" t="s">
        <v>1335</v>
      </c>
    </row>
    <row r="212" spans="1:2">
      <c r="A212" t="s">
        <v>730</v>
      </c>
      <c r="B212" t="s">
        <v>1335</v>
      </c>
    </row>
    <row r="213" spans="1:2">
      <c r="A213" t="s">
        <v>722</v>
      </c>
      <c r="B213" t="s">
        <v>1335</v>
      </c>
    </row>
    <row r="214" spans="1:2">
      <c r="A214" t="s">
        <v>760</v>
      </c>
      <c r="B214" t="s">
        <v>1335</v>
      </c>
    </row>
    <row r="215" spans="1:2">
      <c r="A215" t="s">
        <v>982</v>
      </c>
      <c r="B215" t="s">
        <v>1335</v>
      </c>
    </row>
    <row r="216" spans="1:2">
      <c r="A216" t="s">
        <v>968</v>
      </c>
      <c r="B216" t="s">
        <v>1335</v>
      </c>
    </row>
    <row r="217" spans="1:2">
      <c r="A217" t="s">
        <v>1015</v>
      </c>
      <c r="B217" t="s">
        <v>1335</v>
      </c>
    </row>
    <row r="218" spans="1:2">
      <c r="A218" t="s">
        <v>742</v>
      </c>
      <c r="B218" t="s">
        <v>1335</v>
      </c>
    </row>
    <row r="219" spans="1:2">
      <c r="A219" t="s">
        <v>824</v>
      </c>
      <c r="B219" t="s">
        <v>1335</v>
      </c>
    </row>
    <row r="220" spans="1:2">
      <c r="A220" t="s">
        <v>733</v>
      </c>
      <c r="B220" t="s">
        <v>1335</v>
      </c>
    </row>
    <row r="221" spans="1:2">
      <c r="A221" t="s">
        <v>1003</v>
      </c>
      <c r="B221" t="s">
        <v>1335</v>
      </c>
    </row>
    <row r="222" spans="1:2">
      <c r="A222" t="s">
        <v>828</v>
      </c>
      <c r="B222" t="s">
        <v>1335</v>
      </c>
    </row>
    <row r="223" spans="1:2">
      <c r="A223" t="s">
        <v>958</v>
      </c>
      <c r="B223" t="s">
        <v>1335</v>
      </c>
    </row>
    <row r="224" spans="1:2">
      <c r="A224" t="s">
        <v>1513</v>
      </c>
      <c r="B224" t="s">
        <v>1335</v>
      </c>
    </row>
    <row r="225" spans="1:2">
      <c r="A225" t="s">
        <v>1514</v>
      </c>
      <c r="B225" t="s">
        <v>1335</v>
      </c>
    </row>
    <row r="226" spans="1:2">
      <c r="A226" t="s">
        <v>750</v>
      </c>
      <c r="B226" t="s">
        <v>1335</v>
      </c>
    </row>
    <row r="227" spans="1:2">
      <c r="A227" t="s">
        <v>850</v>
      </c>
      <c r="B227" t="s">
        <v>1335</v>
      </c>
    </row>
    <row r="228" spans="1:2">
      <c r="A228" t="s">
        <v>1027</v>
      </c>
      <c r="B228" t="s">
        <v>1335</v>
      </c>
    </row>
    <row r="229" spans="1:2">
      <c r="A229" t="s">
        <v>993</v>
      </c>
      <c r="B229" t="s">
        <v>1335</v>
      </c>
    </row>
    <row r="230" spans="1:2">
      <c r="A230" t="s">
        <v>1023</v>
      </c>
      <c r="B230" t="s">
        <v>1335</v>
      </c>
    </row>
    <row r="231" spans="1:2">
      <c r="A231" t="s">
        <v>980</v>
      </c>
      <c r="B231" t="s">
        <v>1335</v>
      </c>
    </row>
    <row r="232" spans="1:2">
      <c r="A232" t="s">
        <v>1490</v>
      </c>
      <c r="B232" t="s">
        <v>1335</v>
      </c>
    </row>
    <row r="233" spans="1:2">
      <c r="A233" t="s">
        <v>852</v>
      </c>
      <c r="B233" t="s">
        <v>1335</v>
      </c>
    </row>
    <row r="234" spans="1:2">
      <c r="A234" t="s">
        <v>752</v>
      </c>
      <c r="B234" t="s">
        <v>1335</v>
      </c>
    </row>
    <row r="235" spans="1:2">
      <c r="A235" t="s">
        <v>777</v>
      </c>
      <c r="B235" t="s">
        <v>1335</v>
      </c>
    </row>
    <row r="236" spans="1:2">
      <c r="A236" t="s">
        <v>740</v>
      </c>
      <c r="B236" t="s">
        <v>1335</v>
      </c>
    </row>
    <row r="237" spans="1:2">
      <c r="A237" t="s">
        <v>789</v>
      </c>
      <c r="B237" t="s">
        <v>1335</v>
      </c>
    </row>
    <row r="238" spans="1:2">
      <c r="A238" t="s">
        <v>816</v>
      </c>
      <c r="B238" t="s">
        <v>1335</v>
      </c>
    </row>
    <row r="239" spans="1:2">
      <c r="A239" t="s">
        <v>1515</v>
      </c>
      <c r="B239" t="s">
        <v>1335</v>
      </c>
    </row>
    <row r="240" spans="1:2">
      <c r="A240" t="s">
        <v>805</v>
      </c>
      <c r="B240" t="s">
        <v>1335</v>
      </c>
    </row>
    <row r="241" spans="1:2">
      <c r="A241" t="s">
        <v>872</v>
      </c>
      <c r="B241" t="s">
        <v>1335</v>
      </c>
    </row>
    <row r="242" spans="1:2">
      <c r="A242" t="s">
        <v>929</v>
      </c>
      <c r="B242" t="s">
        <v>1335</v>
      </c>
    </row>
    <row r="243" spans="1:2">
      <c r="A243" t="s">
        <v>880</v>
      </c>
      <c r="B243" t="s">
        <v>1335</v>
      </c>
    </row>
    <row r="244" spans="1:2">
      <c r="A244" t="s">
        <v>866</v>
      </c>
      <c r="B244" t="s">
        <v>1335</v>
      </c>
    </row>
    <row r="245" spans="1:2">
      <c r="A245" t="s">
        <v>1516</v>
      </c>
      <c r="B245" t="s">
        <v>1335</v>
      </c>
    </row>
    <row r="246" spans="1:2">
      <c r="A246" t="s">
        <v>978</v>
      </c>
      <c r="B246" t="s">
        <v>1335</v>
      </c>
    </row>
    <row r="247" spans="1:2">
      <c r="A247" t="s">
        <v>884</v>
      </c>
      <c r="B247" t="s">
        <v>1335</v>
      </c>
    </row>
    <row r="248" spans="1:2">
      <c r="A248" t="s">
        <v>1408</v>
      </c>
      <c r="B248" t="s">
        <v>1335</v>
      </c>
    </row>
    <row r="249" spans="1:2">
      <c r="A249" t="s">
        <v>935</v>
      </c>
      <c r="B249" t="s">
        <v>1335</v>
      </c>
    </row>
    <row r="250" spans="1:2">
      <c r="A250" t="s">
        <v>858</v>
      </c>
      <c r="B250" t="s">
        <v>1335</v>
      </c>
    </row>
    <row r="251" spans="1:2">
      <c r="A251" t="s">
        <v>916</v>
      </c>
      <c r="B251" t="s">
        <v>1335</v>
      </c>
    </row>
    <row r="252" spans="1:2">
      <c r="A252" t="s">
        <v>843</v>
      </c>
      <c r="B252" t="s">
        <v>1335</v>
      </c>
    </row>
    <row r="253" spans="1:2">
      <c r="A253" t="s">
        <v>1517</v>
      </c>
      <c r="B253" t="s">
        <v>1335</v>
      </c>
    </row>
    <row r="254" spans="1:2">
      <c r="A254" t="s">
        <v>1518</v>
      </c>
      <c r="B254" t="s">
        <v>1335</v>
      </c>
    </row>
    <row r="255" spans="1:2">
      <c r="A255" t="s">
        <v>841</v>
      </c>
      <c r="B255" t="s">
        <v>1335</v>
      </c>
    </row>
    <row r="256" spans="1:2">
      <c r="A256" t="s">
        <v>744</v>
      </c>
      <c r="B256" t="s">
        <v>1335</v>
      </c>
    </row>
    <row r="257" spans="1:2">
      <c r="A257" t="s">
        <v>1005</v>
      </c>
      <c r="B257" t="s">
        <v>1335</v>
      </c>
    </row>
    <row r="258" spans="1:2">
      <c r="A258" t="s">
        <v>1519</v>
      </c>
      <c r="B258" t="s">
        <v>1335</v>
      </c>
    </row>
    <row r="259" spans="1:2">
      <c r="A259" t="s">
        <v>854</v>
      </c>
      <c r="B259" t="s">
        <v>1335</v>
      </c>
    </row>
    <row r="260" spans="1:2">
      <c r="A260" t="s">
        <v>860</v>
      </c>
      <c r="B260" t="s">
        <v>1335</v>
      </c>
    </row>
    <row r="261" spans="1:2">
      <c r="A261" t="s">
        <v>1520</v>
      </c>
      <c r="B261" t="s">
        <v>1335</v>
      </c>
    </row>
    <row r="262" spans="1:2">
      <c r="A262" t="s">
        <v>1521</v>
      </c>
      <c r="B262" t="s">
        <v>1335</v>
      </c>
    </row>
    <row r="263" spans="1:2">
      <c r="A263" t="s">
        <v>945</v>
      </c>
      <c r="B263" t="s">
        <v>1335</v>
      </c>
    </row>
    <row r="264" spans="1:2">
      <c r="A264" t="s">
        <v>1383</v>
      </c>
      <c r="B264" t="s">
        <v>1335</v>
      </c>
    </row>
    <row r="265" spans="1:2">
      <c r="A265" t="s">
        <v>922</v>
      </c>
      <c r="B265" t="s">
        <v>1335</v>
      </c>
    </row>
    <row r="266" spans="1:2">
      <c r="A266" t="s">
        <v>1522</v>
      </c>
      <c r="B266" t="s">
        <v>1335</v>
      </c>
    </row>
    <row r="267" spans="1:2">
      <c r="A267" t="s">
        <v>787</v>
      </c>
      <c r="B267" t="s">
        <v>1335</v>
      </c>
    </row>
    <row r="268" spans="1:2">
      <c r="A268" t="s">
        <v>1401</v>
      </c>
      <c r="B268" t="s">
        <v>1335</v>
      </c>
    </row>
    <row r="269" spans="1:2">
      <c r="A269" t="s">
        <v>920</v>
      </c>
      <c r="B269" t="s">
        <v>1335</v>
      </c>
    </row>
    <row r="270" spans="1:2">
      <c r="A270" t="s">
        <v>900</v>
      </c>
      <c r="B270" t="s">
        <v>1335</v>
      </c>
    </row>
    <row r="271" spans="1:2">
      <c r="A271" t="s">
        <v>1378</v>
      </c>
      <c r="B271" t="s">
        <v>1335</v>
      </c>
    </row>
    <row r="272" spans="1:2">
      <c r="A272" t="s">
        <v>1390</v>
      </c>
      <c r="B272" t="s">
        <v>1335</v>
      </c>
    </row>
    <row r="273" spans="1:2">
      <c r="A273" t="s">
        <v>1384</v>
      </c>
      <c r="B273" t="s">
        <v>1335</v>
      </c>
    </row>
    <row r="274" spans="1:2">
      <c r="A274" t="s">
        <v>960</v>
      </c>
      <c r="B274" t="s">
        <v>1335</v>
      </c>
    </row>
    <row r="275" spans="1:2">
      <c r="A275" t="s">
        <v>803</v>
      </c>
      <c r="B275" t="s">
        <v>1335</v>
      </c>
    </row>
    <row r="276" spans="1:2">
      <c r="A276" s="5" t="s">
        <v>1007</v>
      </c>
      <c r="B276" t="s">
        <v>1335</v>
      </c>
    </row>
    <row r="277" spans="1:2">
      <c r="A277" t="s">
        <v>1523</v>
      </c>
      <c r="B277" t="s">
        <v>1335</v>
      </c>
    </row>
    <row r="278" spans="1:2">
      <c r="A278" t="s">
        <v>771</v>
      </c>
      <c r="B278" t="s">
        <v>1335</v>
      </c>
    </row>
    <row r="279" spans="1:2">
      <c r="A279" t="s">
        <v>870</v>
      </c>
      <c r="B279" t="s">
        <v>1335</v>
      </c>
    </row>
    <row r="280" spans="1:2">
      <c r="A280" t="s">
        <v>914</v>
      </c>
      <c r="B280" t="s">
        <v>1335</v>
      </c>
    </row>
    <row r="281" spans="1:2">
      <c r="A281" t="s">
        <v>1524</v>
      </c>
      <c r="B281" t="s">
        <v>1335</v>
      </c>
    </row>
    <row r="282" spans="1:2">
      <c r="A282" t="s">
        <v>1525</v>
      </c>
      <c r="B282" t="s">
        <v>1335</v>
      </c>
    </row>
    <row r="283" spans="1:2">
      <c r="A283" t="s">
        <v>1526</v>
      </c>
      <c r="B283" t="s">
        <v>1335</v>
      </c>
    </row>
    <row r="284" spans="1:2">
      <c r="A284" t="s">
        <v>995</v>
      </c>
      <c r="B284" t="s">
        <v>1335</v>
      </c>
    </row>
    <row r="285" spans="1:2">
      <c r="A285" t="s">
        <v>1527</v>
      </c>
      <c r="B285" t="s">
        <v>1335</v>
      </c>
    </row>
    <row r="286" spans="1:2">
      <c r="A286" t="s">
        <v>1491</v>
      </c>
      <c r="B286" t="s">
        <v>1335</v>
      </c>
    </row>
    <row r="287" spans="1:2">
      <c r="A287" t="s">
        <v>826</v>
      </c>
      <c r="B287" t="s">
        <v>1335</v>
      </c>
    </row>
    <row r="288" spans="1:2">
      <c r="A288" t="s">
        <v>999</v>
      </c>
      <c r="B288" t="s">
        <v>1335</v>
      </c>
    </row>
    <row r="289" spans="1:2">
      <c r="A289" t="s">
        <v>836</v>
      </c>
      <c r="B289" t="s">
        <v>1335</v>
      </c>
    </row>
    <row r="290" spans="1:2">
      <c r="A290" t="s">
        <v>864</v>
      </c>
      <c r="B290" t="s">
        <v>1335</v>
      </c>
    </row>
    <row r="291" spans="1:2">
      <c r="A291" t="s">
        <v>834</v>
      </c>
      <c r="B291" t="s">
        <v>1335</v>
      </c>
    </row>
    <row r="292" spans="1:2">
      <c r="A292" t="s">
        <v>956</v>
      </c>
      <c r="B292" t="s">
        <v>1335</v>
      </c>
    </row>
    <row r="293" spans="1:2">
      <c r="A293" t="s">
        <v>1407</v>
      </c>
      <c r="B293" t="s">
        <v>1335</v>
      </c>
    </row>
    <row r="294" spans="1:2">
      <c r="A294" t="s">
        <v>1528</v>
      </c>
      <c r="B294" t="s">
        <v>1335</v>
      </c>
    </row>
    <row r="295" spans="1:2">
      <c r="A295" t="s">
        <v>906</v>
      </c>
      <c r="B295" t="s">
        <v>1335</v>
      </c>
    </row>
    <row r="296" spans="1:2">
      <c r="A296" t="s">
        <v>1529</v>
      </c>
      <c r="B296" t="s">
        <v>1335</v>
      </c>
    </row>
    <row r="297" spans="1:2">
      <c r="A297" t="s">
        <v>811</v>
      </c>
      <c r="B297" t="s">
        <v>1335</v>
      </c>
    </row>
    <row r="298" spans="1:2">
      <c r="A298" t="s">
        <v>937</v>
      </c>
      <c r="B298" t="s">
        <v>1335</v>
      </c>
    </row>
    <row r="299" spans="1:2">
      <c r="A299" t="s">
        <v>912</v>
      </c>
      <c r="B299" t="s">
        <v>1335</v>
      </c>
    </row>
    <row r="300" spans="1:2">
      <c r="A300" t="s">
        <v>927</v>
      </c>
      <c r="B300" t="s">
        <v>1335</v>
      </c>
    </row>
    <row r="301" spans="1:2">
      <c r="A301" t="s">
        <v>894</v>
      </c>
      <c r="B301" t="s">
        <v>1335</v>
      </c>
    </row>
    <row r="302" spans="1:2">
      <c r="A302" t="s">
        <v>822</v>
      </c>
      <c r="B302" t="s">
        <v>1335</v>
      </c>
    </row>
    <row r="303" spans="1:2">
      <c r="A303" t="s">
        <v>793</v>
      </c>
      <c r="B303" t="s">
        <v>1335</v>
      </c>
    </row>
    <row r="304" spans="1:2">
      <c r="A304" t="s">
        <v>809</v>
      </c>
      <c r="B304" t="s">
        <v>1335</v>
      </c>
    </row>
    <row r="305" spans="1:2">
      <c r="A305" t="s">
        <v>1530</v>
      </c>
      <c r="B305" t="s">
        <v>1335</v>
      </c>
    </row>
    <row r="306" spans="1:2">
      <c r="A306" t="s">
        <v>986</v>
      </c>
      <c r="B306" t="s">
        <v>1335</v>
      </c>
    </row>
    <row r="307" spans="1:2">
      <c r="A307" s="5" t="s">
        <v>886</v>
      </c>
      <c r="B307" t="s">
        <v>1335</v>
      </c>
    </row>
    <row r="308" spans="1:2">
      <c r="A308" t="s">
        <v>972</v>
      </c>
      <c r="B308" t="s">
        <v>1335</v>
      </c>
    </row>
    <row r="309" spans="1:2">
      <c r="A309" t="s">
        <v>939</v>
      </c>
      <c r="B309" t="s">
        <v>1335</v>
      </c>
    </row>
    <row r="310" spans="1:2">
      <c r="A310" t="s">
        <v>726</v>
      </c>
      <c r="B310" t="s">
        <v>1335</v>
      </c>
    </row>
    <row r="311" spans="1:2">
      <c r="A311" t="s">
        <v>1531</v>
      </c>
      <c r="B311" t="s">
        <v>1335</v>
      </c>
    </row>
    <row r="312" spans="1:2">
      <c r="A312" t="s">
        <v>1031</v>
      </c>
      <c r="B312" t="s">
        <v>1335</v>
      </c>
    </row>
    <row r="313" spans="1:2">
      <c r="A313" t="s">
        <v>746</v>
      </c>
      <c r="B313" t="s">
        <v>1335</v>
      </c>
    </row>
    <row r="314" spans="1:2">
      <c r="A314" t="s">
        <v>791</v>
      </c>
      <c r="B314" t="s">
        <v>1335</v>
      </c>
    </row>
    <row r="315" spans="1:2">
      <c r="A315" t="s">
        <v>1011</v>
      </c>
      <c r="B315" t="s">
        <v>1335</v>
      </c>
    </row>
    <row r="316" spans="1:2">
      <c r="A316" t="s">
        <v>962</v>
      </c>
      <c r="B316" t="s">
        <v>1335</v>
      </c>
    </row>
    <row r="317" spans="1:2">
      <c r="A317" t="s">
        <v>989</v>
      </c>
      <c r="B317" t="s">
        <v>1335</v>
      </c>
    </row>
    <row r="318" spans="1:2">
      <c r="A318" t="s">
        <v>984</v>
      </c>
      <c r="B318" t="s">
        <v>1335</v>
      </c>
    </row>
    <row r="319" spans="1:2">
      <c r="A319" t="s">
        <v>882</v>
      </c>
      <c r="B319" t="s">
        <v>1335</v>
      </c>
    </row>
    <row r="320" spans="1:2">
      <c r="A320" t="s">
        <v>735</v>
      </c>
      <c r="B320" t="s">
        <v>1335</v>
      </c>
    </row>
    <row r="321" spans="1:2">
      <c r="A321" t="s">
        <v>856</v>
      </c>
      <c r="B321" t="s">
        <v>1335</v>
      </c>
    </row>
    <row r="322" spans="1:2">
      <c r="A322" t="s">
        <v>1033</v>
      </c>
      <c r="B322" t="s">
        <v>1335</v>
      </c>
    </row>
    <row r="323" spans="1:2">
      <c r="A323" t="s">
        <v>818</v>
      </c>
      <c r="B323" t="s">
        <v>1335</v>
      </c>
    </row>
    <row r="324" spans="1:2">
      <c r="A324" t="s">
        <v>896</v>
      </c>
      <c r="B324" t="s">
        <v>1335</v>
      </c>
    </row>
    <row r="325" spans="1:2">
      <c r="A325" t="s">
        <v>783</v>
      </c>
      <c r="B325" t="s">
        <v>1335</v>
      </c>
    </row>
    <row r="326" spans="1:2">
      <c r="A326" t="s">
        <v>754</v>
      </c>
      <c r="B326" t="s">
        <v>1335</v>
      </c>
    </row>
    <row r="327" spans="1:2">
      <c r="A327" t="s">
        <v>832</v>
      </c>
      <c r="B327" t="s">
        <v>1335</v>
      </c>
    </row>
    <row r="328" spans="1:2">
      <c r="A328" t="s">
        <v>765</v>
      </c>
      <c r="B328" t="s">
        <v>1335</v>
      </c>
    </row>
    <row r="329" spans="1:2">
      <c r="A329" t="s">
        <v>1532</v>
      </c>
      <c r="B329" t="s">
        <v>1335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Cathy L -BH</cp:lastModifiedBy>
  <cp:revision/>
  <dcterms:created xsi:type="dcterms:W3CDTF">2015-06-05T18:17:20Z</dcterms:created>
  <dcterms:modified xsi:type="dcterms:W3CDTF">2025-10-28T17:34:47Z</dcterms:modified>
  <cp:category/>
  <cp:contentStatus/>
</cp:coreProperties>
</file>